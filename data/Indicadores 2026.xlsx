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namedSheetViews/namedSheetView2.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mc:AlternateContent xmlns:mc="http://schemas.openxmlformats.org/markup-compatibility/2006">
    <mc:Choice Requires="x15">
      <x15ac:absPath xmlns:x15ac="http://schemas.microsoft.com/office/spreadsheetml/2010/11/ac" url="https://grupocoomeva-my.sharepoint.com/personal/elhm1412_coomeva_com_co/Documents/Documentos/Selección y Contratación/"/>
    </mc:Choice>
  </mc:AlternateContent>
  <xr:revisionPtr revIDLastSave="436" documentId="13_ncr:1_{3F8173B8-0CB1-4DD7-96FE-C961346ACBA3}" xr6:coauthVersionLast="47" xr6:coauthVersionMax="47" xr10:uidLastSave="{C8205176-0D8C-4DFA-B058-012EBB72343B}"/>
  <bookViews>
    <workbookView xWindow="20370" yWindow="-120" windowWidth="29040" windowHeight="15720" activeTab="2" xr2:uid="{AB2D5DC5-3BA5-4CA3-9B8B-956D8E6A907A}"/>
  </bookViews>
  <sheets>
    <sheet name="Requisiciones" sheetId="1" r:id="rId1"/>
    <sheet name="Hoja1" sheetId="4" r:id="rId2"/>
    <sheet name="Requis" sheetId="5" r:id="rId3"/>
    <sheet name="Dim_Empresa" sheetId="6" r:id="rId4"/>
    <sheet name="Dim_Cargo" sheetId="7" r:id="rId5"/>
    <sheet name="Dim_Psicologo" sheetId="8" r:id="rId6"/>
    <sheet name="Dim_Fuente" sheetId="9" r:id="rId7"/>
    <sheet name="Dim_Calendario" sheetId="10" r:id="rId8"/>
    <sheet name="Hoja2" sheetId="11" r:id="rId9"/>
  </sheets>
  <externalReferences>
    <externalReference r:id="rId10"/>
    <externalReference r:id="rId11"/>
    <externalReference r:id="rId12"/>
  </externalReferences>
  <definedNames>
    <definedName name="_xlnm._FilterDatabase" localSheetId="7" hidden="1">Dim_Calendario!$A$1:$S$641</definedName>
    <definedName name="_xlnm._FilterDatabase" localSheetId="4" hidden="1">Dim_Cargo!$A$1:$D$218</definedName>
    <definedName name="_xlnm._FilterDatabase" localSheetId="3" hidden="1">Dim_Empresa!$A$1:$E$107</definedName>
    <definedName name="_xlnm._FilterDatabase" localSheetId="6" hidden="1">Dim_Fuente!$A$1:$C$363</definedName>
    <definedName name="_xlnm._FilterDatabase" localSheetId="5" hidden="1">Dim_Psicologo!$A$1:$B$1</definedName>
    <definedName name="_xlnm._FilterDatabase" localSheetId="2" hidden="1">'Requis'!$A:$AR</definedName>
    <definedName name="_xlnm._FilterDatabase" localSheetId="0" hidden="1">Requisiciones!$A$1:$BB$641</definedName>
    <definedName name="A" localSheetId="1">[1]MRD!$A$1:$BB$1866</definedName>
    <definedName name="A">[1]MRD!$A$1:$BB$1866</definedName>
    <definedName name="MRD" localSheetId="1">[2]MRD!$A$1:$BB$2983</definedName>
    <definedName name="MRD">[3]MRD!$A$1:$BB$2167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5" l="1"/>
  <c r="AE4" i="5"/>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E190" i="5"/>
  <c r="AE191" i="5"/>
  <c r="AE192" i="5"/>
  <c r="AE193" i="5"/>
  <c r="AE194" i="5"/>
  <c r="AE195" i="5"/>
  <c r="AE196" i="5"/>
  <c r="AE197" i="5"/>
  <c r="AE198" i="5"/>
  <c r="AE199" i="5"/>
  <c r="AE200" i="5"/>
  <c r="AE201" i="5"/>
  <c r="AE202" i="5"/>
  <c r="AE203" i="5"/>
  <c r="AE204" i="5"/>
  <c r="AE205" i="5"/>
  <c r="AE206" i="5"/>
  <c r="AE207" i="5"/>
  <c r="AE208" i="5"/>
  <c r="AE209" i="5"/>
  <c r="AE210" i="5"/>
  <c r="AE211" i="5"/>
  <c r="AE212" i="5"/>
  <c r="AE213" i="5"/>
  <c r="AE214" i="5"/>
  <c r="AE215"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4" i="5"/>
  <c r="AE245" i="5"/>
  <c r="AE246" i="5"/>
  <c r="AE247" i="5"/>
  <c r="AE248" i="5"/>
  <c r="AE249" i="5"/>
  <c r="AE250" i="5"/>
  <c r="AE251" i="5"/>
  <c r="AE252" i="5"/>
  <c r="AE253" i="5"/>
  <c r="AE254" i="5"/>
  <c r="AE255" i="5"/>
  <c r="AE256" i="5"/>
  <c r="AE257" i="5"/>
  <c r="AE258" i="5"/>
  <c r="AE259" i="5"/>
  <c r="AE260" i="5"/>
  <c r="AE261" i="5"/>
  <c r="AE262"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0" i="5"/>
  <c r="AE311" i="5"/>
  <c r="AE312" i="5"/>
  <c r="AE313" i="5"/>
  <c r="AE314" i="5"/>
  <c r="AE315" i="5"/>
  <c r="AE316" i="5"/>
  <c r="AE317" i="5"/>
  <c r="AE318" i="5"/>
  <c r="AE319" i="5"/>
  <c r="AE320" i="5"/>
  <c r="AE321" i="5"/>
  <c r="AE322" i="5"/>
  <c r="AE323" i="5"/>
  <c r="AE324" i="5"/>
  <c r="AE325" i="5"/>
  <c r="AE326" i="5"/>
  <c r="AE327" i="5"/>
  <c r="AE328" i="5"/>
  <c r="AE329" i="5"/>
  <c r="AE330" i="5"/>
  <c r="AE331" i="5"/>
  <c r="AE332" i="5"/>
  <c r="AE333" i="5"/>
  <c r="AE334" i="5"/>
  <c r="AE335" i="5"/>
  <c r="AE336" i="5"/>
  <c r="AE337" i="5"/>
  <c r="AE338" i="5"/>
  <c r="AE339" i="5"/>
  <c r="AE340" i="5"/>
  <c r="AE341" i="5"/>
  <c r="AE342" i="5"/>
  <c r="AE343" i="5"/>
  <c r="AE344" i="5"/>
  <c r="AE345" i="5"/>
  <c r="AE346" i="5"/>
  <c r="AE347" i="5"/>
  <c r="AE348" i="5"/>
  <c r="AE349" i="5"/>
  <c r="AE350" i="5"/>
  <c r="AE351" i="5"/>
  <c r="AE352" i="5"/>
  <c r="AE353" i="5"/>
  <c r="AE354" i="5"/>
  <c r="AE355" i="5"/>
  <c r="AE356" i="5"/>
  <c r="AE357" i="5"/>
  <c r="AE358" i="5"/>
  <c r="AE359" i="5"/>
  <c r="AE360" i="5"/>
  <c r="AE361" i="5"/>
  <c r="AE362" i="5"/>
  <c r="AE363" i="5"/>
  <c r="AE364" i="5"/>
  <c r="AE365" i="5"/>
  <c r="AE366" i="5"/>
  <c r="AE367" i="5"/>
  <c r="AE368" i="5"/>
  <c r="AE369" i="5"/>
  <c r="AE370" i="5"/>
  <c r="AE371" i="5"/>
  <c r="AE372" i="5"/>
  <c r="AE373" i="5"/>
  <c r="AE374" i="5"/>
  <c r="AE375" i="5"/>
  <c r="AE376" i="5"/>
  <c r="AE377" i="5"/>
  <c r="AE378" i="5"/>
  <c r="AE379" i="5"/>
  <c r="AE380" i="5"/>
  <c r="AE381" i="5"/>
  <c r="AE382" i="5"/>
  <c r="AE383" i="5"/>
  <c r="AE384" i="5"/>
  <c r="AE385" i="5"/>
  <c r="AE386" i="5"/>
  <c r="AE387" i="5"/>
  <c r="AE388" i="5"/>
  <c r="AE389" i="5"/>
  <c r="AE390" i="5"/>
  <c r="AE391" i="5"/>
  <c r="AE392" i="5"/>
  <c r="AE393" i="5"/>
  <c r="AE394" i="5"/>
  <c r="AE395" i="5"/>
  <c r="AE396" i="5"/>
  <c r="AE397" i="5"/>
  <c r="AE398" i="5"/>
  <c r="AE399" i="5"/>
  <c r="AE400" i="5"/>
  <c r="AE401" i="5"/>
  <c r="AE402" i="5"/>
  <c r="AE403" i="5"/>
  <c r="AE404" i="5"/>
  <c r="AE405" i="5"/>
  <c r="AE406" i="5"/>
  <c r="AE407" i="5"/>
  <c r="AE408" i="5"/>
  <c r="AE409" i="5"/>
  <c r="AE410" i="5"/>
  <c r="AE411" i="5"/>
  <c r="AE412" i="5"/>
  <c r="AE413" i="5"/>
  <c r="AE414" i="5"/>
  <c r="AE415" i="5"/>
  <c r="AE416" i="5"/>
  <c r="AE417" i="5"/>
  <c r="AE418" i="5"/>
  <c r="AE419" i="5"/>
  <c r="AE420" i="5"/>
  <c r="AE421" i="5"/>
  <c r="AE422" i="5"/>
  <c r="AE423" i="5"/>
  <c r="AE424" i="5"/>
  <c r="AE425" i="5"/>
  <c r="AE426" i="5"/>
  <c r="AE427" i="5"/>
  <c r="AE428" i="5"/>
  <c r="AE429" i="5"/>
  <c r="AE430" i="5"/>
  <c r="AE431" i="5"/>
  <c r="AE432" i="5"/>
  <c r="AE433" i="5"/>
  <c r="AE434" i="5"/>
  <c r="AE435" i="5"/>
  <c r="AE436" i="5"/>
  <c r="AE437" i="5"/>
  <c r="AE438" i="5"/>
  <c r="AE439" i="5"/>
  <c r="AE440" i="5"/>
  <c r="AE441" i="5"/>
  <c r="AE442" i="5"/>
  <c r="AE443" i="5"/>
  <c r="AE444" i="5"/>
  <c r="AE445" i="5"/>
  <c r="AE446" i="5"/>
  <c r="AE447" i="5"/>
  <c r="AE448" i="5"/>
  <c r="AE449" i="5"/>
  <c r="AE450" i="5"/>
  <c r="AE451" i="5"/>
  <c r="AE452" i="5"/>
  <c r="AE453" i="5"/>
  <c r="AE454" i="5"/>
  <c r="AE455" i="5"/>
  <c r="AE456" i="5"/>
  <c r="AE457" i="5"/>
  <c r="AE458" i="5"/>
  <c r="AE459" i="5"/>
  <c r="AE460" i="5"/>
  <c r="AE461" i="5"/>
  <c r="AE462" i="5"/>
  <c r="AE463" i="5"/>
  <c r="AE464" i="5"/>
  <c r="AE465" i="5"/>
  <c r="AE466" i="5"/>
  <c r="AE467" i="5"/>
  <c r="AE468" i="5"/>
  <c r="AE469" i="5"/>
  <c r="AE470" i="5"/>
  <c r="AE471" i="5"/>
  <c r="AE472" i="5"/>
  <c r="AE473" i="5"/>
  <c r="AE474" i="5"/>
  <c r="AE475" i="5"/>
  <c r="AE476" i="5"/>
  <c r="AE477" i="5"/>
  <c r="AE478" i="5"/>
  <c r="AE479" i="5"/>
  <c r="AE480" i="5"/>
  <c r="AE481" i="5"/>
  <c r="AE482" i="5"/>
  <c r="AE483" i="5"/>
  <c r="AE484" i="5"/>
  <c r="AE485" i="5"/>
  <c r="AE486" i="5"/>
  <c r="AE487" i="5"/>
  <c r="AE488" i="5"/>
  <c r="AE489" i="5"/>
  <c r="AE490" i="5"/>
  <c r="AE491" i="5"/>
  <c r="AE492" i="5"/>
  <c r="AE493" i="5"/>
  <c r="AE494" i="5"/>
  <c r="AE495" i="5"/>
  <c r="AE496" i="5"/>
  <c r="AE497" i="5"/>
  <c r="AE498" i="5"/>
  <c r="AE499" i="5"/>
  <c r="AE500" i="5"/>
  <c r="AE501" i="5"/>
  <c r="AE502" i="5"/>
  <c r="AE503" i="5"/>
  <c r="AE504" i="5"/>
  <c r="AE505" i="5"/>
  <c r="AE506" i="5"/>
  <c r="AE507" i="5"/>
  <c r="AE508" i="5"/>
  <c r="AE509" i="5"/>
  <c r="AE510" i="5"/>
  <c r="AE511" i="5"/>
  <c r="AE512" i="5"/>
  <c r="AE513" i="5"/>
  <c r="AE514" i="5"/>
  <c r="AE515" i="5"/>
  <c r="AE516" i="5"/>
  <c r="AE517" i="5"/>
  <c r="AE518" i="5"/>
  <c r="AE519" i="5"/>
  <c r="AE520" i="5"/>
  <c r="AE521" i="5"/>
  <c r="AE522" i="5"/>
  <c r="AE523" i="5"/>
  <c r="AE524" i="5"/>
  <c r="AE525" i="5"/>
  <c r="AE526" i="5"/>
  <c r="AE527" i="5"/>
  <c r="AE528" i="5"/>
  <c r="AE529" i="5"/>
  <c r="AE530" i="5"/>
  <c r="AE531" i="5"/>
  <c r="AE532" i="5"/>
  <c r="AE533" i="5"/>
  <c r="AE534" i="5"/>
  <c r="AE535" i="5"/>
  <c r="AE536" i="5"/>
  <c r="AE537" i="5"/>
  <c r="AE538" i="5"/>
  <c r="AE539" i="5"/>
  <c r="AE540" i="5"/>
  <c r="AE541" i="5"/>
  <c r="AE542" i="5"/>
  <c r="AE543" i="5"/>
  <c r="AE544" i="5"/>
  <c r="AE545" i="5"/>
  <c r="AE546" i="5"/>
  <c r="AE547" i="5"/>
  <c r="AE548" i="5"/>
  <c r="AE549" i="5"/>
  <c r="AE550" i="5"/>
  <c r="AE551" i="5"/>
  <c r="AE552" i="5"/>
  <c r="AE553" i="5"/>
  <c r="AE554" i="5"/>
  <c r="AE555" i="5"/>
  <c r="AE556" i="5"/>
  <c r="AE557" i="5"/>
  <c r="AE558" i="5"/>
  <c r="AE559" i="5"/>
  <c r="AE560" i="5"/>
  <c r="AE561" i="5"/>
  <c r="AE562" i="5"/>
  <c r="AE563" i="5"/>
  <c r="AE564" i="5"/>
  <c r="AE565" i="5"/>
  <c r="AE566" i="5"/>
  <c r="AE567" i="5"/>
  <c r="AE568" i="5"/>
  <c r="AE569" i="5"/>
  <c r="AE570" i="5"/>
  <c r="AE571" i="5"/>
  <c r="AE572" i="5"/>
  <c r="AE573" i="5"/>
  <c r="AE574" i="5"/>
  <c r="AE575" i="5"/>
  <c r="AE576" i="5"/>
  <c r="AE577" i="5"/>
  <c r="AE578" i="5"/>
  <c r="AE579" i="5"/>
  <c r="AE580" i="5"/>
  <c r="AE581" i="5"/>
  <c r="AE582" i="5"/>
  <c r="AE583" i="5"/>
  <c r="AE584" i="5"/>
  <c r="AE585" i="5"/>
  <c r="AE586" i="5"/>
  <c r="AE587" i="5"/>
  <c r="AE588" i="5"/>
  <c r="AE589" i="5"/>
  <c r="AE590" i="5"/>
  <c r="AE591" i="5"/>
  <c r="AE592" i="5"/>
  <c r="AE593" i="5"/>
  <c r="AE594" i="5"/>
  <c r="AE595" i="5"/>
  <c r="AE596" i="5"/>
  <c r="AE597" i="5"/>
  <c r="AE598" i="5"/>
  <c r="AE599" i="5"/>
  <c r="AE600" i="5"/>
  <c r="AE601" i="5"/>
  <c r="AE602" i="5"/>
  <c r="AE603" i="5"/>
  <c r="AE604" i="5"/>
  <c r="AE605" i="5"/>
  <c r="AE606" i="5"/>
  <c r="AE607" i="5"/>
  <c r="AE608" i="5"/>
  <c r="AE609" i="5"/>
  <c r="AE610" i="5"/>
  <c r="AE611" i="5"/>
  <c r="AE612" i="5"/>
  <c r="AE613" i="5"/>
  <c r="AE614" i="5"/>
  <c r="AE615" i="5"/>
  <c r="AE616" i="5"/>
  <c r="AE617" i="5"/>
  <c r="AE618" i="5"/>
  <c r="AE619" i="5"/>
  <c r="AE620" i="5"/>
  <c r="AE621" i="5"/>
  <c r="AE622" i="5"/>
  <c r="AE623" i="5"/>
  <c r="AE624" i="5"/>
  <c r="AE625" i="5"/>
  <c r="AE626" i="5"/>
  <c r="AE627" i="5"/>
  <c r="AE628" i="5"/>
  <c r="AE629" i="5"/>
  <c r="AE630" i="5"/>
  <c r="AE631" i="5"/>
  <c r="AE632" i="5"/>
  <c r="AE633" i="5"/>
  <c r="AE634" i="5"/>
  <c r="AE635" i="5"/>
  <c r="AE636" i="5"/>
  <c r="AE637" i="5"/>
  <c r="AE638" i="5"/>
  <c r="AE639" i="5"/>
  <c r="AE640" i="5"/>
  <c r="AE641" i="5"/>
  <c r="AE2" i="5"/>
  <c r="AF3" i="5"/>
  <c r="AF4" i="5"/>
  <c r="AF5" i="5"/>
  <c r="AF6" i="5"/>
  <c r="AF7" i="5"/>
  <c r="AF8" i="5"/>
  <c r="AF9" i="5"/>
  <c r="AF10" i="5"/>
  <c r="AF11" i="5"/>
  <c r="AF12" i="5"/>
  <c r="AF13" i="5"/>
  <c r="AF14" i="5"/>
  <c r="AF15" i="5"/>
  <c r="AF16" i="5"/>
  <c r="AF17" i="5"/>
  <c r="AF18" i="5"/>
  <c r="AF19" i="5"/>
  <c r="AF20" i="5"/>
  <c r="AF21" i="5"/>
  <c r="AF22"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F125" i="5"/>
  <c r="AF126" i="5"/>
  <c r="AF127" i="5"/>
  <c r="AF128" i="5"/>
  <c r="AF129" i="5"/>
  <c r="AF130" i="5"/>
  <c r="AF131" i="5"/>
  <c r="AF132" i="5"/>
  <c r="AF133" i="5"/>
  <c r="AF134" i="5"/>
  <c r="AF135" i="5"/>
  <c r="AF136" i="5"/>
  <c r="AF137" i="5"/>
  <c r="AF138" i="5"/>
  <c r="AF139" i="5"/>
  <c r="AF140" i="5"/>
  <c r="AF141" i="5"/>
  <c r="AF142" i="5"/>
  <c r="AF143" i="5"/>
  <c r="AF144" i="5"/>
  <c r="AF145" i="5"/>
  <c r="AF146" i="5"/>
  <c r="AF147" i="5"/>
  <c r="AF148" i="5"/>
  <c r="AF149" i="5"/>
  <c r="AF150" i="5"/>
  <c r="AF151" i="5"/>
  <c r="AF152" i="5"/>
  <c r="AF153" i="5"/>
  <c r="AF154" i="5"/>
  <c r="AF155" i="5"/>
  <c r="AF156" i="5"/>
  <c r="AF157" i="5"/>
  <c r="AF158" i="5"/>
  <c r="AF159" i="5"/>
  <c r="AF160" i="5"/>
  <c r="AF161" i="5"/>
  <c r="AF162" i="5"/>
  <c r="AF163" i="5"/>
  <c r="AF164" i="5"/>
  <c r="AF165" i="5"/>
  <c r="AF166" i="5"/>
  <c r="AF167" i="5"/>
  <c r="AF168" i="5"/>
  <c r="AF169" i="5"/>
  <c r="AF170" i="5"/>
  <c r="AF171" i="5"/>
  <c r="AF172" i="5"/>
  <c r="AF173" i="5"/>
  <c r="AF174" i="5"/>
  <c r="AF175" i="5"/>
  <c r="AF176" i="5"/>
  <c r="AF177" i="5"/>
  <c r="AF178" i="5"/>
  <c r="AF179" i="5"/>
  <c r="AF180" i="5"/>
  <c r="AF181" i="5"/>
  <c r="AF182" i="5"/>
  <c r="AF183" i="5"/>
  <c r="AF184" i="5"/>
  <c r="AF185" i="5"/>
  <c r="AF186" i="5"/>
  <c r="AF187" i="5"/>
  <c r="AF188" i="5"/>
  <c r="AF189" i="5"/>
  <c r="AF190" i="5"/>
  <c r="AF191" i="5"/>
  <c r="AF192" i="5"/>
  <c r="AF193" i="5"/>
  <c r="AF194" i="5"/>
  <c r="AF195" i="5"/>
  <c r="AF196" i="5"/>
  <c r="AF197" i="5"/>
  <c r="AF198" i="5"/>
  <c r="AF199" i="5"/>
  <c r="AF200" i="5"/>
  <c r="AF201" i="5"/>
  <c r="AF202" i="5"/>
  <c r="AF203" i="5"/>
  <c r="AF204" i="5"/>
  <c r="AF205" i="5"/>
  <c r="AF206" i="5"/>
  <c r="AF207" i="5"/>
  <c r="AF208" i="5"/>
  <c r="AF209" i="5"/>
  <c r="AF210" i="5"/>
  <c r="AF211" i="5"/>
  <c r="AF212" i="5"/>
  <c r="AF213" i="5"/>
  <c r="AF214" i="5"/>
  <c r="AF215" i="5"/>
  <c r="AF216" i="5"/>
  <c r="AF217" i="5"/>
  <c r="AF218" i="5"/>
  <c r="AF219" i="5"/>
  <c r="AF220" i="5"/>
  <c r="AF221" i="5"/>
  <c r="AF222" i="5"/>
  <c r="AF223" i="5"/>
  <c r="AF224" i="5"/>
  <c r="AF225" i="5"/>
  <c r="AF226" i="5"/>
  <c r="AF227" i="5"/>
  <c r="AF228" i="5"/>
  <c r="AF229" i="5"/>
  <c r="AF230" i="5"/>
  <c r="AF231" i="5"/>
  <c r="AF232" i="5"/>
  <c r="AF233" i="5"/>
  <c r="AF234" i="5"/>
  <c r="AF235" i="5"/>
  <c r="AF236" i="5"/>
  <c r="AF237" i="5"/>
  <c r="AF238" i="5"/>
  <c r="AF239" i="5"/>
  <c r="AF240" i="5"/>
  <c r="AF241" i="5"/>
  <c r="AF242" i="5"/>
  <c r="AF243" i="5"/>
  <c r="AF244" i="5"/>
  <c r="AF245" i="5"/>
  <c r="AF246" i="5"/>
  <c r="AF247" i="5"/>
  <c r="AF248" i="5"/>
  <c r="AF249" i="5"/>
  <c r="AF250" i="5"/>
  <c r="AF251" i="5"/>
  <c r="AF252" i="5"/>
  <c r="AF253" i="5"/>
  <c r="AF254" i="5"/>
  <c r="AF255" i="5"/>
  <c r="AF256" i="5"/>
  <c r="AF257" i="5"/>
  <c r="AF258" i="5"/>
  <c r="AF259" i="5"/>
  <c r="AF260" i="5"/>
  <c r="AF261" i="5"/>
  <c r="AF262" i="5"/>
  <c r="AF263" i="5"/>
  <c r="AF264" i="5"/>
  <c r="AF265" i="5"/>
  <c r="AF266" i="5"/>
  <c r="AF267" i="5"/>
  <c r="AF268" i="5"/>
  <c r="AF269" i="5"/>
  <c r="AF270" i="5"/>
  <c r="AF271" i="5"/>
  <c r="AF272" i="5"/>
  <c r="AF273" i="5"/>
  <c r="AF274" i="5"/>
  <c r="AF275" i="5"/>
  <c r="AF276" i="5"/>
  <c r="AF277" i="5"/>
  <c r="AF278" i="5"/>
  <c r="AF279" i="5"/>
  <c r="AF280" i="5"/>
  <c r="AF281" i="5"/>
  <c r="AF282" i="5"/>
  <c r="AF283" i="5"/>
  <c r="AF284" i="5"/>
  <c r="AF285" i="5"/>
  <c r="AF286" i="5"/>
  <c r="AF287" i="5"/>
  <c r="AF288" i="5"/>
  <c r="AF289" i="5"/>
  <c r="AF290" i="5"/>
  <c r="AF291" i="5"/>
  <c r="AF292" i="5"/>
  <c r="AF293" i="5"/>
  <c r="AF294" i="5"/>
  <c r="AF295" i="5"/>
  <c r="AF296" i="5"/>
  <c r="AF297" i="5"/>
  <c r="AF298" i="5"/>
  <c r="AF299" i="5"/>
  <c r="AF300" i="5"/>
  <c r="AF301" i="5"/>
  <c r="AF302" i="5"/>
  <c r="AF303" i="5"/>
  <c r="AF304" i="5"/>
  <c r="AF305" i="5"/>
  <c r="AF306" i="5"/>
  <c r="AF307" i="5"/>
  <c r="AF308" i="5"/>
  <c r="AF309" i="5"/>
  <c r="AF310" i="5"/>
  <c r="AF311" i="5"/>
  <c r="AF312" i="5"/>
  <c r="AF313" i="5"/>
  <c r="AF314" i="5"/>
  <c r="AF315" i="5"/>
  <c r="AF316" i="5"/>
  <c r="AF317" i="5"/>
  <c r="AF318" i="5"/>
  <c r="AF319" i="5"/>
  <c r="AF320" i="5"/>
  <c r="AF321" i="5"/>
  <c r="AF322" i="5"/>
  <c r="AF323" i="5"/>
  <c r="AF324" i="5"/>
  <c r="AF325" i="5"/>
  <c r="AF326" i="5"/>
  <c r="AF327" i="5"/>
  <c r="AF328" i="5"/>
  <c r="AF329" i="5"/>
  <c r="AF330" i="5"/>
  <c r="AF331" i="5"/>
  <c r="AF332" i="5"/>
  <c r="AF333" i="5"/>
  <c r="AF334" i="5"/>
  <c r="AF335" i="5"/>
  <c r="AF336" i="5"/>
  <c r="AF337" i="5"/>
  <c r="AF338" i="5"/>
  <c r="AF339" i="5"/>
  <c r="AF340" i="5"/>
  <c r="AF341" i="5"/>
  <c r="AF342" i="5"/>
  <c r="AF343" i="5"/>
  <c r="AF344" i="5"/>
  <c r="AF345" i="5"/>
  <c r="AF346" i="5"/>
  <c r="AF347" i="5"/>
  <c r="AF348" i="5"/>
  <c r="AF349" i="5"/>
  <c r="AF350" i="5"/>
  <c r="AF351" i="5"/>
  <c r="AF352" i="5"/>
  <c r="AF353" i="5"/>
  <c r="AF354" i="5"/>
  <c r="AF355" i="5"/>
  <c r="AF356" i="5"/>
  <c r="AF357" i="5"/>
  <c r="AF358" i="5"/>
  <c r="AF359" i="5"/>
  <c r="AF360" i="5"/>
  <c r="AF361" i="5"/>
  <c r="AF362" i="5"/>
  <c r="AF363" i="5"/>
  <c r="AF364" i="5"/>
  <c r="AF365" i="5"/>
  <c r="AF366" i="5"/>
  <c r="AF367" i="5"/>
  <c r="AF368" i="5"/>
  <c r="AF369" i="5"/>
  <c r="AF370" i="5"/>
  <c r="AF371" i="5"/>
  <c r="AF372" i="5"/>
  <c r="AF373" i="5"/>
  <c r="AF374" i="5"/>
  <c r="AF375" i="5"/>
  <c r="AF376" i="5"/>
  <c r="AF377" i="5"/>
  <c r="AF378" i="5"/>
  <c r="AF379" i="5"/>
  <c r="AF380" i="5"/>
  <c r="AF381" i="5"/>
  <c r="AF382" i="5"/>
  <c r="AF383" i="5"/>
  <c r="AF384" i="5"/>
  <c r="AF385" i="5"/>
  <c r="AF386" i="5"/>
  <c r="AF387" i="5"/>
  <c r="AF388" i="5"/>
  <c r="AF389" i="5"/>
  <c r="AF390" i="5"/>
  <c r="AF391" i="5"/>
  <c r="AF392" i="5"/>
  <c r="AF393" i="5"/>
  <c r="AF394" i="5"/>
  <c r="AF395" i="5"/>
  <c r="AF396" i="5"/>
  <c r="AF397" i="5"/>
  <c r="AF398" i="5"/>
  <c r="AF399" i="5"/>
  <c r="AF400" i="5"/>
  <c r="AF401" i="5"/>
  <c r="AF402" i="5"/>
  <c r="AF403" i="5"/>
  <c r="AF404" i="5"/>
  <c r="AF405" i="5"/>
  <c r="AF406" i="5"/>
  <c r="AF407" i="5"/>
  <c r="AF408" i="5"/>
  <c r="AF409" i="5"/>
  <c r="AF410" i="5"/>
  <c r="AF411" i="5"/>
  <c r="AF412" i="5"/>
  <c r="AF413" i="5"/>
  <c r="AF414" i="5"/>
  <c r="AF415" i="5"/>
  <c r="AF416" i="5"/>
  <c r="AF417" i="5"/>
  <c r="AF418" i="5"/>
  <c r="AF419" i="5"/>
  <c r="AF420" i="5"/>
  <c r="AF421" i="5"/>
  <c r="AF422" i="5"/>
  <c r="AF423" i="5"/>
  <c r="AF424" i="5"/>
  <c r="AF425" i="5"/>
  <c r="AF426" i="5"/>
  <c r="AF427" i="5"/>
  <c r="AF428" i="5"/>
  <c r="AF429" i="5"/>
  <c r="AF430" i="5"/>
  <c r="AF431" i="5"/>
  <c r="AF432" i="5"/>
  <c r="AF433" i="5"/>
  <c r="AF434" i="5"/>
  <c r="AF435" i="5"/>
  <c r="AF436"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477" i="5"/>
  <c r="AF478" i="5"/>
  <c r="AF479" i="5"/>
  <c r="AF480" i="5"/>
  <c r="AF481" i="5"/>
  <c r="AF482" i="5"/>
  <c r="AF483" i="5"/>
  <c r="AF484" i="5"/>
  <c r="AF485" i="5"/>
  <c r="AF486" i="5"/>
  <c r="AF487" i="5"/>
  <c r="AF488" i="5"/>
  <c r="AF489" i="5"/>
  <c r="AF490" i="5"/>
  <c r="AF491" i="5"/>
  <c r="AF492" i="5"/>
  <c r="AF493" i="5"/>
  <c r="AF494" i="5"/>
  <c r="AF495" i="5"/>
  <c r="AF496" i="5"/>
  <c r="AF497" i="5"/>
  <c r="AF498" i="5"/>
  <c r="AF499" i="5"/>
  <c r="AF500" i="5"/>
  <c r="AF501" i="5"/>
  <c r="AF502" i="5"/>
  <c r="AF503" i="5"/>
  <c r="AF504" i="5"/>
  <c r="AF505" i="5"/>
  <c r="AF506" i="5"/>
  <c r="AF507" i="5"/>
  <c r="AF508" i="5"/>
  <c r="AF509" i="5"/>
  <c r="AF510" i="5"/>
  <c r="AF511" i="5"/>
  <c r="AF512" i="5"/>
  <c r="AF513" i="5"/>
  <c r="AF514" i="5"/>
  <c r="AF515" i="5"/>
  <c r="AF516" i="5"/>
  <c r="AF517" i="5"/>
  <c r="AF518" i="5"/>
  <c r="AF519" i="5"/>
  <c r="AF520" i="5"/>
  <c r="AF521" i="5"/>
  <c r="AF522" i="5"/>
  <c r="AF523" i="5"/>
  <c r="AF524" i="5"/>
  <c r="AF525" i="5"/>
  <c r="AF526" i="5"/>
  <c r="AF527" i="5"/>
  <c r="AF528" i="5"/>
  <c r="AF529" i="5"/>
  <c r="AF530" i="5"/>
  <c r="AF531" i="5"/>
  <c r="AF532" i="5"/>
  <c r="AF533" i="5"/>
  <c r="AF534" i="5"/>
  <c r="AF535" i="5"/>
  <c r="AF536" i="5"/>
  <c r="AF537" i="5"/>
  <c r="AF538" i="5"/>
  <c r="AF539" i="5"/>
  <c r="AF540" i="5"/>
  <c r="AF541" i="5"/>
  <c r="AF542" i="5"/>
  <c r="AF543" i="5"/>
  <c r="AF544" i="5"/>
  <c r="AF545" i="5"/>
  <c r="AF546" i="5"/>
  <c r="AF547" i="5"/>
  <c r="AF548" i="5"/>
  <c r="AF549" i="5"/>
  <c r="AF550" i="5"/>
  <c r="AF551" i="5"/>
  <c r="AF552" i="5"/>
  <c r="AF553" i="5"/>
  <c r="AF554" i="5"/>
  <c r="AF555" i="5"/>
  <c r="AF556" i="5"/>
  <c r="AF557" i="5"/>
  <c r="AF558" i="5"/>
  <c r="AF559" i="5"/>
  <c r="AF560" i="5"/>
  <c r="AF561" i="5"/>
  <c r="AF562" i="5"/>
  <c r="AF563" i="5"/>
  <c r="AF564" i="5"/>
  <c r="AF565" i="5"/>
  <c r="AF566" i="5"/>
  <c r="AF567" i="5"/>
  <c r="AF568" i="5"/>
  <c r="AF569" i="5"/>
  <c r="AF570" i="5"/>
  <c r="AF571" i="5"/>
  <c r="AF572" i="5"/>
  <c r="AF573" i="5"/>
  <c r="AF574" i="5"/>
  <c r="AF575" i="5"/>
  <c r="AF576" i="5"/>
  <c r="AF577" i="5"/>
  <c r="AF578" i="5"/>
  <c r="AF579" i="5"/>
  <c r="AF580" i="5"/>
  <c r="AF581" i="5"/>
  <c r="AF582" i="5"/>
  <c r="AF583" i="5"/>
  <c r="AF584" i="5"/>
  <c r="AF585" i="5"/>
  <c r="AF586" i="5"/>
  <c r="AF587" i="5"/>
  <c r="AF588" i="5"/>
  <c r="AF589" i="5"/>
  <c r="AF590" i="5"/>
  <c r="AF591" i="5"/>
  <c r="AF592" i="5"/>
  <c r="AF593" i="5"/>
  <c r="AF594" i="5"/>
  <c r="AF595" i="5"/>
  <c r="AF596" i="5"/>
  <c r="AF597" i="5"/>
  <c r="AF598" i="5"/>
  <c r="AF599" i="5"/>
  <c r="AF600" i="5"/>
  <c r="AF601" i="5"/>
  <c r="AF602" i="5"/>
  <c r="AF603" i="5"/>
  <c r="AF604" i="5"/>
  <c r="AF605" i="5"/>
  <c r="AF606" i="5"/>
  <c r="AF607" i="5"/>
  <c r="AF608" i="5"/>
  <c r="AF609" i="5"/>
  <c r="AF610" i="5"/>
  <c r="AF611" i="5"/>
  <c r="AF612" i="5"/>
  <c r="AF613" i="5"/>
  <c r="AF614" i="5"/>
  <c r="AF615" i="5"/>
  <c r="AF616" i="5"/>
  <c r="AF617" i="5"/>
  <c r="AF618" i="5"/>
  <c r="AF619" i="5"/>
  <c r="AF620" i="5"/>
  <c r="AF621" i="5"/>
  <c r="AF622" i="5"/>
  <c r="AF623" i="5"/>
  <c r="AF624" i="5"/>
  <c r="AF625" i="5"/>
  <c r="AF626" i="5"/>
  <c r="AF627" i="5"/>
  <c r="AF628" i="5"/>
  <c r="AF629" i="5"/>
  <c r="AF630" i="5"/>
  <c r="AF631" i="5"/>
  <c r="AF632" i="5"/>
  <c r="AF633" i="5"/>
  <c r="AF634" i="5"/>
  <c r="AF635" i="5"/>
  <c r="AF636" i="5"/>
  <c r="AF637" i="5"/>
  <c r="AF638" i="5"/>
  <c r="AF639" i="5"/>
  <c r="AF640" i="5"/>
  <c r="AF641" i="5"/>
  <c r="AF2" i="5"/>
  <c r="AI3" i="5"/>
  <c r="AI4" i="5"/>
  <c r="AI5" i="5"/>
  <c r="AI6" i="5"/>
  <c r="AI7" i="5"/>
  <c r="AI8" i="5"/>
  <c r="AI9" i="5"/>
  <c r="AI10" i="5"/>
  <c r="AI11" i="5"/>
  <c r="AI12" i="5"/>
  <c r="AI13" i="5"/>
  <c r="AI14" i="5"/>
  <c r="AI15" i="5"/>
  <c r="AI16" i="5"/>
  <c r="AI17" i="5"/>
  <c r="AI18" i="5"/>
  <c r="AI19" i="5"/>
  <c r="AI20" i="5"/>
  <c r="AI21" i="5"/>
  <c r="AI22" i="5"/>
  <c r="AI23" i="5"/>
  <c r="AI24" i="5"/>
  <c r="AI25" i="5"/>
  <c r="AI26" i="5"/>
  <c r="AI27" i="5"/>
  <c r="AI28" i="5"/>
  <c r="AI29" i="5"/>
  <c r="AI30" i="5"/>
  <c r="AI31" i="5"/>
  <c r="AI32" i="5"/>
  <c r="AI33" i="5"/>
  <c r="AI34" i="5"/>
  <c r="AI35" i="5"/>
  <c r="AI36" i="5"/>
  <c r="AI37" i="5"/>
  <c r="AI38" i="5"/>
  <c r="AI39" i="5"/>
  <c r="AI40" i="5"/>
  <c r="AI41" i="5"/>
  <c r="AI42" i="5"/>
  <c r="AI43" i="5"/>
  <c r="AI44" i="5"/>
  <c r="AI45" i="5"/>
  <c r="AI46" i="5"/>
  <c r="AI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98" i="5"/>
  <c r="AI99" i="5"/>
  <c r="AI100" i="5"/>
  <c r="AI101" i="5"/>
  <c r="AI102" i="5"/>
  <c r="AI103" i="5"/>
  <c r="AI104" i="5"/>
  <c r="AI105" i="5"/>
  <c r="AI106" i="5"/>
  <c r="AI107" i="5"/>
  <c r="AI108" i="5"/>
  <c r="AI109" i="5"/>
  <c r="AI110" i="5"/>
  <c r="AI111" i="5"/>
  <c r="AI112" i="5"/>
  <c r="AI113" i="5"/>
  <c r="AI114" i="5"/>
  <c r="AI115" i="5"/>
  <c r="AI116" i="5"/>
  <c r="AI117" i="5"/>
  <c r="AI118" i="5"/>
  <c r="AI119" i="5"/>
  <c r="AI120" i="5"/>
  <c r="AI121" i="5"/>
  <c r="AI122" i="5"/>
  <c r="AI123" i="5"/>
  <c r="AI124" i="5"/>
  <c r="AI125" i="5"/>
  <c r="AI126" i="5"/>
  <c r="AI127" i="5"/>
  <c r="AI128" i="5"/>
  <c r="AI129" i="5"/>
  <c r="AI130" i="5"/>
  <c r="AI131" i="5"/>
  <c r="AI132" i="5"/>
  <c r="AI133" i="5"/>
  <c r="AI134" i="5"/>
  <c r="AI135" i="5"/>
  <c r="AI136" i="5"/>
  <c r="AI137" i="5"/>
  <c r="AI138" i="5"/>
  <c r="AI139" i="5"/>
  <c r="AI140" i="5"/>
  <c r="AI141" i="5"/>
  <c r="AI142" i="5"/>
  <c r="AI143" i="5"/>
  <c r="AI144" i="5"/>
  <c r="AI145" i="5"/>
  <c r="AI146" i="5"/>
  <c r="AI147" i="5"/>
  <c r="AI148" i="5"/>
  <c r="AI149" i="5"/>
  <c r="AI150" i="5"/>
  <c r="AI151" i="5"/>
  <c r="AI152" i="5"/>
  <c r="AI153" i="5"/>
  <c r="AI154" i="5"/>
  <c r="AI155" i="5"/>
  <c r="AI156" i="5"/>
  <c r="AI157" i="5"/>
  <c r="AI158" i="5"/>
  <c r="AI159" i="5"/>
  <c r="AI160" i="5"/>
  <c r="AI161" i="5"/>
  <c r="AI162" i="5"/>
  <c r="AI163" i="5"/>
  <c r="AI164" i="5"/>
  <c r="AI165" i="5"/>
  <c r="AI166" i="5"/>
  <c r="AI167" i="5"/>
  <c r="AI168" i="5"/>
  <c r="AI169" i="5"/>
  <c r="AI170" i="5"/>
  <c r="AI171" i="5"/>
  <c r="AI172" i="5"/>
  <c r="AI173" i="5"/>
  <c r="AI174" i="5"/>
  <c r="AI175" i="5"/>
  <c r="AI176" i="5"/>
  <c r="AI177" i="5"/>
  <c r="AI178" i="5"/>
  <c r="AI179" i="5"/>
  <c r="AI180" i="5"/>
  <c r="AI181" i="5"/>
  <c r="AI182" i="5"/>
  <c r="AI183" i="5"/>
  <c r="AI184" i="5"/>
  <c r="AI185" i="5"/>
  <c r="AI186" i="5"/>
  <c r="AI187" i="5"/>
  <c r="AI188" i="5"/>
  <c r="AI189" i="5"/>
  <c r="AI190" i="5"/>
  <c r="AI191" i="5"/>
  <c r="AI192" i="5"/>
  <c r="AI193" i="5"/>
  <c r="AI194" i="5"/>
  <c r="AI195" i="5"/>
  <c r="AI196" i="5"/>
  <c r="AI197" i="5"/>
  <c r="AI198" i="5"/>
  <c r="AI199" i="5"/>
  <c r="AI200" i="5"/>
  <c r="AI201" i="5"/>
  <c r="AI202" i="5"/>
  <c r="AI203" i="5"/>
  <c r="AI204" i="5"/>
  <c r="AI205" i="5"/>
  <c r="AI206" i="5"/>
  <c r="AI207" i="5"/>
  <c r="AI208" i="5"/>
  <c r="AI209" i="5"/>
  <c r="AI210" i="5"/>
  <c r="AI211" i="5"/>
  <c r="AI212" i="5"/>
  <c r="AI213" i="5"/>
  <c r="AI214" i="5"/>
  <c r="AI215" i="5"/>
  <c r="AI216" i="5"/>
  <c r="AI217" i="5"/>
  <c r="AI218" i="5"/>
  <c r="AI219" i="5"/>
  <c r="AI220" i="5"/>
  <c r="AI221" i="5"/>
  <c r="AI222" i="5"/>
  <c r="AI223" i="5"/>
  <c r="AI224" i="5"/>
  <c r="AI225" i="5"/>
  <c r="AI226" i="5"/>
  <c r="AI227" i="5"/>
  <c r="AI228" i="5"/>
  <c r="AI229" i="5"/>
  <c r="AI230" i="5"/>
  <c r="AI231" i="5"/>
  <c r="AI232" i="5"/>
  <c r="AI233" i="5"/>
  <c r="AI234" i="5"/>
  <c r="AI235" i="5"/>
  <c r="AI236" i="5"/>
  <c r="AI237" i="5"/>
  <c r="AI238" i="5"/>
  <c r="AI239" i="5"/>
  <c r="AI240" i="5"/>
  <c r="AI241" i="5"/>
  <c r="AI242" i="5"/>
  <c r="AI243" i="5"/>
  <c r="AI244" i="5"/>
  <c r="AI245" i="5"/>
  <c r="AI246" i="5"/>
  <c r="AI247" i="5"/>
  <c r="AI248" i="5"/>
  <c r="AI249" i="5"/>
  <c r="AI250" i="5"/>
  <c r="AI251" i="5"/>
  <c r="AI252" i="5"/>
  <c r="AI253" i="5"/>
  <c r="AI254" i="5"/>
  <c r="AI255" i="5"/>
  <c r="AI256" i="5"/>
  <c r="AI257" i="5"/>
  <c r="AI258" i="5"/>
  <c r="AI259" i="5"/>
  <c r="AI260" i="5"/>
  <c r="AI261" i="5"/>
  <c r="AI262" i="5"/>
  <c r="AI263" i="5"/>
  <c r="AI264" i="5"/>
  <c r="AI265" i="5"/>
  <c r="AI266" i="5"/>
  <c r="AI267" i="5"/>
  <c r="AI268" i="5"/>
  <c r="AI269" i="5"/>
  <c r="AI270" i="5"/>
  <c r="AI271" i="5"/>
  <c r="AI272" i="5"/>
  <c r="AI273" i="5"/>
  <c r="AI274" i="5"/>
  <c r="AI275" i="5"/>
  <c r="AI276" i="5"/>
  <c r="AI277" i="5"/>
  <c r="AI278" i="5"/>
  <c r="AI279" i="5"/>
  <c r="AI280" i="5"/>
  <c r="AI281" i="5"/>
  <c r="AI282" i="5"/>
  <c r="AI283" i="5"/>
  <c r="AI284" i="5"/>
  <c r="AI285" i="5"/>
  <c r="AI286" i="5"/>
  <c r="AI287" i="5"/>
  <c r="AI288" i="5"/>
  <c r="AI289" i="5"/>
  <c r="AI290" i="5"/>
  <c r="AI291" i="5"/>
  <c r="AI292" i="5"/>
  <c r="AI293" i="5"/>
  <c r="AI294" i="5"/>
  <c r="AI295" i="5"/>
  <c r="AI296" i="5"/>
  <c r="AI297" i="5"/>
  <c r="AI298" i="5"/>
  <c r="AI299" i="5"/>
  <c r="AI300" i="5"/>
  <c r="AI301" i="5"/>
  <c r="AI302" i="5"/>
  <c r="AI303" i="5"/>
  <c r="AI304" i="5"/>
  <c r="AI305" i="5"/>
  <c r="AI306" i="5"/>
  <c r="AI307" i="5"/>
  <c r="AI308" i="5"/>
  <c r="AI309" i="5"/>
  <c r="AI310" i="5"/>
  <c r="AI311" i="5"/>
  <c r="AI312" i="5"/>
  <c r="AI313" i="5"/>
  <c r="AI314" i="5"/>
  <c r="AI315" i="5"/>
  <c r="AI316" i="5"/>
  <c r="AI317" i="5"/>
  <c r="AI318" i="5"/>
  <c r="AI319" i="5"/>
  <c r="AI320" i="5"/>
  <c r="AI321" i="5"/>
  <c r="AI322" i="5"/>
  <c r="AI323" i="5"/>
  <c r="AI324" i="5"/>
  <c r="AI325" i="5"/>
  <c r="AI326" i="5"/>
  <c r="AI327" i="5"/>
  <c r="AI328" i="5"/>
  <c r="AI329" i="5"/>
  <c r="AI330" i="5"/>
  <c r="AI331" i="5"/>
  <c r="AI332" i="5"/>
  <c r="AI333" i="5"/>
  <c r="AI334" i="5"/>
  <c r="AI335" i="5"/>
  <c r="AI336" i="5"/>
  <c r="AI337" i="5"/>
  <c r="AI338" i="5"/>
  <c r="AI339" i="5"/>
  <c r="AI340" i="5"/>
  <c r="AI341" i="5"/>
  <c r="AI342" i="5"/>
  <c r="AI343" i="5"/>
  <c r="AI344" i="5"/>
  <c r="AI345" i="5"/>
  <c r="AI346" i="5"/>
  <c r="AI347" i="5"/>
  <c r="AI348" i="5"/>
  <c r="AI349" i="5"/>
  <c r="AI350" i="5"/>
  <c r="AI351" i="5"/>
  <c r="AI352" i="5"/>
  <c r="AI353" i="5"/>
  <c r="AI354" i="5"/>
  <c r="AI355" i="5"/>
  <c r="AI356" i="5"/>
  <c r="AI357" i="5"/>
  <c r="AI358" i="5"/>
  <c r="AI359" i="5"/>
  <c r="AI360" i="5"/>
  <c r="AI361" i="5"/>
  <c r="AI362" i="5"/>
  <c r="AI363" i="5"/>
  <c r="AI364" i="5"/>
  <c r="AI365" i="5"/>
  <c r="AI366" i="5"/>
  <c r="AI367" i="5"/>
  <c r="AI368" i="5"/>
  <c r="AI369" i="5"/>
  <c r="AI370" i="5"/>
  <c r="AI371" i="5"/>
  <c r="AI372" i="5"/>
  <c r="AI373" i="5"/>
  <c r="AI374" i="5"/>
  <c r="AI375" i="5"/>
  <c r="AI376" i="5"/>
  <c r="AI377" i="5"/>
  <c r="AI378" i="5"/>
  <c r="AI379" i="5"/>
  <c r="AI380" i="5"/>
  <c r="AI381" i="5"/>
  <c r="AI382" i="5"/>
  <c r="AI383" i="5"/>
  <c r="AI384" i="5"/>
  <c r="AI385" i="5"/>
  <c r="AI386" i="5"/>
  <c r="AI387" i="5"/>
  <c r="AI388" i="5"/>
  <c r="AI389" i="5"/>
  <c r="AI390" i="5"/>
  <c r="AI391" i="5"/>
  <c r="AI392" i="5"/>
  <c r="AI393" i="5"/>
  <c r="AI394" i="5"/>
  <c r="AI395" i="5"/>
  <c r="AI396" i="5"/>
  <c r="AI397" i="5"/>
  <c r="AI398" i="5"/>
  <c r="AI399" i="5"/>
  <c r="AI400" i="5"/>
  <c r="AI401" i="5"/>
  <c r="AI402" i="5"/>
  <c r="AI403" i="5"/>
  <c r="AI404" i="5"/>
  <c r="AI405" i="5"/>
  <c r="AI406" i="5"/>
  <c r="AI407" i="5"/>
  <c r="AI408" i="5"/>
  <c r="AI409" i="5"/>
  <c r="AI410" i="5"/>
  <c r="AI411" i="5"/>
  <c r="AI412" i="5"/>
  <c r="AI413" i="5"/>
  <c r="AI414" i="5"/>
  <c r="AI415" i="5"/>
  <c r="AI416" i="5"/>
  <c r="AI417" i="5"/>
  <c r="AI418" i="5"/>
  <c r="AI419" i="5"/>
  <c r="AI420" i="5"/>
  <c r="AI421" i="5"/>
  <c r="AI422" i="5"/>
  <c r="AI423" i="5"/>
  <c r="AI424" i="5"/>
  <c r="AI425" i="5"/>
  <c r="AI426" i="5"/>
  <c r="AI427" i="5"/>
  <c r="AI428" i="5"/>
  <c r="AI429" i="5"/>
  <c r="AI430" i="5"/>
  <c r="AI431" i="5"/>
  <c r="AI432" i="5"/>
  <c r="AI433" i="5"/>
  <c r="AI434" i="5"/>
  <c r="AI435" i="5"/>
  <c r="AI436" i="5"/>
  <c r="AI437" i="5"/>
  <c r="AI438" i="5"/>
  <c r="AI439" i="5"/>
  <c r="AI440" i="5"/>
  <c r="AI441" i="5"/>
  <c r="AI442" i="5"/>
  <c r="AI443" i="5"/>
  <c r="AI444" i="5"/>
  <c r="AI445" i="5"/>
  <c r="AI446" i="5"/>
  <c r="AI447" i="5"/>
  <c r="AI448" i="5"/>
  <c r="AI449" i="5"/>
  <c r="AI450" i="5"/>
  <c r="AI451" i="5"/>
  <c r="AI452" i="5"/>
  <c r="AI453" i="5"/>
  <c r="AI454" i="5"/>
  <c r="AI455" i="5"/>
  <c r="AI456" i="5"/>
  <c r="AI457" i="5"/>
  <c r="AI458" i="5"/>
  <c r="AI459" i="5"/>
  <c r="AI460" i="5"/>
  <c r="AI461" i="5"/>
  <c r="AI462" i="5"/>
  <c r="AI463" i="5"/>
  <c r="AI464" i="5"/>
  <c r="AI465" i="5"/>
  <c r="AI466" i="5"/>
  <c r="AI467" i="5"/>
  <c r="AI468" i="5"/>
  <c r="AI469" i="5"/>
  <c r="AI470" i="5"/>
  <c r="AI471" i="5"/>
  <c r="AI472" i="5"/>
  <c r="AI473" i="5"/>
  <c r="AI474" i="5"/>
  <c r="AI475" i="5"/>
  <c r="AI476" i="5"/>
  <c r="AI477" i="5"/>
  <c r="AI478" i="5"/>
  <c r="AI479" i="5"/>
  <c r="AI480" i="5"/>
  <c r="AI481" i="5"/>
  <c r="AI482" i="5"/>
  <c r="AI483" i="5"/>
  <c r="AI484" i="5"/>
  <c r="AI485" i="5"/>
  <c r="AI486" i="5"/>
  <c r="AI487" i="5"/>
  <c r="AI488" i="5"/>
  <c r="AI489" i="5"/>
  <c r="AI490" i="5"/>
  <c r="AI491" i="5"/>
  <c r="AI492" i="5"/>
  <c r="AI493" i="5"/>
  <c r="AI494" i="5"/>
  <c r="AI495" i="5"/>
  <c r="AI496" i="5"/>
  <c r="AI497" i="5"/>
  <c r="AI498" i="5"/>
  <c r="AI499" i="5"/>
  <c r="AI500" i="5"/>
  <c r="AI501" i="5"/>
  <c r="AI502" i="5"/>
  <c r="AI503" i="5"/>
  <c r="AI504" i="5"/>
  <c r="AI505" i="5"/>
  <c r="AI506" i="5"/>
  <c r="AI507" i="5"/>
  <c r="AI508" i="5"/>
  <c r="AI509" i="5"/>
  <c r="AI510" i="5"/>
  <c r="AI511" i="5"/>
  <c r="AI512" i="5"/>
  <c r="AI513" i="5"/>
  <c r="AI514" i="5"/>
  <c r="AI515" i="5"/>
  <c r="AI516" i="5"/>
  <c r="AI517" i="5"/>
  <c r="AI518" i="5"/>
  <c r="AI519" i="5"/>
  <c r="AI520" i="5"/>
  <c r="AI521" i="5"/>
  <c r="AI522" i="5"/>
  <c r="AI523" i="5"/>
  <c r="AI524" i="5"/>
  <c r="AI525" i="5"/>
  <c r="AI526" i="5"/>
  <c r="AI527" i="5"/>
  <c r="AI528" i="5"/>
  <c r="AI529" i="5"/>
  <c r="AI530" i="5"/>
  <c r="AI531" i="5"/>
  <c r="AI532" i="5"/>
  <c r="AI533" i="5"/>
  <c r="AI534" i="5"/>
  <c r="AI535" i="5"/>
  <c r="AI536" i="5"/>
  <c r="AI537" i="5"/>
  <c r="AI538" i="5"/>
  <c r="AI539" i="5"/>
  <c r="AI540" i="5"/>
  <c r="AI541" i="5"/>
  <c r="AI542" i="5"/>
  <c r="AI543" i="5"/>
  <c r="AI544" i="5"/>
  <c r="AI545" i="5"/>
  <c r="AI546" i="5"/>
  <c r="AI547" i="5"/>
  <c r="AI548" i="5"/>
  <c r="AI549" i="5"/>
  <c r="AI550" i="5"/>
  <c r="AI551" i="5"/>
  <c r="AI552" i="5"/>
  <c r="AI553" i="5"/>
  <c r="AI554" i="5"/>
  <c r="AI555" i="5"/>
  <c r="AI556" i="5"/>
  <c r="AI557" i="5"/>
  <c r="AI558" i="5"/>
  <c r="AI559" i="5"/>
  <c r="AI560" i="5"/>
  <c r="AI561" i="5"/>
  <c r="AI562" i="5"/>
  <c r="AI563" i="5"/>
  <c r="AI564" i="5"/>
  <c r="AI565" i="5"/>
  <c r="AI566" i="5"/>
  <c r="AI567" i="5"/>
  <c r="AI568" i="5"/>
  <c r="AI569" i="5"/>
  <c r="AI570" i="5"/>
  <c r="AI571" i="5"/>
  <c r="AI572" i="5"/>
  <c r="AI573" i="5"/>
  <c r="AI574" i="5"/>
  <c r="AI575" i="5"/>
  <c r="AI576" i="5"/>
  <c r="AI577" i="5"/>
  <c r="AI578" i="5"/>
  <c r="AI579" i="5"/>
  <c r="AI580" i="5"/>
  <c r="AI581" i="5"/>
  <c r="AI582" i="5"/>
  <c r="AI583" i="5"/>
  <c r="AI584" i="5"/>
  <c r="AI585" i="5"/>
  <c r="AI586" i="5"/>
  <c r="AI587" i="5"/>
  <c r="AI588" i="5"/>
  <c r="AI589" i="5"/>
  <c r="AI590" i="5"/>
  <c r="AI591" i="5"/>
  <c r="AI592" i="5"/>
  <c r="AI593" i="5"/>
  <c r="AI594" i="5"/>
  <c r="AI595" i="5"/>
  <c r="AI596" i="5"/>
  <c r="AI597" i="5"/>
  <c r="AI598" i="5"/>
  <c r="AI599" i="5"/>
  <c r="AI600" i="5"/>
  <c r="AI601" i="5"/>
  <c r="AI602" i="5"/>
  <c r="AI603" i="5"/>
  <c r="AI604" i="5"/>
  <c r="AI605" i="5"/>
  <c r="AI606" i="5"/>
  <c r="AI607" i="5"/>
  <c r="AI608" i="5"/>
  <c r="AI609" i="5"/>
  <c r="AI610" i="5"/>
  <c r="AI611" i="5"/>
  <c r="AI612" i="5"/>
  <c r="AI613" i="5"/>
  <c r="AI614" i="5"/>
  <c r="AI615" i="5"/>
  <c r="AI616" i="5"/>
  <c r="AI617" i="5"/>
  <c r="AI618" i="5"/>
  <c r="AI619" i="5"/>
  <c r="AI620" i="5"/>
  <c r="AI621" i="5"/>
  <c r="AI622" i="5"/>
  <c r="AI623" i="5"/>
  <c r="AI624" i="5"/>
  <c r="AI625" i="5"/>
  <c r="AI626" i="5"/>
  <c r="AI627" i="5"/>
  <c r="AI628" i="5"/>
  <c r="AI629" i="5"/>
  <c r="AI630" i="5"/>
  <c r="AI631" i="5"/>
  <c r="AI632" i="5"/>
  <c r="AI633" i="5"/>
  <c r="AI634" i="5"/>
  <c r="AI635" i="5"/>
  <c r="AI636" i="5"/>
  <c r="AI637" i="5"/>
  <c r="AI638" i="5"/>
  <c r="AI639" i="5"/>
  <c r="AI640" i="5"/>
  <c r="AI641" i="5"/>
  <c r="AI2" i="5"/>
  <c r="AL3" i="5"/>
  <c r="AL4" i="5"/>
  <c r="AL5" i="5"/>
  <c r="AL6" i="5"/>
  <c r="AL7" i="5"/>
  <c r="AL8" i="5"/>
  <c r="AL9" i="5"/>
  <c r="AL10" i="5"/>
  <c r="AL11" i="5"/>
  <c r="AL12" i="5"/>
  <c r="AL13" i="5"/>
  <c r="AL14" i="5"/>
  <c r="AL15" i="5"/>
  <c r="AL16" i="5"/>
  <c r="AL17" i="5"/>
  <c r="AL18" i="5"/>
  <c r="AL19" i="5"/>
  <c r="AL20" i="5"/>
  <c r="AL21" i="5"/>
  <c r="AL22" i="5"/>
  <c r="AL23" i="5"/>
  <c r="AL24" i="5"/>
  <c r="AL25" i="5"/>
  <c r="AL26" i="5"/>
  <c r="AL27" i="5"/>
  <c r="AL28" i="5"/>
  <c r="AL29" i="5"/>
  <c r="AL30" i="5"/>
  <c r="AL31" i="5"/>
  <c r="AL32" i="5"/>
  <c r="AL33" i="5"/>
  <c r="AL34" i="5"/>
  <c r="AL35" i="5"/>
  <c r="AL36" i="5"/>
  <c r="AL37" i="5"/>
  <c r="AL38" i="5"/>
  <c r="AL39" i="5"/>
  <c r="AL40" i="5"/>
  <c r="AL41" i="5"/>
  <c r="AL42" i="5"/>
  <c r="AL43" i="5"/>
  <c r="AL44" i="5"/>
  <c r="AL45" i="5"/>
  <c r="AL46" i="5"/>
  <c r="AL47" i="5"/>
  <c r="AL48" i="5"/>
  <c r="AL49" i="5"/>
  <c r="AL50" i="5"/>
  <c r="AL51" i="5"/>
  <c r="AL52" i="5"/>
  <c r="AL53" i="5"/>
  <c r="AL54" i="5"/>
  <c r="AL55" i="5"/>
  <c r="AL56" i="5"/>
  <c r="AL57" i="5"/>
  <c r="AL58" i="5"/>
  <c r="AL59" i="5"/>
  <c r="AL60" i="5"/>
  <c r="AL61" i="5"/>
  <c r="AL62" i="5"/>
  <c r="AL63" i="5"/>
  <c r="AL64" i="5"/>
  <c r="AL65" i="5"/>
  <c r="AL66" i="5"/>
  <c r="AL67" i="5"/>
  <c r="AL68" i="5"/>
  <c r="AL69" i="5"/>
  <c r="AL70" i="5"/>
  <c r="AL71" i="5"/>
  <c r="AL72" i="5"/>
  <c r="AL73" i="5"/>
  <c r="AL74" i="5"/>
  <c r="AL75" i="5"/>
  <c r="AL76" i="5"/>
  <c r="AL77" i="5"/>
  <c r="AL78" i="5"/>
  <c r="AL79" i="5"/>
  <c r="AL80" i="5"/>
  <c r="AL81" i="5"/>
  <c r="AL82" i="5"/>
  <c r="AL83" i="5"/>
  <c r="AL84" i="5"/>
  <c r="AL85" i="5"/>
  <c r="AL86" i="5"/>
  <c r="AL87" i="5"/>
  <c r="AL88" i="5"/>
  <c r="AL89" i="5"/>
  <c r="AL90" i="5"/>
  <c r="AL91" i="5"/>
  <c r="AL92" i="5"/>
  <c r="AL93" i="5"/>
  <c r="AL94" i="5"/>
  <c r="AL95" i="5"/>
  <c r="AL96" i="5"/>
  <c r="AL97" i="5"/>
  <c r="AL98" i="5"/>
  <c r="AL99" i="5"/>
  <c r="AL100" i="5"/>
  <c r="AL101" i="5"/>
  <c r="AL102" i="5"/>
  <c r="AL103" i="5"/>
  <c r="AL104" i="5"/>
  <c r="AL105" i="5"/>
  <c r="AL106" i="5"/>
  <c r="AL107" i="5"/>
  <c r="AL108" i="5"/>
  <c r="AL109" i="5"/>
  <c r="AL110" i="5"/>
  <c r="AL111" i="5"/>
  <c r="AL112" i="5"/>
  <c r="AL113" i="5"/>
  <c r="AL114" i="5"/>
  <c r="AL115" i="5"/>
  <c r="AL116" i="5"/>
  <c r="AL117" i="5"/>
  <c r="AL118" i="5"/>
  <c r="AL119" i="5"/>
  <c r="AL120" i="5"/>
  <c r="AL121" i="5"/>
  <c r="AL122" i="5"/>
  <c r="AL123" i="5"/>
  <c r="AL124" i="5"/>
  <c r="AL125" i="5"/>
  <c r="AL126" i="5"/>
  <c r="AL127" i="5"/>
  <c r="AL128" i="5"/>
  <c r="AL129" i="5"/>
  <c r="AL130" i="5"/>
  <c r="AL131" i="5"/>
  <c r="AL132" i="5"/>
  <c r="AL133" i="5"/>
  <c r="AL134" i="5"/>
  <c r="AL135" i="5"/>
  <c r="AL136" i="5"/>
  <c r="AL137" i="5"/>
  <c r="AL138" i="5"/>
  <c r="AL139" i="5"/>
  <c r="AL140" i="5"/>
  <c r="AL141" i="5"/>
  <c r="AL142" i="5"/>
  <c r="AL143" i="5"/>
  <c r="AL144" i="5"/>
  <c r="AL145" i="5"/>
  <c r="AL146" i="5"/>
  <c r="AL147" i="5"/>
  <c r="AL148" i="5"/>
  <c r="AL149" i="5"/>
  <c r="AL150" i="5"/>
  <c r="AL151" i="5"/>
  <c r="AL152" i="5"/>
  <c r="AL153" i="5"/>
  <c r="AL154" i="5"/>
  <c r="AL155" i="5"/>
  <c r="AL156" i="5"/>
  <c r="AL157" i="5"/>
  <c r="AL158" i="5"/>
  <c r="AL159" i="5"/>
  <c r="AL160" i="5"/>
  <c r="AL161" i="5"/>
  <c r="AL162" i="5"/>
  <c r="AL163" i="5"/>
  <c r="AL164" i="5"/>
  <c r="AL165" i="5"/>
  <c r="AL166" i="5"/>
  <c r="AL167" i="5"/>
  <c r="AL168" i="5"/>
  <c r="AL169" i="5"/>
  <c r="AL170" i="5"/>
  <c r="AL171" i="5"/>
  <c r="AL172" i="5"/>
  <c r="AL173" i="5"/>
  <c r="AL174" i="5"/>
  <c r="AL175" i="5"/>
  <c r="AL176" i="5"/>
  <c r="AL177" i="5"/>
  <c r="AL178" i="5"/>
  <c r="AL179" i="5"/>
  <c r="AL180" i="5"/>
  <c r="AL181" i="5"/>
  <c r="AL182" i="5"/>
  <c r="AL183" i="5"/>
  <c r="AL184" i="5"/>
  <c r="AL185" i="5"/>
  <c r="AL186" i="5"/>
  <c r="AL187" i="5"/>
  <c r="AL188" i="5"/>
  <c r="AL189" i="5"/>
  <c r="AL190" i="5"/>
  <c r="AL191" i="5"/>
  <c r="AL192" i="5"/>
  <c r="AL193" i="5"/>
  <c r="AL194" i="5"/>
  <c r="AL195" i="5"/>
  <c r="AL196" i="5"/>
  <c r="AL197" i="5"/>
  <c r="AL198" i="5"/>
  <c r="AL199" i="5"/>
  <c r="AL200" i="5"/>
  <c r="AL201" i="5"/>
  <c r="AL202" i="5"/>
  <c r="AL203" i="5"/>
  <c r="AL204" i="5"/>
  <c r="AL205" i="5"/>
  <c r="AL206" i="5"/>
  <c r="AL207" i="5"/>
  <c r="AL208" i="5"/>
  <c r="AL209" i="5"/>
  <c r="AL210" i="5"/>
  <c r="AL211" i="5"/>
  <c r="AL212" i="5"/>
  <c r="AL213" i="5"/>
  <c r="AL214" i="5"/>
  <c r="AL215" i="5"/>
  <c r="AL216" i="5"/>
  <c r="AL217" i="5"/>
  <c r="AL218" i="5"/>
  <c r="AL219" i="5"/>
  <c r="AL220" i="5"/>
  <c r="AL221" i="5"/>
  <c r="AL222" i="5"/>
  <c r="AL223" i="5"/>
  <c r="AL224" i="5"/>
  <c r="AL225" i="5"/>
  <c r="AL226" i="5"/>
  <c r="AL227" i="5"/>
  <c r="AL228" i="5"/>
  <c r="AL229" i="5"/>
  <c r="AL230" i="5"/>
  <c r="AL231" i="5"/>
  <c r="AL232" i="5"/>
  <c r="AL233" i="5"/>
  <c r="AL234" i="5"/>
  <c r="AL235" i="5"/>
  <c r="AL236" i="5"/>
  <c r="AL237" i="5"/>
  <c r="AL238" i="5"/>
  <c r="AL239" i="5"/>
  <c r="AL240" i="5"/>
  <c r="AL241" i="5"/>
  <c r="AL242" i="5"/>
  <c r="AL243" i="5"/>
  <c r="AL244" i="5"/>
  <c r="AL245" i="5"/>
  <c r="AL246" i="5"/>
  <c r="AL247" i="5"/>
  <c r="AL248" i="5"/>
  <c r="AL249" i="5"/>
  <c r="AL250" i="5"/>
  <c r="AL251" i="5"/>
  <c r="AL252" i="5"/>
  <c r="AL253" i="5"/>
  <c r="AL254" i="5"/>
  <c r="AL255" i="5"/>
  <c r="AL256" i="5"/>
  <c r="AL257" i="5"/>
  <c r="AL258" i="5"/>
  <c r="AL259" i="5"/>
  <c r="AL260" i="5"/>
  <c r="AL261" i="5"/>
  <c r="AL262" i="5"/>
  <c r="AL263" i="5"/>
  <c r="AL264" i="5"/>
  <c r="AL265" i="5"/>
  <c r="AL266" i="5"/>
  <c r="AL267" i="5"/>
  <c r="AL268" i="5"/>
  <c r="AL269" i="5"/>
  <c r="AL270" i="5"/>
  <c r="AL271" i="5"/>
  <c r="AL272" i="5"/>
  <c r="AL273" i="5"/>
  <c r="AL274" i="5"/>
  <c r="AL275" i="5"/>
  <c r="AL276" i="5"/>
  <c r="AL277" i="5"/>
  <c r="AL278" i="5"/>
  <c r="AL279" i="5"/>
  <c r="AL280" i="5"/>
  <c r="AL281" i="5"/>
  <c r="AL282" i="5"/>
  <c r="AL283" i="5"/>
  <c r="AL284" i="5"/>
  <c r="AL285" i="5"/>
  <c r="AL286" i="5"/>
  <c r="AL287" i="5"/>
  <c r="AL288" i="5"/>
  <c r="AL289" i="5"/>
  <c r="AL290" i="5"/>
  <c r="AL291" i="5"/>
  <c r="AL292" i="5"/>
  <c r="AL293" i="5"/>
  <c r="AL294" i="5"/>
  <c r="AL295" i="5"/>
  <c r="AL296" i="5"/>
  <c r="AL297" i="5"/>
  <c r="AL298" i="5"/>
  <c r="AL299" i="5"/>
  <c r="AL300" i="5"/>
  <c r="AL301" i="5"/>
  <c r="AL302" i="5"/>
  <c r="AL303" i="5"/>
  <c r="AL304" i="5"/>
  <c r="AL305" i="5"/>
  <c r="AL306" i="5"/>
  <c r="AL307" i="5"/>
  <c r="AL308" i="5"/>
  <c r="AL309" i="5"/>
  <c r="AL310" i="5"/>
  <c r="AL311" i="5"/>
  <c r="AL312" i="5"/>
  <c r="AL313" i="5"/>
  <c r="AL314" i="5"/>
  <c r="AL315" i="5"/>
  <c r="AL316" i="5"/>
  <c r="AL317" i="5"/>
  <c r="AL318" i="5"/>
  <c r="AL319" i="5"/>
  <c r="AL320" i="5"/>
  <c r="AL321" i="5"/>
  <c r="AL322" i="5"/>
  <c r="AL323" i="5"/>
  <c r="AL324" i="5"/>
  <c r="AL325" i="5"/>
  <c r="AL326" i="5"/>
  <c r="AL327" i="5"/>
  <c r="AL328" i="5"/>
  <c r="AL329" i="5"/>
  <c r="AL330" i="5"/>
  <c r="AL331" i="5"/>
  <c r="AL332" i="5"/>
  <c r="AL333" i="5"/>
  <c r="AL334" i="5"/>
  <c r="AL335" i="5"/>
  <c r="AL336" i="5"/>
  <c r="AL337" i="5"/>
  <c r="AL338" i="5"/>
  <c r="AL339" i="5"/>
  <c r="AL340" i="5"/>
  <c r="AL341" i="5"/>
  <c r="AL342" i="5"/>
  <c r="AL343" i="5"/>
  <c r="AL344" i="5"/>
  <c r="AL345" i="5"/>
  <c r="AL346" i="5"/>
  <c r="AL347" i="5"/>
  <c r="AL348" i="5"/>
  <c r="AL349" i="5"/>
  <c r="AL350" i="5"/>
  <c r="AL351" i="5"/>
  <c r="AL352" i="5"/>
  <c r="AL353" i="5"/>
  <c r="AL354" i="5"/>
  <c r="AL355" i="5"/>
  <c r="AL356" i="5"/>
  <c r="AL357" i="5"/>
  <c r="AL358" i="5"/>
  <c r="AL359" i="5"/>
  <c r="AL360" i="5"/>
  <c r="AL361" i="5"/>
  <c r="AL362" i="5"/>
  <c r="AL363" i="5"/>
  <c r="AL364" i="5"/>
  <c r="AL365" i="5"/>
  <c r="AL366" i="5"/>
  <c r="AL367" i="5"/>
  <c r="AL368" i="5"/>
  <c r="AL369" i="5"/>
  <c r="AL370" i="5"/>
  <c r="AL371" i="5"/>
  <c r="AL372" i="5"/>
  <c r="AL373" i="5"/>
  <c r="AL374" i="5"/>
  <c r="AL375" i="5"/>
  <c r="AL376" i="5"/>
  <c r="AL377" i="5"/>
  <c r="AL378" i="5"/>
  <c r="AL379" i="5"/>
  <c r="AL380" i="5"/>
  <c r="AL381" i="5"/>
  <c r="AL382" i="5"/>
  <c r="AL383" i="5"/>
  <c r="AL384" i="5"/>
  <c r="AL385" i="5"/>
  <c r="AL386" i="5"/>
  <c r="AL387" i="5"/>
  <c r="AL388" i="5"/>
  <c r="AL389" i="5"/>
  <c r="AL390" i="5"/>
  <c r="AL391" i="5"/>
  <c r="AL392" i="5"/>
  <c r="AL393" i="5"/>
  <c r="AL394" i="5"/>
  <c r="AL395" i="5"/>
  <c r="AL396" i="5"/>
  <c r="AL397" i="5"/>
  <c r="AL398" i="5"/>
  <c r="AL399" i="5"/>
  <c r="AL400" i="5"/>
  <c r="AL401" i="5"/>
  <c r="AL402" i="5"/>
  <c r="AL403" i="5"/>
  <c r="AL404" i="5"/>
  <c r="AL405" i="5"/>
  <c r="AL406" i="5"/>
  <c r="AL407" i="5"/>
  <c r="AL408" i="5"/>
  <c r="AL409" i="5"/>
  <c r="AL410" i="5"/>
  <c r="AL411" i="5"/>
  <c r="AL412" i="5"/>
  <c r="AL413" i="5"/>
  <c r="AL414" i="5"/>
  <c r="AL415" i="5"/>
  <c r="AL416" i="5"/>
  <c r="AL417" i="5"/>
  <c r="AL418" i="5"/>
  <c r="AL419" i="5"/>
  <c r="AL420" i="5"/>
  <c r="AL421" i="5"/>
  <c r="AL422" i="5"/>
  <c r="AL423" i="5"/>
  <c r="AL424" i="5"/>
  <c r="AL425" i="5"/>
  <c r="AL426" i="5"/>
  <c r="AL427" i="5"/>
  <c r="AL428" i="5"/>
  <c r="AL429" i="5"/>
  <c r="AL430" i="5"/>
  <c r="AL431" i="5"/>
  <c r="AL432" i="5"/>
  <c r="AL433" i="5"/>
  <c r="AL434" i="5"/>
  <c r="AL435" i="5"/>
  <c r="AL436" i="5"/>
  <c r="AL437" i="5"/>
  <c r="AL438" i="5"/>
  <c r="AL439" i="5"/>
  <c r="AL440" i="5"/>
  <c r="AL441" i="5"/>
  <c r="AL442" i="5"/>
  <c r="AL443" i="5"/>
  <c r="AL444" i="5"/>
  <c r="AL445" i="5"/>
  <c r="AL446" i="5"/>
  <c r="AL447" i="5"/>
  <c r="AL448" i="5"/>
  <c r="AL449" i="5"/>
  <c r="AL450" i="5"/>
  <c r="AL451" i="5"/>
  <c r="AL452" i="5"/>
  <c r="AL453" i="5"/>
  <c r="AL454" i="5"/>
  <c r="AL455" i="5"/>
  <c r="AL456" i="5"/>
  <c r="AL457" i="5"/>
  <c r="AL458" i="5"/>
  <c r="AL459" i="5"/>
  <c r="AL460" i="5"/>
  <c r="AL461" i="5"/>
  <c r="AL462" i="5"/>
  <c r="AL463" i="5"/>
  <c r="AL464" i="5"/>
  <c r="AL465" i="5"/>
  <c r="AL466" i="5"/>
  <c r="AL467" i="5"/>
  <c r="AL468" i="5"/>
  <c r="AL469" i="5"/>
  <c r="AL470" i="5"/>
  <c r="AL471" i="5"/>
  <c r="AL472" i="5"/>
  <c r="AL473" i="5"/>
  <c r="AL474" i="5"/>
  <c r="AL475" i="5"/>
  <c r="AL476" i="5"/>
  <c r="AL477" i="5"/>
  <c r="AL478" i="5"/>
  <c r="AL479" i="5"/>
  <c r="AL480" i="5"/>
  <c r="AL481" i="5"/>
  <c r="AL482" i="5"/>
  <c r="AL483" i="5"/>
  <c r="AL484" i="5"/>
  <c r="AL485" i="5"/>
  <c r="AL486" i="5"/>
  <c r="AL487" i="5"/>
  <c r="AL488" i="5"/>
  <c r="AL489" i="5"/>
  <c r="AL490" i="5"/>
  <c r="AL491" i="5"/>
  <c r="AL492" i="5"/>
  <c r="AL493" i="5"/>
  <c r="AL494" i="5"/>
  <c r="AL495" i="5"/>
  <c r="AL496" i="5"/>
  <c r="AL497" i="5"/>
  <c r="AL498" i="5"/>
  <c r="AL499" i="5"/>
  <c r="AL500" i="5"/>
  <c r="AL501" i="5"/>
  <c r="AL502" i="5"/>
  <c r="AL503" i="5"/>
  <c r="AL504" i="5"/>
  <c r="AL505" i="5"/>
  <c r="AL506" i="5"/>
  <c r="AL507" i="5"/>
  <c r="AL508" i="5"/>
  <c r="AL509" i="5"/>
  <c r="AL510" i="5"/>
  <c r="AL511" i="5"/>
  <c r="AL512" i="5"/>
  <c r="AL513" i="5"/>
  <c r="AL514" i="5"/>
  <c r="AL515" i="5"/>
  <c r="AL516" i="5"/>
  <c r="AL517" i="5"/>
  <c r="AL518" i="5"/>
  <c r="AL519" i="5"/>
  <c r="AL520" i="5"/>
  <c r="AL521" i="5"/>
  <c r="AL522" i="5"/>
  <c r="AL523" i="5"/>
  <c r="AL524" i="5"/>
  <c r="AL525" i="5"/>
  <c r="AL526" i="5"/>
  <c r="AL527" i="5"/>
  <c r="AL528" i="5"/>
  <c r="AL529" i="5"/>
  <c r="AL530" i="5"/>
  <c r="AL531" i="5"/>
  <c r="AL532" i="5"/>
  <c r="AL533" i="5"/>
  <c r="AL534" i="5"/>
  <c r="AL535" i="5"/>
  <c r="AL536" i="5"/>
  <c r="AL537" i="5"/>
  <c r="AL538" i="5"/>
  <c r="AL539" i="5"/>
  <c r="AL540" i="5"/>
  <c r="AL541" i="5"/>
  <c r="AL542" i="5"/>
  <c r="AL543" i="5"/>
  <c r="AL544" i="5"/>
  <c r="AL545" i="5"/>
  <c r="AL546" i="5"/>
  <c r="AL547" i="5"/>
  <c r="AL548" i="5"/>
  <c r="AL549" i="5"/>
  <c r="AL550" i="5"/>
  <c r="AL551" i="5"/>
  <c r="AL552" i="5"/>
  <c r="AL553" i="5"/>
  <c r="AL554" i="5"/>
  <c r="AL555" i="5"/>
  <c r="AL556" i="5"/>
  <c r="AL557" i="5"/>
  <c r="AL558" i="5"/>
  <c r="AL559" i="5"/>
  <c r="AL560" i="5"/>
  <c r="AL561" i="5"/>
  <c r="AL562" i="5"/>
  <c r="AL563" i="5"/>
  <c r="AL564" i="5"/>
  <c r="AL565" i="5"/>
  <c r="AL566" i="5"/>
  <c r="AL567" i="5"/>
  <c r="AL568" i="5"/>
  <c r="AL569" i="5"/>
  <c r="AL570" i="5"/>
  <c r="AL571" i="5"/>
  <c r="AL572" i="5"/>
  <c r="AL573" i="5"/>
  <c r="AL574" i="5"/>
  <c r="AL575" i="5"/>
  <c r="AL576" i="5"/>
  <c r="AL577" i="5"/>
  <c r="AL578" i="5"/>
  <c r="AL579" i="5"/>
  <c r="AL580" i="5"/>
  <c r="AL581" i="5"/>
  <c r="AL582" i="5"/>
  <c r="AL583" i="5"/>
  <c r="AL584" i="5"/>
  <c r="AL585" i="5"/>
  <c r="AL586" i="5"/>
  <c r="AL587" i="5"/>
  <c r="AL588" i="5"/>
  <c r="AL589" i="5"/>
  <c r="AL590" i="5"/>
  <c r="AL591" i="5"/>
  <c r="AL592" i="5"/>
  <c r="AL593" i="5"/>
  <c r="AL594" i="5"/>
  <c r="AL595" i="5"/>
  <c r="AL596" i="5"/>
  <c r="AL597" i="5"/>
  <c r="AL598" i="5"/>
  <c r="AL599" i="5"/>
  <c r="AL600" i="5"/>
  <c r="AL601" i="5"/>
  <c r="AL602" i="5"/>
  <c r="AL603" i="5"/>
  <c r="AL604" i="5"/>
  <c r="AL605" i="5"/>
  <c r="AL606" i="5"/>
  <c r="AL607" i="5"/>
  <c r="AL608" i="5"/>
  <c r="AL609" i="5"/>
  <c r="AL610" i="5"/>
  <c r="AL611" i="5"/>
  <c r="AL612" i="5"/>
  <c r="AL613" i="5"/>
  <c r="AL614" i="5"/>
  <c r="AL615" i="5"/>
  <c r="AL616" i="5"/>
  <c r="AL617" i="5"/>
  <c r="AL618" i="5"/>
  <c r="AL619" i="5"/>
  <c r="AL620" i="5"/>
  <c r="AL621" i="5"/>
  <c r="AL622" i="5"/>
  <c r="AL623" i="5"/>
  <c r="AL624" i="5"/>
  <c r="AL625" i="5"/>
  <c r="AL626" i="5"/>
  <c r="AL627" i="5"/>
  <c r="AL628" i="5"/>
  <c r="AL629" i="5"/>
  <c r="AL630" i="5"/>
  <c r="AL631" i="5"/>
  <c r="AL632" i="5"/>
  <c r="AL633" i="5"/>
  <c r="AL634" i="5"/>
  <c r="AL635" i="5"/>
  <c r="AL636" i="5"/>
  <c r="AL637" i="5"/>
  <c r="AL638" i="5"/>
  <c r="AL639" i="5"/>
  <c r="AL640" i="5"/>
  <c r="AL641" i="5"/>
  <c r="AL2" i="5"/>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2" i="1"/>
  <c r="AU445" i="1" l="1"/>
  <c r="AU446" i="1"/>
  <c r="AU449" i="1"/>
  <c r="AU450" i="1"/>
  <c r="AU451" i="1"/>
  <c r="AU453" i="1"/>
  <c r="AU454" i="1"/>
  <c r="AU455" i="1"/>
  <c r="AU456" i="1"/>
  <c r="AU457" i="1"/>
  <c r="AU458" i="1"/>
  <c r="AU465" i="1"/>
  <c r="AU468" i="1"/>
  <c r="AU469" i="1"/>
  <c r="AU470" i="1"/>
  <c r="AU475" i="1"/>
  <c r="AU478" i="1"/>
  <c r="AU479" i="1"/>
  <c r="AU480" i="1"/>
  <c r="AU481" i="1"/>
  <c r="AU482" i="1"/>
  <c r="AU487" i="1"/>
  <c r="AU488" i="1"/>
  <c r="AU489" i="1"/>
  <c r="AU494" i="1"/>
  <c r="AU498" i="1"/>
  <c r="AU503" i="1"/>
  <c r="AU504" i="1"/>
  <c r="AU505" i="1"/>
  <c r="AU506" i="1"/>
  <c r="AU509" i="1"/>
  <c r="AU510" i="1"/>
  <c r="AU511" i="1"/>
  <c r="AU513" i="1"/>
  <c r="AU514" i="1"/>
  <c r="AU515" i="1"/>
  <c r="AU516" i="1"/>
  <c r="AU517" i="1"/>
  <c r="AU518" i="1"/>
  <c r="AU525" i="1"/>
  <c r="AU526" i="1"/>
  <c r="AU530" i="1"/>
  <c r="AU534" i="1"/>
  <c r="AU539" i="1"/>
  <c r="AU540" i="1"/>
  <c r="AU541" i="1"/>
  <c r="AU542" i="1"/>
  <c r="AU545" i="1"/>
  <c r="AU546" i="1"/>
  <c r="AU547" i="1"/>
  <c r="AU549" i="1"/>
  <c r="AU550" i="1"/>
  <c r="AU551" i="1"/>
  <c r="AU552" i="1"/>
  <c r="AU553" i="1"/>
  <c r="AU554" i="1"/>
  <c r="AU561" i="1"/>
  <c r="AU562" i="1"/>
  <c r="AU566" i="1"/>
  <c r="AU570" i="1"/>
  <c r="AU575" i="1"/>
  <c r="AU576" i="1"/>
  <c r="AU577" i="1"/>
  <c r="AU578" i="1"/>
  <c r="AU581" i="1"/>
  <c r="AU582" i="1"/>
  <c r="AU583" i="1"/>
  <c r="AU585" i="1"/>
  <c r="AU586" i="1"/>
  <c r="AU587" i="1"/>
  <c r="AU588" i="1"/>
  <c r="AU589" i="1"/>
  <c r="AU590" i="1"/>
  <c r="AU597" i="1"/>
  <c r="AU598" i="1"/>
  <c r="AU602" i="1"/>
  <c r="AU606" i="1"/>
  <c r="AU611" i="1"/>
  <c r="AU612" i="1"/>
  <c r="AU613" i="1"/>
  <c r="AU614" i="1"/>
  <c r="AU617" i="1"/>
  <c r="AU618" i="1"/>
  <c r="AU619" i="1"/>
  <c r="AU621" i="1"/>
  <c r="AU622" i="1"/>
  <c r="AU623" i="1"/>
  <c r="AU624" i="1"/>
  <c r="AU625" i="1"/>
  <c r="AU626" i="1"/>
  <c r="AU633" i="1"/>
  <c r="AU634" i="1"/>
  <c r="AU638" i="1"/>
  <c r="AS445" i="1"/>
  <c r="AS446" i="1"/>
  <c r="AS451" i="1"/>
  <c r="AS452" i="1"/>
  <c r="AS454" i="1"/>
  <c r="AS455" i="1"/>
  <c r="AS456" i="1"/>
  <c r="AS457" i="1"/>
  <c r="AS458" i="1"/>
  <c r="AS464" i="1"/>
  <c r="AS465" i="1"/>
  <c r="AS466" i="1"/>
  <c r="AS467" i="1"/>
  <c r="AS468" i="1"/>
  <c r="AS469" i="1"/>
  <c r="AS470" i="1"/>
  <c r="AS476" i="1"/>
  <c r="AS477" i="1"/>
  <c r="AS479" i="1"/>
  <c r="AS480" i="1"/>
  <c r="AS481" i="1"/>
  <c r="AS482" i="1"/>
  <c r="AS491" i="1"/>
  <c r="AS492" i="1"/>
  <c r="AS493" i="1"/>
  <c r="AS494" i="1"/>
  <c r="AS504" i="1"/>
  <c r="AS505" i="1"/>
  <c r="AS506" i="1"/>
  <c r="AS517" i="1"/>
  <c r="AS518" i="1"/>
  <c r="AS559" i="1"/>
  <c r="AS560" i="1"/>
  <c r="AS561" i="1"/>
  <c r="AS562" i="1"/>
  <c r="AS563" i="1"/>
  <c r="AS564" i="1"/>
  <c r="AS565" i="1"/>
  <c r="AS566" i="1"/>
  <c r="AS569" i="1"/>
  <c r="AS571" i="1"/>
  <c r="AS572" i="1"/>
  <c r="AS573" i="1"/>
  <c r="AS574" i="1"/>
  <c r="AS575" i="1"/>
  <c r="AS576" i="1"/>
  <c r="AS577" i="1"/>
  <c r="AS578" i="1"/>
  <c r="AS581" i="1"/>
  <c r="AS583" i="1"/>
  <c r="AS584" i="1"/>
  <c r="AS585" i="1"/>
  <c r="AS586" i="1"/>
  <c r="AS587" i="1"/>
  <c r="AS588" i="1"/>
  <c r="AS589" i="1"/>
  <c r="AS590" i="1"/>
  <c r="AS595" i="1"/>
  <c r="AS597" i="1"/>
  <c r="AS598" i="1"/>
  <c r="AS600" i="1"/>
  <c r="AS601" i="1"/>
  <c r="AS60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P446" i="1" s="1"/>
  <c r="AN447" i="1"/>
  <c r="AN448" i="1"/>
  <c r="AN449" i="1"/>
  <c r="AN450" i="1"/>
  <c r="AN451" i="1"/>
  <c r="AN452" i="1"/>
  <c r="AN453" i="1"/>
  <c r="AN454" i="1"/>
  <c r="AN455" i="1"/>
  <c r="AN456" i="1"/>
  <c r="AN457" i="1"/>
  <c r="AN458" i="1"/>
  <c r="AP458" i="1" s="1"/>
  <c r="AN459" i="1"/>
  <c r="AN460" i="1"/>
  <c r="AN461" i="1"/>
  <c r="AN462" i="1"/>
  <c r="AN463" i="1"/>
  <c r="AN464" i="1"/>
  <c r="AN465" i="1"/>
  <c r="AN466" i="1"/>
  <c r="AN467" i="1"/>
  <c r="AN468" i="1"/>
  <c r="AN469" i="1"/>
  <c r="AP469" i="1" s="1"/>
  <c r="AN470" i="1"/>
  <c r="AP470" i="1" s="1"/>
  <c r="AN471" i="1"/>
  <c r="AN472" i="1"/>
  <c r="AN473" i="1"/>
  <c r="AN474" i="1"/>
  <c r="AN475" i="1"/>
  <c r="AN476" i="1"/>
  <c r="AN477" i="1"/>
  <c r="AN478" i="1"/>
  <c r="AN479" i="1"/>
  <c r="AN480" i="1"/>
  <c r="AN481" i="1"/>
  <c r="AN482" i="1"/>
  <c r="AP482" i="1" s="1"/>
  <c r="AN483" i="1"/>
  <c r="AN484" i="1"/>
  <c r="AN485" i="1"/>
  <c r="AN486" i="1"/>
  <c r="AN487" i="1"/>
  <c r="AN488" i="1"/>
  <c r="AN489" i="1"/>
  <c r="AN490" i="1"/>
  <c r="AN491" i="1"/>
  <c r="AN492" i="1"/>
  <c r="AN493" i="1"/>
  <c r="AN494" i="1"/>
  <c r="AP494" i="1" s="1"/>
  <c r="AN495" i="1"/>
  <c r="AN496" i="1"/>
  <c r="AN497" i="1"/>
  <c r="AN498" i="1"/>
  <c r="AN499" i="1"/>
  <c r="AN500" i="1"/>
  <c r="AN501" i="1"/>
  <c r="AN502" i="1"/>
  <c r="AN503" i="1"/>
  <c r="AN504" i="1"/>
  <c r="AN505" i="1"/>
  <c r="AN506" i="1"/>
  <c r="AP506" i="1" s="1"/>
  <c r="AN507" i="1"/>
  <c r="AN508" i="1"/>
  <c r="AN509" i="1"/>
  <c r="AN510" i="1"/>
  <c r="AN511" i="1"/>
  <c r="AN512" i="1"/>
  <c r="AN513" i="1"/>
  <c r="AN514" i="1"/>
  <c r="AN515" i="1"/>
  <c r="AN516" i="1"/>
  <c r="AN517" i="1"/>
  <c r="AP517" i="1" s="1"/>
  <c r="AN518" i="1"/>
  <c r="AP518" i="1" s="1"/>
  <c r="AN519" i="1"/>
  <c r="AN520" i="1"/>
  <c r="AN521" i="1"/>
  <c r="AN522" i="1"/>
  <c r="AN523" i="1"/>
  <c r="AN524" i="1"/>
  <c r="AN525" i="1"/>
  <c r="AN526" i="1"/>
  <c r="AN527" i="1"/>
  <c r="AN528" i="1"/>
  <c r="AN529" i="1"/>
  <c r="AN530" i="1"/>
  <c r="AP530" i="1" s="1"/>
  <c r="AN531" i="1"/>
  <c r="AN532" i="1"/>
  <c r="AN533" i="1"/>
  <c r="AN534" i="1"/>
  <c r="AN535" i="1"/>
  <c r="AN536" i="1"/>
  <c r="AN537" i="1"/>
  <c r="AN538" i="1"/>
  <c r="AN539" i="1"/>
  <c r="AN540" i="1"/>
  <c r="AN541" i="1"/>
  <c r="AN542" i="1"/>
  <c r="AP542" i="1" s="1"/>
  <c r="AN543" i="1"/>
  <c r="AN544" i="1"/>
  <c r="AN545" i="1"/>
  <c r="AN546" i="1"/>
  <c r="AN547" i="1"/>
  <c r="AN548" i="1"/>
  <c r="AN549" i="1"/>
  <c r="AN550" i="1"/>
  <c r="AN551" i="1"/>
  <c r="AN552" i="1"/>
  <c r="AN553" i="1"/>
  <c r="AP553" i="1" s="1"/>
  <c r="AN554" i="1"/>
  <c r="AP554" i="1" s="1"/>
  <c r="AN555" i="1"/>
  <c r="AN556" i="1"/>
  <c r="AN557" i="1"/>
  <c r="AN558" i="1"/>
  <c r="AN559" i="1"/>
  <c r="AP559" i="1" s="1"/>
  <c r="AN560" i="1"/>
  <c r="AN561" i="1"/>
  <c r="AN562" i="1"/>
  <c r="AN563" i="1"/>
  <c r="AN564" i="1"/>
  <c r="AN565" i="1"/>
  <c r="AP565" i="1" s="1"/>
  <c r="AN566" i="1"/>
  <c r="AP566" i="1" s="1"/>
  <c r="AN567" i="1"/>
  <c r="AN568" i="1"/>
  <c r="AN569" i="1"/>
  <c r="AN570" i="1"/>
  <c r="AN571" i="1"/>
  <c r="AN572" i="1"/>
  <c r="AN573" i="1"/>
  <c r="AN574" i="1"/>
  <c r="AN575" i="1"/>
  <c r="AN576" i="1"/>
  <c r="AN577" i="1"/>
  <c r="AN578" i="1"/>
  <c r="AP578" i="1" s="1"/>
  <c r="AN579" i="1"/>
  <c r="AN580" i="1"/>
  <c r="AN581" i="1"/>
  <c r="AN582" i="1"/>
  <c r="AN583" i="1"/>
  <c r="AN584" i="1"/>
  <c r="AN585" i="1"/>
  <c r="AN586" i="1"/>
  <c r="AN587" i="1"/>
  <c r="AN588" i="1"/>
  <c r="AN589" i="1"/>
  <c r="AN590" i="1"/>
  <c r="AP590" i="1" s="1"/>
  <c r="AN591" i="1"/>
  <c r="AN592" i="1"/>
  <c r="AN593" i="1"/>
  <c r="AN594" i="1"/>
  <c r="AN595" i="1"/>
  <c r="AP595" i="1" s="1"/>
  <c r="AN596" i="1"/>
  <c r="AN597" i="1"/>
  <c r="AN598" i="1"/>
  <c r="AN599" i="1"/>
  <c r="AN600" i="1"/>
  <c r="AN601" i="1"/>
  <c r="AN602" i="1"/>
  <c r="AN603" i="1"/>
  <c r="AN604" i="1"/>
  <c r="AN605" i="1"/>
  <c r="AN606" i="1"/>
  <c r="AN607" i="1"/>
  <c r="AN608" i="1"/>
  <c r="AN609" i="1"/>
  <c r="AN610" i="1"/>
  <c r="AN611" i="1"/>
  <c r="AN612" i="1"/>
  <c r="AN613" i="1"/>
  <c r="AN614" i="1"/>
  <c r="AP614" i="1" s="1"/>
  <c r="AN615" i="1"/>
  <c r="AN616" i="1"/>
  <c r="AN617" i="1"/>
  <c r="AN618" i="1"/>
  <c r="AN619" i="1"/>
  <c r="AN620" i="1"/>
  <c r="AN621" i="1"/>
  <c r="AN622" i="1"/>
  <c r="AN623" i="1"/>
  <c r="AN624" i="1"/>
  <c r="AN625" i="1"/>
  <c r="AN626" i="1"/>
  <c r="AP626" i="1" s="1"/>
  <c r="AN627" i="1"/>
  <c r="AN628" i="1"/>
  <c r="AN629" i="1"/>
  <c r="AN630" i="1"/>
  <c r="AN631" i="1"/>
  <c r="AN632" i="1"/>
  <c r="AN633" i="1"/>
  <c r="AN634" i="1"/>
  <c r="AN635" i="1"/>
  <c r="AN636" i="1"/>
  <c r="AN637" i="1"/>
  <c r="AN638" i="1"/>
  <c r="AP638" i="1" s="1"/>
  <c r="AN639" i="1"/>
  <c r="AN640" i="1"/>
  <c r="AN641" i="1"/>
  <c r="AN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2" i="1"/>
  <c r="AP445" i="1"/>
  <c r="AP449" i="1"/>
  <c r="AP456" i="1"/>
  <c r="AP457" i="1"/>
  <c r="AP463" i="1"/>
  <c r="AP475" i="1"/>
  <c r="AP481" i="1"/>
  <c r="AP487" i="1"/>
  <c r="AP493" i="1"/>
  <c r="AP499" i="1"/>
  <c r="AP505" i="1"/>
  <c r="AP511" i="1"/>
  <c r="AP523" i="1"/>
  <c r="AP529" i="1"/>
  <c r="AP535" i="1"/>
  <c r="AP541" i="1"/>
  <c r="AP547" i="1"/>
  <c r="AP571" i="1"/>
  <c r="AP579" i="1"/>
  <c r="AP581" i="1"/>
  <c r="AP583" i="1"/>
  <c r="AP591" i="1"/>
  <c r="AP593" i="1"/>
  <c r="AU466" i="1"/>
  <c r="AU467" i="1"/>
  <c r="AU490" i="1"/>
  <c r="AU491" i="1"/>
  <c r="AU492" i="1"/>
  <c r="AU493" i="1"/>
  <c r="AU527" i="1"/>
  <c r="AU528" i="1"/>
  <c r="AU529" i="1"/>
  <c r="AU563" i="1"/>
  <c r="AU564" i="1"/>
  <c r="AU565" i="1"/>
  <c r="AU599" i="1"/>
  <c r="AU600" i="1"/>
  <c r="AU601" i="1"/>
  <c r="AU635" i="1"/>
  <c r="AU636" i="1"/>
  <c r="AU637" i="1"/>
  <c r="AA618" i="5"/>
  <c r="AA617" i="5"/>
  <c r="AA616" i="5"/>
  <c r="AA615" i="5"/>
  <c r="AA614" i="5"/>
  <c r="AA613" i="5"/>
  <c r="AA612" i="5"/>
  <c r="AA611" i="5"/>
  <c r="AA610" i="5"/>
  <c r="AA609" i="5"/>
  <c r="AA603" i="5"/>
  <c r="AA602" i="5"/>
  <c r="AA599" i="5"/>
  <c r="AA592" i="5"/>
  <c r="AA590" i="5"/>
  <c r="AA589" i="5"/>
  <c r="AA573" i="5"/>
  <c r="AA570" i="5"/>
  <c r="AA563" i="5"/>
  <c r="AA561" i="5"/>
  <c r="AA560" i="5"/>
  <c r="AA559" i="5"/>
  <c r="AA551" i="5"/>
  <c r="AA550" i="5"/>
  <c r="AA540" i="5"/>
  <c r="AA537" i="5"/>
  <c r="AA522" i="5"/>
  <c r="AA521" i="5"/>
  <c r="AA517" i="5"/>
  <c r="AA516" i="5"/>
  <c r="AA512" i="5"/>
  <c r="AA507" i="5"/>
  <c r="AA506" i="5"/>
  <c r="AA505" i="5"/>
  <c r="AA494" i="5"/>
  <c r="AA491" i="5"/>
  <c r="AA489" i="5"/>
  <c r="AA488" i="5"/>
  <c r="AA487" i="5"/>
  <c r="AA486" i="5"/>
  <c r="AA485" i="5"/>
  <c r="AA484" i="5"/>
  <c r="AA483" i="5"/>
  <c r="AA482" i="5"/>
  <c r="AA472" i="5"/>
  <c r="AA471" i="5"/>
  <c r="AA470" i="5"/>
  <c r="AA469" i="5"/>
  <c r="AA468" i="5"/>
  <c r="AA467" i="5"/>
  <c r="AA463" i="5"/>
  <c r="AA452" i="5"/>
  <c r="AA444" i="5"/>
  <c r="AA443" i="5"/>
  <c r="AA442" i="5"/>
  <c r="AA441" i="5"/>
  <c r="AA440" i="5"/>
  <c r="AA439" i="5"/>
  <c r="AA438" i="5"/>
  <c r="AA436" i="5"/>
  <c r="AA435" i="5"/>
  <c r="AA434" i="5"/>
  <c r="AA433" i="5"/>
  <c r="AA432" i="5"/>
  <c r="AA431" i="5"/>
  <c r="AA430" i="5"/>
  <c r="AA429" i="5"/>
  <c r="AA428" i="5"/>
  <c r="AA427" i="5"/>
  <c r="AA425" i="5"/>
  <c r="AA424" i="5"/>
  <c r="AA423" i="5"/>
  <c r="AA422" i="5"/>
  <c r="AA421" i="5"/>
  <c r="AA420" i="5"/>
  <c r="AA419" i="5"/>
  <c r="AA417" i="5"/>
  <c r="AA416" i="5"/>
  <c r="AA415" i="5"/>
  <c r="AA414" i="5"/>
  <c r="AA413" i="5"/>
  <c r="AA412" i="5"/>
  <c r="AA411" i="5"/>
  <c r="AA410" i="5"/>
  <c r="AA409" i="5"/>
  <c r="AA408" i="5"/>
  <c r="AA407" i="5"/>
  <c r="AA406" i="5"/>
  <c r="AA405" i="5"/>
  <c r="AA404" i="5"/>
  <c r="AA403" i="5"/>
  <c r="AA402" i="5"/>
  <c r="AA401" i="5"/>
  <c r="AA400" i="5"/>
  <c r="AA399" i="5"/>
  <c r="AA398" i="5"/>
  <c r="AA397" i="5"/>
  <c r="AA395" i="5"/>
  <c r="AA394" i="5"/>
  <c r="AA392" i="5"/>
  <c r="AA391" i="5"/>
  <c r="AA390" i="5"/>
  <c r="AA388" i="5"/>
  <c r="AA386" i="5"/>
  <c r="AA385" i="5"/>
  <c r="AA384" i="5"/>
  <c r="AA383" i="5"/>
  <c r="AA382" i="5"/>
  <c r="AA381" i="5"/>
  <c r="AA380" i="5"/>
  <c r="AA379" i="5"/>
  <c r="AA378" i="5"/>
  <c r="AA377" i="5"/>
  <c r="AA374" i="5"/>
  <c r="AA372" i="5"/>
  <c r="AA369" i="5"/>
  <c r="AA368" i="5"/>
  <c r="AA367" i="5"/>
  <c r="AA366" i="5"/>
  <c r="AA365" i="5"/>
  <c r="AA364" i="5"/>
  <c r="AA363" i="5"/>
  <c r="AA362" i="5"/>
  <c r="AA361" i="5"/>
  <c r="AA360" i="5"/>
  <c r="AA359" i="5"/>
  <c r="AA358" i="5"/>
  <c r="AA357" i="5"/>
  <c r="AA356" i="5"/>
  <c r="AA355" i="5"/>
  <c r="AA354" i="5"/>
  <c r="AA353" i="5"/>
  <c r="AA352" i="5"/>
  <c r="AA351" i="5"/>
  <c r="AA350" i="5"/>
  <c r="AA349" i="5"/>
  <c r="AA348" i="5"/>
  <c r="AA347" i="5"/>
  <c r="AA346" i="5"/>
  <c r="AA345" i="5"/>
  <c r="AA344" i="5"/>
  <c r="AA343" i="5"/>
  <c r="AA342" i="5"/>
  <c r="AA341" i="5"/>
  <c r="AA340" i="5"/>
  <c r="AA339" i="5"/>
  <c r="AA338" i="5"/>
  <c r="AA337" i="5"/>
  <c r="AA336" i="5"/>
  <c r="AA334" i="5"/>
  <c r="AA333" i="5"/>
  <c r="AA332" i="5"/>
  <c r="AA331" i="5"/>
  <c r="AA330" i="5"/>
  <c r="AA329" i="5"/>
  <c r="AA328" i="5"/>
  <c r="AA327" i="5"/>
  <c r="AA326" i="5"/>
  <c r="AA325" i="5"/>
  <c r="AA324" i="5"/>
  <c r="AA323" i="5"/>
  <c r="AA321" i="5"/>
  <c r="AA320" i="5"/>
  <c r="AA319" i="5"/>
  <c r="AA318" i="5"/>
  <c r="AA317" i="5"/>
  <c r="AA316" i="5"/>
  <c r="AA315" i="5"/>
  <c r="AA314" i="5"/>
  <c r="AA313" i="5"/>
  <c r="AA312" i="5"/>
  <c r="AA311" i="5"/>
  <c r="AA310" i="5"/>
  <c r="AA309" i="5"/>
  <c r="AA308" i="5"/>
  <c r="AA307" i="5"/>
  <c r="AA306" i="5"/>
  <c r="AA305" i="5"/>
  <c r="AA304" i="5"/>
  <c r="AA303" i="5"/>
  <c r="AA302" i="5"/>
  <c r="AA301" i="5"/>
  <c r="AA298" i="5"/>
  <c r="AA297" i="5"/>
  <c r="AA296" i="5"/>
  <c r="AA295" i="5"/>
  <c r="AA293" i="5"/>
  <c r="AA292" i="5"/>
  <c r="AA291" i="5"/>
  <c r="AA290" i="5"/>
  <c r="AA289" i="5"/>
  <c r="AA288" i="5"/>
  <c r="AA287" i="5"/>
  <c r="AA286" i="5"/>
  <c r="AA285" i="5"/>
  <c r="AA284" i="5"/>
  <c r="AA283" i="5"/>
  <c r="AA282" i="5"/>
  <c r="AA281" i="5"/>
  <c r="AA280" i="5"/>
  <c r="AA279" i="5"/>
  <c r="AA278" i="5"/>
  <c r="AA277" i="5"/>
  <c r="AA276" i="5"/>
  <c r="AA275" i="5"/>
  <c r="AA274" i="5"/>
  <c r="AA272" i="5"/>
  <c r="AA271" i="5"/>
  <c r="AA269" i="5"/>
  <c r="AA268" i="5"/>
  <c r="AA267" i="5"/>
  <c r="AA266" i="5"/>
  <c r="AA265" i="5"/>
  <c r="AA264" i="5"/>
  <c r="AA263" i="5"/>
  <c r="AA262" i="5"/>
  <c r="AA261" i="5"/>
  <c r="AA260" i="5"/>
  <c r="AA259" i="5"/>
  <c r="AA258" i="5"/>
  <c r="AA257" i="5"/>
  <c r="AA256" i="5"/>
  <c r="AA255" i="5"/>
  <c r="AA254" i="5"/>
  <c r="AA253" i="5"/>
  <c r="AA252" i="5"/>
  <c r="AA251" i="5"/>
  <c r="AA250" i="5"/>
  <c r="AA249" i="5"/>
  <c r="AA248" i="5"/>
  <c r="AA247" i="5"/>
  <c r="AA246" i="5"/>
  <c r="AA245" i="5"/>
  <c r="AA244" i="5"/>
  <c r="AA243" i="5"/>
  <c r="AA242" i="5"/>
  <c r="AA241" i="5"/>
  <c r="AA240" i="5"/>
  <c r="AA239" i="5"/>
  <c r="AA238" i="5"/>
  <c r="AA237" i="5"/>
  <c r="AA236" i="5"/>
  <c r="AA235" i="5"/>
  <c r="AA234" i="5"/>
  <c r="AA233" i="5"/>
  <c r="AA232" i="5"/>
  <c r="AA231" i="5"/>
  <c r="AA230" i="5"/>
  <c r="AA229" i="5"/>
  <c r="AA228" i="5"/>
  <c r="AA227" i="5"/>
  <c r="AA226" i="5"/>
  <c r="AA225" i="5"/>
  <c r="AA224" i="5"/>
  <c r="AA223" i="5"/>
  <c r="AA222" i="5"/>
  <c r="AA221" i="5"/>
  <c r="AA220" i="5"/>
  <c r="AA219" i="5"/>
  <c r="AA218" i="5"/>
  <c r="AA217" i="5"/>
  <c r="AA216" i="5"/>
  <c r="AA215" i="5"/>
  <c r="AA214" i="5"/>
  <c r="AA213" i="5"/>
  <c r="AA212" i="5"/>
  <c r="AA211" i="5"/>
  <c r="AA210" i="5"/>
  <c r="AA209" i="5"/>
  <c r="AA208" i="5"/>
  <c r="AA207" i="5"/>
  <c r="AA206" i="5"/>
  <c r="AA205" i="5"/>
  <c r="AA204" i="5"/>
  <c r="AA203" i="5"/>
  <c r="AA202" i="5"/>
  <c r="AA201" i="5"/>
  <c r="AA200" i="5"/>
  <c r="AA199" i="5"/>
  <c r="AA198" i="5"/>
  <c r="AA197" i="5"/>
  <c r="AA196" i="5"/>
  <c r="AA195" i="5"/>
  <c r="AA194" i="5"/>
  <c r="AA193" i="5"/>
  <c r="AA192" i="5"/>
  <c r="AA191" i="5"/>
  <c r="AA190" i="5"/>
  <c r="AA189" i="5"/>
  <c r="AA188" i="5"/>
  <c r="AA187" i="5"/>
  <c r="AA186" i="5"/>
  <c r="AA185" i="5"/>
  <c r="AA184" i="5"/>
  <c r="AA183" i="5"/>
  <c r="AA182" i="5"/>
  <c r="AA181" i="5"/>
  <c r="AA180" i="5"/>
  <c r="AA179" i="5"/>
  <c r="AA178" i="5"/>
  <c r="AA177" i="5"/>
  <c r="AA176" i="5"/>
  <c r="AA175" i="5"/>
  <c r="AA174" i="5"/>
  <c r="AA173" i="5"/>
  <c r="AA172" i="5"/>
  <c r="AA171" i="5"/>
  <c r="AA170" i="5"/>
  <c r="AA169" i="5"/>
  <c r="AA168" i="5"/>
  <c r="AA167" i="5"/>
  <c r="AA166" i="5"/>
  <c r="AA165" i="5"/>
  <c r="AA164" i="5"/>
  <c r="AA163" i="5"/>
  <c r="AA162" i="5"/>
  <c r="AA161" i="5"/>
  <c r="AA160" i="5"/>
  <c r="AA159" i="5"/>
  <c r="AA158" i="5"/>
  <c r="AA157" i="5"/>
  <c r="AA156" i="5"/>
  <c r="AA155" i="5"/>
  <c r="AA154" i="5"/>
  <c r="AA153" i="5"/>
  <c r="AA152" i="5"/>
  <c r="AA151" i="5"/>
  <c r="AA150" i="5"/>
  <c r="AA149" i="5"/>
  <c r="AA148" i="5"/>
  <c r="AA147" i="5"/>
  <c r="AA146" i="5"/>
  <c r="AA145" i="5"/>
  <c r="AA144" i="5"/>
  <c r="AA143" i="5"/>
  <c r="AA142" i="5"/>
  <c r="AA141" i="5"/>
  <c r="AA140" i="5"/>
  <c r="AA139" i="5"/>
  <c r="AA138" i="5"/>
  <c r="AA137" i="5"/>
  <c r="AA136" i="5"/>
  <c r="AA135" i="5"/>
  <c r="AA134" i="5"/>
  <c r="AA133" i="5"/>
  <c r="AA132" i="5"/>
  <c r="AA131" i="5"/>
  <c r="AA130" i="5"/>
  <c r="AA129" i="5"/>
  <c r="AA128" i="5"/>
  <c r="AA127" i="5"/>
  <c r="AA126" i="5"/>
  <c r="AA125" i="5"/>
  <c r="AA124" i="5"/>
  <c r="AA123" i="5"/>
  <c r="AA122" i="5"/>
  <c r="AA121" i="5"/>
  <c r="AA120" i="5"/>
  <c r="AA119" i="5"/>
  <c r="AA118" i="5"/>
  <c r="AA117" i="5"/>
  <c r="AA116" i="5"/>
  <c r="AA115" i="5"/>
  <c r="AA114" i="5"/>
  <c r="AA113" i="5"/>
  <c r="AA112" i="5"/>
  <c r="AA111" i="5"/>
  <c r="AA110" i="5"/>
  <c r="AA109" i="5"/>
  <c r="AA108" i="5"/>
  <c r="AA107" i="5"/>
  <c r="AA106" i="5"/>
  <c r="AA104" i="5"/>
  <c r="AA103" i="5"/>
  <c r="AA102" i="5"/>
  <c r="AA101" i="5"/>
  <c r="AA100" i="5"/>
  <c r="AA99" i="5"/>
  <c r="AA98" i="5"/>
  <c r="AA97" i="5"/>
  <c r="AA96" i="5"/>
  <c r="AA95" i="5"/>
  <c r="AA94" i="5"/>
  <c r="AA93" i="5"/>
  <c r="AA92" i="5"/>
  <c r="AA91" i="5"/>
  <c r="AA90" i="5"/>
  <c r="AA89" i="5"/>
  <c r="AA88" i="5"/>
  <c r="AA87" i="5"/>
  <c r="AA86" i="5"/>
  <c r="AA85" i="5"/>
  <c r="AA84" i="5"/>
  <c r="AA83" i="5"/>
  <c r="AA82" i="5"/>
  <c r="AA81" i="5"/>
  <c r="AA80" i="5"/>
  <c r="AA79" i="5"/>
  <c r="AA78" i="5"/>
  <c r="AA77" i="5"/>
  <c r="AA76" i="5"/>
  <c r="AA75" i="5"/>
  <c r="AA74" i="5"/>
  <c r="AA73" i="5"/>
  <c r="AA72" i="5"/>
  <c r="AA71" i="5"/>
  <c r="AA70" i="5"/>
  <c r="AA69" i="5"/>
  <c r="AA68" i="5"/>
  <c r="AA66" i="5"/>
  <c r="AA65" i="5"/>
  <c r="AA64" i="5"/>
  <c r="AA63" i="5"/>
  <c r="AA62" i="5"/>
  <c r="AA61" i="5"/>
  <c r="AA60" i="5"/>
  <c r="AA59" i="5"/>
  <c r="AA58" i="5"/>
  <c r="AA57" i="5"/>
  <c r="AA56" i="5"/>
  <c r="AA55" i="5"/>
  <c r="AA54" i="5"/>
  <c r="AA53" i="5"/>
  <c r="AA52" i="5"/>
  <c r="AA51" i="5"/>
  <c r="AA50" i="5"/>
  <c r="AA49" i="5"/>
  <c r="AA48" i="5"/>
  <c r="AA47" i="5"/>
  <c r="AA46" i="5"/>
  <c r="AA45" i="5"/>
  <c r="AA44" i="5"/>
  <c r="AA43" i="5"/>
  <c r="AA42" i="5"/>
  <c r="AA41" i="5"/>
  <c r="AA40" i="5"/>
  <c r="AA39" i="5"/>
  <c r="AA38" i="5"/>
  <c r="AA37" i="5"/>
  <c r="AA36" i="5"/>
  <c r="AA35" i="5"/>
  <c r="AA34" i="5"/>
  <c r="AA33" i="5"/>
  <c r="AA32" i="5"/>
  <c r="AA31" i="5"/>
  <c r="AA30" i="5"/>
  <c r="AA29" i="5"/>
  <c r="AA28" i="5"/>
  <c r="AA27" i="5"/>
  <c r="AA26" i="5"/>
  <c r="AA25" i="5"/>
  <c r="AA24" i="5"/>
  <c r="AA23" i="5"/>
  <c r="AA22" i="5"/>
  <c r="AA21" i="5"/>
  <c r="AA20" i="5"/>
  <c r="AA19" i="5"/>
  <c r="AA18" i="5"/>
  <c r="AA17" i="5"/>
  <c r="AA16" i="5"/>
  <c r="AA15" i="5"/>
  <c r="AA14" i="5"/>
  <c r="AA13" i="5"/>
  <c r="AA12" i="5"/>
  <c r="AA11" i="5"/>
  <c r="AA10" i="5"/>
  <c r="AA9" i="5"/>
  <c r="AA8" i="5"/>
  <c r="AA7" i="5"/>
  <c r="AA6" i="5"/>
  <c r="AA5" i="5"/>
  <c r="AA4" i="5"/>
  <c r="AA3" i="5"/>
  <c r="AA2" i="5"/>
  <c r="A8" i="10"/>
  <c r="A12" i="10"/>
  <c r="A13" i="10"/>
  <c r="A14" i="10"/>
  <c r="A20" i="10"/>
  <c r="A24" i="10"/>
  <c r="A25" i="10"/>
  <c r="A26" i="10"/>
  <c r="A32" i="10"/>
  <c r="A36" i="10"/>
  <c r="A37" i="10"/>
  <c r="A38" i="10"/>
  <c r="A44" i="10"/>
  <c r="A48" i="10"/>
  <c r="A49" i="10"/>
  <c r="A50" i="10"/>
  <c r="A56" i="10"/>
  <c r="A60" i="10"/>
  <c r="A61" i="10"/>
  <c r="A62" i="10"/>
  <c r="A67" i="10"/>
  <c r="A68" i="10"/>
  <c r="A72" i="10"/>
  <c r="A73" i="10"/>
  <c r="A74" i="10"/>
  <c r="A80" i="10"/>
  <c r="A84" i="10"/>
  <c r="A85" i="10"/>
  <c r="A86" i="10"/>
  <c r="A92" i="10"/>
  <c r="A97" i="10"/>
  <c r="A98" i="10"/>
  <c r="A104" i="10"/>
  <c r="A106" i="10"/>
  <c r="A109" i="10"/>
  <c r="A110" i="10"/>
  <c r="A116" i="10"/>
  <c r="A118" i="10"/>
  <c r="A121" i="10"/>
  <c r="A122" i="10"/>
  <c r="A128" i="10"/>
  <c r="A130" i="10"/>
  <c r="A133" i="10"/>
  <c r="A134" i="10"/>
  <c r="A140" i="10"/>
  <c r="A142" i="10"/>
  <c r="A145" i="10"/>
  <c r="A146" i="10"/>
  <c r="A152" i="10"/>
  <c r="A154" i="10"/>
  <c r="A157" i="10"/>
  <c r="A158" i="10"/>
  <c r="A162" i="10"/>
  <c r="A164" i="10"/>
  <c r="A166" i="10"/>
  <c r="A169" i="10"/>
  <c r="A170" i="10"/>
  <c r="A174" i="10"/>
  <c r="A176" i="10"/>
  <c r="A178" i="10"/>
  <c r="A181" i="10"/>
  <c r="A182" i="10"/>
  <c r="A186" i="10"/>
  <c r="A188" i="10"/>
  <c r="A190" i="10"/>
  <c r="A193" i="10"/>
  <c r="A194" i="10"/>
  <c r="A198" i="10"/>
  <c r="A200" i="10"/>
  <c r="A202" i="10"/>
  <c r="A205" i="10"/>
  <c r="A206" i="10"/>
  <c r="A210" i="10"/>
  <c r="A212" i="10"/>
  <c r="A214" i="10"/>
  <c r="A217" i="10"/>
  <c r="A218" i="10"/>
  <c r="A222" i="10"/>
  <c r="A224" i="10"/>
  <c r="A226" i="10"/>
  <c r="A229" i="10"/>
  <c r="A230" i="10"/>
  <c r="A234" i="10"/>
  <c r="A236" i="10"/>
  <c r="A238" i="10"/>
  <c r="A241" i="10"/>
  <c r="A242" i="10"/>
  <c r="A246" i="10"/>
  <c r="A248" i="10"/>
  <c r="A250" i="10"/>
  <c r="A253" i="10"/>
  <c r="A254" i="10"/>
  <c r="A258" i="10"/>
  <c r="A260" i="10"/>
  <c r="A262" i="10"/>
  <c r="A263" i="10"/>
  <c r="A265" i="10"/>
  <c r="A266" i="10"/>
  <c r="A272" i="10"/>
  <c r="A274" i="10"/>
  <c r="A275" i="10"/>
  <c r="A276" i="10"/>
  <c r="A278" i="10"/>
  <c r="A284" i="10"/>
  <c r="A285" i="10"/>
  <c r="A286" i="10"/>
  <c r="A287" i="10"/>
  <c r="A288" i="10"/>
  <c r="A289" i="10"/>
  <c r="A290" i="10"/>
  <c r="A291" i="10"/>
  <c r="A298" i="10"/>
  <c r="A299" i="10"/>
  <c r="A300" i="10"/>
  <c r="A301" i="10"/>
  <c r="A302" i="10"/>
  <c r="A310" i="10"/>
  <c r="A311" i="10"/>
  <c r="A312" i="10"/>
  <c r="A313" i="10"/>
  <c r="A314" i="10"/>
  <c r="A322" i="10"/>
  <c r="A323" i="10"/>
  <c r="A324" i="10"/>
  <c r="A325" i="10"/>
  <c r="A326" i="10"/>
  <c r="A335" i="10"/>
  <c r="A336" i="10"/>
  <c r="A337" i="10"/>
  <c r="A338" i="10"/>
  <c r="A347" i="10"/>
  <c r="A348" i="10"/>
  <c r="A349" i="10"/>
  <c r="A350" i="10"/>
  <c r="A359" i="10"/>
  <c r="A360" i="10"/>
  <c r="A361" i="10"/>
  <c r="A362" i="10"/>
  <c r="A364" i="10"/>
  <c r="A366" i="10"/>
  <c r="A367" i="10"/>
  <c r="A368" i="10"/>
  <c r="A369" i="10"/>
  <c r="A370" i="10"/>
  <c r="A373" i="10"/>
  <c r="A374" i="10"/>
  <c r="A377" i="10"/>
  <c r="A379" i="10"/>
  <c r="A380" i="10"/>
  <c r="A382" i="10"/>
  <c r="A383" i="10"/>
  <c r="A384" i="10"/>
  <c r="A385" i="10"/>
  <c r="A386" i="10"/>
  <c r="A392" i="10"/>
  <c r="A394" i="10"/>
  <c r="A395" i="10"/>
  <c r="A396" i="10"/>
  <c r="A397" i="10"/>
  <c r="A398" i="10"/>
  <c r="A404" i="10"/>
  <c r="A406" i="10"/>
  <c r="A407" i="10"/>
  <c r="A408" i="10"/>
  <c r="A409" i="10"/>
  <c r="A410" i="10"/>
  <c r="A416" i="10"/>
  <c r="A418" i="10"/>
  <c r="A419" i="10"/>
  <c r="A420" i="10"/>
  <c r="A421" i="10"/>
  <c r="A422" i="10"/>
  <c r="A427"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63" i="10"/>
  <c r="A464" i="10"/>
  <c r="A465" i="10"/>
  <c r="A466" i="10"/>
  <c r="A467" i="10"/>
  <c r="A468" i="10"/>
  <c r="A469" i="10"/>
  <c r="A470" i="10"/>
  <c r="A471" i="10"/>
  <c r="A474" i="10"/>
  <c r="A476" i="10"/>
  <c r="A477" i="10"/>
  <c r="A478" i="10"/>
  <c r="A480" i="10"/>
  <c r="A482" i="10"/>
  <c r="A483" i="10"/>
  <c r="A485" i="10"/>
  <c r="A486" i="10"/>
  <c r="A487" i="10"/>
  <c r="A488" i="10"/>
  <c r="A489" i="10"/>
  <c r="A490" i="10"/>
  <c r="A491" i="10"/>
  <c r="A492" i="10"/>
  <c r="A493" i="10"/>
  <c r="A494" i="10"/>
  <c r="A497" i="10"/>
  <c r="A498" i="10"/>
  <c r="A499" i="10"/>
  <c r="A500" i="10"/>
  <c r="A502" i="10"/>
  <c r="A503" i="10"/>
  <c r="A504" i="10"/>
  <c r="A505" i="10"/>
  <c r="A506" i="10"/>
  <c r="A507" i="10"/>
  <c r="A508" i="10"/>
  <c r="A509" i="10"/>
  <c r="A510" i="10"/>
  <c r="A512" i="10"/>
  <c r="A513" i="10"/>
  <c r="A514" i="10"/>
  <c r="A515" i="10"/>
  <c r="A516" i="10"/>
  <c r="A517" i="10"/>
  <c r="A518" i="10"/>
  <c r="A519" i="10"/>
  <c r="A520" i="10"/>
  <c r="A521" i="10"/>
  <c r="A522" i="10"/>
  <c r="A523" i="10"/>
  <c r="A524" i="10"/>
  <c r="A525" i="10"/>
  <c r="A526" i="10"/>
  <c r="A527" i="10"/>
  <c r="A529" i="10"/>
  <c r="A530" i="10"/>
  <c r="A531" i="10"/>
  <c r="A532" i="10"/>
  <c r="A533" i="10"/>
  <c r="A534" i="10"/>
  <c r="A535" i="10"/>
  <c r="A536" i="10"/>
  <c r="A537" i="10"/>
  <c r="A540" i="10"/>
  <c r="A541" i="10"/>
  <c r="A542" i="10"/>
  <c r="A543" i="10"/>
  <c r="A544" i="10"/>
  <c r="A545" i="10"/>
  <c r="A546" i="10"/>
  <c r="A550" i="10"/>
  <c r="A551" i="10"/>
  <c r="A552" i="10"/>
  <c r="A553" i="10"/>
  <c r="A554" i="10"/>
  <c r="A555" i="10"/>
  <c r="A556" i="10"/>
  <c r="A557" i="10"/>
  <c r="A558" i="10"/>
  <c r="A559" i="10"/>
  <c r="A560" i="10"/>
  <c r="A562" i="10"/>
  <c r="A563" i="10"/>
  <c r="A564" i="10"/>
  <c r="A565" i="10"/>
  <c r="A566" i="10"/>
  <c r="A567" i="10"/>
  <c r="A568" i="10"/>
  <c r="A569" i="10"/>
  <c r="A570" i="10"/>
  <c r="A571" i="10"/>
  <c r="A572" i="10"/>
  <c r="A573" i="10"/>
  <c r="A574" i="10"/>
  <c r="A575" i="10"/>
  <c r="A576" i="10"/>
  <c r="A577" i="10"/>
  <c r="A578" i="10"/>
  <c r="A579" i="10"/>
  <c r="A581" i="10"/>
  <c r="A582" i="10"/>
  <c r="A583" i="10"/>
  <c r="A584" i="10"/>
  <c r="A585" i="10"/>
  <c r="A586" i="10"/>
  <c r="A587" i="10"/>
  <c r="A588" i="10"/>
  <c r="A590" i="10"/>
  <c r="A591" i="10"/>
  <c r="A592" i="10"/>
  <c r="A593" i="10"/>
  <c r="A594" i="10"/>
  <c r="A595" i="10"/>
  <c r="A597" i="10"/>
  <c r="A598" i="10"/>
  <c r="A2" i="10"/>
  <c r="S596" i="10"/>
  <c r="A596" i="10" s="1"/>
  <c r="S590" i="10"/>
  <c r="S589" i="10"/>
  <c r="A589" i="10" s="1"/>
  <c r="S580" i="10"/>
  <c r="A580" i="10" s="1"/>
  <c r="S578" i="10"/>
  <c r="S577" i="10"/>
  <c r="S561" i="10"/>
  <c r="A561" i="10" s="1"/>
  <c r="S558" i="10"/>
  <c r="S551" i="10"/>
  <c r="S549" i="10"/>
  <c r="A549" i="10" s="1"/>
  <c r="S548" i="10"/>
  <c r="A548" i="10" s="1"/>
  <c r="S547" i="10"/>
  <c r="A547" i="10" s="1"/>
  <c r="S539" i="10"/>
  <c r="A539" i="10" s="1"/>
  <c r="S538" i="10"/>
  <c r="A538" i="10" s="1"/>
  <c r="S528" i="10"/>
  <c r="A528" i="10" s="1"/>
  <c r="S526" i="10"/>
  <c r="S511" i="10"/>
  <c r="A511" i="10" s="1"/>
  <c r="S510" i="10"/>
  <c r="S506" i="10"/>
  <c r="S505" i="10"/>
  <c r="S501" i="10"/>
  <c r="A501" i="10" s="1"/>
  <c r="S496" i="10"/>
  <c r="A496" i="10" s="1"/>
  <c r="S495" i="10"/>
  <c r="A495" i="10" s="1"/>
  <c r="S494" i="10"/>
  <c r="S484" i="10"/>
  <c r="A484" i="10" s="1"/>
  <c r="S481" i="10"/>
  <c r="A481" i="10" s="1"/>
  <c r="S479" i="10"/>
  <c r="A479" i="10" s="1"/>
  <c r="S478" i="10"/>
  <c r="S477" i="10"/>
  <c r="S476" i="10"/>
  <c r="S475" i="10"/>
  <c r="A475" i="10" s="1"/>
  <c r="S474" i="10"/>
  <c r="S473" i="10"/>
  <c r="A473" i="10" s="1"/>
  <c r="S472" i="10"/>
  <c r="A472" i="10" s="1"/>
  <c r="S462" i="10"/>
  <c r="A462" i="10" s="1"/>
  <c r="S461" i="10"/>
  <c r="A461" i="10" s="1"/>
  <c r="S460" i="10"/>
  <c r="A460" i="10" s="1"/>
  <c r="S459" i="10"/>
  <c r="A459" i="10" s="1"/>
  <c r="S458" i="10"/>
  <c r="A458" i="10" s="1"/>
  <c r="S457" i="10"/>
  <c r="S453" i="10"/>
  <c r="S442" i="10"/>
  <c r="S434" i="10"/>
  <c r="S433" i="10"/>
  <c r="S432" i="10"/>
  <c r="S431" i="10"/>
  <c r="S430" i="10"/>
  <c r="A430" i="10" s="1"/>
  <c r="S429" i="10"/>
  <c r="A429" i="10" s="1"/>
  <c r="S428" i="10"/>
  <c r="A428" i="10" s="1"/>
  <c r="S426" i="10"/>
  <c r="A426" i="10" s="1"/>
  <c r="S425" i="10"/>
  <c r="A425" i="10" s="1"/>
  <c r="S424" i="10"/>
  <c r="A424" i="10" s="1"/>
  <c r="S423" i="10"/>
  <c r="A423" i="10" s="1"/>
  <c r="S422" i="10"/>
  <c r="S421" i="10"/>
  <c r="S420" i="10"/>
  <c r="S419" i="10"/>
  <c r="S418" i="10"/>
  <c r="S417" i="10"/>
  <c r="A417" i="10" s="1"/>
  <c r="S415" i="10"/>
  <c r="A415" i="10" s="1"/>
  <c r="S414" i="10"/>
  <c r="A414" i="10" s="1"/>
  <c r="S413" i="10"/>
  <c r="A413" i="10" s="1"/>
  <c r="S412" i="10"/>
  <c r="A412" i="10" s="1"/>
  <c r="S411" i="10"/>
  <c r="A411" i="10" s="1"/>
  <c r="S410" i="10"/>
  <c r="S409" i="10"/>
  <c r="S407" i="10"/>
  <c r="S406" i="10"/>
  <c r="S405" i="10"/>
  <c r="A405" i="10" s="1"/>
  <c r="S404" i="10"/>
  <c r="S403" i="10"/>
  <c r="A403" i="10" s="1"/>
  <c r="S402" i="10"/>
  <c r="A402" i="10" s="1"/>
  <c r="S401" i="10"/>
  <c r="A401" i="10" s="1"/>
  <c r="S400" i="10"/>
  <c r="A400" i="10" s="1"/>
  <c r="S399" i="10"/>
  <c r="A399" i="10" s="1"/>
  <c r="S398" i="10"/>
  <c r="S397" i="10"/>
  <c r="S396" i="10"/>
  <c r="S395" i="10"/>
  <c r="S394" i="10"/>
  <c r="S393" i="10"/>
  <c r="A393" i="10" s="1"/>
  <c r="S392" i="10"/>
  <c r="S391" i="10"/>
  <c r="A391" i="10" s="1"/>
  <c r="S390" i="10"/>
  <c r="A390" i="10" s="1"/>
  <c r="S389" i="10"/>
  <c r="A389" i="10" s="1"/>
  <c r="S388" i="10"/>
  <c r="A388" i="10" s="1"/>
  <c r="S387" i="10"/>
  <c r="A387" i="10" s="1"/>
  <c r="S385" i="10"/>
  <c r="S384" i="10"/>
  <c r="S382" i="10"/>
  <c r="S381" i="10"/>
  <c r="A381" i="10" s="1"/>
  <c r="S380" i="10"/>
  <c r="S378" i="10"/>
  <c r="A378" i="10" s="1"/>
  <c r="S376" i="10"/>
  <c r="A376" i="10" s="1"/>
  <c r="S375" i="10"/>
  <c r="A375" i="10" s="1"/>
  <c r="S374" i="10"/>
  <c r="S373" i="10"/>
  <c r="S372" i="10"/>
  <c r="A372" i="10" s="1"/>
  <c r="S371" i="10"/>
  <c r="A371" i="10" s="1"/>
  <c r="S370" i="10"/>
  <c r="S369" i="10"/>
  <c r="S368" i="10"/>
  <c r="S365" i="10"/>
  <c r="A365" i="10" s="1"/>
  <c r="S363" i="10"/>
  <c r="A363" i="10" s="1"/>
  <c r="S360" i="10"/>
  <c r="S359" i="10"/>
  <c r="S358" i="10"/>
  <c r="A358" i="10" s="1"/>
  <c r="S357" i="10"/>
  <c r="A357" i="10" s="1"/>
  <c r="S356" i="10"/>
  <c r="A356" i="10" s="1"/>
  <c r="S355" i="10"/>
  <c r="A355" i="10" s="1"/>
  <c r="S354" i="10"/>
  <c r="A354" i="10" s="1"/>
  <c r="S353" i="10"/>
  <c r="A353" i="10" s="1"/>
  <c r="S352" i="10"/>
  <c r="A352" i="10" s="1"/>
  <c r="S351" i="10"/>
  <c r="A351" i="10" s="1"/>
  <c r="S350" i="10"/>
  <c r="S349" i="10"/>
  <c r="S348" i="10"/>
  <c r="S347" i="10"/>
  <c r="S346" i="10"/>
  <c r="A346" i="10" s="1"/>
  <c r="S345" i="10"/>
  <c r="A345" i="10" s="1"/>
  <c r="S344" i="10"/>
  <c r="A344" i="10" s="1"/>
  <c r="S343" i="10"/>
  <c r="A343" i="10" s="1"/>
  <c r="S342" i="10"/>
  <c r="A342" i="10" s="1"/>
  <c r="S341" i="10"/>
  <c r="A341" i="10" s="1"/>
  <c r="S340" i="10"/>
  <c r="A340" i="10" s="1"/>
  <c r="S339" i="10"/>
  <c r="A339" i="10" s="1"/>
  <c r="S338" i="10"/>
  <c r="S337" i="10"/>
  <c r="S336" i="10"/>
  <c r="S335" i="10"/>
  <c r="S334" i="10"/>
  <c r="A334" i="10" s="1"/>
  <c r="S333" i="10"/>
  <c r="A333" i="10" s="1"/>
  <c r="S332" i="10"/>
  <c r="A332" i="10" s="1"/>
  <c r="S331" i="10"/>
  <c r="A331" i="10" s="1"/>
  <c r="S330" i="10"/>
  <c r="A330" i="10" s="1"/>
  <c r="S329" i="10"/>
  <c r="A329" i="10" s="1"/>
  <c r="S328" i="10"/>
  <c r="A328" i="10" s="1"/>
  <c r="S327" i="10"/>
  <c r="A327" i="10" s="1"/>
  <c r="S325" i="10"/>
  <c r="S324" i="10"/>
  <c r="S323" i="10"/>
  <c r="S322" i="10"/>
  <c r="S321" i="10"/>
  <c r="A321" i="10" s="1"/>
  <c r="S320" i="10"/>
  <c r="A320" i="10" s="1"/>
  <c r="S319" i="10"/>
  <c r="A319" i="10" s="1"/>
  <c r="S318" i="10"/>
  <c r="A318" i="10" s="1"/>
  <c r="S317" i="10"/>
  <c r="A317" i="10" s="1"/>
  <c r="S316" i="10"/>
  <c r="A316" i="10" s="1"/>
  <c r="S315" i="10"/>
  <c r="A315" i="10" s="1"/>
  <c r="S314" i="10"/>
  <c r="S312" i="10"/>
  <c r="S311" i="10"/>
  <c r="S310" i="10"/>
  <c r="S309" i="10"/>
  <c r="A309" i="10" s="1"/>
  <c r="S308" i="10"/>
  <c r="A308" i="10" s="1"/>
  <c r="S307" i="10"/>
  <c r="A307" i="10" s="1"/>
  <c r="S306" i="10"/>
  <c r="A306" i="10" s="1"/>
  <c r="S305" i="10"/>
  <c r="A305" i="10" s="1"/>
  <c r="S304" i="10"/>
  <c r="A304" i="10" s="1"/>
  <c r="S303" i="10"/>
  <c r="A303" i="10" s="1"/>
  <c r="S302" i="10"/>
  <c r="S301" i="10"/>
  <c r="S300" i="10"/>
  <c r="S299" i="10"/>
  <c r="S298" i="10"/>
  <c r="S297" i="10"/>
  <c r="A297" i="10" s="1"/>
  <c r="S296" i="10"/>
  <c r="A296" i="10" s="1"/>
  <c r="S295" i="10"/>
  <c r="A295" i="10" s="1"/>
  <c r="S294" i="10"/>
  <c r="A294" i="10" s="1"/>
  <c r="S293" i="10"/>
  <c r="A293" i="10" s="1"/>
  <c r="S292" i="10"/>
  <c r="A292" i="10" s="1"/>
  <c r="S289" i="10"/>
  <c r="S288" i="10"/>
  <c r="S287" i="10"/>
  <c r="S286" i="10"/>
  <c r="S284" i="10"/>
  <c r="S283" i="10"/>
  <c r="A283" i="10" s="1"/>
  <c r="S282" i="10"/>
  <c r="A282" i="10" s="1"/>
  <c r="S281" i="10"/>
  <c r="A281" i="10" s="1"/>
  <c r="S280" i="10"/>
  <c r="A280" i="10" s="1"/>
  <c r="S279" i="10"/>
  <c r="A279" i="10" s="1"/>
  <c r="S278" i="10"/>
  <c r="S277" i="10"/>
  <c r="A277" i="10" s="1"/>
  <c r="S276" i="10"/>
  <c r="S275" i="10"/>
  <c r="S274" i="10"/>
  <c r="S273" i="10"/>
  <c r="A273" i="10" s="1"/>
  <c r="S272" i="10"/>
  <c r="S271" i="10"/>
  <c r="A271" i="10" s="1"/>
  <c r="S270" i="10"/>
  <c r="A270" i="10" s="1"/>
  <c r="S269" i="10"/>
  <c r="A269" i="10" s="1"/>
  <c r="S268" i="10"/>
  <c r="A268" i="10" s="1"/>
  <c r="S267" i="10"/>
  <c r="A267" i="10" s="1"/>
  <c r="S266" i="10"/>
  <c r="S264" i="10"/>
  <c r="A264" i="10" s="1"/>
  <c r="S263" i="10"/>
  <c r="S261" i="10"/>
  <c r="A261" i="10" s="1"/>
  <c r="S260" i="10"/>
  <c r="S259" i="10"/>
  <c r="A259" i="10" s="1"/>
  <c r="S258" i="10"/>
  <c r="S257" i="10"/>
  <c r="A257" i="10" s="1"/>
  <c r="S256" i="10"/>
  <c r="A256" i="10" s="1"/>
  <c r="S255" i="10"/>
  <c r="A255" i="10" s="1"/>
  <c r="S254" i="10"/>
  <c r="S253" i="10"/>
  <c r="S252" i="10"/>
  <c r="A252" i="10" s="1"/>
  <c r="S251" i="10"/>
  <c r="A251" i="10" s="1"/>
  <c r="S250" i="10"/>
  <c r="S249" i="10"/>
  <c r="A249" i="10" s="1"/>
  <c r="S248" i="10"/>
  <c r="S247" i="10"/>
  <c r="A247" i="10" s="1"/>
  <c r="S246" i="10"/>
  <c r="S245" i="10"/>
  <c r="A245" i="10" s="1"/>
  <c r="S244" i="10"/>
  <c r="A244" i="10" s="1"/>
  <c r="S243" i="10"/>
  <c r="A243" i="10" s="1"/>
  <c r="S242" i="10"/>
  <c r="S241" i="10"/>
  <c r="S240" i="10"/>
  <c r="A240" i="10" s="1"/>
  <c r="S239" i="10"/>
  <c r="A239" i="10" s="1"/>
  <c r="S238" i="10"/>
  <c r="S237" i="10"/>
  <c r="A237" i="10" s="1"/>
  <c r="S236" i="10"/>
  <c r="S235" i="10"/>
  <c r="A235" i="10" s="1"/>
  <c r="S234" i="10"/>
  <c r="S233" i="10"/>
  <c r="A233" i="10" s="1"/>
  <c r="S232" i="10"/>
  <c r="A232" i="10" s="1"/>
  <c r="S231" i="10"/>
  <c r="A231" i="10" s="1"/>
  <c r="S230" i="10"/>
  <c r="S229" i="10"/>
  <c r="S228" i="10"/>
  <c r="A228" i="10" s="1"/>
  <c r="S227" i="10"/>
  <c r="A227" i="10" s="1"/>
  <c r="S226" i="10"/>
  <c r="S225" i="10"/>
  <c r="A225" i="10" s="1"/>
  <c r="S224" i="10"/>
  <c r="S223" i="10"/>
  <c r="A223" i="10" s="1"/>
  <c r="S222" i="10"/>
  <c r="S221" i="10"/>
  <c r="A221" i="10" s="1"/>
  <c r="S220" i="10"/>
  <c r="A220" i="10" s="1"/>
  <c r="S219" i="10"/>
  <c r="A219" i="10" s="1"/>
  <c r="S218" i="10"/>
  <c r="S217" i="10"/>
  <c r="S216" i="10"/>
  <c r="A216" i="10" s="1"/>
  <c r="S215" i="10"/>
  <c r="A215" i="10" s="1"/>
  <c r="S214" i="10"/>
  <c r="S213" i="10"/>
  <c r="A213" i="10" s="1"/>
  <c r="S212" i="10"/>
  <c r="S211" i="10"/>
  <c r="A211" i="10" s="1"/>
  <c r="S210" i="10"/>
  <c r="S209" i="10"/>
  <c r="A209" i="10" s="1"/>
  <c r="S208" i="10"/>
  <c r="A208" i="10" s="1"/>
  <c r="S207" i="10"/>
  <c r="A207" i="10" s="1"/>
  <c r="S206" i="10"/>
  <c r="S205" i="10"/>
  <c r="S204" i="10"/>
  <c r="A204" i="10" s="1"/>
  <c r="S203" i="10"/>
  <c r="A203" i="10" s="1"/>
  <c r="S202" i="10"/>
  <c r="S201" i="10"/>
  <c r="A201" i="10" s="1"/>
  <c r="S200" i="10"/>
  <c r="S199" i="10"/>
  <c r="A199" i="10" s="1"/>
  <c r="S198" i="10"/>
  <c r="S197" i="10"/>
  <c r="A197" i="10" s="1"/>
  <c r="S196" i="10"/>
  <c r="A196" i="10" s="1"/>
  <c r="S195" i="10"/>
  <c r="A195" i="10" s="1"/>
  <c r="S194" i="10"/>
  <c r="S193" i="10"/>
  <c r="S192" i="10"/>
  <c r="A192" i="10" s="1"/>
  <c r="S191" i="10"/>
  <c r="A191" i="10" s="1"/>
  <c r="S190" i="10"/>
  <c r="S189" i="10"/>
  <c r="A189" i="10" s="1"/>
  <c r="S188" i="10"/>
  <c r="S187" i="10"/>
  <c r="A187" i="10" s="1"/>
  <c r="S186" i="10"/>
  <c r="S185" i="10"/>
  <c r="A185" i="10" s="1"/>
  <c r="S184" i="10"/>
  <c r="A184" i="10" s="1"/>
  <c r="S183" i="10"/>
  <c r="A183" i="10" s="1"/>
  <c r="S182" i="10"/>
  <c r="S181" i="10"/>
  <c r="S180" i="10"/>
  <c r="A180" i="10" s="1"/>
  <c r="S179" i="10"/>
  <c r="A179" i="10" s="1"/>
  <c r="S178" i="10"/>
  <c r="S177" i="10"/>
  <c r="A177" i="10" s="1"/>
  <c r="S176" i="10"/>
  <c r="S175" i="10"/>
  <c r="A175" i="10" s="1"/>
  <c r="S174" i="10"/>
  <c r="S173" i="10"/>
  <c r="A173" i="10" s="1"/>
  <c r="S172" i="10"/>
  <c r="A172" i="10" s="1"/>
  <c r="S171" i="10"/>
  <c r="A171" i="10" s="1"/>
  <c r="S170" i="10"/>
  <c r="S169" i="10"/>
  <c r="S168" i="10"/>
  <c r="A168" i="10" s="1"/>
  <c r="S167" i="10"/>
  <c r="A167" i="10" s="1"/>
  <c r="S166" i="10"/>
  <c r="S165" i="10"/>
  <c r="A165" i="10" s="1"/>
  <c r="S164" i="10"/>
  <c r="S163" i="10"/>
  <c r="A163" i="10" s="1"/>
  <c r="S162" i="10"/>
  <c r="S161" i="10"/>
  <c r="A161" i="10" s="1"/>
  <c r="S160" i="10"/>
  <c r="A160" i="10" s="1"/>
  <c r="S159" i="10"/>
  <c r="A159" i="10" s="1"/>
  <c r="S158" i="10"/>
  <c r="S157" i="10"/>
  <c r="S156" i="10"/>
  <c r="A156" i="10" s="1"/>
  <c r="S155" i="10"/>
  <c r="A155" i="10" s="1"/>
  <c r="S154" i="10"/>
  <c r="S153" i="10"/>
  <c r="A153" i="10" s="1"/>
  <c r="S152" i="10"/>
  <c r="S151" i="10"/>
  <c r="A151" i="10" s="1"/>
  <c r="S150" i="10"/>
  <c r="A150" i="10" s="1"/>
  <c r="S149" i="10"/>
  <c r="A149" i="10" s="1"/>
  <c r="S148" i="10"/>
  <c r="A148" i="10" s="1"/>
  <c r="S147" i="10"/>
  <c r="A147" i="10" s="1"/>
  <c r="S146" i="10"/>
  <c r="S145" i="10"/>
  <c r="S144" i="10"/>
  <c r="A144" i="10" s="1"/>
  <c r="S143" i="10"/>
  <c r="A143" i="10" s="1"/>
  <c r="S142" i="10"/>
  <c r="S141" i="10"/>
  <c r="A141" i="10" s="1"/>
  <c r="S140" i="10"/>
  <c r="S139" i="10"/>
  <c r="A139" i="10" s="1"/>
  <c r="S138" i="10"/>
  <c r="A138" i="10" s="1"/>
  <c r="S137" i="10"/>
  <c r="A137" i="10" s="1"/>
  <c r="S136" i="10"/>
  <c r="A136" i="10" s="1"/>
  <c r="S135" i="10"/>
  <c r="A135" i="10" s="1"/>
  <c r="S134" i="10"/>
  <c r="S133" i="10"/>
  <c r="S132" i="10"/>
  <c r="A132" i="10" s="1"/>
  <c r="S131" i="10"/>
  <c r="A131" i="10" s="1"/>
  <c r="S130" i="10"/>
  <c r="S129" i="10"/>
  <c r="A129" i="10" s="1"/>
  <c r="S128" i="10"/>
  <c r="S127" i="10"/>
  <c r="A127" i="10" s="1"/>
  <c r="S126" i="10"/>
  <c r="A126" i="10" s="1"/>
  <c r="S125" i="10"/>
  <c r="A125" i="10" s="1"/>
  <c r="S124" i="10"/>
  <c r="A124" i="10" s="1"/>
  <c r="S123" i="10"/>
  <c r="A123" i="10" s="1"/>
  <c r="S122" i="10"/>
  <c r="S121" i="10"/>
  <c r="S120" i="10"/>
  <c r="A120" i="10" s="1"/>
  <c r="S119" i="10"/>
  <c r="A119" i="10" s="1"/>
  <c r="S118" i="10"/>
  <c r="S117" i="10"/>
  <c r="A117" i="10" s="1"/>
  <c r="S116" i="10"/>
  <c r="S115" i="10"/>
  <c r="A115" i="10" s="1"/>
  <c r="S114" i="10"/>
  <c r="A114" i="10" s="1"/>
  <c r="S113" i="10"/>
  <c r="A113" i="10" s="1"/>
  <c r="S112" i="10"/>
  <c r="A112" i="10" s="1"/>
  <c r="S111" i="10"/>
  <c r="A111" i="10" s="1"/>
  <c r="S110" i="10"/>
  <c r="S109" i="10"/>
  <c r="S108" i="10"/>
  <c r="A108" i="10" s="1"/>
  <c r="S107" i="10"/>
  <c r="A107" i="10" s="1"/>
  <c r="S106" i="10"/>
  <c r="S105" i="10"/>
  <c r="A105" i="10" s="1"/>
  <c r="S104" i="10"/>
  <c r="S103" i="10"/>
  <c r="A103" i="10" s="1"/>
  <c r="S102" i="10"/>
  <c r="A102" i="10" s="1"/>
  <c r="S101" i="10"/>
  <c r="A101" i="10" s="1"/>
  <c r="S100" i="10"/>
  <c r="A100" i="10" s="1"/>
  <c r="S99" i="10"/>
  <c r="A99" i="10" s="1"/>
  <c r="S98" i="10"/>
  <c r="S96" i="10"/>
  <c r="A96" i="10" s="1"/>
  <c r="S95" i="10"/>
  <c r="A95" i="10" s="1"/>
  <c r="S94" i="10"/>
  <c r="A94" i="10" s="1"/>
  <c r="S93" i="10"/>
  <c r="A93" i="10" s="1"/>
  <c r="S92" i="10"/>
  <c r="S91" i="10"/>
  <c r="A91" i="10" s="1"/>
  <c r="S90" i="10"/>
  <c r="A90" i="10" s="1"/>
  <c r="S89" i="10"/>
  <c r="A89" i="10" s="1"/>
  <c r="S88" i="10"/>
  <c r="A88" i="10" s="1"/>
  <c r="S87" i="10"/>
  <c r="A87" i="10" s="1"/>
  <c r="S86" i="10"/>
  <c r="S85" i="10"/>
  <c r="S84" i="10"/>
  <c r="S83" i="10"/>
  <c r="A83" i="10" s="1"/>
  <c r="S82" i="10"/>
  <c r="A82" i="10" s="1"/>
  <c r="S81" i="10"/>
  <c r="A81" i="10" s="1"/>
  <c r="S80" i="10"/>
  <c r="S79" i="10"/>
  <c r="A79" i="10" s="1"/>
  <c r="S78" i="10"/>
  <c r="A78" i="10" s="1"/>
  <c r="S77" i="10"/>
  <c r="A77" i="10" s="1"/>
  <c r="S76" i="10"/>
  <c r="A76" i="10" s="1"/>
  <c r="S75" i="10"/>
  <c r="A75" i="10" s="1"/>
  <c r="S74" i="10"/>
  <c r="S73" i="10"/>
  <c r="S72" i="10"/>
  <c r="S71" i="10"/>
  <c r="A71" i="10" s="1"/>
  <c r="S70" i="10"/>
  <c r="A70" i="10" s="1"/>
  <c r="S69" i="10"/>
  <c r="A69" i="10" s="1"/>
  <c r="S68" i="10"/>
  <c r="S66" i="10"/>
  <c r="A66" i="10" s="1"/>
  <c r="S65" i="10"/>
  <c r="A65" i="10" s="1"/>
  <c r="S64" i="10"/>
  <c r="A64" i="10" s="1"/>
  <c r="S63" i="10"/>
  <c r="A63" i="10" s="1"/>
  <c r="S62" i="10"/>
  <c r="S61" i="10"/>
  <c r="S60" i="10"/>
  <c r="S59" i="10"/>
  <c r="A59" i="10" s="1"/>
  <c r="S58" i="10"/>
  <c r="A58" i="10" s="1"/>
  <c r="S57" i="10"/>
  <c r="A57" i="10" s="1"/>
  <c r="S56" i="10"/>
  <c r="S55" i="10"/>
  <c r="A55" i="10" s="1"/>
  <c r="S54" i="10"/>
  <c r="A54" i="10" s="1"/>
  <c r="S53" i="10"/>
  <c r="A53" i="10" s="1"/>
  <c r="S52" i="10"/>
  <c r="A52" i="10" s="1"/>
  <c r="S51" i="10"/>
  <c r="A51" i="10" s="1"/>
  <c r="S50" i="10"/>
  <c r="S49" i="10"/>
  <c r="S48" i="10"/>
  <c r="S47" i="10"/>
  <c r="A47" i="10" s="1"/>
  <c r="S46" i="10"/>
  <c r="A46" i="10" s="1"/>
  <c r="S45" i="10"/>
  <c r="A45" i="10" s="1"/>
  <c r="S44" i="10"/>
  <c r="S43" i="10"/>
  <c r="A43" i="10" s="1"/>
  <c r="S42" i="10"/>
  <c r="A42" i="10" s="1"/>
  <c r="S41" i="10"/>
  <c r="A41" i="10" s="1"/>
  <c r="S40" i="10"/>
  <c r="A40" i="10" s="1"/>
  <c r="S39" i="10"/>
  <c r="A39" i="10" s="1"/>
  <c r="S38" i="10"/>
  <c r="S37" i="10"/>
  <c r="S36" i="10"/>
  <c r="S35" i="10"/>
  <c r="A35" i="10" s="1"/>
  <c r="S34" i="10"/>
  <c r="A34" i="10" s="1"/>
  <c r="S33" i="10"/>
  <c r="A33" i="10" s="1"/>
  <c r="S32" i="10"/>
  <c r="S31" i="10"/>
  <c r="A31" i="10" s="1"/>
  <c r="S30" i="10"/>
  <c r="A30" i="10" s="1"/>
  <c r="S29" i="10"/>
  <c r="A29" i="10" s="1"/>
  <c r="S28" i="10"/>
  <c r="A28" i="10" s="1"/>
  <c r="S27" i="10"/>
  <c r="A27" i="10" s="1"/>
  <c r="S26" i="10"/>
  <c r="S25" i="10"/>
  <c r="S24" i="10"/>
  <c r="S23" i="10"/>
  <c r="A23" i="10" s="1"/>
  <c r="S22" i="10"/>
  <c r="A22" i="10" s="1"/>
  <c r="S21" i="10"/>
  <c r="A21" i="10" s="1"/>
  <c r="S20" i="10"/>
  <c r="S19" i="10"/>
  <c r="A19" i="10" s="1"/>
  <c r="S18" i="10"/>
  <c r="A18" i="10" s="1"/>
  <c r="S17" i="10"/>
  <c r="A17" i="10" s="1"/>
  <c r="S16" i="10"/>
  <c r="A16" i="10" s="1"/>
  <c r="S15" i="10"/>
  <c r="A15" i="10" s="1"/>
  <c r="S14" i="10"/>
  <c r="S13" i="10"/>
  <c r="S12" i="10"/>
  <c r="S11" i="10"/>
  <c r="A11" i="10" s="1"/>
  <c r="S10" i="10"/>
  <c r="A10" i="10" s="1"/>
  <c r="S9" i="10"/>
  <c r="A9" i="10" s="1"/>
  <c r="S8" i="10"/>
  <c r="S7" i="10"/>
  <c r="A7" i="10" s="1"/>
  <c r="S6" i="10"/>
  <c r="A6" i="10" s="1"/>
  <c r="S5" i="10"/>
  <c r="A5" i="10" s="1"/>
  <c r="S4" i="10"/>
  <c r="A4" i="10" s="1"/>
  <c r="S3" i="10"/>
  <c r="A3" i="10" s="1"/>
  <c r="S2" i="10"/>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2" i="9"/>
  <c r="A3" i="8"/>
  <c r="A4" i="8"/>
  <c r="A5" i="8"/>
  <c r="A6" i="8"/>
  <c r="A7" i="8"/>
  <c r="A8" i="8"/>
  <c r="A9" i="8"/>
  <c r="A10" i="8"/>
  <c r="A11" i="8"/>
  <c r="A12" i="8"/>
  <c r="A13" i="8"/>
  <c r="A14" i="8"/>
  <c r="A15" i="8"/>
  <c r="A2" i="8"/>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A179" i="7"/>
  <c r="A180" i="7"/>
  <c r="A181" i="7"/>
  <c r="A182" i="7"/>
  <c r="A183" i="7"/>
  <c r="A184" i="7"/>
  <c r="A185" i="7"/>
  <c r="A186" i="7"/>
  <c r="A187" i="7"/>
  <c r="A188" i="7"/>
  <c r="A189" i="7"/>
  <c r="A190" i="7"/>
  <c r="A191" i="7"/>
  <c r="A192" i="7"/>
  <c r="A193" i="7"/>
  <c r="A194" i="7"/>
  <c r="A195" i="7"/>
  <c r="A196" i="7"/>
  <c r="A197" i="7"/>
  <c r="A198" i="7"/>
  <c r="A199" i="7"/>
  <c r="A200" i="7"/>
  <c r="A201" i="7"/>
  <c r="A202" i="7"/>
  <c r="A203" i="7"/>
  <c r="A204" i="7"/>
  <c r="A205" i="7"/>
  <c r="A206" i="7"/>
  <c r="A207" i="7"/>
  <c r="A208" i="7"/>
  <c r="A209" i="7"/>
  <c r="A210" i="7"/>
  <c r="A211" i="7"/>
  <c r="A212" i="7"/>
  <c r="A213" i="7"/>
  <c r="A214" i="7"/>
  <c r="A215" i="7"/>
  <c r="A216" i="7"/>
  <c r="A217" i="7"/>
  <c r="A218"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2" i="6"/>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2" i="5"/>
  <c r="AH3" i="5"/>
  <c r="AH4" i="5"/>
  <c r="AH5" i="5"/>
  <c r="AH6" i="5"/>
  <c r="AH7" i="5"/>
  <c r="AH8" i="5"/>
  <c r="AH9" i="5"/>
  <c r="AH10" i="5"/>
  <c r="AH11" i="5"/>
  <c r="AH12" i="5"/>
  <c r="AH13" i="5"/>
  <c r="AH14" i="5"/>
  <c r="AH16" i="5"/>
  <c r="AH17" i="5"/>
  <c r="AH18" i="5"/>
  <c r="AH19" i="5"/>
  <c r="AH20" i="5"/>
  <c r="AH21" i="5"/>
  <c r="AH22" i="5"/>
  <c r="AH23" i="5"/>
  <c r="AH24" i="5"/>
  <c r="AH25" i="5"/>
  <c r="AH26" i="5"/>
  <c r="AH27" i="5"/>
  <c r="AH28" i="5"/>
  <c r="AH29" i="5"/>
  <c r="AH30" i="5"/>
  <c r="AH31" i="5"/>
  <c r="AH32" i="5"/>
  <c r="AH33" i="5"/>
  <c r="AH34" i="5"/>
  <c r="AH35" i="5"/>
  <c r="AH36" i="5"/>
  <c r="AH37" i="5"/>
  <c r="AH38" i="5"/>
  <c r="AH39" i="5"/>
  <c r="AH40" i="5"/>
  <c r="AH41" i="5"/>
  <c r="AH42" i="5"/>
  <c r="AH43" i="5"/>
  <c r="AH44" i="5"/>
  <c r="AH45" i="5"/>
  <c r="AH46" i="5"/>
  <c r="AH47" i="5"/>
  <c r="AH48" i="5"/>
  <c r="AH49" i="5"/>
  <c r="AH50" i="5"/>
  <c r="AH51" i="5"/>
  <c r="AH52" i="5"/>
  <c r="AH53" i="5"/>
  <c r="AH54" i="5"/>
  <c r="AH55" i="5"/>
  <c r="AH56" i="5"/>
  <c r="AH57" i="5"/>
  <c r="AH58" i="5"/>
  <c r="AH59" i="5"/>
  <c r="AH60" i="5"/>
  <c r="AH61"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100" i="5"/>
  <c r="AH101" i="5"/>
  <c r="AH102" i="5"/>
  <c r="AH103" i="5"/>
  <c r="AH104" i="5"/>
  <c r="AH105" i="5"/>
  <c r="AH106" i="5"/>
  <c r="AH107" i="5"/>
  <c r="AH108" i="5"/>
  <c r="AH109" i="5"/>
  <c r="AH110" i="5"/>
  <c r="AH111" i="5"/>
  <c r="AH112" i="5"/>
  <c r="AH113" i="5"/>
  <c r="AH114" i="5"/>
  <c r="AH115" i="5"/>
  <c r="AH116" i="5"/>
  <c r="AH117" i="5"/>
  <c r="AH118" i="5"/>
  <c r="AH119" i="5"/>
  <c r="AH120" i="5"/>
  <c r="AH121" i="5"/>
  <c r="AH122" i="5"/>
  <c r="AH123" i="5"/>
  <c r="AH124" i="5"/>
  <c r="AH125" i="5"/>
  <c r="AH126" i="5"/>
  <c r="AH127" i="5"/>
  <c r="AH128" i="5"/>
  <c r="AH129" i="5"/>
  <c r="AH130" i="5"/>
  <c r="AH131" i="5"/>
  <c r="AH132" i="5"/>
  <c r="AH133" i="5"/>
  <c r="AH134" i="5"/>
  <c r="AH135" i="5"/>
  <c r="AH136" i="5"/>
  <c r="AH137" i="5"/>
  <c r="AH138" i="5"/>
  <c r="AH139" i="5"/>
  <c r="AH140" i="5"/>
  <c r="AH141" i="5"/>
  <c r="AH142" i="5"/>
  <c r="AH143" i="5"/>
  <c r="AH144" i="5"/>
  <c r="AH145" i="5"/>
  <c r="AH146" i="5"/>
  <c r="AH147" i="5"/>
  <c r="AH148" i="5"/>
  <c r="AH149" i="5"/>
  <c r="AH150" i="5"/>
  <c r="AH151" i="5"/>
  <c r="AH152" i="5"/>
  <c r="AH153" i="5"/>
  <c r="AH154" i="5"/>
  <c r="AH155" i="5"/>
  <c r="AH156" i="5"/>
  <c r="AH157" i="5"/>
  <c r="AH158" i="5"/>
  <c r="AH159" i="5"/>
  <c r="AH160" i="5"/>
  <c r="AH161" i="5"/>
  <c r="AH162" i="5"/>
  <c r="AH163" i="5"/>
  <c r="AH164" i="5"/>
  <c r="AH165" i="5"/>
  <c r="AH166" i="5"/>
  <c r="AH167" i="5"/>
  <c r="AH168" i="5"/>
  <c r="AH169" i="5"/>
  <c r="AH170" i="5"/>
  <c r="AH171" i="5"/>
  <c r="AH172" i="5"/>
  <c r="AH173" i="5"/>
  <c r="AH174" i="5"/>
  <c r="AH175" i="5"/>
  <c r="AH176" i="5"/>
  <c r="AH177" i="5"/>
  <c r="AH178" i="5"/>
  <c r="AH179" i="5"/>
  <c r="AH180" i="5"/>
  <c r="AH181" i="5"/>
  <c r="AH182" i="5"/>
  <c r="AH183" i="5"/>
  <c r="AH184" i="5"/>
  <c r="AH185" i="5"/>
  <c r="AH186" i="5"/>
  <c r="AH187" i="5"/>
  <c r="AH188" i="5"/>
  <c r="AH189" i="5"/>
  <c r="AH190" i="5"/>
  <c r="AH191" i="5"/>
  <c r="AH192" i="5"/>
  <c r="AH193" i="5"/>
  <c r="AH194" i="5"/>
  <c r="AH195" i="5"/>
  <c r="AH196" i="5"/>
  <c r="AH197" i="5"/>
  <c r="AH198" i="5"/>
  <c r="AH199" i="5"/>
  <c r="AH200" i="5"/>
  <c r="AH201" i="5"/>
  <c r="AH202" i="5"/>
  <c r="AH203" i="5"/>
  <c r="AH204" i="5"/>
  <c r="AH205" i="5"/>
  <c r="AH206" i="5"/>
  <c r="AH207" i="5"/>
  <c r="AH208" i="5"/>
  <c r="AH209" i="5"/>
  <c r="AH210" i="5"/>
  <c r="AH211" i="5"/>
  <c r="AH212" i="5"/>
  <c r="AH213" i="5"/>
  <c r="AH214" i="5"/>
  <c r="AH215" i="5"/>
  <c r="AH216" i="5"/>
  <c r="AH217" i="5"/>
  <c r="AH218" i="5"/>
  <c r="AH219" i="5"/>
  <c r="AH220" i="5"/>
  <c r="AH221" i="5"/>
  <c r="AH222" i="5"/>
  <c r="AH223" i="5"/>
  <c r="AH224" i="5"/>
  <c r="AH226" i="5"/>
  <c r="AH227" i="5"/>
  <c r="AH228" i="5"/>
  <c r="AH229" i="5"/>
  <c r="AH230" i="5"/>
  <c r="AH231" i="5"/>
  <c r="AH232" i="5"/>
  <c r="AH233" i="5"/>
  <c r="AH234" i="5"/>
  <c r="AH235" i="5"/>
  <c r="AH236" i="5"/>
  <c r="AH237" i="5"/>
  <c r="AH238" i="5"/>
  <c r="AH239" i="5"/>
  <c r="AH240" i="5"/>
  <c r="AH241" i="5"/>
  <c r="AH242" i="5"/>
  <c r="AH243" i="5"/>
  <c r="AH244" i="5"/>
  <c r="AH245" i="5"/>
  <c r="AH246" i="5"/>
  <c r="AH247" i="5"/>
  <c r="AH248" i="5"/>
  <c r="AH249" i="5"/>
  <c r="AH250" i="5"/>
  <c r="AH251" i="5"/>
  <c r="AH252" i="5"/>
  <c r="AH253" i="5"/>
  <c r="AH255" i="5"/>
  <c r="AH256" i="5"/>
  <c r="AH257" i="5"/>
  <c r="AH258" i="5"/>
  <c r="AH259" i="5"/>
  <c r="AH260" i="5"/>
  <c r="AH261" i="5"/>
  <c r="AH262" i="5"/>
  <c r="AH263" i="5"/>
  <c r="AH264" i="5"/>
  <c r="AH265" i="5"/>
  <c r="AH266" i="5"/>
  <c r="AH267" i="5"/>
  <c r="AH268" i="5"/>
  <c r="AH269" i="5"/>
  <c r="AH271" i="5"/>
  <c r="AH272" i="5"/>
  <c r="AH273" i="5"/>
  <c r="AH274" i="5"/>
  <c r="AH275" i="5"/>
  <c r="AH276" i="5"/>
  <c r="AH277" i="5"/>
  <c r="AH278" i="5"/>
  <c r="AH279" i="5"/>
  <c r="AH280" i="5"/>
  <c r="AH281" i="5"/>
  <c r="AH282" i="5"/>
  <c r="AH283" i="5"/>
  <c r="AH284" i="5"/>
  <c r="AH285" i="5"/>
  <c r="AH286" i="5"/>
  <c r="AH287" i="5"/>
  <c r="AH288" i="5"/>
  <c r="AH289" i="5"/>
  <c r="AH290" i="5"/>
  <c r="AH291" i="5"/>
  <c r="AH292" i="5"/>
  <c r="AH293" i="5"/>
  <c r="AH294" i="5"/>
  <c r="AH295" i="5"/>
  <c r="AH296" i="5"/>
  <c r="AH297" i="5"/>
  <c r="AH298" i="5"/>
  <c r="AH299" i="5"/>
  <c r="AH301" i="5"/>
  <c r="AH302" i="5"/>
  <c r="AH303" i="5"/>
  <c r="AH304" i="5"/>
  <c r="AH305" i="5"/>
  <c r="AH306" i="5"/>
  <c r="AH307" i="5"/>
  <c r="AH308" i="5"/>
  <c r="AH309" i="5"/>
  <c r="AH310" i="5"/>
  <c r="AH311" i="5"/>
  <c r="AH312" i="5"/>
  <c r="AH313" i="5"/>
  <c r="AH314" i="5"/>
  <c r="AH315" i="5"/>
  <c r="AH316" i="5"/>
  <c r="AH317" i="5"/>
  <c r="AH318" i="5"/>
  <c r="AH319" i="5"/>
  <c r="AH320" i="5"/>
  <c r="AH321" i="5"/>
  <c r="AH322" i="5"/>
  <c r="AH323" i="5"/>
  <c r="AH324" i="5"/>
  <c r="AH325" i="5"/>
  <c r="AH326" i="5"/>
  <c r="AH327" i="5"/>
  <c r="AH328" i="5"/>
  <c r="AH329" i="5"/>
  <c r="AH330" i="5"/>
  <c r="AH331" i="5"/>
  <c r="AH332" i="5"/>
  <c r="AH333" i="5"/>
  <c r="AH334" i="5"/>
  <c r="AH336" i="5"/>
  <c r="AH337" i="5"/>
  <c r="AH338" i="5"/>
  <c r="AH339" i="5"/>
  <c r="AH340" i="5"/>
  <c r="AH341" i="5"/>
  <c r="AH342" i="5"/>
  <c r="AH343" i="5"/>
  <c r="AH344" i="5"/>
  <c r="AH345" i="5"/>
  <c r="AH346" i="5"/>
  <c r="AH347" i="5"/>
  <c r="AH348" i="5"/>
  <c r="AH349" i="5"/>
  <c r="AH350" i="5"/>
  <c r="AH351" i="5"/>
  <c r="AH352" i="5"/>
  <c r="AH353" i="5"/>
  <c r="AH354" i="5"/>
  <c r="AH355" i="5"/>
  <c r="AH356" i="5"/>
  <c r="AH357" i="5"/>
  <c r="AH358" i="5"/>
  <c r="AH359" i="5"/>
  <c r="AH360" i="5"/>
  <c r="AH361" i="5"/>
  <c r="AH362" i="5"/>
  <c r="AH363" i="5"/>
  <c r="AH364" i="5"/>
  <c r="AH365" i="5"/>
  <c r="AH366" i="5"/>
  <c r="AH367" i="5"/>
  <c r="AH368" i="5"/>
  <c r="AH369" i="5"/>
  <c r="AH370" i="5"/>
  <c r="AH371" i="5"/>
  <c r="AH372" i="5"/>
  <c r="AH373" i="5"/>
  <c r="AH374" i="5"/>
  <c r="AH375" i="5"/>
  <c r="AH376" i="5"/>
  <c r="AH377" i="5"/>
  <c r="AH378" i="5"/>
  <c r="AH379" i="5"/>
  <c r="AH380" i="5"/>
  <c r="AH381" i="5"/>
  <c r="AH382" i="5"/>
  <c r="AH383" i="5"/>
  <c r="AH384" i="5"/>
  <c r="AH385" i="5"/>
  <c r="AH386" i="5"/>
  <c r="AH387" i="5"/>
  <c r="AH388" i="5"/>
  <c r="AH389" i="5"/>
  <c r="AH390" i="5"/>
  <c r="AH391" i="5"/>
  <c r="AH392" i="5"/>
  <c r="AH393" i="5"/>
  <c r="AH394" i="5"/>
  <c r="AH395" i="5"/>
  <c r="AH396" i="5"/>
  <c r="AH397" i="5"/>
  <c r="AH398" i="5"/>
  <c r="AH399" i="5"/>
  <c r="AH400" i="5"/>
  <c r="AH401" i="5"/>
  <c r="AH402" i="5"/>
  <c r="AH403" i="5"/>
  <c r="AH404" i="5"/>
  <c r="AH405" i="5"/>
  <c r="AH406" i="5"/>
  <c r="AH407" i="5"/>
  <c r="AH408" i="5"/>
  <c r="AH409" i="5"/>
  <c r="AH411" i="5"/>
  <c r="AH412" i="5"/>
  <c r="AH413" i="5"/>
  <c r="AH414" i="5"/>
  <c r="AH415" i="5"/>
  <c r="AH416" i="5"/>
  <c r="AH417" i="5"/>
  <c r="AH418" i="5"/>
  <c r="AH419" i="5"/>
  <c r="AH420" i="5"/>
  <c r="AH421" i="5"/>
  <c r="AH422" i="5"/>
  <c r="AH423" i="5"/>
  <c r="AH424" i="5"/>
  <c r="AH425" i="5"/>
  <c r="AH426" i="5"/>
  <c r="AH427" i="5"/>
  <c r="AH428" i="5"/>
  <c r="AH429" i="5"/>
  <c r="AH430" i="5"/>
  <c r="AH431" i="5"/>
  <c r="AH432" i="5"/>
  <c r="AH433" i="5"/>
  <c r="AH434" i="5"/>
  <c r="AH435" i="5"/>
  <c r="AH436" i="5"/>
  <c r="AH437" i="5"/>
  <c r="AH438" i="5"/>
  <c r="AH439" i="5"/>
  <c r="AH442" i="5"/>
  <c r="AH443" i="5"/>
  <c r="AH444" i="5"/>
  <c r="AH445" i="5"/>
  <c r="AH446" i="5"/>
  <c r="AH447" i="5"/>
  <c r="AH448" i="5"/>
  <c r="AH449" i="5"/>
  <c r="AH450" i="5"/>
  <c r="AH451" i="5"/>
  <c r="AH452" i="5"/>
  <c r="AH453" i="5"/>
  <c r="AH454" i="5"/>
  <c r="AH455" i="5"/>
  <c r="AH456" i="5"/>
  <c r="AH457" i="5"/>
  <c r="AH458" i="5"/>
  <c r="AH459" i="5"/>
  <c r="AH460" i="5"/>
  <c r="AH461" i="5"/>
  <c r="AH462" i="5"/>
  <c r="AH463" i="5"/>
  <c r="AH464" i="5"/>
  <c r="AH465" i="5"/>
  <c r="AH466" i="5"/>
  <c r="AH467" i="5"/>
  <c r="AH468" i="5"/>
  <c r="AH469" i="5"/>
  <c r="AH470" i="5"/>
  <c r="AH471" i="5"/>
  <c r="AH472" i="5"/>
  <c r="AH473" i="5"/>
  <c r="AH474" i="5"/>
  <c r="AH475" i="5"/>
  <c r="AH476" i="5"/>
  <c r="AH477" i="5"/>
  <c r="AH478" i="5"/>
  <c r="AH479" i="5"/>
  <c r="AH480" i="5"/>
  <c r="AH481" i="5"/>
  <c r="AH482" i="5"/>
  <c r="AH483" i="5"/>
  <c r="AH484" i="5"/>
  <c r="AH485" i="5"/>
  <c r="AH486" i="5"/>
  <c r="AH487" i="5"/>
  <c r="AH488" i="5"/>
  <c r="AH489" i="5"/>
  <c r="AH490" i="5"/>
  <c r="AH491" i="5"/>
  <c r="AH492" i="5"/>
  <c r="AH493" i="5"/>
  <c r="AH494" i="5"/>
  <c r="AH495" i="5"/>
  <c r="AH496" i="5"/>
  <c r="AH497" i="5"/>
  <c r="AH498" i="5"/>
  <c r="AH499" i="5"/>
  <c r="AH500" i="5"/>
  <c r="AH501" i="5"/>
  <c r="AH502" i="5"/>
  <c r="AH503" i="5"/>
  <c r="AH504" i="5"/>
  <c r="AH505" i="5"/>
  <c r="AH506" i="5"/>
  <c r="AH507" i="5"/>
  <c r="AH508" i="5"/>
  <c r="AH509" i="5"/>
  <c r="AH510" i="5"/>
  <c r="AH511" i="5"/>
  <c r="AH512" i="5"/>
  <c r="AH513" i="5"/>
  <c r="AH514" i="5"/>
  <c r="AH515" i="5"/>
  <c r="AH516" i="5"/>
  <c r="AH517" i="5"/>
  <c r="AH518" i="5"/>
  <c r="AH519" i="5"/>
  <c r="AH520" i="5"/>
  <c r="AH521" i="5"/>
  <c r="AH522" i="5"/>
  <c r="AH523" i="5"/>
  <c r="AH524" i="5"/>
  <c r="AH525" i="5"/>
  <c r="AH526" i="5"/>
  <c r="AH527" i="5"/>
  <c r="AH528" i="5"/>
  <c r="AH529" i="5"/>
  <c r="AH530" i="5"/>
  <c r="AH531" i="5"/>
  <c r="AH532" i="5"/>
  <c r="AH533" i="5"/>
  <c r="AH534" i="5"/>
  <c r="AH535" i="5"/>
  <c r="AH536" i="5"/>
  <c r="AH537" i="5"/>
  <c r="AH538" i="5"/>
  <c r="AH539" i="5"/>
  <c r="AH540" i="5"/>
  <c r="AH541" i="5"/>
  <c r="AH542" i="5"/>
  <c r="AH543" i="5"/>
  <c r="AH544" i="5"/>
  <c r="AH545" i="5"/>
  <c r="AH546" i="5"/>
  <c r="AH547" i="5"/>
  <c r="AH548" i="5"/>
  <c r="AH549" i="5"/>
  <c r="AH550" i="5"/>
  <c r="AH551" i="5"/>
  <c r="AH552" i="5"/>
  <c r="AH553" i="5"/>
  <c r="AH554" i="5"/>
  <c r="AH555" i="5"/>
  <c r="AH556" i="5"/>
  <c r="AH557" i="5"/>
  <c r="AH558" i="5"/>
  <c r="AH559" i="5"/>
  <c r="AH560" i="5"/>
  <c r="AH561" i="5"/>
  <c r="AH562" i="5"/>
  <c r="AH563" i="5"/>
  <c r="AH564" i="5"/>
  <c r="AH565" i="5"/>
  <c r="AH566" i="5"/>
  <c r="AH567" i="5"/>
  <c r="AH568" i="5"/>
  <c r="AH569" i="5"/>
  <c r="AH571" i="5"/>
  <c r="AH572" i="5"/>
  <c r="AH573" i="5"/>
  <c r="AH574" i="5"/>
  <c r="AH575" i="5"/>
  <c r="AH576" i="5"/>
  <c r="AH577" i="5"/>
  <c r="AH578" i="5"/>
  <c r="AH579" i="5"/>
  <c r="AH580" i="5"/>
  <c r="AH581" i="5"/>
  <c r="AH582" i="5"/>
  <c r="AH583" i="5"/>
  <c r="AH584" i="5"/>
  <c r="AH585" i="5"/>
  <c r="AH586" i="5"/>
  <c r="AH587" i="5"/>
  <c r="AH588" i="5"/>
  <c r="AH589" i="5"/>
  <c r="AH590" i="5"/>
  <c r="AH591" i="5"/>
  <c r="AH592" i="5"/>
  <c r="AH593" i="5"/>
  <c r="AH594" i="5"/>
  <c r="AH595" i="5"/>
  <c r="AH596" i="5"/>
  <c r="AH597" i="5"/>
  <c r="AH598" i="5"/>
  <c r="AH599" i="5"/>
  <c r="AH600" i="5"/>
  <c r="AH601" i="5"/>
  <c r="AH603" i="5"/>
  <c r="AH604" i="5"/>
  <c r="AH605" i="5"/>
  <c r="AH606" i="5"/>
  <c r="AH608" i="5"/>
  <c r="AH609" i="5"/>
  <c r="AH610" i="5"/>
  <c r="AH611" i="5"/>
  <c r="AH612" i="5"/>
  <c r="AH613" i="5"/>
  <c r="AH614" i="5"/>
  <c r="AH615" i="5"/>
  <c r="AH616" i="5"/>
  <c r="AH617" i="5"/>
  <c r="AH618" i="5"/>
  <c r="AH619" i="5"/>
  <c r="AH620" i="5"/>
  <c r="AH621" i="5"/>
  <c r="AH622" i="5"/>
  <c r="AH623" i="5"/>
  <c r="AH624" i="5"/>
  <c r="AH625" i="5"/>
  <c r="AH626" i="5"/>
  <c r="AH627" i="5"/>
  <c r="AH628" i="5"/>
  <c r="AH629" i="5"/>
  <c r="AH630" i="5"/>
  <c r="AH631" i="5"/>
  <c r="AH632" i="5"/>
  <c r="AH633" i="5"/>
  <c r="AH634" i="5"/>
  <c r="AH635" i="5"/>
  <c r="AH636" i="5"/>
  <c r="AH637" i="5"/>
  <c r="AH638" i="5"/>
  <c r="AH639" i="5"/>
  <c r="AH640" i="5"/>
  <c r="AH641" i="5"/>
  <c r="AH2" i="5"/>
  <c r="AK3" i="5"/>
  <c r="AK4" i="5"/>
  <c r="AK5" i="5"/>
  <c r="AK6" i="5"/>
  <c r="AK7" i="5"/>
  <c r="AK8" i="5"/>
  <c r="AK9" i="5"/>
  <c r="AK10" i="5"/>
  <c r="AK11" i="5"/>
  <c r="AK12" i="5"/>
  <c r="AK13" i="5"/>
  <c r="AK14" i="5"/>
  <c r="AK15" i="5"/>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46" i="5"/>
  <c r="AK47" i="5"/>
  <c r="AK48" i="5"/>
  <c r="AK49" i="5"/>
  <c r="AK50" i="5"/>
  <c r="AK51" i="5"/>
  <c r="AK52" i="5"/>
  <c r="AK53" i="5"/>
  <c r="AK55" i="5"/>
  <c r="AK56" i="5"/>
  <c r="AK57" i="5"/>
  <c r="AK58" i="5"/>
  <c r="AK59" i="5"/>
  <c r="AK60" i="5"/>
  <c r="AK61" i="5"/>
  <c r="AK62" i="5"/>
  <c r="AK63" i="5"/>
  <c r="AK64" i="5"/>
  <c r="AK65" i="5"/>
  <c r="AK66" i="5"/>
  <c r="AK67" i="5"/>
  <c r="AK68" i="5"/>
  <c r="AK69" i="5"/>
  <c r="AK70" i="5"/>
  <c r="AK71" i="5"/>
  <c r="AK72" i="5"/>
  <c r="AK73" i="5"/>
  <c r="AK74" i="5"/>
  <c r="AK75" i="5"/>
  <c r="AK76" i="5"/>
  <c r="AK77" i="5"/>
  <c r="AK78" i="5"/>
  <c r="AK79" i="5"/>
  <c r="AK80" i="5"/>
  <c r="AK81" i="5"/>
  <c r="AK82" i="5"/>
  <c r="AK83" i="5"/>
  <c r="AK84" i="5"/>
  <c r="AK85" i="5"/>
  <c r="AK86" i="5"/>
  <c r="AK87" i="5"/>
  <c r="AK88" i="5"/>
  <c r="AK89" i="5"/>
  <c r="AK90" i="5"/>
  <c r="AK91" i="5"/>
  <c r="AK92" i="5"/>
  <c r="AK93" i="5"/>
  <c r="AK94" i="5"/>
  <c r="AK95" i="5"/>
  <c r="AK96" i="5"/>
  <c r="AK97" i="5"/>
  <c r="AK98" i="5"/>
  <c r="AK99" i="5"/>
  <c r="AK100" i="5"/>
  <c r="AK101" i="5"/>
  <c r="AK102" i="5"/>
  <c r="AK103" i="5"/>
  <c r="AK104" i="5"/>
  <c r="AK105" i="5"/>
  <c r="AK106" i="5"/>
  <c r="AK107" i="5"/>
  <c r="AK108" i="5"/>
  <c r="AK109" i="5"/>
  <c r="AK110" i="5"/>
  <c r="AK111" i="5"/>
  <c r="AK112" i="5"/>
  <c r="AK113" i="5"/>
  <c r="AK114" i="5"/>
  <c r="AK115" i="5"/>
  <c r="AK116" i="5"/>
  <c r="AK117" i="5"/>
  <c r="AK118" i="5"/>
  <c r="AK119" i="5"/>
  <c r="AK120" i="5"/>
  <c r="AK121" i="5"/>
  <c r="AK122" i="5"/>
  <c r="AK123" i="5"/>
  <c r="AK124" i="5"/>
  <c r="AK125" i="5"/>
  <c r="AK126" i="5"/>
  <c r="AK127" i="5"/>
  <c r="AK128" i="5"/>
  <c r="AK129" i="5"/>
  <c r="AK130" i="5"/>
  <c r="AK131" i="5"/>
  <c r="AK132" i="5"/>
  <c r="AK133" i="5"/>
  <c r="AK134" i="5"/>
  <c r="AK135" i="5"/>
  <c r="AK136" i="5"/>
  <c r="AK137" i="5"/>
  <c r="AK138" i="5"/>
  <c r="AK139" i="5"/>
  <c r="AK140" i="5"/>
  <c r="AK141" i="5"/>
  <c r="AK142" i="5"/>
  <c r="AK143" i="5"/>
  <c r="AK144" i="5"/>
  <c r="AK145" i="5"/>
  <c r="AK146" i="5"/>
  <c r="AK147" i="5"/>
  <c r="AK148" i="5"/>
  <c r="AK149" i="5"/>
  <c r="AK150" i="5"/>
  <c r="AK151" i="5"/>
  <c r="AK152" i="5"/>
  <c r="AK153" i="5"/>
  <c r="AK154" i="5"/>
  <c r="AK155" i="5"/>
  <c r="AK156" i="5"/>
  <c r="AK157" i="5"/>
  <c r="AK158" i="5"/>
  <c r="AK159" i="5"/>
  <c r="AK160" i="5"/>
  <c r="AK161" i="5"/>
  <c r="AK162" i="5"/>
  <c r="AK163" i="5"/>
  <c r="AK164" i="5"/>
  <c r="AK165" i="5"/>
  <c r="AK166" i="5"/>
  <c r="AK167" i="5"/>
  <c r="AK168" i="5"/>
  <c r="AK169" i="5"/>
  <c r="AK170" i="5"/>
  <c r="AK171" i="5"/>
  <c r="AK172" i="5"/>
  <c r="AK173" i="5"/>
  <c r="AK174" i="5"/>
  <c r="AK175" i="5"/>
  <c r="AK176" i="5"/>
  <c r="AK177" i="5"/>
  <c r="AK178" i="5"/>
  <c r="AK179" i="5"/>
  <c r="AK180" i="5"/>
  <c r="AK181" i="5"/>
  <c r="AK182" i="5"/>
  <c r="AK183" i="5"/>
  <c r="AK184" i="5"/>
  <c r="AK185" i="5"/>
  <c r="AK186" i="5"/>
  <c r="AK187" i="5"/>
  <c r="AK189" i="5"/>
  <c r="AK190" i="5"/>
  <c r="AK191" i="5"/>
  <c r="AK192" i="5"/>
  <c r="AK193" i="5"/>
  <c r="AK194" i="5"/>
  <c r="AK195" i="5"/>
  <c r="AK196" i="5"/>
  <c r="AK197" i="5"/>
  <c r="AK198" i="5"/>
  <c r="AK199" i="5"/>
  <c r="AK200" i="5"/>
  <c r="AK201" i="5"/>
  <c r="AK202" i="5"/>
  <c r="AK203" i="5"/>
  <c r="AK204" i="5"/>
  <c r="AK205" i="5"/>
  <c r="AK206" i="5"/>
  <c r="AK207" i="5"/>
  <c r="AK208" i="5"/>
  <c r="AK209" i="5"/>
  <c r="AK210" i="5"/>
  <c r="AK211" i="5"/>
  <c r="AK212" i="5"/>
  <c r="AK213" i="5"/>
  <c r="AK214" i="5"/>
  <c r="AK215" i="5"/>
  <c r="AK216" i="5"/>
  <c r="AK217" i="5"/>
  <c r="AK218" i="5"/>
  <c r="AK219" i="5"/>
  <c r="AK220" i="5"/>
  <c r="AK221" i="5"/>
  <c r="AK222" i="5"/>
  <c r="AK223" i="5"/>
  <c r="AK224" i="5"/>
  <c r="AK225" i="5"/>
  <c r="AK226" i="5"/>
  <c r="AK227" i="5"/>
  <c r="AK228" i="5"/>
  <c r="AK229" i="5"/>
  <c r="AK230" i="5"/>
  <c r="AK231" i="5"/>
  <c r="AK232" i="5"/>
  <c r="AK233" i="5"/>
  <c r="AK234" i="5"/>
  <c r="AK235" i="5"/>
  <c r="AK236" i="5"/>
  <c r="AK237" i="5"/>
  <c r="AK238" i="5"/>
  <c r="AK239" i="5"/>
  <c r="AK240" i="5"/>
  <c r="AK241" i="5"/>
  <c r="AK242" i="5"/>
  <c r="AK243" i="5"/>
  <c r="AK244" i="5"/>
  <c r="AK245" i="5"/>
  <c r="AK246" i="5"/>
  <c r="AK247" i="5"/>
  <c r="AK248" i="5"/>
  <c r="AK249" i="5"/>
  <c r="AK250" i="5"/>
  <c r="AK251" i="5"/>
  <c r="AK252" i="5"/>
  <c r="AK253" i="5"/>
  <c r="AK254" i="5"/>
  <c r="AK255" i="5"/>
  <c r="AK258" i="5"/>
  <c r="AK259" i="5"/>
  <c r="AK260" i="5"/>
  <c r="AK261" i="5"/>
  <c r="AK262" i="5"/>
  <c r="AK263" i="5"/>
  <c r="AK264" i="5"/>
  <c r="AK265" i="5"/>
  <c r="AK266" i="5"/>
  <c r="AK267" i="5"/>
  <c r="AK268" i="5"/>
  <c r="AK269" i="5"/>
  <c r="AK270" i="5"/>
  <c r="AK271" i="5"/>
  <c r="AK272" i="5"/>
  <c r="AK273" i="5"/>
  <c r="AK274" i="5"/>
  <c r="AK275" i="5"/>
  <c r="AK276" i="5"/>
  <c r="AK277" i="5"/>
  <c r="AK278" i="5"/>
  <c r="AK279" i="5"/>
  <c r="AK280" i="5"/>
  <c r="AK281" i="5"/>
  <c r="AK282" i="5"/>
  <c r="AK283" i="5"/>
  <c r="AK284" i="5"/>
  <c r="AK285" i="5"/>
  <c r="AK286" i="5"/>
  <c r="AK287" i="5"/>
  <c r="AK288" i="5"/>
  <c r="AK289" i="5"/>
  <c r="AK290" i="5"/>
  <c r="AK291" i="5"/>
  <c r="AK292" i="5"/>
  <c r="AK295" i="5"/>
  <c r="AK296" i="5"/>
  <c r="AK297" i="5"/>
  <c r="AK298" i="5"/>
  <c r="AK300" i="5"/>
  <c r="AK301" i="5"/>
  <c r="AK302" i="5"/>
  <c r="AK303" i="5"/>
  <c r="AK304" i="5"/>
  <c r="AK305" i="5"/>
  <c r="AK306" i="5"/>
  <c r="AK307" i="5"/>
  <c r="AK308" i="5"/>
  <c r="AK309" i="5"/>
  <c r="AK310" i="5"/>
  <c r="AK311" i="5"/>
  <c r="AK312" i="5"/>
  <c r="AK313" i="5"/>
  <c r="AK314" i="5"/>
  <c r="AK315" i="5"/>
  <c r="AK316" i="5"/>
  <c r="AK317" i="5"/>
  <c r="AK318" i="5"/>
  <c r="AK319" i="5"/>
  <c r="AK320" i="5"/>
  <c r="AK321" i="5"/>
  <c r="AK323" i="5"/>
  <c r="AK324" i="5"/>
  <c r="AK325" i="5"/>
  <c r="AK326" i="5"/>
  <c r="AK327" i="5"/>
  <c r="AK328" i="5"/>
  <c r="AK329" i="5"/>
  <c r="AK330" i="5"/>
  <c r="AK331" i="5"/>
  <c r="AK332" i="5"/>
  <c r="AK333" i="5"/>
  <c r="AK334" i="5"/>
  <c r="AK335" i="5"/>
  <c r="AK336" i="5"/>
  <c r="AK337" i="5"/>
  <c r="AK338" i="5"/>
  <c r="AK339" i="5"/>
  <c r="AK340" i="5"/>
  <c r="AK341" i="5"/>
  <c r="AK342" i="5"/>
  <c r="AK343" i="5"/>
  <c r="AK344" i="5"/>
  <c r="AK345" i="5"/>
  <c r="AK346" i="5"/>
  <c r="AK347" i="5"/>
  <c r="AK348" i="5"/>
  <c r="AK349" i="5"/>
  <c r="AK350" i="5"/>
  <c r="AK351" i="5"/>
  <c r="AK352" i="5"/>
  <c r="AK353" i="5"/>
  <c r="AK354" i="5"/>
  <c r="AK355" i="5"/>
  <c r="AK356" i="5"/>
  <c r="AK357" i="5"/>
  <c r="AK358" i="5"/>
  <c r="AK359" i="5"/>
  <c r="AK360" i="5"/>
  <c r="AK361" i="5"/>
  <c r="AK362" i="5"/>
  <c r="AK363" i="5"/>
  <c r="AK364" i="5"/>
  <c r="AK365" i="5"/>
  <c r="AK366" i="5"/>
  <c r="AK367" i="5"/>
  <c r="AK368" i="5"/>
  <c r="AK369" i="5"/>
  <c r="AK370" i="5"/>
  <c r="AK372" i="5"/>
  <c r="AK373" i="5"/>
  <c r="AK374" i="5"/>
  <c r="AK377" i="5"/>
  <c r="AK378" i="5"/>
  <c r="AK379" i="5"/>
  <c r="AK380" i="5"/>
  <c r="AK381" i="5"/>
  <c r="AK382" i="5"/>
  <c r="AK384" i="5"/>
  <c r="AK385" i="5"/>
  <c r="AK386" i="5"/>
  <c r="AK388" i="5"/>
  <c r="AK390" i="5"/>
  <c r="AK391" i="5"/>
  <c r="AK392" i="5"/>
  <c r="AK394" i="5"/>
  <c r="AK395" i="5"/>
  <c r="AK397" i="5"/>
  <c r="AK398" i="5"/>
  <c r="AK399" i="5"/>
  <c r="AK400" i="5"/>
  <c r="AK401" i="5"/>
  <c r="AK402" i="5"/>
  <c r="AK403" i="5"/>
  <c r="AK404" i="5"/>
  <c r="AK405" i="5"/>
  <c r="AK406" i="5"/>
  <c r="AK407" i="5"/>
  <c r="AK408" i="5"/>
  <c r="AK409" i="5"/>
  <c r="AK410" i="5"/>
  <c r="AK411" i="5"/>
  <c r="AK412" i="5"/>
  <c r="AK413" i="5"/>
  <c r="AK414" i="5"/>
  <c r="AK415" i="5"/>
  <c r="AK416" i="5"/>
  <c r="AK417" i="5"/>
  <c r="AK419" i="5"/>
  <c r="AK420" i="5"/>
  <c r="AK421" i="5"/>
  <c r="AK422" i="5"/>
  <c r="AK423" i="5"/>
  <c r="AK424" i="5"/>
  <c r="AK425" i="5"/>
  <c r="AK426" i="5"/>
  <c r="AK427" i="5"/>
  <c r="AK428" i="5"/>
  <c r="AK429" i="5"/>
  <c r="AK430" i="5"/>
  <c r="AK431" i="5"/>
  <c r="AK432" i="5"/>
  <c r="AK433" i="5"/>
  <c r="AK434" i="5"/>
  <c r="AK435" i="5"/>
  <c r="AK436" i="5"/>
  <c r="AK438" i="5"/>
  <c r="AK440" i="5"/>
  <c r="AK441" i="5"/>
  <c r="AK445" i="5"/>
  <c r="AK446" i="5"/>
  <c r="AK447" i="5"/>
  <c r="AK448" i="5"/>
  <c r="AK449" i="5"/>
  <c r="AK450" i="5"/>
  <c r="AK451" i="5"/>
  <c r="AK452" i="5"/>
  <c r="AK454" i="5"/>
  <c r="AK455" i="5"/>
  <c r="AK456" i="5"/>
  <c r="AK457" i="5"/>
  <c r="AK458" i="5"/>
  <c r="AK459" i="5"/>
  <c r="AK460" i="5"/>
  <c r="AK462" i="5"/>
  <c r="AK463" i="5"/>
  <c r="AK464" i="5"/>
  <c r="AK465" i="5"/>
  <c r="AK466" i="5"/>
  <c r="AK467" i="5"/>
  <c r="AK468" i="5"/>
  <c r="AK469" i="5"/>
  <c r="AK470" i="5"/>
  <c r="AK471" i="5"/>
  <c r="AK472" i="5"/>
  <c r="AK473" i="5"/>
  <c r="AK474" i="5"/>
  <c r="AK475" i="5"/>
  <c r="AK476" i="5"/>
  <c r="AK477" i="5"/>
  <c r="AK479" i="5"/>
  <c r="AK480" i="5"/>
  <c r="AK481" i="5"/>
  <c r="AK482" i="5"/>
  <c r="AK484" i="5"/>
  <c r="AK485" i="5"/>
  <c r="AK486" i="5"/>
  <c r="AK487" i="5"/>
  <c r="AK488" i="5"/>
  <c r="AK489" i="5"/>
  <c r="AK490" i="5"/>
  <c r="AK491" i="5"/>
  <c r="AK492" i="5"/>
  <c r="AK493" i="5"/>
  <c r="AK494" i="5"/>
  <c r="AK495" i="5"/>
  <c r="AK496" i="5"/>
  <c r="AK497" i="5"/>
  <c r="AK498" i="5"/>
  <c r="AK499" i="5"/>
  <c r="AK500" i="5"/>
  <c r="AK501" i="5"/>
  <c r="AK502" i="5"/>
  <c r="AK503" i="5"/>
  <c r="AK504" i="5"/>
  <c r="AK505" i="5"/>
  <c r="AK506" i="5"/>
  <c r="AK507" i="5"/>
  <c r="AK508" i="5"/>
  <c r="AK509" i="5"/>
  <c r="AK510" i="5"/>
  <c r="AK511" i="5"/>
  <c r="AK512" i="5"/>
  <c r="AK513" i="5"/>
  <c r="AK514" i="5"/>
  <c r="AK515" i="5"/>
  <c r="AK516" i="5"/>
  <c r="AK517" i="5"/>
  <c r="AK518" i="5"/>
  <c r="AK519" i="5"/>
  <c r="AK521" i="5"/>
  <c r="AK522" i="5"/>
  <c r="AK523" i="5"/>
  <c r="AK524" i="5"/>
  <c r="AK525" i="5"/>
  <c r="AK526" i="5"/>
  <c r="AK527" i="5"/>
  <c r="AK528" i="5"/>
  <c r="AK529" i="5"/>
  <c r="AK530" i="5"/>
  <c r="AK531" i="5"/>
  <c r="AK532" i="5"/>
  <c r="AK533" i="5"/>
  <c r="AK534" i="5"/>
  <c r="AK535" i="5"/>
  <c r="AK536" i="5"/>
  <c r="AK537" i="5"/>
  <c r="AK538" i="5"/>
  <c r="AK539" i="5"/>
  <c r="AK540" i="5"/>
  <c r="AK541" i="5"/>
  <c r="AK542" i="5"/>
  <c r="AK543" i="5"/>
  <c r="AK544" i="5"/>
  <c r="AK545" i="5"/>
  <c r="AK546" i="5"/>
  <c r="AK547" i="5"/>
  <c r="AK548" i="5"/>
  <c r="AK549" i="5"/>
  <c r="AK550" i="5"/>
  <c r="AK551" i="5"/>
  <c r="AK552" i="5"/>
  <c r="AK553" i="5"/>
  <c r="AK554" i="5"/>
  <c r="AK555" i="5"/>
  <c r="AK556" i="5"/>
  <c r="AK557" i="5"/>
  <c r="AK558" i="5"/>
  <c r="AK559" i="5"/>
  <c r="AK560" i="5"/>
  <c r="AK561" i="5"/>
  <c r="AK562" i="5"/>
  <c r="AK563" i="5"/>
  <c r="AK564" i="5"/>
  <c r="AK565" i="5"/>
  <c r="AK566" i="5"/>
  <c r="AK567" i="5"/>
  <c r="AK568" i="5"/>
  <c r="AK569" i="5"/>
  <c r="AK570" i="5"/>
  <c r="AK571" i="5"/>
  <c r="AK572" i="5"/>
  <c r="AK573" i="5"/>
  <c r="AK574" i="5"/>
  <c r="AK575" i="5"/>
  <c r="AK576" i="5"/>
  <c r="AK577" i="5"/>
  <c r="AK578" i="5"/>
  <c r="AK579" i="5"/>
  <c r="AK580" i="5"/>
  <c r="AK581" i="5"/>
  <c r="AK582" i="5"/>
  <c r="AK583" i="5"/>
  <c r="AK584" i="5"/>
  <c r="AK585" i="5"/>
  <c r="AK586" i="5"/>
  <c r="AK587" i="5"/>
  <c r="AK588" i="5"/>
  <c r="AK589" i="5"/>
  <c r="AK590" i="5"/>
  <c r="AK591" i="5"/>
  <c r="AK593" i="5"/>
  <c r="AK594" i="5"/>
  <c r="AK595" i="5"/>
  <c r="AK596" i="5"/>
  <c r="AK597" i="5"/>
  <c r="AK598" i="5"/>
  <c r="AK600" i="5"/>
  <c r="AK601" i="5"/>
  <c r="AK602" i="5"/>
  <c r="AK603" i="5"/>
  <c r="AK604" i="5"/>
  <c r="AK605" i="5"/>
  <c r="AK606" i="5"/>
  <c r="AK607" i="5"/>
  <c r="AK2" i="5"/>
  <c r="AM641" i="5"/>
  <c r="AM640" i="5"/>
  <c r="AM639" i="5"/>
  <c r="AM638" i="5"/>
  <c r="AM637" i="5"/>
  <c r="AM636" i="5"/>
  <c r="AM635" i="5"/>
  <c r="AM634" i="5"/>
  <c r="AM633" i="5"/>
  <c r="AM632" i="5"/>
  <c r="AM631" i="5"/>
  <c r="AM630" i="5"/>
  <c r="AM629" i="5"/>
  <c r="AM628" i="5"/>
  <c r="AM627" i="5"/>
  <c r="AM626" i="5"/>
  <c r="AM625" i="5"/>
  <c r="AM624" i="5"/>
  <c r="AM623" i="5"/>
  <c r="AM622" i="5"/>
  <c r="AM621" i="5"/>
  <c r="AM620" i="5"/>
  <c r="AM619" i="5"/>
  <c r="AM618" i="5"/>
  <c r="AM617" i="5"/>
  <c r="AM616" i="5"/>
  <c r="AM615" i="5"/>
  <c r="AM614" i="5"/>
  <c r="AM613" i="5"/>
  <c r="AM612" i="5"/>
  <c r="AM611" i="5"/>
  <c r="AM610" i="5"/>
  <c r="AM609" i="5"/>
  <c r="AM608" i="5"/>
  <c r="AM607" i="5"/>
  <c r="AH607" i="5"/>
  <c r="AM606" i="5"/>
  <c r="AM605" i="5"/>
  <c r="AM604" i="5"/>
  <c r="AM603" i="5"/>
  <c r="AM602" i="5"/>
  <c r="AM601" i="5"/>
  <c r="AM600" i="5"/>
  <c r="AM599" i="5"/>
  <c r="AM598" i="5"/>
  <c r="AM597" i="5"/>
  <c r="AM596" i="5"/>
  <c r="AM595" i="5"/>
  <c r="AM594" i="5"/>
  <c r="AM593" i="5"/>
  <c r="AM592" i="5"/>
  <c r="AM591" i="5"/>
  <c r="AM590" i="5"/>
  <c r="AM589" i="5"/>
  <c r="AM588" i="5"/>
  <c r="AM587" i="5"/>
  <c r="AM586" i="5"/>
  <c r="AM585" i="5"/>
  <c r="AM584" i="5"/>
  <c r="AM583" i="5"/>
  <c r="AM582" i="5"/>
  <c r="AM581" i="5"/>
  <c r="AM580" i="5"/>
  <c r="AM579" i="5"/>
  <c r="AM578" i="5"/>
  <c r="AM577" i="5"/>
  <c r="AM576" i="5"/>
  <c r="AM575" i="5"/>
  <c r="AM574" i="5"/>
  <c r="AM573" i="5"/>
  <c r="AM572" i="5"/>
  <c r="AM571" i="5"/>
  <c r="AM570" i="5"/>
  <c r="AM569" i="5"/>
  <c r="AM568" i="5"/>
  <c r="AM567" i="5"/>
  <c r="AM566" i="5"/>
  <c r="AM565" i="5"/>
  <c r="AM564" i="5"/>
  <c r="AM563" i="5"/>
  <c r="AM562" i="5"/>
  <c r="AM561" i="5"/>
  <c r="AM560" i="5"/>
  <c r="AM559" i="5"/>
  <c r="AM558" i="5"/>
  <c r="AM557" i="5"/>
  <c r="AM556" i="5"/>
  <c r="AM555" i="5"/>
  <c r="AM554" i="5"/>
  <c r="AM553" i="5"/>
  <c r="AM552" i="5"/>
  <c r="AM551" i="5"/>
  <c r="AM550" i="5"/>
  <c r="AM549" i="5"/>
  <c r="AM548" i="5"/>
  <c r="AM547" i="5"/>
  <c r="AM546" i="5"/>
  <c r="AM545" i="5"/>
  <c r="AM544" i="5"/>
  <c r="AM543" i="5"/>
  <c r="AM542" i="5"/>
  <c r="AM541" i="5"/>
  <c r="AM540" i="5"/>
  <c r="AM539" i="5"/>
  <c r="AM538" i="5"/>
  <c r="AM537" i="5"/>
  <c r="AM536" i="5"/>
  <c r="AM535" i="5"/>
  <c r="AM534" i="5"/>
  <c r="AM533" i="5"/>
  <c r="AM532" i="5"/>
  <c r="AM531" i="5"/>
  <c r="AM530" i="5"/>
  <c r="AM529" i="5"/>
  <c r="AM528" i="5"/>
  <c r="AM527" i="5"/>
  <c r="AM526" i="5"/>
  <c r="AM525" i="5"/>
  <c r="AM524" i="5"/>
  <c r="AM523" i="5"/>
  <c r="AM522" i="5"/>
  <c r="AM521" i="5"/>
  <c r="AM520" i="5"/>
  <c r="AM519" i="5"/>
  <c r="AM518" i="5"/>
  <c r="AM517" i="5"/>
  <c r="AM516" i="5"/>
  <c r="AM515" i="5"/>
  <c r="AM514" i="5"/>
  <c r="AM513" i="5"/>
  <c r="AM512" i="5"/>
  <c r="AM511" i="5"/>
  <c r="AM510" i="5"/>
  <c r="AM509" i="5"/>
  <c r="AM508" i="5"/>
  <c r="AM507" i="5"/>
  <c r="AM506" i="5"/>
  <c r="AM505" i="5"/>
  <c r="AM504" i="5"/>
  <c r="AM503" i="5"/>
  <c r="AM502" i="5"/>
  <c r="AM501" i="5"/>
  <c r="AM500" i="5"/>
  <c r="AM499" i="5"/>
  <c r="AM498" i="5"/>
  <c r="AM497" i="5"/>
  <c r="AM496" i="5"/>
  <c r="AM495" i="5"/>
  <c r="AM494" i="5"/>
  <c r="AM493" i="5"/>
  <c r="AM492" i="5"/>
  <c r="AM491" i="5"/>
  <c r="AM490" i="5"/>
  <c r="AM489" i="5"/>
  <c r="AM488" i="5"/>
  <c r="AM487" i="5"/>
  <c r="AM486" i="5"/>
  <c r="AM485" i="5"/>
  <c r="AM484" i="5"/>
  <c r="AM483" i="5"/>
  <c r="AM482" i="5"/>
  <c r="AM481" i="5"/>
  <c r="AM480" i="5"/>
  <c r="AM479" i="5"/>
  <c r="AM478" i="5"/>
  <c r="AM477" i="5"/>
  <c r="AM476" i="5"/>
  <c r="AM475" i="5"/>
  <c r="AM474" i="5"/>
  <c r="AM473" i="5"/>
  <c r="AM472" i="5"/>
  <c r="AM471" i="5"/>
  <c r="AM470" i="5"/>
  <c r="AM469" i="5"/>
  <c r="AM468" i="5"/>
  <c r="AM467" i="5"/>
  <c r="AM466" i="5"/>
  <c r="AM465" i="5"/>
  <c r="AM464" i="5"/>
  <c r="AM463" i="5"/>
  <c r="AM462" i="5"/>
  <c r="AM461" i="5"/>
  <c r="AM460" i="5"/>
  <c r="AM459" i="5"/>
  <c r="AM458" i="5"/>
  <c r="AM457" i="5"/>
  <c r="AM456" i="5"/>
  <c r="AM455" i="5"/>
  <c r="AM454" i="5"/>
  <c r="AM453" i="5"/>
  <c r="AM452" i="5"/>
  <c r="AM451" i="5"/>
  <c r="AM450" i="5"/>
  <c r="AM449" i="5"/>
  <c r="AM448" i="5"/>
  <c r="AM447" i="5"/>
  <c r="AM446" i="5"/>
  <c r="AM445" i="5"/>
  <c r="AM444" i="5"/>
  <c r="AM443" i="5"/>
  <c r="AM442" i="5"/>
  <c r="AM441" i="5"/>
  <c r="AM440" i="5"/>
  <c r="AM439" i="5"/>
  <c r="AM438" i="5"/>
  <c r="AM437" i="5"/>
  <c r="AM436" i="5"/>
  <c r="AM435" i="5"/>
  <c r="AM434" i="5"/>
  <c r="AM433" i="5"/>
  <c r="AM432" i="5"/>
  <c r="AM431" i="5"/>
  <c r="AM430" i="5"/>
  <c r="AM429" i="5"/>
  <c r="AM428" i="5"/>
  <c r="AM427" i="5"/>
  <c r="AM426" i="5"/>
  <c r="AM425" i="5"/>
  <c r="AM424" i="5"/>
  <c r="AM423" i="5"/>
  <c r="AM422" i="5"/>
  <c r="AM421" i="5"/>
  <c r="AM420" i="5"/>
  <c r="AM419" i="5"/>
  <c r="AM418" i="5"/>
  <c r="AM417" i="5"/>
  <c r="AM416" i="5"/>
  <c r="AM415" i="5"/>
  <c r="AM414" i="5"/>
  <c r="AM413" i="5"/>
  <c r="AM412" i="5"/>
  <c r="AM411" i="5"/>
  <c r="AM410" i="5"/>
  <c r="AM409" i="5"/>
  <c r="AM408" i="5"/>
  <c r="AM407" i="5"/>
  <c r="AM406" i="5"/>
  <c r="AM405" i="5"/>
  <c r="AM404" i="5"/>
  <c r="AM403" i="5"/>
  <c r="AM402" i="5"/>
  <c r="AM401" i="5"/>
  <c r="AM400" i="5"/>
  <c r="AM399" i="5"/>
  <c r="AM398" i="5"/>
  <c r="AM397" i="5"/>
  <c r="AM396" i="5"/>
  <c r="AM395" i="5"/>
  <c r="AM394" i="5"/>
  <c r="AM393" i="5"/>
  <c r="AM392" i="5"/>
  <c r="AM391" i="5"/>
  <c r="AM390" i="5"/>
  <c r="AM389" i="5"/>
  <c r="AM388" i="5"/>
  <c r="AM387" i="5"/>
  <c r="AM386" i="5"/>
  <c r="AM385" i="5"/>
  <c r="AM384" i="5"/>
  <c r="AM383" i="5"/>
  <c r="AM382" i="5"/>
  <c r="AM381" i="5"/>
  <c r="AM380" i="5"/>
  <c r="AM379" i="5"/>
  <c r="AM378" i="5"/>
  <c r="AM377" i="5"/>
  <c r="AM376" i="5"/>
  <c r="AM375" i="5"/>
  <c r="AM374" i="5"/>
  <c r="AM373" i="5"/>
  <c r="AM372" i="5"/>
  <c r="AM371" i="5"/>
  <c r="AM370" i="5"/>
  <c r="AM369" i="5"/>
  <c r="AM368" i="5"/>
  <c r="AM367" i="5"/>
  <c r="AM366" i="5"/>
  <c r="AM365" i="5"/>
  <c r="AM364" i="5"/>
  <c r="AM363" i="5"/>
  <c r="AM362" i="5"/>
  <c r="AM361" i="5"/>
  <c r="AM360" i="5"/>
  <c r="AM359" i="5"/>
  <c r="AM358" i="5"/>
  <c r="AM357" i="5"/>
  <c r="AM356" i="5"/>
  <c r="AM355" i="5"/>
  <c r="AM354" i="5"/>
  <c r="AM353" i="5"/>
  <c r="AM352" i="5"/>
  <c r="AM351" i="5"/>
  <c r="AM350" i="5"/>
  <c r="AM349" i="5"/>
  <c r="AM348" i="5"/>
  <c r="AM347" i="5"/>
  <c r="AM346" i="5"/>
  <c r="AM345" i="5"/>
  <c r="AM344" i="5"/>
  <c r="AM343" i="5"/>
  <c r="AM342" i="5"/>
  <c r="AM341" i="5"/>
  <c r="AM340" i="5"/>
  <c r="AM339" i="5"/>
  <c r="AM338" i="5"/>
  <c r="AM337" i="5"/>
  <c r="AM336" i="5"/>
  <c r="AM335" i="5"/>
  <c r="AM334" i="5"/>
  <c r="AM333" i="5"/>
  <c r="AM332" i="5"/>
  <c r="AM331" i="5"/>
  <c r="AM330" i="5"/>
  <c r="AM329" i="5"/>
  <c r="AM328" i="5"/>
  <c r="AM327" i="5"/>
  <c r="AM326" i="5"/>
  <c r="AM325" i="5"/>
  <c r="AM324" i="5"/>
  <c r="AM323" i="5"/>
  <c r="AM322" i="5"/>
  <c r="AM321" i="5"/>
  <c r="AM320" i="5"/>
  <c r="AM319" i="5"/>
  <c r="AM318" i="5"/>
  <c r="AM317" i="5"/>
  <c r="AM316" i="5"/>
  <c r="AM315" i="5"/>
  <c r="AM314" i="5"/>
  <c r="AM313" i="5"/>
  <c r="AM312" i="5"/>
  <c r="AM311" i="5"/>
  <c r="AM310" i="5"/>
  <c r="AM309" i="5"/>
  <c r="AM308" i="5"/>
  <c r="AM307" i="5"/>
  <c r="AM306" i="5"/>
  <c r="AM305" i="5"/>
  <c r="AM304" i="5"/>
  <c r="AM303" i="5"/>
  <c r="AM302" i="5"/>
  <c r="AM301" i="5"/>
  <c r="AM300" i="5"/>
  <c r="AM299" i="5"/>
  <c r="AM298" i="5"/>
  <c r="AM297" i="5"/>
  <c r="AM296" i="5"/>
  <c r="AM295" i="5"/>
  <c r="AM294" i="5"/>
  <c r="AM293" i="5"/>
  <c r="AM292" i="5"/>
  <c r="AM291" i="5"/>
  <c r="AM290" i="5"/>
  <c r="AM289" i="5"/>
  <c r="AM288" i="5"/>
  <c r="AM287" i="5"/>
  <c r="AM286" i="5"/>
  <c r="AM285" i="5"/>
  <c r="AM284" i="5"/>
  <c r="AM283" i="5"/>
  <c r="AM282" i="5"/>
  <c r="AM281" i="5"/>
  <c r="AM280" i="5"/>
  <c r="AM279" i="5"/>
  <c r="AM278" i="5"/>
  <c r="AM277" i="5"/>
  <c r="AM276" i="5"/>
  <c r="AM275" i="5"/>
  <c r="AM274" i="5"/>
  <c r="AM273" i="5"/>
  <c r="AM272" i="5"/>
  <c r="AM271" i="5"/>
  <c r="AM270" i="5"/>
  <c r="AM269" i="5"/>
  <c r="AM268" i="5"/>
  <c r="AM267" i="5"/>
  <c r="AM266" i="5"/>
  <c r="AM265" i="5"/>
  <c r="AM264" i="5"/>
  <c r="AM263" i="5"/>
  <c r="AM262" i="5"/>
  <c r="AM261" i="5"/>
  <c r="AM260" i="5"/>
  <c r="AM259" i="5"/>
  <c r="AM258" i="5"/>
  <c r="AM257" i="5"/>
  <c r="AM256" i="5"/>
  <c r="AM255" i="5"/>
  <c r="AM254" i="5"/>
  <c r="AM253" i="5"/>
  <c r="AM252" i="5"/>
  <c r="AM251" i="5"/>
  <c r="AM250" i="5"/>
  <c r="AM249" i="5"/>
  <c r="AM248" i="5"/>
  <c r="AM247" i="5"/>
  <c r="AM246" i="5"/>
  <c r="AM245" i="5"/>
  <c r="AM244" i="5"/>
  <c r="AM243" i="5"/>
  <c r="AM242" i="5"/>
  <c r="AM241" i="5"/>
  <c r="AM240" i="5"/>
  <c r="AM239" i="5"/>
  <c r="AM238" i="5"/>
  <c r="AM237" i="5"/>
  <c r="AM236" i="5"/>
  <c r="AM235" i="5"/>
  <c r="AM234" i="5"/>
  <c r="AM233" i="5"/>
  <c r="AM232" i="5"/>
  <c r="AM231" i="5"/>
  <c r="AM230" i="5"/>
  <c r="AM229" i="5"/>
  <c r="AM228" i="5"/>
  <c r="AM227" i="5"/>
  <c r="AM226" i="5"/>
  <c r="AM225" i="5"/>
  <c r="AM224" i="5"/>
  <c r="AM223" i="5"/>
  <c r="AM222" i="5"/>
  <c r="AM221" i="5"/>
  <c r="AM220" i="5"/>
  <c r="AM219" i="5"/>
  <c r="AM218" i="5"/>
  <c r="AM217" i="5"/>
  <c r="AM216" i="5"/>
  <c r="AM215" i="5"/>
  <c r="AM214" i="5"/>
  <c r="AM213" i="5"/>
  <c r="AM212" i="5"/>
  <c r="AM211" i="5"/>
  <c r="AM210" i="5"/>
  <c r="AM209" i="5"/>
  <c r="AM208" i="5"/>
  <c r="AM207" i="5"/>
  <c r="AM206" i="5"/>
  <c r="AM205" i="5"/>
  <c r="AM204" i="5"/>
  <c r="AM203" i="5"/>
  <c r="AM202" i="5"/>
  <c r="AM201" i="5"/>
  <c r="AM200" i="5"/>
  <c r="AM199" i="5"/>
  <c r="AM198" i="5"/>
  <c r="AM197" i="5"/>
  <c r="AM196" i="5"/>
  <c r="AM195" i="5"/>
  <c r="AM194" i="5"/>
  <c r="AM193" i="5"/>
  <c r="AM192" i="5"/>
  <c r="AM191" i="5"/>
  <c r="AM190" i="5"/>
  <c r="AM189" i="5"/>
  <c r="AM188" i="5"/>
  <c r="AM187" i="5"/>
  <c r="AM186" i="5"/>
  <c r="AM185" i="5"/>
  <c r="AM184" i="5"/>
  <c r="AM183" i="5"/>
  <c r="AM182" i="5"/>
  <c r="AM181" i="5"/>
  <c r="AM180" i="5"/>
  <c r="AM179" i="5"/>
  <c r="AM178" i="5"/>
  <c r="AM177" i="5"/>
  <c r="AM176" i="5"/>
  <c r="AM175" i="5"/>
  <c r="AM174" i="5"/>
  <c r="AM173" i="5"/>
  <c r="AM172" i="5"/>
  <c r="AM171" i="5"/>
  <c r="AM170" i="5"/>
  <c r="AM169" i="5"/>
  <c r="AM168" i="5"/>
  <c r="AM167" i="5"/>
  <c r="AM166" i="5"/>
  <c r="AM165" i="5"/>
  <c r="AM164" i="5"/>
  <c r="AM163" i="5"/>
  <c r="AM162" i="5"/>
  <c r="AM161" i="5"/>
  <c r="AM160" i="5"/>
  <c r="AM159" i="5"/>
  <c r="AM158" i="5"/>
  <c r="AM157" i="5"/>
  <c r="AM156" i="5"/>
  <c r="AM155" i="5"/>
  <c r="AM154" i="5"/>
  <c r="AM153" i="5"/>
  <c r="AM152" i="5"/>
  <c r="AM151" i="5"/>
  <c r="AM150" i="5"/>
  <c r="AM149" i="5"/>
  <c r="AM148" i="5"/>
  <c r="AM147" i="5"/>
  <c r="AM146" i="5"/>
  <c r="AM145" i="5"/>
  <c r="AM144" i="5"/>
  <c r="AM143" i="5"/>
  <c r="AM142" i="5"/>
  <c r="AM141" i="5"/>
  <c r="AM140" i="5"/>
  <c r="AM139" i="5"/>
  <c r="AM138" i="5"/>
  <c r="AM137" i="5"/>
  <c r="AM136" i="5"/>
  <c r="AM135" i="5"/>
  <c r="AM134" i="5"/>
  <c r="AM133" i="5"/>
  <c r="AM132" i="5"/>
  <c r="AM131" i="5"/>
  <c r="AM130" i="5"/>
  <c r="AM129" i="5"/>
  <c r="AM128" i="5"/>
  <c r="AM127" i="5"/>
  <c r="AM126" i="5"/>
  <c r="AM125" i="5"/>
  <c r="AM124" i="5"/>
  <c r="AM123" i="5"/>
  <c r="AM122" i="5"/>
  <c r="AM121" i="5"/>
  <c r="AM120" i="5"/>
  <c r="AM119" i="5"/>
  <c r="AM118" i="5"/>
  <c r="AM117" i="5"/>
  <c r="AM116" i="5"/>
  <c r="AM115" i="5"/>
  <c r="AM114" i="5"/>
  <c r="AM113" i="5"/>
  <c r="AM112" i="5"/>
  <c r="AM111" i="5"/>
  <c r="AM110" i="5"/>
  <c r="AM109" i="5"/>
  <c r="AM108" i="5"/>
  <c r="AM107" i="5"/>
  <c r="AM106" i="5"/>
  <c r="AM105" i="5"/>
  <c r="AM104" i="5"/>
  <c r="AM103" i="5"/>
  <c r="AM102" i="5"/>
  <c r="AM101" i="5"/>
  <c r="AM100" i="5"/>
  <c r="AM99" i="5"/>
  <c r="AM98" i="5"/>
  <c r="AM97" i="5"/>
  <c r="AM96" i="5"/>
  <c r="AM95" i="5"/>
  <c r="AM94" i="5"/>
  <c r="AM93" i="5"/>
  <c r="AM92" i="5"/>
  <c r="AM91" i="5"/>
  <c r="AM90" i="5"/>
  <c r="AM89" i="5"/>
  <c r="AM88" i="5"/>
  <c r="AM87" i="5"/>
  <c r="AM86" i="5"/>
  <c r="AM85" i="5"/>
  <c r="AM84" i="5"/>
  <c r="AM83" i="5"/>
  <c r="AM82" i="5"/>
  <c r="AM81" i="5"/>
  <c r="AM80" i="5"/>
  <c r="AM79" i="5"/>
  <c r="AM78" i="5"/>
  <c r="AM77" i="5"/>
  <c r="AM76" i="5"/>
  <c r="AM75" i="5"/>
  <c r="AM74" i="5"/>
  <c r="AM73" i="5"/>
  <c r="AM72" i="5"/>
  <c r="AM71" i="5"/>
  <c r="AM70" i="5"/>
  <c r="AM69" i="5"/>
  <c r="AM68" i="5"/>
  <c r="AM67" i="5"/>
  <c r="AM66" i="5"/>
  <c r="AM65" i="5"/>
  <c r="AM64" i="5"/>
  <c r="AM63" i="5"/>
  <c r="AM62" i="5"/>
  <c r="AM61" i="5"/>
  <c r="AM60" i="5"/>
  <c r="AM59" i="5"/>
  <c r="AM58" i="5"/>
  <c r="AM57" i="5"/>
  <c r="AM56" i="5"/>
  <c r="AM55" i="5"/>
  <c r="AM54" i="5"/>
  <c r="AM53" i="5"/>
  <c r="AM52" i="5"/>
  <c r="AM51" i="5"/>
  <c r="AM50" i="5"/>
  <c r="AM49" i="5"/>
  <c r="AM48" i="5"/>
  <c r="AM47" i="5"/>
  <c r="AM46" i="5"/>
  <c r="AM45" i="5"/>
  <c r="AM44" i="5"/>
  <c r="AM43" i="5"/>
  <c r="AM42" i="5"/>
  <c r="AM41" i="5"/>
  <c r="AM40" i="5"/>
  <c r="AM39" i="5"/>
  <c r="AM38" i="5"/>
  <c r="AM37" i="5"/>
  <c r="AM36" i="5"/>
  <c r="AM35" i="5"/>
  <c r="AM34" i="5"/>
  <c r="AM33" i="5"/>
  <c r="AM32" i="5"/>
  <c r="AM31" i="5"/>
  <c r="AM30" i="5"/>
  <c r="AM29" i="5"/>
  <c r="AM28" i="5"/>
  <c r="AM27" i="5"/>
  <c r="AM26" i="5"/>
  <c r="AM25" i="5"/>
  <c r="AM24" i="5"/>
  <c r="AM23" i="5"/>
  <c r="AM22" i="5"/>
  <c r="AM21" i="5"/>
  <c r="AM20" i="5"/>
  <c r="AM19" i="5"/>
  <c r="AM18" i="5"/>
  <c r="AM17" i="5"/>
  <c r="AM16" i="5"/>
  <c r="AG15" i="5"/>
  <c r="AM14" i="5"/>
  <c r="AM13" i="5"/>
  <c r="AM12" i="5"/>
  <c r="AM11" i="5"/>
  <c r="AM10" i="5"/>
  <c r="AM9" i="5"/>
  <c r="AM8" i="5"/>
  <c r="AM7" i="5"/>
  <c r="AM6" i="5"/>
  <c r="AM5" i="5"/>
  <c r="AM4" i="5"/>
  <c r="AM3" i="5"/>
  <c r="AM2" i="5"/>
  <c r="AU447" i="1"/>
  <c r="AU448" i="1"/>
  <c r="AU452" i="1"/>
  <c r="AU459" i="1"/>
  <c r="AU460" i="1"/>
  <c r="AU461" i="1"/>
  <c r="AU462" i="1"/>
  <c r="AU463" i="1"/>
  <c r="AU464" i="1"/>
  <c r="AU471" i="1"/>
  <c r="AU472" i="1"/>
  <c r="AU473" i="1"/>
  <c r="AU474" i="1"/>
  <c r="AU476" i="1"/>
  <c r="AU477" i="1"/>
  <c r="AU483" i="1"/>
  <c r="AU484" i="1"/>
  <c r="AU485" i="1"/>
  <c r="AU486" i="1"/>
  <c r="AU495" i="1"/>
  <c r="AU497" i="1"/>
  <c r="AU499" i="1"/>
  <c r="AU500" i="1"/>
  <c r="AU501" i="1"/>
  <c r="AU502" i="1"/>
  <c r="AU507" i="1"/>
  <c r="AU508" i="1"/>
  <c r="AU512" i="1"/>
  <c r="AU519" i="1"/>
  <c r="AU520" i="1"/>
  <c r="AU521" i="1"/>
  <c r="AU522" i="1"/>
  <c r="AU523" i="1"/>
  <c r="AU524" i="1"/>
  <c r="AU531" i="1"/>
  <c r="AU532" i="1"/>
  <c r="AU533" i="1"/>
  <c r="AU535" i="1"/>
  <c r="AU536" i="1"/>
  <c r="AU537" i="1"/>
  <c r="AU538" i="1"/>
  <c r="AU543" i="1"/>
  <c r="AU544" i="1"/>
  <c r="AU548" i="1"/>
  <c r="AU555" i="1"/>
  <c r="AU556" i="1"/>
  <c r="AU557" i="1"/>
  <c r="AU558" i="1"/>
  <c r="AU559" i="1"/>
  <c r="AU560" i="1"/>
  <c r="AU567" i="1"/>
  <c r="AU568" i="1"/>
  <c r="AU569" i="1"/>
  <c r="AU571" i="1"/>
  <c r="AU572" i="1"/>
  <c r="AU573" i="1"/>
  <c r="AU574" i="1"/>
  <c r="AU579" i="1"/>
  <c r="AU580" i="1"/>
  <c r="AU584" i="1"/>
  <c r="AU591" i="1"/>
  <c r="AU592" i="1"/>
  <c r="AU593" i="1"/>
  <c r="AU594" i="1"/>
  <c r="AU595" i="1"/>
  <c r="AU596" i="1"/>
  <c r="AU603" i="1"/>
  <c r="AU604" i="1"/>
  <c r="AU605" i="1"/>
  <c r="AU607" i="1"/>
  <c r="AU608" i="1"/>
  <c r="AU609" i="1"/>
  <c r="AU610" i="1"/>
  <c r="AU615" i="1"/>
  <c r="AU616" i="1"/>
  <c r="AU620" i="1"/>
  <c r="AU627" i="1"/>
  <c r="AU628" i="1"/>
  <c r="AU629" i="1"/>
  <c r="AU630" i="1"/>
  <c r="AU631" i="1"/>
  <c r="AU632" i="1"/>
  <c r="AU639" i="1"/>
  <c r="AU640" i="1"/>
  <c r="AU641" i="1"/>
  <c r="AS447" i="1"/>
  <c r="AS448" i="1"/>
  <c r="AS449" i="1"/>
  <c r="AS450" i="1"/>
  <c r="AS459" i="1"/>
  <c r="AS460" i="1"/>
  <c r="AS462" i="1"/>
  <c r="AS463" i="1"/>
  <c r="AS471" i="1"/>
  <c r="AS472" i="1"/>
  <c r="AS473" i="1"/>
  <c r="AS474" i="1"/>
  <c r="AS475" i="1"/>
  <c r="AS485" i="1"/>
  <c r="AS486" i="1"/>
  <c r="AS487" i="1"/>
  <c r="AS488" i="1"/>
  <c r="AS489" i="1"/>
  <c r="AS490" i="1"/>
  <c r="AS495" i="1"/>
  <c r="AS497" i="1"/>
  <c r="AS498" i="1"/>
  <c r="AS499" i="1"/>
  <c r="AS500" i="1"/>
  <c r="AS501" i="1"/>
  <c r="AS502" i="1"/>
  <c r="AS503" i="1"/>
  <c r="AS507" i="1"/>
  <c r="AS508" i="1"/>
  <c r="AS510" i="1"/>
  <c r="AS511" i="1"/>
  <c r="AS512" i="1"/>
  <c r="AS513" i="1"/>
  <c r="AS514" i="1"/>
  <c r="AS515" i="1"/>
  <c r="AS516" i="1"/>
  <c r="AS519"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8" i="1"/>
  <c r="AS567" i="1"/>
  <c r="AS568" i="1"/>
  <c r="AS570" i="1"/>
  <c r="AS579" i="1"/>
  <c r="AS580" i="1"/>
  <c r="AS582" i="1"/>
  <c r="AS591" i="1"/>
  <c r="AS593" i="1"/>
  <c r="AS603" i="1"/>
  <c r="AS604" i="1"/>
  <c r="AS605" i="1"/>
  <c r="AS606" i="1"/>
  <c r="AS607" i="1"/>
  <c r="AP447" i="1"/>
  <c r="AP448" i="1"/>
  <c r="AP450" i="1"/>
  <c r="AP451" i="1"/>
  <c r="AP452" i="1"/>
  <c r="AP453" i="1"/>
  <c r="AP454" i="1"/>
  <c r="AP455" i="1"/>
  <c r="AP459" i="1"/>
  <c r="AP462" i="1"/>
  <c r="AP464" i="1"/>
  <c r="AP465" i="1"/>
  <c r="AP466" i="1"/>
  <c r="AP467" i="1"/>
  <c r="AP468" i="1"/>
  <c r="AP471" i="1"/>
  <c r="AP472" i="1"/>
  <c r="AP473" i="1"/>
  <c r="AP474" i="1"/>
  <c r="AP476" i="1"/>
  <c r="AP477" i="1"/>
  <c r="AP478" i="1"/>
  <c r="AP479" i="1"/>
  <c r="AP480" i="1"/>
  <c r="AP483" i="1"/>
  <c r="AP484" i="1"/>
  <c r="AP485" i="1"/>
  <c r="AP486" i="1"/>
  <c r="AP488" i="1"/>
  <c r="AP489" i="1"/>
  <c r="AP490" i="1"/>
  <c r="AP491" i="1"/>
  <c r="AP492" i="1"/>
  <c r="AP495" i="1"/>
  <c r="AP496" i="1"/>
  <c r="AP497" i="1"/>
  <c r="AP498" i="1"/>
  <c r="AP500" i="1"/>
  <c r="AP501" i="1"/>
  <c r="AP502" i="1"/>
  <c r="AP503" i="1"/>
  <c r="AP504" i="1"/>
  <c r="AP507" i="1"/>
  <c r="AP508" i="1"/>
  <c r="AP509" i="1"/>
  <c r="AP510" i="1"/>
  <c r="AP512" i="1"/>
  <c r="AP513" i="1"/>
  <c r="AP514" i="1"/>
  <c r="AP515" i="1"/>
  <c r="AP516" i="1"/>
  <c r="AP519" i="1"/>
  <c r="AP520" i="1"/>
  <c r="AP521" i="1"/>
  <c r="AP522" i="1"/>
  <c r="AP524" i="1"/>
  <c r="AP525" i="1"/>
  <c r="AP526" i="1"/>
  <c r="AP527" i="1"/>
  <c r="AP528" i="1"/>
  <c r="AP531" i="1"/>
  <c r="AP532" i="1"/>
  <c r="AP533" i="1"/>
  <c r="AP534" i="1"/>
  <c r="AP536" i="1"/>
  <c r="AP537" i="1"/>
  <c r="AP538" i="1"/>
  <c r="AP539" i="1"/>
  <c r="AP540" i="1"/>
  <c r="AP543" i="1"/>
  <c r="AP544" i="1"/>
  <c r="AP545" i="1"/>
  <c r="AP546" i="1"/>
  <c r="AP548" i="1"/>
  <c r="AP549" i="1"/>
  <c r="AP550" i="1"/>
  <c r="AP551" i="1"/>
  <c r="AP552" i="1"/>
  <c r="AP555" i="1"/>
  <c r="AP556" i="1"/>
  <c r="AP557" i="1"/>
  <c r="AP558" i="1"/>
  <c r="AP560" i="1"/>
  <c r="AP561" i="1"/>
  <c r="AP562" i="1"/>
  <c r="AP563" i="1"/>
  <c r="AP564" i="1"/>
  <c r="AP567" i="1"/>
  <c r="AP568" i="1"/>
  <c r="AP569" i="1"/>
  <c r="AP572" i="1"/>
  <c r="AP573" i="1"/>
  <c r="AP574" i="1"/>
  <c r="AP575" i="1"/>
  <c r="AP576" i="1"/>
  <c r="AP577" i="1"/>
  <c r="AP580" i="1"/>
  <c r="AP582" i="1"/>
  <c r="AP584" i="1"/>
  <c r="AP585" i="1"/>
  <c r="AP586" i="1"/>
  <c r="AP587" i="1"/>
  <c r="AP588" i="1"/>
  <c r="AP589" i="1"/>
  <c r="AP592" i="1"/>
  <c r="AP594" i="1"/>
  <c r="AP596" i="1"/>
  <c r="AP597" i="1"/>
  <c r="AP598" i="1"/>
  <c r="AP599" i="1"/>
  <c r="AP600" i="1"/>
  <c r="AP601" i="1"/>
  <c r="AP603" i="1"/>
  <c r="AP604" i="1"/>
  <c r="AP605" i="1"/>
  <c r="AP606" i="1"/>
  <c r="AP607" i="1"/>
  <c r="AP608" i="1"/>
  <c r="AP609" i="1"/>
  <c r="AP610" i="1"/>
  <c r="AP611" i="1"/>
  <c r="AP612" i="1"/>
  <c r="AP613" i="1"/>
  <c r="AP615" i="1"/>
  <c r="AP616" i="1"/>
  <c r="AP617" i="1"/>
  <c r="AP618" i="1"/>
  <c r="AP619" i="1"/>
  <c r="AP620" i="1"/>
  <c r="AP621" i="1"/>
  <c r="AP622" i="1"/>
  <c r="AP623" i="1"/>
  <c r="AP624" i="1"/>
  <c r="AP625" i="1"/>
  <c r="AP627" i="1"/>
  <c r="AP628" i="1"/>
  <c r="AP629" i="1"/>
  <c r="AP630" i="1"/>
  <c r="AP631" i="1"/>
  <c r="AP632" i="1"/>
  <c r="AP633" i="1"/>
  <c r="AP634" i="1"/>
  <c r="AP635" i="1"/>
  <c r="AP636" i="1"/>
  <c r="AP637" i="1"/>
  <c r="AP639" i="1"/>
  <c r="AP640" i="1"/>
  <c r="AP641" i="1"/>
  <c r="AP460" i="1"/>
  <c r="AP461" i="1"/>
  <c r="AI618" i="1"/>
  <c r="AI617" i="1"/>
  <c r="AI616" i="1"/>
  <c r="AI615" i="1"/>
  <c r="AI614" i="1"/>
  <c r="AI613" i="1"/>
  <c r="AI612" i="1"/>
  <c r="AI611" i="1"/>
  <c r="AI610" i="1"/>
  <c r="AI609" i="1"/>
  <c r="AI603" i="1"/>
  <c r="AI602" i="1"/>
  <c r="AI599" i="1"/>
  <c r="AS596" i="1"/>
  <c r="AS594" i="1"/>
  <c r="AI592" i="1"/>
  <c r="AI590" i="1"/>
  <c r="AI589" i="1"/>
  <c r="AI573" i="1"/>
  <c r="AI570" i="1"/>
  <c r="AI563" i="1"/>
  <c r="AI561" i="1"/>
  <c r="AI560" i="1"/>
  <c r="AI559" i="1"/>
  <c r="AS557" i="1"/>
  <c r="AI551" i="1"/>
  <c r="AI550" i="1"/>
  <c r="AI540" i="1"/>
  <c r="AI537" i="1"/>
  <c r="AI522" i="1"/>
  <c r="AS521" i="1"/>
  <c r="AI521" i="1"/>
  <c r="AI517" i="1"/>
  <c r="AI516" i="1"/>
  <c r="AI512" i="1"/>
  <c r="AS509" i="1"/>
  <c r="AI507" i="1"/>
  <c r="AI506" i="1"/>
  <c r="AI505" i="1"/>
  <c r="AU496" i="1"/>
  <c r="AS496" i="1"/>
  <c r="AI494" i="1"/>
  <c r="AI491" i="1"/>
  <c r="AI489" i="1"/>
  <c r="AI488" i="1"/>
  <c r="AI487" i="1"/>
  <c r="AI486" i="1"/>
  <c r="AI485" i="1"/>
  <c r="AS484" i="1"/>
  <c r="AI484" i="1"/>
  <c r="AI483" i="1"/>
  <c r="AI482" i="1"/>
  <c r="AI472" i="1"/>
  <c r="AI471" i="1"/>
  <c r="AI470" i="1"/>
  <c r="AI469" i="1"/>
  <c r="AI468" i="1"/>
  <c r="AI467" i="1"/>
  <c r="AI463" i="1"/>
  <c r="AI452" i="1"/>
  <c r="AH15" i="5" l="1"/>
  <c r="AM15" i="5"/>
  <c r="AU444" i="1"/>
  <c r="AP444" i="1"/>
  <c r="AI444" i="1"/>
  <c r="AU443" i="1"/>
  <c r="AP443" i="1"/>
  <c r="AI443" i="1"/>
  <c r="AU442" i="1"/>
  <c r="AP442" i="1"/>
  <c r="AI442" i="1"/>
  <c r="AU441" i="1"/>
  <c r="AS441" i="1"/>
  <c r="AI441" i="1"/>
  <c r="AU440" i="1"/>
  <c r="AS440" i="1"/>
  <c r="AI440" i="1"/>
  <c r="AU439" i="1"/>
  <c r="AP439" i="1"/>
  <c r="AI439" i="1"/>
  <c r="AU438" i="1"/>
  <c r="AS438" i="1"/>
  <c r="AP438" i="1"/>
  <c r="AI438" i="1"/>
  <c r="AU437" i="1"/>
  <c r="AP437" i="1"/>
  <c r="AU436" i="1"/>
  <c r="AS436" i="1"/>
  <c r="AP436" i="1"/>
  <c r="AI436" i="1"/>
  <c r="AU435" i="1"/>
  <c r="AS435" i="1"/>
  <c r="AP435" i="1"/>
  <c r="AI435" i="1"/>
  <c r="AU434" i="1"/>
  <c r="AS434" i="1"/>
  <c r="AP434" i="1"/>
  <c r="AI434" i="1"/>
  <c r="AU433" i="1"/>
  <c r="AS433" i="1"/>
  <c r="AP433" i="1"/>
  <c r="AI433" i="1"/>
  <c r="AU432" i="1"/>
  <c r="AS432" i="1"/>
  <c r="AP432" i="1"/>
  <c r="AI432" i="1"/>
  <c r="AU431" i="1"/>
  <c r="AS431" i="1"/>
  <c r="AP431" i="1"/>
  <c r="AI431" i="1"/>
  <c r="AU430" i="1"/>
  <c r="AS430" i="1"/>
  <c r="AP430" i="1"/>
  <c r="AI430" i="1"/>
  <c r="AU429" i="1"/>
  <c r="AS429" i="1"/>
  <c r="AP429" i="1"/>
  <c r="AI429" i="1"/>
  <c r="AU428" i="1"/>
  <c r="AS428" i="1"/>
  <c r="AP428" i="1"/>
  <c r="AI428" i="1"/>
  <c r="AU427" i="1"/>
  <c r="AS427" i="1"/>
  <c r="AP427" i="1"/>
  <c r="AI427" i="1"/>
  <c r="AU426" i="1"/>
  <c r="AS426" i="1"/>
  <c r="AP426" i="1"/>
  <c r="AU425" i="1"/>
  <c r="AS425" i="1"/>
  <c r="AP425" i="1"/>
  <c r="AI425" i="1"/>
  <c r="AU424" i="1"/>
  <c r="AS424" i="1"/>
  <c r="AP424" i="1"/>
  <c r="AI424" i="1"/>
  <c r="AU423" i="1"/>
  <c r="AS423" i="1"/>
  <c r="AP423" i="1"/>
  <c r="AI423" i="1"/>
  <c r="AU422" i="1"/>
  <c r="AS422" i="1"/>
  <c r="AP422" i="1"/>
  <c r="AI422" i="1"/>
  <c r="AU421" i="1"/>
  <c r="AS421" i="1"/>
  <c r="AP421" i="1"/>
  <c r="AI421" i="1"/>
  <c r="AU420" i="1"/>
  <c r="AS420" i="1"/>
  <c r="AP420" i="1"/>
  <c r="AI420" i="1"/>
  <c r="AU419" i="1"/>
  <c r="AS419" i="1"/>
  <c r="AP419" i="1"/>
  <c r="AI419" i="1"/>
  <c r="AU418" i="1"/>
  <c r="AP418" i="1"/>
  <c r="AU417" i="1"/>
  <c r="AS417" i="1"/>
  <c r="AP417" i="1"/>
  <c r="AI417" i="1"/>
  <c r="AU416" i="1"/>
  <c r="AS416" i="1"/>
  <c r="AP416" i="1"/>
  <c r="AI416" i="1"/>
  <c r="AU415" i="1"/>
  <c r="AS415" i="1"/>
  <c r="AP415" i="1"/>
  <c r="AI415" i="1"/>
  <c r="AU414" i="1"/>
  <c r="AS414" i="1"/>
  <c r="AP414" i="1"/>
  <c r="AI414" i="1"/>
  <c r="AU413" i="1"/>
  <c r="AS413" i="1"/>
  <c r="AP413" i="1"/>
  <c r="AI413" i="1"/>
  <c r="AU412" i="1"/>
  <c r="AS412" i="1"/>
  <c r="AP412" i="1"/>
  <c r="AI412" i="1"/>
  <c r="AU411" i="1"/>
  <c r="AS411" i="1"/>
  <c r="AP411" i="1"/>
  <c r="AI411" i="1"/>
  <c r="AU410" i="1"/>
  <c r="AS410" i="1"/>
  <c r="AI410" i="1"/>
  <c r="AU409" i="1"/>
  <c r="AS409" i="1"/>
  <c r="AP409" i="1"/>
  <c r="AI409" i="1"/>
  <c r="AU408" i="1"/>
  <c r="AS408" i="1"/>
  <c r="AP408" i="1"/>
  <c r="AI408" i="1"/>
  <c r="AU407" i="1"/>
  <c r="AS407" i="1"/>
  <c r="AP407" i="1"/>
  <c r="AI407" i="1"/>
  <c r="AU406" i="1"/>
  <c r="AS406" i="1"/>
  <c r="AP406" i="1"/>
  <c r="AI406" i="1"/>
  <c r="AU405" i="1"/>
  <c r="AS405" i="1"/>
  <c r="AP405" i="1"/>
  <c r="AI405" i="1"/>
  <c r="AU404" i="1"/>
  <c r="AS404" i="1"/>
  <c r="AP404" i="1"/>
  <c r="AI404" i="1"/>
  <c r="AU403" i="1"/>
  <c r="AS403" i="1"/>
  <c r="AP403" i="1"/>
  <c r="AI403" i="1"/>
  <c r="AU402" i="1"/>
  <c r="AS402" i="1"/>
  <c r="AP402" i="1"/>
  <c r="AI402" i="1"/>
  <c r="AU401" i="1"/>
  <c r="AS401" i="1"/>
  <c r="AP401" i="1"/>
  <c r="AI401" i="1"/>
  <c r="AU400" i="1"/>
  <c r="AS400" i="1"/>
  <c r="AP400" i="1"/>
  <c r="AI400" i="1"/>
  <c r="AU399" i="1"/>
  <c r="AS399" i="1"/>
  <c r="AP399" i="1"/>
  <c r="AI399" i="1"/>
  <c r="AU398" i="1"/>
  <c r="AS398" i="1"/>
  <c r="AP398" i="1"/>
  <c r="AI398" i="1"/>
  <c r="AU397" i="1"/>
  <c r="AS397" i="1"/>
  <c r="AP397" i="1"/>
  <c r="AI397" i="1"/>
  <c r="AU396" i="1"/>
  <c r="AP396" i="1"/>
  <c r="AU395" i="1"/>
  <c r="AS395" i="1"/>
  <c r="AP395" i="1"/>
  <c r="AI395" i="1"/>
  <c r="AU394" i="1"/>
  <c r="AS394" i="1"/>
  <c r="AP394" i="1"/>
  <c r="AI394" i="1"/>
  <c r="AU393" i="1"/>
  <c r="AP393" i="1"/>
  <c r="AU392" i="1"/>
  <c r="AS392" i="1"/>
  <c r="AP392" i="1"/>
  <c r="AI392" i="1"/>
  <c r="AU391" i="1"/>
  <c r="AS391" i="1"/>
  <c r="AP391" i="1"/>
  <c r="AI391" i="1"/>
  <c r="AU390" i="1"/>
  <c r="AS390" i="1"/>
  <c r="AP390" i="1"/>
  <c r="AI390" i="1"/>
  <c r="AU389" i="1"/>
  <c r="AP389" i="1"/>
  <c r="AU388" i="1"/>
  <c r="AS388" i="1"/>
  <c r="AP388" i="1"/>
  <c r="AI388" i="1"/>
  <c r="AU387" i="1"/>
  <c r="AP387" i="1"/>
  <c r="AU386" i="1"/>
  <c r="AS386" i="1"/>
  <c r="AP386" i="1"/>
  <c r="AI386" i="1"/>
  <c r="AU385" i="1"/>
  <c r="AS385" i="1"/>
  <c r="AP385" i="1"/>
  <c r="AI385" i="1"/>
  <c r="AU384" i="1"/>
  <c r="AS384" i="1"/>
  <c r="AP384" i="1"/>
  <c r="AI384" i="1"/>
  <c r="AU383" i="1"/>
  <c r="AP383" i="1"/>
  <c r="AI383" i="1"/>
  <c r="AU382" i="1"/>
  <c r="AS382" i="1"/>
  <c r="AP382" i="1"/>
  <c r="AI382" i="1"/>
  <c r="AU381" i="1"/>
  <c r="AS381" i="1"/>
  <c r="AP381" i="1"/>
  <c r="AI381" i="1"/>
  <c r="AU380" i="1"/>
  <c r="AS380" i="1"/>
  <c r="AP380" i="1"/>
  <c r="AI380" i="1"/>
  <c r="AU379" i="1"/>
  <c r="AS379" i="1"/>
  <c r="AP379" i="1"/>
  <c r="AI379" i="1"/>
  <c r="AU378" i="1"/>
  <c r="AS378" i="1"/>
  <c r="AP378" i="1"/>
  <c r="AI378" i="1"/>
  <c r="AU377" i="1"/>
  <c r="AS377" i="1"/>
  <c r="AP377" i="1"/>
  <c r="AI377" i="1"/>
  <c r="AU376" i="1"/>
  <c r="AP376" i="1"/>
  <c r="AU375" i="1"/>
  <c r="AP375" i="1"/>
  <c r="AU374" i="1"/>
  <c r="AS374" i="1"/>
  <c r="AP374" i="1"/>
  <c r="AI374" i="1"/>
  <c r="AU373" i="1"/>
  <c r="AS373" i="1"/>
  <c r="AP373" i="1"/>
  <c r="AU372" i="1"/>
  <c r="AS372" i="1"/>
  <c r="AP372" i="1"/>
  <c r="AI372" i="1"/>
  <c r="AU371" i="1"/>
  <c r="AP371" i="1"/>
  <c r="AU370" i="1"/>
  <c r="AS370" i="1"/>
  <c r="AP370" i="1"/>
  <c r="AU369" i="1"/>
  <c r="AS369" i="1"/>
  <c r="AP369" i="1"/>
  <c r="AI369" i="1"/>
  <c r="AU368" i="1"/>
  <c r="AS368" i="1"/>
  <c r="AP368" i="1"/>
  <c r="AI368" i="1"/>
  <c r="AU367" i="1"/>
  <c r="AS367" i="1"/>
  <c r="AP367" i="1"/>
  <c r="AI367" i="1"/>
  <c r="AU366" i="1"/>
  <c r="AS366" i="1"/>
  <c r="AP366" i="1"/>
  <c r="AI366" i="1"/>
  <c r="AU365" i="1"/>
  <c r="AS365" i="1"/>
  <c r="AP365" i="1"/>
  <c r="AI365" i="1"/>
  <c r="AU364" i="1"/>
  <c r="AS364" i="1"/>
  <c r="AP364" i="1"/>
  <c r="AI364" i="1"/>
  <c r="AU363" i="1"/>
  <c r="AS363" i="1"/>
  <c r="AP363" i="1"/>
  <c r="AI363" i="1"/>
  <c r="AU362" i="1"/>
  <c r="AS362" i="1"/>
  <c r="AP362" i="1"/>
  <c r="AI362" i="1"/>
  <c r="AU361" i="1"/>
  <c r="AS361" i="1"/>
  <c r="AP361" i="1"/>
  <c r="AI361" i="1"/>
  <c r="AU360" i="1"/>
  <c r="AS360" i="1"/>
  <c r="AP360" i="1"/>
  <c r="AI360" i="1"/>
  <c r="AU359" i="1"/>
  <c r="AS359" i="1"/>
  <c r="AP359" i="1"/>
  <c r="AI359" i="1"/>
  <c r="AU358" i="1"/>
  <c r="AS358" i="1"/>
  <c r="AP358" i="1"/>
  <c r="AI358" i="1"/>
  <c r="AU357" i="1"/>
  <c r="AS357" i="1"/>
  <c r="AP357" i="1"/>
  <c r="AI357" i="1"/>
  <c r="AU356" i="1"/>
  <c r="AS356" i="1"/>
  <c r="AP356" i="1"/>
  <c r="AI356" i="1"/>
  <c r="AU355" i="1"/>
  <c r="AS355" i="1"/>
  <c r="AP355" i="1"/>
  <c r="AI355" i="1"/>
  <c r="AU354" i="1"/>
  <c r="AS354" i="1"/>
  <c r="AP354" i="1"/>
  <c r="AI354" i="1"/>
  <c r="AU353" i="1"/>
  <c r="AS353" i="1"/>
  <c r="AP353" i="1"/>
  <c r="AI353" i="1"/>
  <c r="AU352" i="1"/>
  <c r="AS352" i="1"/>
  <c r="AP352" i="1"/>
  <c r="AI352" i="1"/>
  <c r="AU351" i="1"/>
  <c r="AS351" i="1"/>
  <c r="AP351" i="1"/>
  <c r="AI351" i="1"/>
  <c r="AU350" i="1"/>
  <c r="AS350" i="1"/>
  <c r="AP350" i="1"/>
  <c r="AI350" i="1"/>
  <c r="AU349" i="1"/>
  <c r="AS349" i="1"/>
  <c r="AP349" i="1"/>
  <c r="AI349" i="1"/>
  <c r="AU348" i="1"/>
  <c r="AS348" i="1"/>
  <c r="AP348" i="1"/>
  <c r="AI348" i="1"/>
  <c r="AU347" i="1"/>
  <c r="AS347" i="1"/>
  <c r="AP347" i="1"/>
  <c r="AI347" i="1"/>
  <c r="AU346" i="1"/>
  <c r="AS346" i="1"/>
  <c r="AP346" i="1"/>
  <c r="AI346" i="1"/>
  <c r="AU345" i="1"/>
  <c r="AS345" i="1"/>
  <c r="AP345" i="1"/>
  <c r="AI345" i="1"/>
  <c r="AU344" i="1"/>
  <c r="AS344" i="1"/>
  <c r="AP344" i="1"/>
  <c r="AI344" i="1"/>
  <c r="AU343" i="1"/>
  <c r="AS343" i="1"/>
  <c r="AP343" i="1"/>
  <c r="AI343" i="1"/>
  <c r="AU342" i="1"/>
  <c r="AS342" i="1"/>
  <c r="AP342" i="1"/>
  <c r="AI342" i="1"/>
  <c r="AU341" i="1"/>
  <c r="AS341" i="1"/>
  <c r="AP341" i="1"/>
  <c r="AI341" i="1"/>
  <c r="AU340" i="1"/>
  <c r="AS340" i="1"/>
  <c r="AP340" i="1"/>
  <c r="AI340" i="1"/>
  <c r="AU339" i="1"/>
  <c r="AS339" i="1"/>
  <c r="AP339" i="1"/>
  <c r="AI339" i="1"/>
  <c r="AU338" i="1"/>
  <c r="AS338" i="1"/>
  <c r="AP338" i="1"/>
  <c r="AI338" i="1"/>
  <c r="AU337" i="1"/>
  <c r="AS337" i="1"/>
  <c r="AP337" i="1"/>
  <c r="AI337" i="1"/>
  <c r="AU336" i="1"/>
  <c r="AS336" i="1"/>
  <c r="AP336" i="1"/>
  <c r="AI336" i="1"/>
  <c r="AU335" i="1"/>
  <c r="AS335" i="1"/>
  <c r="AU334" i="1"/>
  <c r="AS334" i="1"/>
  <c r="AP334" i="1"/>
  <c r="AI334" i="1"/>
  <c r="AU333" i="1"/>
  <c r="AS333" i="1"/>
  <c r="AP333" i="1"/>
  <c r="AI333" i="1"/>
  <c r="AU332" i="1"/>
  <c r="AS332" i="1"/>
  <c r="AP332" i="1"/>
  <c r="AI332" i="1"/>
  <c r="AU331" i="1"/>
  <c r="AS331" i="1"/>
  <c r="AP331" i="1"/>
  <c r="AI331" i="1"/>
  <c r="AU330" i="1"/>
  <c r="AS330" i="1"/>
  <c r="AP330" i="1"/>
  <c r="AI330" i="1"/>
  <c r="AU329" i="1"/>
  <c r="AS329" i="1"/>
  <c r="AP329" i="1"/>
  <c r="AI329" i="1"/>
  <c r="AU328" i="1"/>
  <c r="AS328" i="1"/>
  <c r="AP328" i="1"/>
  <c r="AI328" i="1"/>
  <c r="AU327" i="1"/>
  <c r="AS327" i="1"/>
  <c r="AP327" i="1"/>
  <c r="AI327" i="1"/>
  <c r="AU326" i="1"/>
  <c r="AS326" i="1"/>
  <c r="AP326" i="1"/>
  <c r="AI326" i="1"/>
  <c r="AU325" i="1"/>
  <c r="AS325" i="1"/>
  <c r="AP325" i="1"/>
  <c r="AI325" i="1"/>
  <c r="AU324" i="1"/>
  <c r="AS324" i="1"/>
  <c r="AP324" i="1"/>
  <c r="AI324" i="1"/>
  <c r="AU323" i="1"/>
  <c r="AS323" i="1"/>
  <c r="AP323" i="1"/>
  <c r="AI323" i="1"/>
  <c r="AU322" i="1"/>
  <c r="AP322" i="1"/>
  <c r="AU321" i="1"/>
  <c r="AS321" i="1"/>
  <c r="AP321" i="1"/>
  <c r="AI321" i="1"/>
  <c r="AU320" i="1"/>
  <c r="AS320" i="1"/>
  <c r="AP320" i="1"/>
  <c r="AI320" i="1"/>
  <c r="AU319" i="1"/>
  <c r="AS319" i="1"/>
  <c r="AP319" i="1"/>
  <c r="AI319" i="1"/>
  <c r="AU318" i="1"/>
  <c r="AS318" i="1"/>
  <c r="AP318" i="1"/>
  <c r="AI318" i="1"/>
  <c r="AU317" i="1"/>
  <c r="AS317" i="1"/>
  <c r="AP317" i="1"/>
  <c r="AI317" i="1"/>
  <c r="AU316" i="1"/>
  <c r="AS316" i="1"/>
  <c r="AP316" i="1"/>
  <c r="AI316" i="1"/>
  <c r="AU315" i="1"/>
  <c r="AS315" i="1"/>
  <c r="AP315" i="1"/>
  <c r="AI315" i="1"/>
  <c r="AU314" i="1"/>
  <c r="AS314" i="1"/>
  <c r="AP314" i="1"/>
  <c r="AI314" i="1"/>
  <c r="AU313" i="1"/>
  <c r="AS313" i="1"/>
  <c r="AP313" i="1"/>
  <c r="AI313" i="1"/>
  <c r="AU312" i="1"/>
  <c r="AS312" i="1"/>
  <c r="AP312" i="1"/>
  <c r="AI312" i="1"/>
  <c r="AU311" i="1"/>
  <c r="AS311" i="1"/>
  <c r="AP311" i="1"/>
  <c r="AI311" i="1"/>
  <c r="AU310" i="1"/>
  <c r="AS310" i="1"/>
  <c r="AP310" i="1"/>
  <c r="AI310" i="1"/>
  <c r="AU309" i="1"/>
  <c r="AS309" i="1"/>
  <c r="AP309" i="1"/>
  <c r="AI309" i="1"/>
  <c r="AU308" i="1"/>
  <c r="AS308" i="1"/>
  <c r="AP308" i="1"/>
  <c r="AI308" i="1"/>
  <c r="AU307" i="1"/>
  <c r="AS307" i="1"/>
  <c r="AP307" i="1"/>
  <c r="AI307" i="1"/>
  <c r="AU306" i="1"/>
  <c r="AS306" i="1"/>
  <c r="AP306" i="1"/>
  <c r="AI306" i="1"/>
  <c r="AU305" i="1"/>
  <c r="AS305" i="1"/>
  <c r="AP305" i="1"/>
  <c r="AI305" i="1"/>
  <c r="AU304" i="1"/>
  <c r="AS304" i="1"/>
  <c r="AP304" i="1"/>
  <c r="AI304" i="1"/>
  <c r="AU303" i="1"/>
  <c r="AS303" i="1"/>
  <c r="AP303" i="1"/>
  <c r="AI303" i="1"/>
  <c r="AU302" i="1"/>
  <c r="AS302" i="1"/>
  <c r="AP302" i="1"/>
  <c r="AI302" i="1"/>
  <c r="AU301" i="1"/>
  <c r="AS301" i="1"/>
  <c r="AP301" i="1"/>
  <c r="AI301" i="1"/>
  <c r="AU300" i="1"/>
  <c r="AS300" i="1"/>
  <c r="AU299" i="1"/>
  <c r="AP299" i="1"/>
  <c r="AU298" i="1"/>
  <c r="AS298" i="1"/>
  <c r="AP298" i="1"/>
  <c r="AI298" i="1"/>
  <c r="AU297" i="1"/>
  <c r="AS297" i="1"/>
  <c r="AP297" i="1"/>
  <c r="AI297" i="1"/>
  <c r="AU296" i="1"/>
  <c r="AS296" i="1"/>
  <c r="AP296" i="1"/>
  <c r="AI296" i="1"/>
  <c r="AU295" i="1"/>
  <c r="AS295" i="1"/>
  <c r="AP295" i="1"/>
  <c r="AI295" i="1"/>
  <c r="AU294" i="1"/>
  <c r="AP294" i="1"/>
  <c r="AU293" i="1"/>
  <c r="AP293" i="1"/>
  <c r="AI293" i="1"/>
  <c r="AU292" i="1"/>
  <c r="AS292" i="1"/>
  <c r="AP292" i="1"/>
  <c r="AI292" i="1"/>
  <c r="AU291" i="1"/>
  <c r="AS291" i="1"/>
  <c r="AP291" i="1"/>
  <c r="AI291" i="1"/>
  <c r="AU290" i="1"/>
  <c r="AS290" i="1"/>
  <c r="AP290" i="1"/>
  <c r="AI290" i="1"/>
  <c r="AU289" i="1"/>
  <c r="AS289" i="1"/>
  <c r="AP289" i="1"/>
  <c r="AI289" i="1"/>
  <c r="AU288" i="1"/>
  <c r="AS288" i="1"/>
  <c r="AP288" i="1"/>
  <c r="AI288" i="1"/>
  <c r="AU287" i="1"/>
  <c r="AS287" i="1"/>
  <c r="AP287" i="1"/>
  <c r="AI287" i="1"/>
  <c r="AU286" i="1"/>
  <c r="AS286" i="1"/>
  <c r="AP286" i="1"/>
  <c r="AI286" i="1"/>
  <c r="AU285" i="1"/>
  <c r="AS285" i="1"/>
  <c r="AP285" i="1"/>
  <c r="AI285" i="1"/>
  <c r="AU284" i="1"/>
  <c r="AS284" i="1"/>
  <c r="AP284" i="1"/>
  <c r="AI284" i="1"/>
  <c r="AU283" i="1"/>
  <c r="AS283" i="1"/>
  <c r="AP283" i="1"/>
  <c r="AI283" i="1"/>
  <c r="AU282" i="1"/>
  <c r="AS282" i="1"/>
  <c r="AP282" i="1"/>
  <c r="AI282" i="1"/>
  <c r="AU281" i="1"/>
  <c r="AS281" i="1"/>
  <c r="AP281" i="1"/>
  <c r="AI281" i="1"/>
  <c r="AU280" i="1"/>
  <c r="AS280" i="1"/>
  <c r="AP280" i="1"/>
  <c r="AI280" i="1"/>
  <c r="AU279" i="1"/>
  <c r="AS279" i="1"/>
  <c r="AP279" i="1"/>
  <c r="AI279" i="1"/>
  <c r="AU278" i="1"/>
  <c r="AS278" i="1"/>
  <c r="AP278" i="1"/>
  <c r="AI278" i="1"/>
  <c r="AU277" i="1"/>
  <c r="AS277" i="1"/>
  <c r="AP277" i="1"/>
  <c r="AI277" i="1"/>
  <c r="AU276" i="1"/>
  <c r="AS276" i="1"/>
  <c r="AP276" i="1"/>
  <c r="AI276" i="1"/>
  <c r="AU275" i="1"/>
  <c r="AS275" i="1"/>
  <c r="AP275" i="1"/>
  <c r="AI275" i="1"/>
  <c r="AU274" i="1"/>
  <c r="AS274" i="1"/>
  <c r="AP274" i="1"/>
  <c r="AI274" i="1"/>
  <c r="AU273" i="1"/>
  <c r="AS273" i="1"/>
  <c r="AP273" i="1"/>
  <c r="AU272" i="1"/>
  <c r="AS272" i="1"/>
  <c r="AP272" i="1"/>
  <c r="AI272" i="1"/>
  <c r="AU271" i="1"/>
  <c r="AS271" i="1"/>
  <c r="AP271" i="1"/>
  <c r="AI271" i="1"/>
  <c r="AU270" i="1"/>
  <c r="AS270" i="1"/>
  <c r="AU269" i="1"/>
  <c r="AS269" i="1"/>
  <c r="AP269" i="1"/>
  <c r="AI269" i="1"/>
  <c r="AU268" i="1"/>
  <c r="AS268" i="1"/>
  <c r="AP268" i="1"/>
  <c r="AI268" i="1"/>
  <c r="AU267" i="1"/>
  <c r="AS267" i="1"/>
  <c r="AP267" i="1"/>
  <c r="AI267" i="1"/>
  <c r="AU266" i="1"/>
  <c r="AS266" i="1"/>
  <c r="AP266" i="1"/>
  <c r="AI266" i="1"/>
  <c r="AU265" i="1"/>
  <c r="AS265" i="1"/>
  <c r="AP265" i="1"/>
  <c r="AI265" i="1"/>
  <c r="AU264" i="1"/>
  <c r="AS264" i="1"/>
  <c r="AP264" i="1"/>
  <c r="AI264" i="1"/>
  <c r="AU263" i="1"/>
  <c r="AS263" i="1"/>
  <c r="AP263" i="1"/>
  <c r="AI263" i="1"/>
  <c r="AU262" i="1"/>
  <c r="AS262" i="1"/>
  <c r="AP262" i="1"/>
  <c r="AI262" i="1"/>
  <c r="AU261" i="1"/>
  <c r="AS261" i="1"/>
  <c r="AP261" i="1"/>
  <c r="AI261" i="1"/>
  <c r="AU260" i="1"/>
  <c r="AS260" i="1"/>
  <c r="AP260" i="1"/>
  <c r="AI260" i="1"/>
  <c r="AU259" i="1"/>
  <c r="AS259" i="1"/>
  <c r="AP259" i="1"/>
  <c r="AI259" i="1"/>
  <c r="AU110" i="1" l="1"/>
  <c r="AU111" i="1"/>
  <c r="AU112" i="1"/>
  <c r="AU113" i="1"/>
  <c r="AU114" i="1"/>
  <c r="AU115" i="1"/>
  <c r="AU116" i="1"/>
  <c r="AU117" i="1"/>
  <c r="AU118" i="1"/>
  <c r="AU119"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70" i="1"/>
  <c r="AU171" i="1"/>
  <c r="AU172" i="1"/>
  <c r="AU173" i="1"/>
  <c r="AU174" i="1"/>
  <c r="AU175" i="1"/>
  <c r="AU176" i="1"/>
  <c r="AU177" i="1"/>
  <c r="AU178" i="1"/>
  <c r="AU179" i="1"/>
  <c r="AU180"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8" i="1"/>
  <c r="AP109" i="1"/>
  <c r="AP110" i="1"/>
  <c r="AP111"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5" i="1"/>
  <c r="AP256" i="1"/>
  <c r="AP257" i="1"/>
  <c r="AP258"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U205"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U181" i="1"/>
  <c r="AI181" i="1"/>
  <c r="AI180" i="1"/>
  <c r="AI179" i="1"/>
  <c r="AI178" i="1"/>
  <c r="AI177" i="1"/>
  <c r="AI176" i="1"/>
  <c r="AI175" i="1"/>
  <c r="AI174" i="1"/>
  <c r="AI173" i="1"/>
  <c r="AI172" i="1"/>
  <c r="AI171" i="1"/>
  <c r="AI170" i="1"/>
  <c r="AU169" i="1"/>
  <c r="AI169" i="1"/>
  <c r="AI168" i="1"/>
  <c r="AI167" i="1"/>
  <c r="AI166" i="1"/>
  <c r="AI165" i="1"/>
  <c r="AI164" i="1"/>
  <c r="AI163" i="1"/>
  <c r="AI162" i="1"/>
  <c r="AI161" i="1"/>
  <c r="AI160" i="1"/>
  <c r="AI159" i="1"/>
  <c r="AI158" i="1"/>
  <c r="AI157" i="1"/>
  <c r="AI156" i="1"/>
  <c r="AI155" i="1"/>
  <c r="AI154" i="1"/>
  <c r="AI153" i="1"/>
  <c r="AI152" i="1"/>
  <c r="AI151" i="1"/>
  <c r="AI150" i="1"/>
  <c r="AI149" i="1"/>
  <c r="AI148" i="1"/>
  <c r="AI147" i="1"/>
  <c r="AI146" i="1"/>
  <c r="AU145" i="1"/>
  <c r="AI145" i="1"/>
  <c r="AI144" i="1"/>
  <c r="AI143" i="1"/>
  <c r="AI142" i="1"/>
  <c r="AI141" i="1"/>
  <c r="AI140" i="1"/>
  <c r="AI139" i="1"/>
  <c r="AI138" i="1"/>
  <c r="AI137" i="1"/>
  <c r="AI136" i="1"/>
  <c r="AI135" i="1"/>
  <c r="AI134" i="1"/>
  <c r="AI133" i="1"/>
  <c r="AI132" i="1"/>
  <c r="AI131" i="1"/>
  <c r="AI130" i="1"/>
  <c r="AI129" i="1"/>
  <c r="AI128" i="1"/>
  <c r="AI127" i="1"/>
  <c r="AI126" i="1"/>
  <c r="AI125" i="1"/>
  <c r="AI124" i="1"/>
  <c r="AI123" i="1"/>
  <c r="AI122" i="1"/>
  <c r="AU121" i="1"/>
  <c r="AI121" i="1"/>
  <c r="AU120" i="1"/>
  <c r="AI120" i="1"/>
  <c r="AI119" i="1"/>
  <c r="AI118" i="1"/>
  <c r="AI117" i="1"/>
  <c r="AI116" i="1"/>
  <c r="AI115" i="1"/>
  <c r="AI114" i="1"/>
  <c r="AI113" i="1"/>
  <c r="AP112" i="1"/>
  <c r="AI112" i="1"/>
  <c r="AI111" i="1"/>
  <c r="AI110" i="1"/>
  <c r="AU109" i="1"/>
  <c r="AI109" i="1"/>
  <c r="AO15" i="1" l="1"/>
  <c r="AP12" i="1"/>
  <c r="AS75" i="1"/>
  <c r="AP10" i="1"/>
  <c r="AP50" i="1"/>
  <c r="AS36" i="1"/>
  <c r="AU3" i="1"/>
  <c r="AU4" i="1"/>
  <c r="AU5" i="1"/>
  <c r="AU6" i="1"/>
  <c r="AU7" i="1"/>
  <c r="AU8" i="1"/>
  <c r="AU9" i="1"/>
  <c r="AU10" i="1"/>
  <c r="AU11" i="1"/>
  <c r="AU12" i="1"/>
  <c r="AU13" i="1"/>
  <c r="AU14"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7" i="1"/>
  <c r="AS38" i="1"/>
  <c r="AS39" i="1"/>
  <c r="AS40" i="1"/>
  <c r="AS41" i="1"/>
  <c r="AS42" i="1"/>
  <c r="AS43" i="1"/>
  <c r="AS44" i="1"/>
  <c r="AS45" i="1"/>
  <c r="AS46" i="1"/>
  <c r="AS47" i="1"/>
  <c r="AS48" i="1"/>
  <c r="AS49" i="1"/>
  <c r="AS50" i="1"/>
  <c r="AS51" i="1"/>
  <c r="AS52" i="1"/>
  <c r="AS53" i="1"/>
  <c r="AS55" i="1"/>
  <c r="AS56" i="1"/>
  <c r="AS57" i="1"/>
  <c r="AS58" i="1"/>
  <c r="AS59" i="1"/>
  <c r="AS60" i="1"/>
  <c r="AS61" i="1"/>
  <c r="AS62" i="1"/>
  <c r="AS63" i="1"/>
  <c r="AS64" i="1"/>
  <c r="AS65" i="1"/>
  <c r="AS66" i="1"/>
  <c r="AS67" i="1"/>
  <c r="AS68" i="1"/>
  <c r="AS69" i="1"/>
  <c r="AS70" i="1"/>
  <c r="AS71" i="1"/>
  <c r="AS72" i="1"/>
  <c r="AS73" i="1"/>
  <c r="AS74"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2" i="1"/>
  <c r="AP54" i="1"/>
  <c r="AP55" i="1"/>
  <c r="AP56" i="1"/>
  <c r="AP57" i="1"/>
  <c r="AP58" i="1"/>
  <c r="AP59" i="1"/>
  <c r="AP60" i="1"/>
  <c r="AP61"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3" i="1"/>
  <c r="AP4" i="1"/>
  <c r="AP5" i="1"/>
  <c r="AP6" i="1"/>
  <c r="AP7" i="1"/>
  <c r="AP8" i="1"/>
  <c r="AP9" i="1"/>
  <c r="AP11" i="1"/>
  <c r="AP13" i="1"/>
  <c r="AP14"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1" i="1"/>
  <c r="AP52" i="1"/>
  <c r="AP53" i="1"/>
  <c r="AP2" i="1"/>
  <c r="AU15" i="1" l="1"/>
  <c r="AP15"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6" i="1"/>
  <c r="AI107" i="1"/>
  <c r="AI108" i="1"/>
  <c r="AI2" i="1" l="1"/>
</calcChain>
</file>

<file path=xl/sharedStrings.xml><?xml version="1.0" encoding="utf-8"?>
<sst xmlns="http://schemas.openxmlformats.org/spreadsheetml/2006/main" count="33105" uniqueCount="3194">
  <si>
    <t>Número Requisicion</t>
  </si>
  <si>
    <t>Empresa</t>
  </si>
  <si>
    <t>Unidad</t>
  </si>
  <si>
    <t>Fecha Recepción</t>
  </si>
  <si>
    <t>Fecha de aprobación Requisición</t>
  </si>
  <si>
    <t>Regional</t>
  </si>
  <si>
    <t>Ciudad</t>
  </si>
  <si>
    <t>Tipo Servicio</t>
  </si>
  <si>
    <t>Cargo Solicitado</t>
  </si>
  <si>
    <t>Tipo Cargo Solicitado</t>
  </si>
  <si>
    <t>Psicologo Responsable</t>
  </si>
  <si>
    <t># Personas Solicitadas</t>
  </si>
  <si>
    <t>Estado Requisición</t>
  </si>
  <si>
    <t>Fecha Afinamiento Perfil</t>
  </si>
  <si>
    <t># hojas de vida presentadas al cliente</t>
  </si>
  <si>
    <t>¿Pertenece a la Primera Terna?</t>
  </si>
  <si>
    <t>Fecha entrega hoja de vida al cliente</t>
  </si>
  <si>
    <t>Fecha de aprobación de HV por el cliente</t>
  </si>
  <si>
    <t>Número de hojas de vida aprobadas por el cliente</t>
  </si>
  <si>
    <t>Fecha de envio del perfil</t>
  </si>
  <si>
    <t>Fecha Publicación de Concurso</t>
  </si>
  <si>
    <t>Fecha entrega matriz de inscritos</t>
  </si>
  <si>
    <t>Fecha Notificación quienes continúan a prueba técnica</t>
  </si>
  <si>
    <t>Fecha aplicación Prueba técnica</t>
  </si>
  <si>
    <t>Fecha envío prueba técnica al cliente</t>
  </si>
  <si>
    <t>Fecha Notificación quienes continúan a proceso de selección</t>
  </si>
  <si>
    <t>Número de personas evaluadas</t>
  </si>
  <si>
    <t>Número de informes entregados</t>
  </si>
  <si>
    <t>Número de referencias</t>
  </si>
  <si>
    <t>Fecha de entrega de informe al cliente</t>
  </si>
  <si>
    <t>Fecha de notificación del cliente persona seleccionada</t>
  </si>
  <si>
    <t>Fecha de solicitud contratacion</t>
  </si>
  <si>
    <t>Fecha Firma Contrato o Cierre de requisición</t>
  </si>
  <si>
    <t>Fecha de Ingreso</t>
  </si>
  <si>
    <t>Mes</t>
  </si>
  <si>
    <t>Candidato(s) contratado(s):</t>
  </si>
  <si>
    <t>Observacion</t>
  </si>
  <si>
    <t>Efectividad reclutamiento</t>
  </si>
  <si>
    <t>Oportunidad en el proceso de reclutamiento</t>
  </si>
  <si>
    <t>Oportunidad en proceso de Selección</t>
  </si>
  <si>
    <t>Dias a Descontar Selección</t>
  </si>
  <si>
    <t>Oportunidad Selección</t>
  </si>
  <si>
    <t>Oportunidad en proceso de Contratación</t>
  </si>
  <si>
    <t>Dias a Descontar Contratación</t>
  </si>
  <si>
    <t>Oportunidad Contratacion</t>
  </si>
  <si>
    <t>Tiempo Total Proceso</t>
  </si>
  <si>
    <t>Oportunidad SyC</t>
  </si>
  <si>
    <t>Fuente de Reclutamiento</t>
  </si>
  <si>
    <t>Ultima empresa donde trabajó</t>
  </si>
  <si>
    <t>FUNDACION COOMEVA</t>
  </si>
  <si>
    <t>MEDELLIN</t>
  </si>
  <si>
    <t>VACANTE DESDE RECLUTAMIENTO</t>
  </si>
  <si>
    <t>CARGO COMERCIAL</t>
  </si>
  <si>
    <t>Fredy Alejandro Villada Posada</t>
  </si>
  <si>
    <t>Finalizado - Llego hasta contratacion</t>
  </si>
  <si>
    <t>0000-00-00</t>
  </si>
  <si>
    <t>No</t>
  </si>
  <si>
    <t>Juan Camilo Cuartas Echeverri</t>
  </si>
  <si>
    <t>20250520: GH solicita reclutamiento, se le solicita a GH el aval del corporativo para continuar. 20250521: Se detiene vacante hasta tener aval del corporativo. 20250618: Se reanuda proceso por cargo en estructura de la empresa, pdte enviar reclutamiento. 20250624: Se envian 3 HV (Tatiana, Isabella, Cristian), pdte retro GH. 20250701: gh solicita realizar prueba tecnica de Isabella Gonzales y Cristian Amaguaña. 20250702: se adjunta prueba tecnica. pte retro por gh. 20250704: solicitan evaluar a isabella para Analista Reg Microcredito FUN y Cristian no avanza prueba tecnica. Se activa reclutamiento. 20250707: Se envia 2 hv. pte retro por gh. 20250715: gh envia retro y solicita avanzar a prueba tecnica con Juan Carlos Roman. 20250717: se envia prueba tecnica de Juan Roman. Pte retro por gh. 20250724: gh solicita reasignar requi a la Ciudad de Medellin por cambio de la pocision. 20250724: GH notifica el cambio de RQ para la ciudad de Medellin, se informa que se tendrá en cuenta los candidatos en back de la vacante como Analista de Microcredito. 20250728: se hace el ofrecimiento a la candidata Luby Dayana Guisao quien acepta, sin embargo, se hace validacion con JI para valorar la disponibilidad de viajar. 20250801: candidata se presenta a entrevista, sin embargo, por solicitud de JI se solicita buscar nuevos candidatos considerando que la candidata podría no cumplir con los requisitos para la disponibilidad de viaje. 20250805: se comparte 1 HV a la espera de disponibilidad para entrevista. 20250806: se programa entrevista para el viernes 8 de ago. 20250811: Gh indica que no fue posible conectarse al espacio. 20250812: JI solicita programar la entrevista para el miércoles 13 y se comparten 2 HV (Marlon Pacheco) adicionales. 20250813: se presenta el candidato Marlon Pacheco y continua proceso para aplicar PS. 20250819: se comparte retroliamentacion con concepto aprobado de Marlon Pacheco 20250822: se solicita retroalimentacion a GH y JI. 20250825: JI manfiesta la intención de que el candidato sea contratado en la RQ 14772 para Analista Regional. 20250826: se continua reclutamiento. 20250827: JI mangiiesta que el candidato Marlon Pacheco desea continuar el proceso para supernumerario, sin embargo, el candidato no responde los mensajes 20250829: se comparten 2 HV para entrevista el 2 de sep. 20250902: se presetan dos candidatos, pero no aprueban proceso de entrevista. 20250908: se envían 3 HV para entrevista el 9 de sep. 20250909: se presentan dos candidatos, uno aprueba el proceso pero será tenido en cuenta para la RQ 14772 Ana de Microcrédito. 20250911: se comparte 1 HV adicional (Felipe Guerra) 20250916: se comparte otra HV (Brayan Baron) y se programa entrevista para el día de hoy. Se presentan los dos candidatos, sin embargo, no aprueban proceso de entrevista iniguno de los dos. 20250922: se comparte 1 HV para considerar y se continua reclutamiento. 20250930: se programa entrevista para el 1 de oct solo con GH por falta de disponibilidad de JI y se comparte 1 HV más 20251001: se presenta 1 candidato, pero no aprueba proceso, se programa otra entrevista para el 2 de octubre y se comparte 1 Hv adicional. 20251002: se presenta 1 candidato y no aprueba proceso 20251006: se continua con reclutamiento. 20251014: se continua proceso reclutamiento ya que no hay candidatos que cumplan con el perfil.20251020: se comparte 1 HV, sin embargo, se hace validación previa ya que requiere excepción en el perfil académico y GH informa que debe cumplir con el perfil requerido 20251023: se comparte 1 HV y se programa entrevista para el 24 de oct. 20251024: se presenta el candidato pero no aprueba entrevista. 20251028: se continua reclutamiento 20251030: se continua reclutamiento 20251104: se comparte 1 HV. 20251107: candidata de la HV pendiente indica que no tiene aún disponibilidad para iniciar el proceso 20251111: candidata inidica que cuenta con disponibilidad para el 12 de nov 20251112: se presenta la candidata, pero no aprueba proceso de entrevista 20251118: se continua reclutamiento 20251124: continua reclutamiento. 20251127: se comparte 1 HV adicional para entrevista el 1 de dic. 20251201: el candidato programado no se conecta al espacio de entrevista. 20251209: se continua reclutamiento 20251212: se comparte 1 HV para ser tenida en cuenta. 20251229: Se compartio una hoja de vida pendiente de la retroalimentacion de GH 20260105: se comparte 1 HV para entrevista el 6 de enero. 20260106: se presenta Juan Camilo Cuartas y aprueba entrevista con GH, solicita programar evaluacion.20260109: se comparte retroalimentacion con concepto aprobado 20250114: se valida con GH e indican que están aun a la espera de confirmar la posibilidad de dar continuidad al candidato 20250115: GH solicita el envio a contratacion de Juan Camilo Cuartas. Se envia OC 20260119: candidato registra con novedad en ES, sin embargo, se gestiona excepcion con GH. 20260121: candidato se encuentra en apertura de cuenta y EM 20260122: candidato presenta novedad con apertura de cuenta y GH brinda autorizacion para el pago por cheque 20260123: contratacion confirma ingreso de Juan Camilo Cuartas con fecha de inicio 26 de ene</t>
  </si>
  <si>
    <t>Computrabajo</t>
  </si>
  <si>
    <t>Cooperativa Afroamericano</t>
  </si>
  <si>
    <t>CLUB LOS ANDES</t>
  </si>
  <si>
    <t>Cali</t>
  </si>
  <si>
    <t>SANTANDER DE QUILICHAO</t>
  </si>
  <si>
    <t>JEFE COMERCIAL</t>
  </si>
  <si>
    <t>JEFE/DIRECTOR/GERENTE</t>
  </si>
  <si>
    <t>Susan Bermeo Saenz</t>
  </si>
  <si>
    <t>Ricardo Carrillo Higuita</t>
  </si>
  <si>
    <t>GI Group (INSSA)</t>
  </si>
  <si>
    <t>COOMEVA</t>
  </si>
  <si>
    <t>EYD</t>
  </si>
  <si>
    <t>DIRECCION NACIONAL</t>
  </si>
  <si>
    <t>APRENDIZ SENA</t>
  </si>
  <si>
    <t>ESTUDIANTE/APRENDIZ</t>
  </si>
  <si>
    <t>Alba Lucy Alape</t>
  </si>
  <si>
    <t>Valery Palechor Acosta</t>
  </si>
  <si>
    <t>20250808: El cliente solicito reclutamiento. 20250813: Se enviaron 2 hojas de vida (Jhohan y Jhon Sebastian). 20250820:Se solicito retroalimentación 20250821:El cliente informa que realizaran entrevistas el dia Martes 26 de Agosto. 20250827:El cliente informo que el candidato citado no se presento a entrevista por tal razón solicito mas hojas de vida. 20250827:Se enviaron 2 hojas de vida (Jaider y Daniela) 20250902:Se solicito retroalimentación al cliente. 20250903: El cliente informo que esta solicitando espacio para entrevista. 20250915: Pte retro por gh. 20250924: gh envia retro, los candidatos ya no estan disponibles. Se activa reclutamiento. 20251006: Se envian 2 hv. Pte retro por gh. 20251015: gh envia retro, se solicita activar reclutamiento. 20251023: Se envian 2 hv. Pte retro por gh. 20251030: gh envia retro de hv y refiere que se programa a franci para entrevista y se solicita activar reclutamiento. 20251106: Gh solicita evaluar a franci, sin embargo solicita mas reclutamiento. 20251111: se informa a gh que la candidata Franci desiste del proceso. 20251114: Se envian 3 hv. Pte retro por gh. 20251121: gh envia retro y se activa reclutamiento. 20251124: se envian 2 hv. pte retro por gh. 20251125: gh solicita evaluar a contratar a Angela Natalia Ruales . Se programan pruebas. 20251128: Se envia OC FI 10 Dic. 20251204: se notifica a gh que se cancela proceso ya que la institucion no nos envia carta de presentacion. Se activa reclutamiento. 20251205: se envian 3 hv. Pte retro por gh. 20251215: pte retro por gh. 20251226: Pte retro por gh. 20250106: Pte retro por gh. (8) 20260106:gh solicita evaluar a Valery Palechor y solicita activar mas reclutamiento. 20260108: gh solicita avanzar contratacion con Valery Palechor. 20250109: Se envia OC FI 22 Enero.</t>
  </si>
  <si>
    <t>Bolsa de empleo Ins. Educativa</t>
  </si>
  <si>
    <t>NA</t>
  </si>
  <si>
    <t>MP</t>
  </si>
  <si>
    <t>CALI</t>
  </si>
  <si>
    <t>Maria Isabel Epia Perdomo</t>
  </si>
  <si>
    <t>N/A</t>
  </si>
  <si>
    <t>Saida Tatiana Preciado Dominguez</t>
  </si>
  <si>
    <t>20250822: Se activa reclutamiento. 20250825: Se envian 8 hv para 5 vacantes. Pte retro por gh. 20250902: gh envia retroalimentacion. Se activa reclutamiento. 20250910: Se envian 5 hv. 20250912: Se envian 3 hv pte retro por gh. 20250915: Gh solicita evaluar a Saida Preciado. Se programan pruebas. 20250919: gh solicita avanzar contratacion de Saida Preciado. pte culminar pruebas blusite para enviar OC. 20250925: Se informa a gh por instruccion de juridico que se suspenden las contrataciones de aprendices menores de edad.(52) 20250926: gh solicita activar el proceso con Saida teniendo en cuenta que es referida de Manuel Issa. Se solicita a la candidata realizar tramite para permiso de trabajo para poder enviar a contratacion. 20251209: gh informa que se contratara a Saisa para la segunda fecha de contratacion de Enero. 20251210: Se envia proceso a estudio de seguridad. (8)20251215: gh confirma estudio de seguridad. pte de gh para avanzar proceso. 20251226: Pte retro por gh. 20250106: Pte retro por gh para avanzar contratacion de Saida. 20260114: GH envia aprobacion ministerio, se continua con contratacion para ingreso 22 ene.Se descuentan 22 dias de contratacion, saida estaba realizando proceso de solicitud de permiso de trabajo.</t>
  </si>
  <si>
    <t>BANCOOMEVA</t>
  </si>
  <si>
    <t>Carolina Cordoba Betancourt</t>
  </si>
  <si>
    <t>Daniela Murillo Rios</t>
  </si>
  <si>
    <t>20250911: GH solicita reclutamiento perfil contable. 20250916: Se envian 2 HV Katherine, Laura. 20250922: GH solicita evaluar y contratar a Katherine FI 14/10. 20250926: Se informa disponibilidad de informe - Enviar con pruebas completas, GH solicita enviar a contratación cuando complete pruebas. 20251003: Se envia OC FI 14/10. 20251009: Se cancela proceso de contratación de Katherine Rodriguez por novedad en SECAP / Solicita evaluar y contratar a Laura Camila Mosquera FI 22/10 - Se informa a GH que la candidata no se encuentra disponible - Se reinicia reclutamiento. 20251010: Se envian 2 HV Ricardo, Luisa. 20251016: GH informa que los candidatos no se presentan a entrevista programada 15/10 / Se solicita reclutamiento. 20251017: Se envian 2 HV Katherin, Yina. 20251027: Se solicita retroalimentación. 20251028: GH informa que solo se cito a una candidata y no pasa entrevista, se retoma reclutamiento.20251105: se enviaron 3cv a GH.20251114: se realiza seguimiento.20251114: GH informa continaur con candidato Diego Angulo. 20251118: GH informa no continuar con diego Angulo, se activa reclutamiento. 20251124: se envian 2cv a GH.20251202: GH informa dos personas enviadas no se presentaron a entrevista, solicita reclutamiento. 20251204: se envian 2cv a GH Diego, Margi 20251204: candidatos no se ajsutan, deben ser formacion contable. 20251209: se envian 3cv con formacion contable Franyer, cristian, julian 20251216: entrevista lider 15 Dic pdt retro.20251218: GH solicita continuar en evaluacion con Julian Salazar. 20251219: Julian no aprobo veritas, los otros dos estudiantes no aprobaron entrevista, GH solicita reclutamiento. 20251222: se envian 3 cv a GH.20260105: se realiza seguimiento,20260106: GH informa evaluar a Daniela Murillo.20260109: evaluada, 20260113: se envia O.C con F.I 22 Enero.</t>
  </si>
  <si>
    <t>No aplica</t>
  </si>
  <si>
    <t>Bogota</t>
  </si>
  <si>
    <t>BOGOTA</t>
  </si>
  <si>
    <t>EJECUTIVO/A AFILIACION</t>
  </si>
  <si>
    <t>Andrea Katherine Angel Moreno</t>
  </si>
  <si>
    <t>Kevin Mauricio Bolivar Rojas</t>
  </si>
  <si>
    <t>Colmédica</t>
  </si>
  <si>
    <t>ESTUDIANTE EN PRACTICA</t>
  </si>
  <si>
    <t>Maria Paula Perez Fernandez</t>
  </si>
  <si>
    <t>GCGIA</t>
  </si>
  <si>
    <t>Caribe</t>
  </si>
  <si>
    <t>BARRANQUILLA</t>
  </si>
  <si>
    <t>EMPRESA ENVIA EL CANDIDATO</t>
  </si>
  <si>
    <t>GESTOR/A COOPERATIVO ESPECIALIZADO</t>
  </si>
  <si>
    <t>Vanessa Donado Aguas</t>
  </si>
  <si>
    <t>Referido cliente</t>
  </si>
  <si>
    <t>SALUD/ASISTENCIAL</t>
  </si>
  <si>
    <t>Francy Giraldo Santos</t>
  </si>
  <si>
    <t>Luisa Fernanda Vasquez Care</t>
  </si>
  <si>
    <t>METROSALUD</t>
  </si>
  <si>
    <t>Eillen Tatiana Garzon Guzman</t>
  </si>
  <si>
    <t>Sin experiencia</t>
  </si>
  <si>
    <t>Paola Andrea Molano Malaver</t>
  </si>
  <si>
    <t>Si</t>
  </si>
  <si>
    <t>Juana Sofia Sanchez Dueñas</t>
  </si>
  <si>
    <t>20251007: se inicia reclutamiento 20251015: Se agenda entrevista con JI, candidatos no se presentan 20251016: se continúa con reclutamiento 20251022: se agenda entrevista con JI 20251105: En reclutamiento 20251113: En reclutamiento 20251119: Entrevista con JI con 4 practicantes 20251120: Se solicita documentos 20251124: Se envia a juanita Gomez a ES, Mientras la universidad nos envia la carta de aval 20251202: continuamos a la espera de la carta de aval, practicante indica que la semana del 20 la universidad le entrega la carta apenas se matriculé.Ingreso 5 de enero</t>
  </si>
  <si>
    <t>BANCOOMEVA USC</t>
  </si>
  <si>
    <t>CONCURSO MIXTO</t>
  </si>
  <si>
    <t>AUXILIAR DIGITALIZACIÓN</t>
  </si>
  <si>
    <t>AUXILIAR/OPERATIVO</t>
  </si>
  <si>
    <t>Adriana Morales Urbano</t>
  </si>
  <si>
    <t>20251105: El cliente solicito concurso mixto. 20251107: Se envio publicacion interna. del 13 a 18 de Nov. 20251111: Se enviaron 3 hojas de vida externas (Maria Muñoz, Carolina Gutierrez, Karol Villa) 20251118: Se solicito retroalimentacion. 20251119: El cliente cito a entrevista para el Lunes 24 de Nov. 20251126:Se solicito retroalimentacion. 20251127:El cliente solicito evaluar a Adriana Morales quien se encuentra realizando su practica en la compañia. Se enviaron pruebas y se cito a entrevista para el Martes 2 de Diciembre.20251203:Se subio informe y se le informo al cliente. 20251209:Se solicito retroalimentacion. 20251212:aun no informan como se va a proceder con el proceso. 20251215: Se solicito informacion de como proceder con el proceso. (8) 20251217: El cliente solicito contratar a Adriana 20251218:Se envio a contratar con FI Enero 5.</t>
  </si>
  <si>
    <t>Menzies Aviación Colombia</t>
  </si>
  <si>
    <t>USC</t>
  </si>
  <si>
    <t>Edwin Fernando Nieves Quiñonez</t>
  </si>
  <si>
    <t>RIOHACHA</t>
  </si>
  <si>
    <t>Zharick Dalais Amaya Orellano</t>
  </si>
  <si>
    <t>20251015: Crean RQ - Posiciòn ocupada hasta el 01/Nov. 20251020: Las instituciones informan que aùn no cuentan con estudiantes inscritos en productiva. 20251114: En reunion de seguimiento se solicita revisar aprendices en Riohacha con posibilidad de pasar la posicion para esa ciudad. 20251124: Sena comparte 4 aprendices. Entrevistas programadas 25/nov para posicion de Riohacha en proceso de gestion. 20251125: Candidatos no avanzan y se comparte 1 candidato : Natanael Ipuana. 20251202: Se comparten candidatos: Zharick Amaya y Ana Fuentes quienes seran entrevistados el 4/Dic.20251209: JI salio a vacaciones sin dar retroalimentacion de las entrevistas programadas. 20251215: JI confirma que no avanzan los dos aprendices. Se retoma reclutamiento. 20251222: GH confirma avanzar en evaluacion con Zharick Dalais Amaya Orellano. Pend cambio de ciudad de Sincelejo a Riohacha. 20260108: Se comparte Zharick Dalais Amaya a contratacion para inicio de EDS con FI 22/Ene. 20260115: Candidata Zharick Dalais Amaya se encuentra en aprobacion de oferta. 20260116: confirman contratacion de Zharik Dalais Amaya con FI 22/01/2026</t>
  </si>
  <si>
    <t>Busqueda directa</t>
  </si>
  <si>
    <t>SANTA MARTA</t>
  </si>
  <si>
    <t>Norma Elena Achkar Mansour</t>
  </si>
  <si>
    <t>Katty Johanna Castillo Acosta</t>
  </si>
  <si>
    <t>Magneto</t>
  </si>
  <si>
    <t>CLARO MOVIL</t>
  </si>
  <si>
    <t>Paula Andrea Cadena Quintero</t>
  </si>
  <si>
    <t>20251016:El cliente solicito estudiantes de Call Center del insitituto PIO. 20251020:El instituto respondio que no cuentan actualmente con estudiantes en etapa practica. Se le informo al cliente y se le envio informacion de otras insitutciones que cuentan con el programa pero actualmente no tienen estudiantes disponbibles. 20251024: Se le envio al cliente correo con el estudio realizado acerca de las instituciones que ofrecen programas de Call Center y que actualmente no cuentan con estudiantes disponibles.(12) 20251030: El cliente solicito aprendices en etapa lectiva. 20251030: El cliente solicito aprendices en etapa lectiva. 20251105: Se enviaron 3 hojas de vida (Angela del Carmen Sanchez, Erika Murillo, Yuly Ordoñez) 20251110:El cliente entrevistara esta semana. 20251113:Se solicito retroalimentacion. 20251118: se solicito retroalimentacion. 20251120: Se volvio a solicitar retroalimentacion 20251124:Se envio correo solicitando retroalimentacion. (14) 20251127:El cliente envio a evaluar a Angela del Carmen. Se enviaron pruebas y se cito a entrevista para el Martes 2 de Diciembre. 20251201:Se envio una hoja de vida (Deysi Garcia) 20251202:La candidata no paso prueba veritas. 20251205:Se solicito retroalimentacion. 20251210:Se solicito retroalimentacion. 20251215:se solicito nuevamente retroalimentacion de la hv enviada el 1 de diciembre, (10) 20251217:El cliente solicito mas hojas de vida ya que la candidata no paso entrevista. 20251224: se activo Reclutamiento. 20260102:Se enviaron 3 hv Paula Andrea Cadena, Johan Manquillo, Paula Gutierrez. 20260106:El cliente envio a evaluar a Paula Cadena. Se enviaron pruebas y se cito a entrevista para el Jueves 8 Enero. 20260109:Se subio informe y se le informo al cliente. 20260113:El cliente envio a contratar a Paula Cadena. Se envio a contratacion con FI 22 ENE.</t>
  </si>
  <si>
    <t>CARTAGENA</t>
  </si>
  <si>
    <t>Cristina Isabel Hadechini Perez</t>
  </si>
  <si>
    <t>Mayra Isabel Torres Bayona</t>
  </si>
  <si>
    <t>20251023: Crean RQ - Solicitan evaluar a Ellen Gonzalez quien habìa estado en proceso el 2023. 20251028: Candidata Pte por Veritas. 20251030: Se solicita aval para validar Bachiller toda vez que la candidata no cuenta con otros estudios. 20251106: Comparten exepciòn por formaciòn. 20251107: Se comparte reporte evaluativo y se avanzar con ES. 20251110: Se comparte novedad en bases - Piden ampliaciòn. 20251118: Se confima el no avance del proceso - Se comparten: Natalia - Alfredo - Freddy. 20251124: Solicitan nuevos candidatos. 20251125: Se comparten: Erick - Laura - Mayra. 20251201: Se solicita informaciòn de avance. 20251202: Informan que el lìder entrevistara despues del cierre de mes. 20251205: Solicitan evaluar a Mayra Torres. 20251212: Se comparte registro evaluativo y se avanza con EDS. 20251219: Se confirma contratación de la candidata Mayra Isabel Torres Bayona, con FI. 05/01/2026</t>
  </si>
  <si>
    <t>Seguros Bolivar</t>
  </si>
  <si>
    <t>CONCURSO INTERNO</t>
  </si>
  <si>
    <t>INGENIERO/A GESTIÓN DE LA INFORMACIÓN</t>
  </si>
  <si>
    <t>ANALISTA/PROFESIONAL/COORDINADOR</t>
  </si>
  <si>
    <t>Javier Acosta Muñoz</t>
  </si>
  <si>
    <t>20251031: El cliente solicito reclutamiento. 20251106:El cliente cambio el proceso y solicito solo recltuamiento interno y publicar el concurso hasta el Viernes 14 de Noviembre. (4) 20251107:Se envio concurso interno. 20251119: Se confirmo filtro interno 20251124:Se solicito retroalimentacion. 20251201:Se solicito retroalimentación. 20251202:El cliente informa que realizaron pruebas tecnicas y apenas tengan resultados estaran citando a entrevista. 20251209:Se volvio a solicitar retroalimentacion. (13) 20251211:El cliente envio a evaluar a Javier Acosta, Santiago Gomez y Caroline Ibagos. 20251215:Santiago y Javier no han terminado pruebas. Se cito a entrevista a Caroline que ya realizo las pruebas. 20251217:Santiago Gomez y Caroline no han terminado pruebas, por tal razón no se ha podido subir los informes. (2) 20251222:Se subio informes y se le informo al cliente. (5) 20251230:Se solicito retroalimentacion. 20260105:El cliente envio a contratar a Javier Acosta. 20260106:Se envio a contratacion con FI 22 Enero</t>
  </si>
  <si>
    <t>Movimiento Interno</t>
  </si>
  <si>
    <t>Coomeva Cooperativa</t>
  </si>
  <si>
    <t>ANALISTA SERVICIOS GESTION HUMANA</t>
  </si>
  <si>
    <t>Juan David Duque Gutierrez</t>
  </si>
  <si>
    <t>20251022:GH solicita concurso mixto sin RQ por nuevo cargo. 20251027:Gh crea RQ y envia 5 hv para ofertar, ademas se agrega al perfil manejo de excel, por lo que se reinicia reclutamiento. 20251028: se envian links para publicar concurso del 31 oct al 5 nov. 20251029: se envian 4 hv de reclutamiento. 20251107: se confirmar candidatos internos a GH para revisión. 20251110: se enviaran candidatos de magneto el 11nov. 20251120: se realiza seguimiento.20251201: se realiza seguimiento.20251209: se realiza seguimiento.20251212: GH programa prueba tecnica.20251219: GH solicita evaluar Jessica y Juan Duque. 20251226: Se carga evaluacion en SF.20260102: GH solicita envia a contratacion Juan Duque. 20260105: se envia O.C F.I 13 Enero</t>
  </si>
  <si>
    <t>Coomeva UCO</t>
  </si>
  <si>
    <t>UTTD</t>
  </si>
  <si>
    <t>INGENIERO/A RPA</t>
  </si>
  <si>
    <t>Cristian Fernando Vallejo Gonzalez</t>
  </si>
  <si>
    <t>20251006: GH solicita reclutamiento con nuevo salario. 20251009: Se envian 4 hv. Pte retro por gh. 20251028: Pte retro por gh. 20251110: Pte retro por gh. 20251114: Pte retro por gh. 20251118: gh envia a Nicolas Palacio para ofertar vacante. 20251120: se confirma oferta de candidato pte retro por gh. 20251202: Pte retro por gh. (33) 20251203: gh solicita evaluar a Nicolas Palacio, Cristian Villavicencio y Cristian Vallejo. Se programan pruebas. 20251210: se confirman informes. 20251215: pte retro por gh. 20251216: gh solicita avanzar contratacion con Cristian Vallejo FI 05 ENE. 20251218: pte completar documentos para enviar OC. 20251222: Se completa documentos y se envia OC FI 05 ENE.</t>
  </si>
  <si>
    <t>CONSTRUCTORA BOLIVAR</t>
  </si>
  <si>
    <t>Cristian Fabian Guaca Imbachi</t>
  </si>
  <si>
    <t>20251030: Se activa reclutamiento. 20251105: Se informa a GH que Univalle no tiene estudiantes de estadistica. 20251106: Univalle envia 5 hv, pte ofertar. 20251111: Se envian 2 hv. pte retro por gh. (2) 20251120: gh solicita evaluar a Cristian Fabian. Se programan pruebas. 20251127: se envia informe. (3) 20251201: gh solicita avanzar contratacion para primera fecha de contratacion en Enero. 20251212: pte que Cristian envie Carta de Presentacion.(1) 20251215: Candidato envia carta. 20251216: Se envia OC FI 05 Enero. 20251229: se notifica que Cristian tiene regimen de Excepcion, Se encuentra realizando tramite, pte de la actualizacion del regimen para avanzar contratacion. Se aplaza FI para 13 ENE. SE DESCUENTAN 17 dias contratacion por requimen de excepcion de estudiante.</t>
  </si>
  <si>
    <t>Elizabeth Zapata Balarezo</t>
  </si>
  <si>
    <t>20251104: El cliente solicito reclutamiento. 20251107: Se enviaron 3 hojas de vida (Edwin Medina, Alejandra Caicedo y Diana Ramirez). 20251112: Se solicito retroalimentacion. 20251113:El cliente informa que las hojas de vida estan en revision por parte del lider. 20251118:Se solicito nuevamente retroalimentacion. 20251120: Se solicita retroalimentacion. El cliente informo que entrevistaran el Jueves 27 de Nov. (11) 20251128:El cliente informo que dos candidatos no cuentan con el nivel de excel solicitado y otra candidata se desconecto de la entrevista y solicito nuevamente reclutamiento. Se activa reclutamiento. 20251201:Se enviaron 4 hojas de vida (Cristian Pino, Edwin Medina, Elizabeth Zapata, Paulo Mondragon) 20251202:El cliente informa que los candidatos fueron citados a entrevista para el 9 de Diciembre. 20251210:Se solcito retroalimentacion. (4) 20251211:GH envio a evaluar a Elizabeth zapata y Cristian Pino. se enviaron pruebas y se citaron a entrevista para el 12 dic. 20251216: Se subio informe y se le informo al cliente. 20251217:El cliente envio a contratar a Elizabeth. 20251218: Se envio a contratacion con FI 5 Enero. 20260119:Aun la candidata no se ha podido contratar porque se encuentran cogeladas las contrataciones.</t>
  </si>
  <si>
    <t>Coworking</t>
  </si>
  <si>
    <t>Miguel Angel Soto Agudelo</t>
  </si>
  <si>
    <t>20251105: GH envia 5 hv para validar y ofertar.20251111: Se envia validación de candidatos enviados, interesados Manuel soto y Cristian Guaca. 20251114: se envia hv plan referido presidencia candidato Juan pablo Garcia.20251118: GH solicita evaluar a Manuel soto y Cristian Guaca.20251124: se carga evaluacion en SF, pdt definicion de cliente para continuar.20251128: cliente solicita continuar con Miguel. 20251204: se solicita carta a institucion. 20251201: se envia O.C con F.I 05 Enero. Se presentó demora en contratación porque la posición estaba ocupada.</t>
  </si>
  <si>
    <t>Eje Cafetero</t>
  </si>
  <si>
    <t>ARMENIA</t>
  </si>
  <si>
    <t>Natalia Aristizabal Tabares</t>
  </si>
  <si>
    <t>Daisy Julieth Correa Castaño</t>
  </si>
  <si>
    <t>20251110: Se envian 6 HV: Danelly Lizeth Gonzalez, Johan Stiven Ojeda, Sergio Ordoñez, Daisy Correa, Emmy Alejandra Forero, German Huertas. 20251113: Se solicia aplicar prueba de servicio e integridad a Daisy Correa y German Huertas. 20251119: Pendiente programación de assessment. 20251124: Se solicita avanzar con proceso de evaluación con Daisy Correa y German Huertas para tomar decisión final. 20251126: Se envian informes, pendiente si se define continuar con Daisy Correa, se debe autorizar continuidad con prueba de integridad con factor en riesgo 3. 20251128: Se recibe autorización de Johana Betancourt de gestión humana para continuar con Daisy Correa con el resultado de la prueba de integridad. Se solicita contratación con FI 10 de diciembre. 20251203:La candidata informa que no puede ingresar el 10 de diciembre, ya que tiene se gano un viaje por cumplimiento comercial en la empresa en la que labora actualmente. GH define que el ingreso quedaría para la primera fecha de enero. 20251211:La candidata firma contrato con FI 5 de enero/26. *Descontar 3 dias en proceso de seleccion por demora en programación de assessment. *Descontar 5 dias en proceso de contratacion, demora por parte de la candidata en definir fecha por disponibilidad para ingreso en diciembre, y demora en completar documentos, cuenta y carta laboral.</t>
  </si>
  <si>
    <t>American School Way</t>
  </si>
  <si>
    <t>COOMEVA EXPERIENCIA MEDICA</t>
  </si>
  <si>
    <t>NUTRICIONISTA CENTRAL CEM</t>
  </si>
  <si>
    <t>Francisco Javier Quintero Chacon</t>
  </si>
  <si>
    <t>Karen Andrea Lancheros Molano</t>
  </si>
  <si>
    <t>Compensar</t>
  </si>
  <si>
    <t>ANALISTA NAL MERCADEO</t>
  </si>
  <si>
    <t>Brayan Andres Obonaga Giron</t>
  </si>
  <si>
    <t>20251110: Se activa reclutamiento mixto. 20251112: se envia publicacion de concurso fecha maxima publicacion 17 Nov. 20251118: se envia filtro interno. Pte retro por gh. Ese mismo dia se envian 6 hv para 2 vacantes. Pte retro por gh. 20251120: gh envia retro y solicita activa reclutamiento. 20251125: evaluar y contratar a Hans Escobar. 20251128: se notifica novedad veritas. gh solicita programar entrevista. 20251201: candidato desiste de la vacante. Se activa reclutamiento. 20251204: Se envian 3 hv. Pte retro por gh. 20251215: gh solicita evaluar a German, Brayan e Ivana para las 2 vacantes activas. Se programan pruebas. 20251219: Se confirma informe y se solicita avanzar contratacion con Brayan Obonaga. 20251222: Se envia OC FI 05 ENE.</t>
  </si>
  <si>
    <t>CABLES SUPERIORES COLOMBIA S.A.S</t>
  </si>
  <si>
    <t>Jhon Nicolas Hernandez Polindara</t>
  </si>
  <si>
    <t>20251011: Se activa reclutamiento mixto. 20251112: se envia publicacion de concurso fecha maxima publicacion 17 Nov. 20251118: se envia filtro interno. Pte retro por gh. Ese mismo dia se envian 6 hv para 2 vacantes. Pte retro por gh. 20251125: gh envia nuevo rol para reclutamiento. 20251126: se envian 3 hv. pte retro por gh. 20251202: gh solicita evaluar a Jhon Nicolas Hernandez. Se programan pruebas. 20251209: Se confirma informe. 20251211: gh solicita avanzar contratacion. 20251212: pte envio de excepcion por formacion academica y veritas riesgo 3 para enviar a contratacion. 20251218: se envia excepcion y se avanza al envio OC FI 05 ENE.</t>
  </si>
  <si>
    <t>Coomeva</t>
  </si>
  <si>
    <t>Diana Carolina Marmolejo Espinosa</t>
  </si>
  <si>
    <t>20251112: Se activa reclutamiento. 20251118: Se envian 3 hv. Pte retro por gh. 20251124: pte retro por gh. (6)20251202: gh solicita evaluar a Diana Marmolejo, Leydi Marin y Diana Zuleta. Se programan pruebas. 20251210: :se confirma informes. 20251212: gh solicita avanzar con Diana Marmolejo. 20251216: Se envia OC FI 05 ENE.</t>
  </si>
  <si>
    <t>HOSPITAL DIVINO NIÑO GUADALAJARA DE BUGA</t>
  </si>
  <si>
    <t>ANALISTA OPERACIONES CREDITO Y CARTERA</t>
  </si>
  <si>
    <t>Dora Luz Cabuyales Piñeros</t>
  </si>
  <si>
    <t>20251114:GH envia candidato, se evalua martes 18 Nov. 20251121: evalaucion cargada en SF, pdt aprobacion para continuar contratación. 20251127: GH informa no avanzar con candidato referido, solicita reclutamiento. 20251203: se envian 3cv a GH Dora, Paula, Yeimi.20251216: se realiza seguimiento. 20251226: Evaluar dora cabuyales. 20251229: se carga evaluacion en sf. 20251230: enviar a contratacion dora cabuyales. 20260102: se envia O.C F.I 13 enero.20251231: rq detenido por instruccion del corporativo.20260121: uco autorizar activar contrataciones, se define F.I 23 Enero.</t>
  </si>
  <si>
    <t>Cooperativa multisoluciones</t>
  </si>
  <si>
    <t>EJECUTIVO(A) AFILIACION SAO</t>
  </si>
  <si>
    <t>Luz Adriana Walteros Gañan</t>
  </si>
  <si>
    <t>20251119: Se envian 4 HV: Jessica Alejandra Hurtado, Ana Maria Coronado, Adriana Montoya, Efrain Josue Noriega. 20251126: Se solicita aplicar pruebas a Jessica Alejandra Hurtado. 20251128: La candidata informa que desiste del proceso por otra oferta, pendiente realizar oferta a candidato que realizó proceso de selección para MI. 20251202: Se define avanzar con proceso de contratación con candidato German Antonio Huertas que habia presentado proceso para MI. Se envia orden de contratacion con FI 10 de diciembre. 20251204: Se reporta novedad en Estudio de seguridad con la que no se puede avanzar en el proceso, se solicita continuar con reclutamiento. 20251205: Se envian otras 5 HV: Nicolas Torres, Sandra Milena Torres, Luz Adriana Walteros, Andres Mauricio Ocampo, Geraldine Barney Chica. 20251210: Se solicita aplicar prueba de servicio e integridad a Luz Adriana Walteros. 20251215: Después de realizar assessment se solicita continuar con evaluación y contratación con Luz Adriana Walteros, se debe realizar validación pensional ya que la candidata tiene 47 años. 20251217: Se recibe resultado de validación pensional, con aprobación para continuar. 20251218: Se envia informe, se solicita contratación con ingreso 5 de enero. 20251230: La candidata firma contrato. *Descontar 8 dias en proceso de seleccion, el primer candidato seleccionado no pasa EDS, se debe iniciar nuevamente el proceso. *Descontar 4 dias en proceso de contratacion por demora por parte del proveedor en entregar resultado de emo y completar documentos por parte de la candidata.</t>
  </si>
  <si>
    <t>Fundación de la Mujer</t>
  </si>
  <si>
    <t>Joselin Flor Ordoñez</t>
  </si>
  <si>
    <t>AUXILIAR COMPRAS</t>
  </si>
  <si>
    <t>Breiner Steven Londoño Morales</t>
  </si>
  <si>
    <t>20251202: Se solicito reclutamiento. El cliente envio a evaluar a Breiner, se cito a entrevista para el 4 de Dic y se enviaron pruebas. 20251205:El candidato no ha terminado pruebas. 20251209:Se subio informe y se le informo al cliente. 20251211:El cliente envio a contratar a Breiner. Pendiente formato de excepcion para enviarlo a contratacion. 20251216:GH envio formato de excepcion y se envio a contratacion con FI 5 enero.</t>
  </si>
  <si>
    <t>Salome Hurtado Garcia</t>
  </si>
  <si>
    <t>20251204: GH envia Cv para evaluar ( salome) 20251205: se envian 7cv a GH.20251210: evaluacion en SF. 20251211:GH solicita contratación. 20251211: se envia O.C con F.I 05 enero. Se presentó demora en contratación porque la posición estaba ocupada.</t>
  </si>
  <si>
    <t>Maria Jose Garcia Ruiz</t>
  </si>
  <si>
    <t>20251118: se envia reclutamiento. 20251118: GH enviada 3cv, se filtran y continua Mariana. 20251118: reclutamiento comparte dos cv. 20251911: se envian candidatos a GH 1 referida y dos de reclutamiento. 20251121: GH solicita reclutamiento, candidatos no se presentaron. 20251126: se envian a GH 4cv.20251127: GH solicita evaluar a mariana y Wilson 20251127: candidatos desisten GH solicita reclutamiento. 20251204: se comparte GH 1cv Andrea.20251209: se envia 1cv Miguel. 20251212: se realiza seguimiento.20251218: se activa reclutamiento.20251223: se envian 2cv.20251226: GH informa juan david no aprobo entrevista, pdt definir candidata Maria Jose.20251229: GH informe continuar con Maria Jose. 20260105: se carga evaluacion en sf. 20260105: se envia contratacion con F.I 22 Enero.</t>
  </si>
  <si>
    <t>Laura Vanessa Molina Peñaranda</t>
  </si>
  <si>
    <t>20251031: Gh solicita evaluar a Juan Camilo Villegas, se realiza contacto con candidato, entrevista 5 Nov. 20251106: se genera evaluacion en successfactors.20251106: se envia a proceso de contratación, fecha tentativa de ingreso 18 de noviembre. 20251114: se confirma contratación.20251128: se reasigna RQ para reclutamiento.20251201: se envia a reclutamiento.20251203: se envia a cliente las dos CV.20251203: GH solicita evaluar a Michel Medina. 20251215: GH solicita contratar a Michel en espera de documentos se encuentra en proceso de solicitud contraseña.20251218: candidata michle informa dificultad en solicitar cedula debido a error en registro civil, se envian 2 cv a GH. 20251222: GH solicita evaluar a Franyer.20251226: Se evalua frayner. 20260102: No continua en proceso Franyer, se ectiva reclutamiento, se envian 3cv.20260105: GH solicita evaluar Laura Molina.20260109: evaluada,evaluacion en sf GH solicita enviar O.C 20260113: se envia a contratacion con F.I 22 Enero.</t>
  </si>
  <si>
    <t>UCO</t>
  </si>
  <si>
    <t>Natalia Cortes Hernandez</t>
  </si>
  <si>
    <t>20251119: Se activa reclutamiento. 20251124: se envian 3 hv. Pte retro por gh. 20251202: gh solicita evaluar y contratar a Natalia Cortes. Se programan pruebas. 20251209: se confirma informe. Ese mismo dia gh solicita avanzar a contratacion con Natalia. Pte carta de presentacion de candidata para avanzar. 20251216: se envia OC FI 05 Enero.</t>
  </si>
  <si>
    <t>AUXILIAR NAL CENTRAL ASISTENCIAL</t>
  </si>
  <si>
    <t>Ana Isabella Rodriguez Casas</t>
  </si>
  <si>
    <t>Centro comercial Unico</t>
  </si>
  <si>
    <t>Jeremy Gomez Ariza</t>
  </si>
  <si>
    <t>20251126: Después de realizar gestión con las Instituciones no se encuentran estudiantes disponibles en etapa productiva, Se envian 5 HV de estudiantes disponibles del Sena en etapa lectiva para inicio de productiva en julio/2026: Jeremy Gomez, Jodie Vanesa Mondragón, Angelica Viviana Cordoba. Esteban Gonzalez, Sandra Lorena Cardona. 20251202: Pendiente programar entrevista con candidatos enviados. 20251209: Se solicita continuar con proceso de evaluación y contratación con Jeremy Gomez para ingreso el 5 de enero. 20251211: Se envia informe, se solicita contratación. 20231223: Pendiente completar documentos por parte del candidato: cuenta, certificado de pensión. 20251226: El candidato firma contrato. *Descontar 3 dias en proceso de seleccion por demora en programar entrevistas despues de envio de HV. *Descontar 6 dias en proceso de contratacion, por demora en completar documentos por parte del candidato, demora en gestionar afiliación a fondo de pensión.</t>
  </si>
  <si>
    <t>AUXILIAR ADMISIONES</t>
  </si>
  <si>
    <t>Yessica Yurani Mazo Arboleda</t>
  </si>
  <si>
    <t>20251027: Se activa reclutamiento sin Requi. 20251030: se envian 4 hv pte retro por gh. 20251112: gh solicita evaluar a Mayerlin Daian Carabali. Se programan pruebas. 20251119: Se confirma informe. 20251120: Gh solicita avanzar contratacion. 20251121: Se envia OC FI 01 DIC. 20251124: Mayerli desiste del proceso teniendo en cuenta que no le interesa la oferta por 4 horas. Se activa reclutamiento. 20251203: se envia 1 hv y se continua reclutamiento 4 h. 20251209: se envian 3 hv. Pte retro por gh. 20251211: gh solicita evaluar a Yessica Maso. Se programan pruebas. 20251218: se envia informe. gh solicita avanzar. 20251222: Se envia OC FI 05 ENE.</t>
  </si>
  <si>
    <t>Clinica Occidente</t>
  </si>
  <si>
    <t>EJECUTIVO(A) SERVICIO AL CLIENTE</t>
  </si>
  <si>
    <t>Monica Alejandra Sanchez Hurtado</t>
  </si>
  <si>
    <t>20251124: Se activa reclutamiento mixto. Se envia publicacion hasta el 30 Dic. 20251202: Se confirma filtro interno. 20251204: se realiza afinamiento y se modifica perfil. Se reactiva requerimiento. 20251209: Se envian 4 hv. Pte retro por gh. 20251215: Pte retro por gh. (2) 20251218: gh envia retro y solicita activar reclutamiento. 20251222: se envia 2 hv. pte retro por gh. 20260102: gh solicita evaluar a Sofia y Monica. Se programan pruebas. 20260107: Se envia informe de Monica y se envia OC FI 22 ENE. 20260108: Se detiene contratacion hasta tener aval del corpotativo. 20260121: se retoma contratacion.</t>
  </si>
  <si>
    <t>PLUSPREVENGO</t>
  </si>
  <si>
    <t>AUXILIAR TALENTO y LIDERAZGO</t>
  </si>
  <si>
    <t>Valeria Cardona Velez</t>
  </si>
  <si>
    <t>20251124: Se activa reclutamiento mixto. 20251128: Se envia 3 hv reclutamiento externo. 20251201: Se confirma filtro interno. Pte retro por gh. 20251204: gh solicita programar pruebas a (Daniela Vidarte, Valeria Cardona, Isabella Sanchez, Juliana Sanchez, Angiee Rivas). Se programan pruebas. 20251208: gh informa que queda pendiente definir quien avanzar a evaluacion. 20251215: Pte retro por gh. 20251216: gh solicita evaluar y contratar a valeria Cardona FI 05 ENE. 20251219: Se envia informe. 20251222: Se envia OC FI 05 ENE.</t>
  </si>
  <si>
    <t>VALLEDUPAR</t>
  </si>
  <si>
    <t>Laura Daniela Barros Vasquez</t>
  </si>
  <si>
    <t>20251125: Crean RQ. 20251128: Se comparte a GH dos candidatos Michel Ospino y Alexander Ramirez, los cuales seran entrevistados el 1/Dic. 20251201: Solicitan avanzar a evaluacion con Michel Ospino. 20251202: Candidata Michel Ospino desiste del proceso. Se retoma reclutamiento. 20251205: Se camparte candidata Laura Daniela Barros Vasquez y se agenda entrevista con JI para el 6/Dic. 20251206: JI solicita avanzar proceso evaluativo con la aprendiz Laura Daniela Barros Vasquez. 20251209: Se programan pruebas a candidata seleccionada Laura Daniela Barros Vasquez. 20251215: Se confirma proceso evaluativo favorable de candidata Laura Barros y dan aval para inicar EDS. 20251215: Se comparte Laura Daniela Barros Vasquez a EDS con FI 5/ene. 202251231: Se confirma contratacion de Laura Barroz Vasquez con FI. 05/01/2025.</t>
  </si>
  <si>
    <t>Ivanna Charlotte Sanchez Gonzalez</t>
  </si>
  <si>
    <t>20251125: activa requi para evaluar y contratar a Manuel Vasquez reclutado en la requi 15253. 20251128: se notifica novedad veritas. gh solicita programar entrevista. 20251201: Se notifica a gh que el concepto no es favorable. Se activa reclutamiento. 20251204: Se envian 3 hv. Pte retro por gh. 20251215: gh solicita evaluar a German, Brayan e Ivana (referida) para las 2 vacantes activas. Se programan pruebas. 20251219: Se confirma informe y se solicita avanzar contratacion con Ivanna. 20251222: Se envia OC FI 05 ENE.</t>
  </si>
  <si>
    <t>Jesus Daniel Villamizar Montoya</t>
  </si>
  <si>
    <t>ASESOR/A INTEGRAL</t>
  </si>
  <si>
    <t>Daniela Concha Ospina</t>
  </si>
  <si>
    <t>Banco BBVA</t>
  </si>
  <si>
    <t>Catalina Gil Bedoya</t>
  </si>
  <si>
    <t>20251128:El lciente solicito reclutamiento en carreras Administrativas, mercadeo o Ingeniera Industrial. Se enviaron dos hojas de vida (Mateo Valencia y Karen Machado). El cliente solicito mas hojas de vida. 20251203:Se enviaron 5 hojas de vida (Carolina Narvaez, Genaro Hurtado, Jhon Morales, Cristina Alban, Shirley Valencia) (2) 20251209:El cliente envio a evaluar a Jhon Edward Morales y Shrley Valencia) se enviaron pruebas y se citaron a entrevista para el Jueves 11 DIC. (2) 20251210:Jhon Morales no paso prueba de integridad y Shirley no se presento a entrevista y tampoco contesta. Se le informo al cliente y se pidio retroalimentacion de los otros 5 estudiantes enviados. (5) 20251215:El cliente dio retroalimentación de cada uno de los practicantes y solicito reclutamiento. 20251216:Se enviaron 2 hv Emilsen Zañudo, Juan Daza. (3) 20251223:El cliente solicito mas reclutamiento. 20260107:Se enviaron 4 hv Angel Bermeo, Danna Sotelo, Giovanny Figueroa y Santiago Mendoza. El cliente envio a evaluar a Catalina Gil. 20260109:Se subio informe y se le inforno al cliente. El cliente envio a contratar a Catalina. Se envio con FI 22 de Ene.</t>
  </si>
  <si>
    <t>AUXILIAR REG SERV DESARROLLO EMP</t>
  </si>
  <si>
    <t>Rosa Daniela Mena Betancur</t>
  </si>
  <si>
    <t>20251128: Se envia a Reclutamiento. 20251201: Se envia para publicacion interna ( 2 Dic).20251204: Se envian de reclutamiento 4cv.20251210: se confirman candidatos internos a GH.20251216: se realiza seguimiento.20251216: candidatos seran entrevistados por lider el viernes 19 Dic.20251222: GH solicita aplicar prueba tecnica, pdt el envio de la prueba por lider.20251226: GH solicita evaluar sin prueba tecnica Victoria, Rosa, Ivan.20260105: evaluaciones en sf.20260107: GH informa enviar a contratacion Rosa Daniela.20260108: Se envia O.C con F.I 22 Enero.</t>
  </si>
  <si>
    <t>Coomeva GCGIA</t>
  </si>
  <si>
    <t>Ginna Vanessa Rodriguez Bermudez</t>
  </si>
  <si>
    <t>20251128: Se activa reclutamiento, se programan entrevistas con JI 03Dic. 20251203: Candidato no favorales en entrevista. Se continua reclutamiento. 20251205: Se programan entrevistas con JI 11Dic. 20251211: Candidata seleccionada Ginna Vanesa Rodriguez Bermudez se solicitan documentos. 20251218: Se solicita ES candidata seleccionada fecha tentativa de ingreso 05Ene. 202251231: Se congela la contratación por directriz nacional. 20260105: Se recibe autorización para ingreso fecha tentativa de ingreso 13Ene.</t>
  </si>
  <si>
    <t>HOMI</t>
  </si>
  <si>
    <t>EJECUTIVO/A AFILIACION CEM MP</t>
  </si>
  <si>
    <t>Vanesa Suarez Florez</t>
  </si>
  <si>
    <t>20251128: Se activa reclutamiento . 20251202: Se tiene programado AS para el 3 de diciembre . 20251204: Asistieron 4 candidatos pero ninguno continua a la siguiente fase. 20251209: Se tiene programado AS para el 10 de diciembre. 20251211: El cliente solicita evaluar 3 candidatos del AS realizado el dia anterior. 20251212: El candidato Sebastian Gil, se retira del proceso de seleccion. Y se procede a evaluar a Vanesa Suarez y Mariana Agudelo. 20251215: El proceso de entrevista de ambas candidatas es satisfactorio, pendiente de toma de decision del cliente . 20251216: El cliente solicita avanzar con Vanesa Suarez, si todo sale satisfactorio su ingreso seria el 5 de enero. 20251222: La candidata se encuentra en EM. 20251229: La candidata esta en recoleccion de documentos para firma de contrato. 20260102: La candidata firma contrato</t>
  </si>
  <si>
    <t>Banco Union</t>
  </si>
  <si>
    <t>Danny Alejandro Castillo Muñoz</t>
  </si>
  <si>
    <t>20251201: GH solicita evalación Danny Castillo.20251202: se carga evaluación en SF. 20251202: Cliente solicita enviar a contratación, se envia O.C con F.I 10 de Dic.20251210: candidato no envio documentos completos, se corre ingreso para el 5 de Enero</t>
  </si>
  <si>
    <t>CRUE E.S.E CENTRO</t>
  </si>
  <si>
    <t>COORDINADOR REG. CANAL DE GESTORES</t>
  </si>
  <si>
    <t>No requiere contratacion - Finalizado</t>
  </si>
  <si>
    <t>Jhoan Andres Gomez Herrera</t>
  </si>
  <si>
    <t>20251201: se activa reclutamiento 20251209: se continua en reclutamiento ya que la convocatoria mixta está abierta hasta el 13 de dic 20251212: se comparten 5 HV de candidatos internos y 8 HV de candidatos externos. 20251229: Se realiza AS el dia de hoy y se selecciona los siguiente candidatos Andres Gomez y Juan Camilo Castrillo para proceso evaluativo 20260105: candidatos se encuentran en proceso evaluativo 20260106: se comparte la retroalimentacion de los dos candidatos, a la espera de respuesta del cliente 20260109: GH confirma que la persona a ingresar en dicha vacantes es Jhoan Andres Gomez</t>
  </si>
  <si>
    <t>GESTOR/A OPERACIONES</t>
  </si>
  <si>
    <t>Karen Vanessa Cedeño Causil</t>
  </si>
  <si>
    <t>20251202:El cliente solicito reclutamiento. 20251203: Se solicito el perfil porque no esta en coonectados. (4) 20251205:El cliente envio el perfil y se activa reclutamiento. 20251209:Se envio publicación para concurso mixto. 20251216:Se confirmo filtro interno. 20251217:Se enviaron 4 hv Alejandra Toro, Marco Banguera, Mayra Garcia y Adriana Morena recomendada por el lider. 20251224:Se solicito retroalimentacion. 20260201:Se volvio a solicitar retroalimentacion. (9) 20260106:El cliente envio a evaluar a Karen Cedeño, Diego Angel, Islena Castro y Carolina Sarasty. 20260108:El cliente informo que solo evaluaramos a Karen ya que es la persona que se encuentra actualmente desempeñando el cargo. 20260113: no se ha podido subir el informe ya que la candidata no ha realizado prueba midot. (1) 20260114:Se subio informe y se le informo al cliente. 20250115:El cliente envio a contrarar a Karen pero no se ha podido enviar ya que no tenemos correo de autorizacion. 20250120:El cliente pidido enviar a la candidata a EST y Examenes en simultaneo a la candidata mientras enviar autorización para la contratacion. Se envio con FI 23 de Ene.</t>
  </si>
  <si>
    <t>Karen Eliana Lopez Moreno</t>
  </si>
  <si>
    <t>20251202: Se activa reclutamiento. 20251205: Se programan entrevistas con JI 11Dic. 20251211: Candidatos no favorables. Se programan entrevistas 18Dic. 20251218: Candidata seleccionada Karen Eliana López Moreno se solicitan documentos. 20251219: Candidata no ha podido recolectar documentos por tiempo de su trabajo actual. 20251223: Candidata indica esta en proceso de busqueda de documentos. 20251231: Candidata envia documentos pendiente diploma. 20260105: Se solicita ES candidata seleccionada fecha tentativa de ingreso 13Ene.</t>
  </si>
  <si>
    <t>Seguralia</t>
  </si>
  <si>
    <t>Daniel Avila Ponton</t>
  </si>
  <si>
    <t>20251203: Se activa reclutamiento. 20251210: Se realizan entrevistas con JI candidata seleccionada ANGELA JANNETH RIOS VALENZUELA se solicitan documentos. 20251216: Se solicita excepción de estudios. 20251218: Se solicita ES fecha tentativa de ingreso 05Ene. 20251219: Candidata no favorable en estudio de seguridad. Se activa reclutamiento. 20251222: Se programan entrevistas 26 Dic. 20251226: Candidato seleccionado Daniel Avila Pontón. Se solicitan documentos. 20251230: Candidato informa salio de la ciudad y no tiene los documentos a la mano. 20260105: Se solicita ES candidato seleccionado fecha tentativa de ingreso 13Ene.</t>
  </si>
  <si>
    <t>Medplus</t>
  </si>
  <si>
    <t>NEGOCIADOR/A</t>
  </si>
  <si>
    <t>Cindy Lorena Lopez Cespedes</t>
  </si>
  <si>
    <t>20251205: Llegó proceso y se le pregunto al cliente como se realizara este proceso si sera reclutamiento o enviaran a evaluar a una persona. 20251209:El cliente aun no responde. (4) 20251211:El cliente envio a evaluar a Cindy. se enviaron pruebas. se cito a entrevista para el Martes 15. 20251215:No se pudo entrevistar ya que se tuvo que ir, se reprogramo para el Miercoles 17. (1) 20251218:Se subio informe y se le informo al cliente. 20251219:El cliente solicito contratar a Cindy. Se envio a contratacion con FI 5 Enero.</t>
  </si>
  <si>
    <t>MANIZALES</t>
  </si>
  <si>
    <t>Lady Viviana Ramos Montoya</t>
  </si>
  <si>
    <t>20251205: Se envian 5 HV: Fredy Alvaran, Luz Angela Vasquez, Lady Viviana Ramos, Mile Natalia Vasquez, Valentina Meza. 20251210: Se solicita aplicar prueba de servicio e integridad a Lady Viviana Ramos y Fredy Alvaran. 20251216: Pendiente definir candidato que avanza a contratación. 20251217: Se solicita avanzar con Lady Viviana Ramos para ingreo el 5 de enero. 20251218: Se envia informe, se solicita contratación. 20251230: La candidata firma contrato. *Descontar 4 dias en proces de contratación, por demora en completar documentos por parte de la candidata y finalizar contratación ya que la auxiliar estaba en vacaciones.</t>
  </si>
  <si>
    <t>Otras redes</t>
  </si>
  <si>
    <t>Nikolle Palechor Acosta</t>
  </si>
  <si>
    <t>20251205: Se activa reclutamiento de Tecnologia en Mercadeo y Negocios Internacionales de Antonio Jose Camacho. 20251209: se envia reporte de la institucion camacho donde indica que no hay estudiantes disponibles. gh solicita validar con otras instituciones. 20251216: se envia 1 hv y se continua en reclutamiento. 20251219: Se envian 4 hv. Pte retro por gh.(3) 20251222: gh solicita el pensum de los aprendices. 20251223: Se envia informacion. Pte retro por gh.(4) 20260106:gh solicita evaluar a Nikole y Valery Palechor y solicita activar mas reclutamiento. 20260108: gh solicita avanzar contratacion con Nikole Palechor. 20250109: Se envia OC FI 22 Enero</t>
  </si>
  <si>
    <t>TÉCNICO/A SEGURIDAD Y SALUD EN EL TRABAJO</t>
  </si>
  <si>
    <t>Yamileny Nañez Muñoz</t>
  </si>
  <si>
    <t>Proinsa</t>
  </si>
  <si>
    <t>SOLO CONTRATACION</t>
  </si>
  <si>
    <t>AUDITOR/A</t>
  </si>
  <si>
    <t>Paulin Tatiana Mesa Cardona</t>
  </si>
  <si>
    <t>20251205: gh solicita avanzar contratacion con Paulin Mesa quien fue evaluada en la requi 14634. Se solicitan documentos. 20251215: Paulin envia documentos. 20251216: Se envia OC FI 05 Enero.</t>
  </si>
  <si>
    <t>BUGA</t>
  </si>
  <si>
    <t>ASESOR/A VENTAS</t>
  </si>
  <si>
    <t>Gina Paola Arias Corral</t>
  </si>
  <si>
    <t>20251205: GH solicita aplicar prueba de integridad. Gina. 20251210: GH solicita evaluar referida. 20251215: Evaluada candidata, GH solicita enviarla a contratacion.20251216: se carga evaluacion en SF. 20251217: Se envia O.C con F.I 22 Enero, fecha de ingreso se define de acuerdo a solicutd del cliente.20251231: rq detenido por instruccion del corporativo.20260121: uco autorizar activar contrataciones, se define F.I 26 Enero por solicitud de GH.</t>
  </si>
  <si>
    <t>Bancoomeva- Accion Plus</t>
  </si>
  <si>
    <t>Santiago Carabali Juanillo</t>
  </si>
  <si>
    <t>20251210: gh solicita evaluar a jefferson malpud y santiago carabali enviados el 13 de Nov en la requi 15240. Se programan pruebas. 20251212: se informa que Jeferson no pasa veritas y Santiago no ha realizado pruebas. 20251215: pte que santiago termine pruebas para avanzar proceso. 20251216: termina pruebas y se avanzar a evaluar. 20251222: Se confirma informe y se envia OC FI 05 ENE.</t>
  </si>
  <si>
    <t>Mariana Agudelo Tobon</t>
  </si>
  <si>
    <t>20251210: Se activa reclutamiento . 20251211:Se tiene AS 20251212: El candidato Sebastian Gil, se retira del proceso de seleccion. Y se procede a evaluar a Vanesa Suarez y Mariana Agudelo. 20251215: El proceso de entrevista de ambas candidatas es satisfactorio, pendiente de toma de decision del cliente . 20251216: El cliente solicita avanzar con Mariana Agudelo, si todo sale satisfactorio su ingreso seria el 5 de enero . 20251222: La candidata se encuentra en EM . 20251229: La candidata esta en apertura de cuenta. 20251230: La candidata firma contrato</t>
  </si>
  <si>
    <t>Cindy Vanessa Gonzalez Perez</t>
  </si>
  <si>
    <t>20251215. Se tiene programado AS para el 16 de diciembre . 20251216: El cliente solicita avanzar con Vanesa Gonzalez. La cual sera evaluada de forma individual el dia 18 de diciembre . 20251222: Se envia concepto al cliente y es favorable a la espera del aval . 20251224: Se envia a contratacion a Vanessa Gonzalez con fecha de contratacion del 13 de enero. 20251229: La candidata esta en EM. 20260102: La candidata firma contrato</t>
  </si>
  <si>
    <t>Vanessa Mejia Lopez</t>
  </si>
  <si>
    <t>20251215. Se tiene programado AS para el 16 de diciembre 20251210: Se activa reclutamiento. 20251215. Se tiene programado AS para el 16 de diciembre .20251222: El AS pasado se selecciono una candidata la cual fue evaluada para otra RQ. Se tiene programado AS para el 23 de diciembre . 20251223: Se realiza AS y se selecciona para esta vacante Vanesa Mejia 20251224: Se program a proceso evaluativo con la candidata y es satisfactorio. 20251226: Se envia a proceso de contratacion con fecha del 13 de enero. 20251229. La candidata se encuentra en EM 20260107: candidata aprueba EM y se encuentra a la espera de autorizacion por parte de la nacional para apertura de cuenta y asociatividad. 20260109: La candidata firma contrat</t>
  </si>
  <si>
    <t>Emermedica</t>
  </si>
  <si>
    <t>ASESOR/A EN LOGISTICA</t>
  </si>
  <si>
    <t>Edwar Estivens Murcia Valbuena</t>
  </si>
  <si>
    <t>Adistec Colombia</t>
  </si>
  <si>
    <t>Juan Carlos Santana Poveda</t>
  </si>
  <si>
    <t>20251211: Se activa reclutamiento. 20251215: Se realizan entrevistas con JI candidato seleccionado Juan Carlos Santana Poveda se solicitan documentos. 20251218: Se solicita ES candidato seleccionado fecha tentativa de ingreso 05Ene.</t>
  </si>
  <si>
    <t>Salud Total</t>
  </si>
  <si>
    <t>Geraldine Yareli Galiano Contreras</t>
  </si>
  <si>
    <t>SIES SALUD</t>
  </si>
  <si>
    <t>Sandra Yineth Ruiz Montealegre</t>
  </si>
  <si>
    <t>20251211: Se activa reclutamiento. 20251215: Se realizan entrevistas con JI candidata seleccionada SANDRA RUIZ. Se solicitan documentos. 20251218: Se solicita ES candidata seleccionada fecha tentativa de ingreso 05Ene. 20251231: Se congela contratación por directriz nacional. 20260105: Se recibe autorización de ingreso fecha tentativa 13Ene.</t>
  </si>
  <si>
    <t>DACA TECNOLOGÍ</t>
  </si>
  <si>
    <t>Zarina Paola Diaz Cabarcas</t>
  </si>
  <si>
    <t>20251211: Crean Rq. y piden evaluar a Zaria Díaz, quien viene en BackUP desde el 13/Nov. 20251212: Se comparte registo evaluativo y se avanza EDS con Zarina. 20250126: Se confirma contratación de la colaboradora Zarina Paola Díaz Cabarcas, con FI. 05/01/2026.</t>
  </si>
  <si>
    <t>GRUPO RECORDAR</t>
  </si>
  <si>
    <t>Astrid Carolina Fontalvo Gutierrez</t>
  </si>
  <si>
    <t>20251211: Crean RQ. 20251216: Solicitan evaluar a la candidata Astrid Fontalvo, quien viene del reclutamiento en la RQ 15432 desde el 05/Dic. 20251219: Se comparte proceso evaluativo y se avanza con EDS. 20251226: Candidata en apertura de cuenta, 20260102: Se confirma contratación de la colaboradora Astrid Carolina Fontalvo Gutierrez, con FI. 05/01/2026.</t>
  </si>
  <si>
    <t>PROTECCION</t>
  </si>
  <si>
    <t>ANALISTA MTTO CUENTAS</t>
  </si>
  <si>
    <t>Miguel Antonio Villarraga Rico</t>
  </si>
  <si>
    <t>20251212: GH envia cv para evaluacion Miguel Villarraga.20251217: Se carga evaluación en SF. 20251222: GH solicita contratación. se envia O.C con F.I 05 Enero.20251231: rq detenido por instruccion del corporativo.20260121: uco autorizar activar contrataciones, se define F.I 23 Enero.</t>
  </si>
  <si>
    <t>Corficolombiana</t>
  </si>
  <si>
    <t>Sergio Andres Diaz Llanos</t>
  </si>
  <si>
    <t>0251209: Se activa reclutamiento. 20251216: Se activa backup Sergio Andres Diaz. Se solicitan documentos. 20251218: Candidato indica se le ha dificultado conseguir el diploma pero esta en tramite. 20251219: Se solicita ES candidato seleccionado Sergio Andres Diaz. Fecha tentativa de ingreso 05Ene. 20251231: Se congela contratación por directriz nacional. 20260105: Se recibe autorización de ingreso fecha tentativa 13Ene.</t>
  </si>
  <si>
    <t>Andrea Lorena Tautas Eraso</t>
  </si>
  <si>
    <t>20251215: GH crea RQ. 20251215: GH solicita continuar con Valentina, pdt que termine pruebas psico y envie documentos.20251215: solicita reclutamiento preventivo.20251223: se envian 3cv.20261229: No aprobaron proceso se activa reclutamiento. 20261229: GH solicita evaluar Jonathan David.20260106: No aprobo proceso Joonathan veritas R3, Se activa reclutamiento.20260109: se envian 1cv.20260114: GH informa evaluar a adnrea Tautas y hacer proceso simultaneo con contratación, se carga evaluacion en sf. 20260115 se envia OC con F.I 22Enero.</t>
  </si>
  <si>
    <t>IBAGUE</t>
  </si>
  <si>
    <t>Daniela Andrea Perez Sanchez</t>
  </si>
  <si>
    <t>20251215:Se activo reclutamiento. 20251222:Se enviaron 3 hv Ana Maria Gonzalez, Edinson Guillen y Vanessa Reyes. Se citaron a entrevista para el miercoles 24, tambien se cito a canddiata enviada por el lide. Daniela Perez. (8) 20251224: Ana Maria y Vanessa no se conectaron a entrevista. Edison no paso entrevista y se enviaron pruebas a Daniela. 20260102: Daniela aun no ha terminado pruebas, por tal razon no se ha podido subir el informe. (3) 20260105:Se subio informe y se le informo al cliente. 20260106:El cliente envio a contratar a Daniela. Se envio a contratacion con FI 22 de Ene.</t>
  </si>
  <si>
    <t>INGENIERO/A TREN SOLUCIONES I</t>
  </si>
  <si>
    <t>Willington Diaz Diaz</t>
  </si>
  <si>
    <t>20251215: GH envia a evalucion y contratación de Willington Diaz.20251218: se carga evaluacion en SF. 20251219: Enviar a contratacion. 20251222: se envia OC con F.I 05 Enero.</t>
  </si>
  <si>
    <t>KATA SOFTWARE</t>
  </si>
  <si>
    <t>BUCARAMANGA</t>
  </si>
  <si>
    <t>Daira Nayary Davila Suarez</t>
  </si>
  <si>
    <t>20251216: Se activa proceso. Se tenia una persona en back-up de una proceso en el mes de Octubre. Se avanza proceso evaluativo Daira Nayari Suarez. 20251218: Se envia a la candidata a contratación</t>
  </si>
  <si>
    <t>Lina Marcela Pava Mercado</t>
  </si>
  <si>
    <t>20251216: GH solicita evaluar y contratar a Lina Marcela Pava Mercado. Se programan pruebas. 20251222: se confirma informe y se envia OC FI 05 ENE.</t>
  </si>
  <si>
    <t>ASMET SALUD</t>
  </si>
  <si>
    <t>Lizeth Valencia Romero</t>
  </si>
  <si>
    <t>20251224: Asignan RQ. Se inicia reclutamiento.20251029: Solicitan EDS para la candidata Lizeth Valencia Romero, quien viene de la RQ 15473. 20260105: Congelena contrataciones - Se avanza con EDS para la candidata porque GH pide aval para contratar al 13/Ene. 20260109: Se confirma contratación de la colaboradora Lizeth Valencia Romero, con FI. 13/01/2026.</t>
  </si>
  <si>
    <t>POSTOBON SA</t>
  </si>
  <si>
    <t>Laura Estefania Romero Rosas</t>
  </si>
  <si>
    <t>20251216: GH solicita evaluar y contratar a Laura Estefania Romero Rosas. Se programan pruebas. 20251222: se confirma informe y se envia OC FI 05 ENE.</t>
  </si>
  <si>
    <t>COOSEGURIDAD</t>
  </si>
  <si>
    <t>Roosvelt Andres Cisco Epe</t>
  </si>
  <si>
    <t>20251217: GH solicita evaluar y contratar a Roosvelth Cisco Epe. Se programan pruebas. 20251222: se confirma informe y se envia OC FI 05 ENE. 20251231: Se informa a gh que candidato tiene producto en mora con la cooperativa. pte aval para avanzar contrata/. DESCONTAR 8 DIAS por que el candidato tenia un producto en mora con la cooperativa y por ello se corrio la contratacion hasta tener el aval para contratacion</t>
  </si>
  <si>
    <t>ANGIOGRAFIA DE OCCIDENTE</t>
  </si>
  <si>
    <t>Aura Maria Urrutia Saavedra</t>
  </si>
  <si>
    <t>20251217: Se activa reclutamiento, se reactiva backup AURA MARIA URRUTIA SAAVEDRA se solicitan documentos. 20251218: Se solicita ES candidato seleccionado fecha tentativa de ingreso 05Ene. 20251231: Se congela contratación por directriz nacional. 20260105: Se recibe autorizaciónd e ingreso fecha tentativa de ingreso 13Ene.</t>
  </si>
  <si>
    <t>Valentina Cruz Ceron</t>
  </si>
  <si>
    <t>20251204: se activa reclutamiento sin requi. 20251209: Se envian 10 hv. 20251210: gh solicita evaluar a Valentina Cruz (referida). Se programan pruebas. 20251217: se envia requi. 20251218: se envia informe y gh solicita avanzar. 20251222: Se envia OC FI 05 ENE.</t>
  </si>
  <si>
    <t>Valentina Burbano Machin</t>
  </si>
  <si>
    <t>20251204: se activa reclutamiento sin requi. 20251209: Se envian 10 hv. 20251211: gh solicita evaluar a Valentina Burbano. Se programan pruebas. 20251217: se envia requi. 20251218: se envia informe y gh solicita avanzar. 20251222: Se envia OC FI 05 ENE.</t>
  </si>
  <si>
    <t>IPS HORISOES</t>
  </si>
  <si>
    <t>Maycol Fernando Cordoba Lozada</t>
  </si>
  <si>
    <t>20251204: se activa reclutamiento sin requi. 20251209: Se envian 10 hv. 20251211: gh solicita evaluar a Michael Cordoba. Se programan pruebas. 20251217: se envia requi. 20251218: se envia informe y gh solicita avanzar. 20251222: Se envia OC FI 05 ENE.</t>
  </si>
  <si>
    <t>HOSPITAL UNIVERSITARIO DEL VALLE</t>
  </si>
  <si>
    <t>AUXILIAR IMAGENES DIAGNOSTICAS</t>
  </si>
  <si>
    <t>Daniela Salazar Mosquera</t>
  </si>
  <si>
    <t>20251204: se activa solicitud, pte envio de perfil para activar reclutamiento. 20251211: se envia perfil y se activa reclutamiento. 20251217: se envian 2 hv. pte retro por gh. Ese mismo dia gh solicita evaluar y contratar a Daniela Salazar (referida). Se programan pruebas. 20251219: Se confirma informe y gh solicita avanzar contratacion. 20251222: Se envia OC FI 05 ENE.</t>
  </si>
  <si>
    <t>KAFURY Y ZULUAGA SAS</t>
  </si>
  <si>
    <t>AUXILIAR ENFERMERIA</t>
  </si>
  <si>
    <t>Johana Fuentes Ardila</t>
  </si>
  <si>
    <t>Sthephany Millan Torres</t>
  </si>
  <si>
    <t>20251212: GH solicita evaluar y contratar a Sthephany Millan. 20251218: se confirma concepto favorable. 20251219: se envia OC con F.I 5 ene.</t>
  </si>
  <si>
    <t>Fundación Valle del Lili</t>
  </si>
  <si>
    <t>Michel Steven Figueroa Castro</t>
  </si>
  <si>
    <t>20251204: se activa reclutamiento sin requi. 20251210: se envian 3 hv. 20251212: GH solicita evaluar a Michel Figueroa. 20251218: se confirma concepto favorable. 20251219: se envia OC con F.I 5 ene.</t>
  </si>
  <si>
    <t>Clínica Imbanaco</t>
  </si>
  <si>
    <t>Angela Maria Piamba Rengifo</t>
  </si>
  <si>
    <t>20251212: GH solicita evaluar a Angela Piamba. 20251218: se informa concepto favorable. 20251219: se envia OC con F.I 05 ene.</t>
  </si>
  <si>
    <t>IDC Hematoncólogos</t>
  </si>
  <si>
    <t>Victoria Eugenia Plaza Zuñiga</t>
  </si>
  <si>
    <t>Hospital San Roque</t>
  </si>
  <si>
    <t>Santiago Bedoya Muñoz</t>
  </si>
  <si>
    <t>20251212: GH solicita evaluar a Santiago Bedoya. 20251218: se confirma concepto favorable. 20251219: se envia OC con F.I 5 ene.</t>
  </si>
  <si>
    <t>Clínica Colombia</t>
  </si>
  <si>
    <t>Jennifer Carolina Conde Cardozo</t>
  </si>
  <si>
    <t>20251204: se activa reclutamiento sin requi. 20251212: Se envian 5 hv. 20251217: gh solicita evaluar a Alison Marulanda y Juan Satizabal. Se programan pruebas. Ese mismo dia se envia requi. 20251219: Se decide no avanzar con los 2 candidatos. Se activa reclutamiento. 20251223: Se envian 5 hv. Pte retro por gh. 20251229: gh solicita evaluar a Jennifer Conde. Se programan pruebas. 20260105: se confirma informe y se envia OC FI 13 ENE.</t>
  </si>
  <si>
    <t>Luisa Fernanda Granada Bueno</t>
  </si>
  <si>
    <t>20251204: se activa reclutamiento sin requi. 20251212: Se envian 5 hv. 20251217: gh solicita evaluar a Alison Marulanda y Juan Satizabal. Se programan pruebas. Ese mismo dia se envia requi. 20251219: Se decide no avanzar con los 2 candidatos. Se activa reclutamiento. 20251223: Se envian 5 hv. Pte retro por gh. 20251229: gh solicita evaluar a Luisa Granada. Se programan pruebas. 20260105: se confirma informe y se envia OC FI 13 ENE.</t>
  </si>
  <si>
    <t>PLASTIKOS CIRIJANOS</t>
  </si>
  <si>
    <t>Leidy Rossana Marquez Campo</t>
  </si>
  <si>
    <t>20251201:Se activo reclutamiento. 202515:El cliente envio a evaluar a Leidy Marquez. 20251222:El cliente envio a contratar a Leidy. Se enviaro a contratacion con FI 5 Enero.</t>
  </si>
  <si>
    <t>Valeria Villegas Muñoz</t>
  </si>
  <si>
    <t>20251218: Se activa reclutamiento. 20251219: se envian 4 hv. pte retro por gh. 20251222: gh solicita evaluar a Valeria Villegas. Se programan pruebas.20251230: se envia informe. pte retro por gh. 20260108; gh solicita avanzar contratacion con Valeria. 20260109: se envia OC FI 22 Enero.</t>
  </si>
  <si>
    <t>POPAYAN</t>
  </si>
  <si>
    <t>Yurani Andrea Muñoz Bolaños</t>
  </si>
  <si>
    <t>20251222: se envia a reclutamiento.20251230: se envian 3cv a GH.20260107: se realiza seguimiento.20260108: GH solicita evaluar a Yurani Muñoz.20260112: se carga evaluacion en sf,GH solicita enviar O.C de yurani. 20260114: Se envia O.C con F.I 22 Enero.</t>
  </si>
  <si>
    <t>Banco Finandina</t>
  </si>
  <si>
    <t>AUXILIAR MAESTRAS</t>
  </si>
  <si>
    <t>Luisa Maria Cabrera Calapsu</t>
  </si>
  <si>
    <t>20251223: Se activo reclutamiento. (6) 20251230: gh solicito suspender reclutamiento y envio a evaluar a Luisa Cabrera. Se enviaron pruebas y se cito a entrevista para el 6 de Enero. 20260108:Se subio informe y se le informo al cliente. (1) 20260113:El cliente envio a contratar a Luisa. Se envio a contratacion con FI 22 ENE.</t>
  </si>
  <si>
    <t>PALMIRA</t>
  </si>
  <si>
    <t>ANALISTA REG MICROCREDITO ADMINISTRATIVO</t>
  </si>
  <si>
    <t>Paula Andrea Rojas Gonzalez</t>
  </si>
  <si>
    <t>20260106: GH solicita programar prueba tecnica paula interna y Luisa Maria externa. 20260108: se confirma prueba tecnica de Paula, laura desiste del proceso, GH solicita evaluar a Paula. 20260113: se carga evaluacion, GH solicita enviar a contratacion. 20260114: se envia O.C con F.I 22 Enero, se adjunta aprobacion del Sr Manuel Issa.</t>
  </si>
  <si>
    <t>Fundación coomeva</t>
  </si>
  <si>
    <t>CONECTAMOS FINANCIERA</t>
  </si>
  <si>
    <t>DIRECTOR/A COMERCIAL Y MERCADEO</t>
  </si>
  <si>
    <t>Hernan Eduardo Materon Botero</t>
  </si>
  <si>
    <t>20251223: GH solicita evaluación en simultaneo con contratación. 20251224: se envia O.C. con F.I 02 Enero.</t>
  </si>
  <si>
    <t>COORDINADOR/A MERCADEO</t>
  </si>
  <si>
    <t>Jean Paul Sanchez Quintero</t>
  </si>
  <si>
    <t>JEFE/A TECNOLOGIA</t>
  </si>
  <si>
    <t>Walther Mauricio Larrahondo Ocoro</t>
  </si>
  <si>
    <t>Natalia Andrea Ramirez Espitia</t>
  </si>
  <si>
    <t>RIONEGRO</t>
  </si>
  <si>
    <t>COORDINADOR DE VENTAS MP</t>
  </si>
  <si>
    <t>Santiago Montoya Gomez</t>
  </si>
  <si>
    <t>20251201: Se inicia proceso de reclutamiento por que es una posicion nueva. 20251205: Se enivan 9 hojas de vida para la validacion del cliente. 20251210: Se encuentra en entrevista 3 candidatos. 20251222: El cliente solicita avaanzar con 2 candidatos par fase evaluativa. 20251229: Se le comparte el concepto al cliente. 20251230: Se avanza proceso con el candidato Santiago, si todo sale satisfactorio su ingreso seria el 13 de enero 20260106: candidato Santiago Montoya aprueba EM y ES a la espera de aval por parte de la nacional para dar continuidad a la contratacion. 20250109: Se contrata al candidato</t>
  </si>
  <si>
    <t>Sura</t>
  </si>
  <si>
    <t>FECOOMEVA</t>
  </si>
  <si>
    <t>ANALISTA SERVICIO Y EXPERIENCIA</t>
  </si>
  <si>
    <t>Juan David Benavides Bastidas</t>
  </si>
  <si>
    <t>20251231: GH envia a Juan david para evaluacion y contratación simultaneo y garantizar ingreso 14 de Enero.20260105: Se carga evaluacion.20260105: se envia O.C con F.I 14 enero.</t>
  </si>
  <si>
    <t>CEM</t>
  </si>
  <si>
    <t>AUXILIAR SALUD</t>
  </si>
  <si>
    <t>Vivian Patricia Cortes Holguin</t>
  </si>
  <si>
    <t>20260102: gh envia hv para evaluacion Vivian cortes.20260108: se carga evaluacion en sf, GH solicita enviar a contratacion, se envia F.I para el 22 de Enero.</t>
  </si>
  <si>
    <t>ADMINISTRADOR/A CONDOMINIO</t>
  </si>
  <si>
    <t>Leidy Bibiana Muñoz Granada</t>
  </si>
  <si>
    <t>20260108: El cliente envio a evaluar a Leidy Bibiana Muñoz. Se enviaron pruebas y se cito a entrevista para Martes 13. 20260113:El cliente envio a contratar a la candidata. 20260114:Se envio a contratacion con FI 19 Ene.</t>
  </si>
  <si>
    <t>RPM Nevada</t>
  </si>
  <si>
    <t>Busqueda booleana</t>
  </si>
  <si>
    <t>Coonectados</t>
  </si>
  <si>
    <t>Facebook</t>
  </si>
  <si>
    <t>Ferias laborales</t>
  </si>
  <si>
    <t>Ferias Universitarias</t>
  </si>
  <si>
    <t>Instagram</t>
  </si>
  <si>
    <t>Linkedin</t>
  </si>
  <si>
    <t>Otras bolsas de empleo</t>
  </si>
  <si>
    <t>Whatsapp</t>
  </si>
  <si>
    <t>20251020: Se programan entrevistas con JI 22Oct. 20251022: Se realizan entrevistas con JI 2 candidatos no favorables por actitud. Se programan entrevistas 31Oct: Candidatos no se presentan. Se programan entrevistas 05Nov. 20251105: Candidatas seleccionadas ORFA CASTILLO BUSTAMANTE y HELEN VERONICA VÁSQUEZ BELTRAN se solicitan documentos. 20251110: Se solicitan documentos pendientes a las candidatas.HELEN VERONICA VÁSQUEZ BELTRAN desiste del proceso. 20251111: Se solicita ES candidata ORFA CASTILLO BUSTAMANTE fecha de ingreso tentativa 24Nov. 20251112: Candidata no favorable en validación pensional. Se activa reclutamiento. 20251114: Se organizan entrevistas con JI 19Nov. 20251119: Candidata seleccionada BLANCA APONTE SOLER se solicitan documentos. 20251124: Se solicita ES candidata seleccionada fecha tentativa de ingreso 01Dic. 20251125: Candidata no favorable en ES. Se continua reclutamiento. 20251128: Se realizan entrevistas con JI candidata seleccionada INGRI VIVIANA GONZALEZ se solicitan documentos. 20251201: Se solicita ES candidata seleccionada fecha tentativa de ingreso 10Dic. 20251203: Se realizan entrevistas con JI para tener Backup candidato seleccionado Kevin Bolivar se solicitan documentos. 20251205: Candidata viviana desiste. Se continua proceso con backup Kevin a la espera de documentos. 20251209: Se le indica al candidato documentos faltantes. 20251216: Se solicita excepción de estudios a GH. 20251218: Se solicita ES candidato KEVIN BOLIVAR fecha tentativa de ingreso 05Ene. 20251231: Se congela proceso de contratación por directriz nacional. 20260105: Se recibe aval para continuar con la contratación fecha tentativa de ingreso 13Ene.</t>
  </si>
  <si>
    <t>20251006: Se activa reclutamiento. 20251009: Se organiza entrevista candidato Daniel Felipe Pancha 15oct. 20251015: Candidato preseleccionado, sin embargo tiene contrato activo con el sena que esta intentando descargar por error en la plataforma. Se continua reclutamiento. 20251021: Se realizan entrevistas con JI candidata seleccionada Maria Jose Cardenas. Se solicitan documentos. 20251024: Candidata con contrato activo en el SENA solicita cadena de formación para dar continuidad. Se continua reclutamiento. 20251028: Se realizan entrevistas con JI candidato seleccionado ESTEBAN URDANETA se solicitan documentos. 20251031: Se solicitan documentos pendientes. 20251105: Candidato desiste del proceso. Se activa reclutamiento. 20251107: Se continua reclutamiento. 20251110: Se continua reclutamiento. 20251118: Se continua reclutamiento. 20251125: Se continua reclutamiento. 20251202: Se continua en reclutamiento. 20251205: Se realiza entrevista a Jhon Marroquin y Eillen Tatiana Garzón Guzmán desde la USC se valida agenda con GH para entrevista. 20251209: Gh indica agendar entrevista en hora de la tarde 09Dic. 20251210: Se solicitan documentos a la candidata Eillen Tatiana Garzón Guzmán, candidato Jhon Marronquin desiste. 20251212: Se le indica a la candidata documentos pendientes. 20251216: Se le solicita a la candidata documentos pendientes. 20251218: Se le informa a la candidata agilizar carta de fechas. 20251222: A la espera de registro en caprendizaje para carta de fechas. 20251226: Candidata solicita a la institución cambio de documento de TI a CC. A la espera del cambio por parte de la institución. 20251231: A la espera de cambio de documento en la plataforma del sena. 20260105: Se solicita ES candidata seleccionada Eillen Tatiana Garzón Guzmán fecha tentativa de ingreso 13Ene. 20260113: Candidata no puede ingresar, pendiente de actutlización en la plataforma sena para generar la carta de fechas. 20260115: Se le solicita a la candidata agilizar el tema para posible ingreso 22Ene. 20260122: La institución genera carta de fechas. Se solicita a contratación activar ingreso 23Ene. *+Se descuentan 12 dias al proceso de selección por demoras en la carta de fechas y actualización en el sena, se descuentan 8 días al proceso de contratación por demora en la carta de fechas**</t>
  </si>
  <si>
    <t>20251107: Se activa reclutamiento. 20251110: Se envían hv preseleccionadas a GH para validacion, a la espera de retro. 20251112: Se programan entrevistas para el 13 de Noviembre. 20251113: Con base en el espacio de hoy candidatos aptos: Irina Chaparro, karen lancheros y Maria Paula Marichal, se solicitan documentos. 20251118: Candidatos aun en documentos. 20251120: Pendiente por confirmar candidatos para enviar a ES. 20251126: Se envía a e.s. y contratación a Maria Paula Marichal con fecha tentativa de ingreso del 1 de Diciembre, con posibilidad de cambio con base en la información recibida por parte de GH. 20251201: Con base en la información recibida por parte de GH la candidata no sigue en el proceso, se retoma back up Karen Lancheros, se solicitan documentos. 20251202: Se envía a estudio de seguridad y contratación a Karen Lancheros con fecha tentativa de ingreso del 10 de Diciembre con posibilidad de cambio segun informacion recibida por parte de GH. 20251209: Con base en la información recibida la candidata presentó una novedad de salud lo que le impide ir a los exámenes médicos por lo que se brinda un plazo adicional con autorización de GH para que su ingreso se dé la primera semana de Enero por tarde, con esto la candidata irá a exámenes médicos sobre el 18 de Diciembre segun información de GH, entre tanto la candidata adelantará los demás pendientes. 20251226: Segun informacion de contratación la candidata Karen Lancheros se encuentra en apertura de cuenta.</t>
  </si>
  <si>
    <t>20251212: Se inicia reclutamiento, 20251215: El cliente solicita dar continuidad con el candidato que había quedado en back up de otro proceso previo, Edwar Estivens Murcia Valbuena. 20251216: Se solicita continuar con la OC para ingreso el 05 De enero</t>
  </si>
  <si>
    <t>20251211: Se activa reclutamiento. 20251215: Se realizan entrevistas con JI candidata seleccionada GERALDINE YARELI GALIANO CONTRERAS se solicitan documentos. 20251218: Se le indica a candidata documentos pendientes. 20251222: Candidata indica se le ha dificultado encontrar el diploma. Informa en horas de la tarde lo envia. 20251226: Candidata no ha podido conseguir el diploma indica ya lo solicito en la institución tiempo de entrega aproximado de 3 a 5 días habiles. 20260105: Se solicita ES candidata seleccionada GERALDINE YARELI GALIANO CONTRERAS fecha tentativa de ingreso 13Ene. ** Se descuentan 10 dias al proceso de selección por demora en entrega de documentos por parte de la candidata**</t>
  </si>
  <si>
    <t>20250709: GH solicita evaluacion de Anny Stephany Moreno Ruiz. 20250711: Anny ha realizado unicamente una prueba, solicita tiempo adicional para culminar las demas. 20250714: Se informa que la candidata tiene pendiente 2 pruebas. Se compromete a realizarlas ese mismo dia. Se agenda entrevistas para el 15 de julio. (3) 20250717: se informa a GH que la candidata no cumple perfil academico. 20250718: GH solicita no continuar y activar reclutamiento. 20250728: se envian 5 hv. 20250813: Se solicito retroaliementación del proceso. 20250815:El cliente informa que aún se encuentran revisando los perfiles. 20250820:Se solicito nuevamente retroalimentacion del proceso. 20250821:EL cliente informa que estan a la espera de la aprobacion del jefe para continuar con el proceso.(19) 20250827:El cliente envio a contratar a Anny candidata que ya estaba evaluada por Leidy Checa. Se envio a la candidata a contratación con excepción por formación academica. 20250902: La candidata no paso ES y se solicito mas hojas de vida. 20250903:Se solicita retroalimentación de las 5 hojas de vida enviadas el 28 de Julio. (22) 20250904: El cliente informa que ya reviso las HV, sin embargo pidio mas reclutamiento. (10) 20250910: Se enviaron 6 hojas de vida mas sin filtro tefonico. 20250919: Se solito retroalimentación de las hojas de vida enviadas. 20250926: Se volvio a solicitar retroalimentacion. El cliente informa que esta en entrevistas y el Lunes me da avances. (12) 20250930:El cliente envio a evaluar a Andres Tovar y David Barreros, se enviaron pruebas y se citaran a entrevista para 1 de Octubre. Andres Felipe Tovar no contesta. 20251003:Se cito a entrevista a Andres para el dia 6 de Octubre y se enviaron pruebas. (4) 20251008:David Barrios aun no ha terminado las pruebas Bluesite. (3)20251010:Se subio informe y se le informo al cliente. 20251016:El cliente entrevistara por ultima vez a David para tomar una decision. (4) 20251017:El cliente envio a contratar a David. 20251020: El candidato no ha enviado los documentos. (3) 20251022:Se envio a contratacion con FI Nov 4 20251023: El candidato salio con anotaciones y no se continuara proceso de contratacion. 20251027: Se le solicito al cliente retroalimentacion del proceso. (8) 20251031: GH solicita reclutamiento.20251107: Se enviaron 3 hojas de vida (Lili Nieto, Jessica Armero y Sandra Angulo) (19) 20251209:El cliente envio a evaluar a 3 personas (Leidy Pedrosa, Ricardo Carrillo, Luis Medallo). 20251210:Se enviaron 3 hojas de vida(Jose Fernando Villaquiran, Yesika Robles y Alvaro Solarte) 20251211:GH solicito pruebas para Leidy Pedrosa, Ricardo Carrillo y Luis Medolla. 20251212:Los candidatos aun no han realizado pruebas y tampoco han enviado documentos para enviarlos a estudios de seguridad. 20251215:Los candidato enviaron los documentos y fueron enviados a ES. Pendiente resultados. 20251217:El cliente envio a evlauar a los 3 candidatos. 20251219:Se envio novedad al cliente de resultados de ES. 20251222:Se reunio con el cliente para retroalimentacion de dos de los 3 canddiatos. Lady no se ha podido presentar a entrevista y se volvio a reprogramar para el 23. (6) 20251224: Se evaluo a la candidata y se le dio retroalimentación al cliente. 20251230:Se solicito retroalimentacion. 20260107: Se solicito retroaimentacion y el cliente informa que el dia de mañana tomara una decision. 20260109:El envio evaluar Jose Fernando Villaquiran. 20260114:El cliente envio a contratar a Ricardo con FI 22 Ene.</t>
  </si>
  <si>
    <t>20251125: Se activa reclutamiento. 20251126: Se envian 2 hv pte retro por gh. 20251205: Pte retro por gh. 20251216: pte retro por gh. 20251219:El cliente envio a contratar Maria Isabel Epia con FI Ene 5</t>
  </si>
  <si>
    <t>20250919: Se activa reclutamiento. 20250922: Se envian 3 hv. Pte retro por gh. 20251003: gh solicita evaluar a Santiago y activar reclutamiento. 20251006: se envian 3 hv. 20251007: se notifica a gh que santiago no realiza pruebas. pte retro de las hv enviadas. 20251027: pte retro por gh. 20251105: gh envia retro y solicita activar reclutamiento. 20251111: Se envian 3 hv. Pte retro por gh. 20251113: Se envia 1 hv adicional referida por Manuel Issa. Pte retro por gh. 20251120: gh solicita evaluar a Daniela y Luisa Bastidas. Se programan pruebas. 20251127: se confirma informe. 20251128: gh aolicita avanzar contratacion con Daniela. 20251201: Se envia OC FI 10 DIC. 20251203: se cancela proceso con Daniela, por que la candidata no le brindaran carta de presentacion. Se activa reclutamiento. 20251205: se envian 3 hv pte retro por gh. 20251215: Pte retro por gh. 20251216: gh solicita evaluar a Maria Paula Perez. Se programan pruebas. 20251222: Se confirma informe y se envia OC FI 05 ENE.</t>
  </si>
  <si>
    <t>20251016: El cliente solicito reclutamiento de aprendices de SST. 20251020:Se enviaron 3 hojas de vida (Meily Tumbo, Juan Carlos Luna, Isabella Gutierrez) 20251024:Se solicito retroalimentacion. 20251028: El cliente no ha dado retroalimentacion. 20251030:Se volvio a solicitar retroalimentacion. 20251104: Se solicto nuevamente retroalimentacion. 20251107:El cliente aun no da retroalimentacion, se volvio a preguntar. 20251110: GH entrevistara esta semana. 20251113:Se solicito retroalimentacion. 20251114: GH informa que esta a la espera de fecha y hora de entrevistas por parte del lider. 20251118: Se volvio a solicitar retroalimentacion. 20251119: GH informa que esta a la espera de fecha y hora de entrevistas por parte del lider. 20251121:Se volvio a solicitar retroalimentacion. 20251124: Se envio correo informando que se va a detener el proceso. 20251128: GH Informa que los candidatos ya no se estan disponibles. Se envio correo solicitando que se debe de gestionar las entrevistas mas rapido ya que los aprendices se ajustan rapido. 20251201:Se activa reclutamiento. 20251202:Se enviaron 2 hojas de vida (Maria Jose Hurtado, Giseth Rodriguez) 20251205:Se solicito retroalimentacion. 20251210:Se solicito retroalimentacion. 20251212:aun no dan retroalimentacion. 20251224:Se solicito retroalimentacion. El cliente informa que las canddiatas ya esta realizando practicas. 20251226:Se activa reclutamiento. 20251226:El cliente solicito evaluar a Edwin nieves, candidato que se habia enviado para la RQ 15283. Ya no sera perfil SST y se contratara con esta RQ. 20250105:Se subio informe y se le informo al cliente. 20260113:Se solicito nuevamente retroalimentacion de la evaluacion realizada a edwin. 20260114:El cliente envio a contratar a Edwin. Se envio a contratacion con FI 22 Ene.</t>
  </si>
  <si>
    <t>20251202: Se reactiva reclutamento teniendo en cuenta que no se cubre la pocision con curso cerrado. ese mismo dia se envian 2 hv. Pte retro por gh. 20251205: gh envia retro y se activa reclutamiento. Ese mismo dia se envian 3 hv. Pte retro por gh. 20251212: gh solicita evaluar a Javier Rodriguez y Leidy Marquez y Joselin Flor. Se programan pruebas. 20251218:El cliente envio a contratar a Joselin Flor. 20251222:Se enviaron a contratacion con FI 5 Enero.</t>
  </si>
  <si>
    <t>20251119: se inicia reclutamiento.20251124: se envian 4cv GH.20251126: GH solicita evaluar Ana Isabella.20251201: evaluada Ana, evaluacion en sf. 20251201: GH solicita contratar ana 20251202: se envia OC con F.I 10 Dic.20251210: candidato no envio documentos completos, se corre ingreso para el 5 de Enero.</t>
  </si>
  <si>
    <t>20251127: se inicia reclutamiento.20251203: Se envian a GH dos cv diana y Kimberly.20251212: GH solicita evaluar Diana y Kimberly.20251215: Candidatas en proceso con otra empresa, se activa reclutamiento.20251219: Se envian 3cv. 20251223: se envian pruebas de integridad a 3 estudiantes Andrea Tautas, jesus villamizar, Daylen Bolaños. 20260105: se envian a gh.20260109: Jesus aprobo proceso, se envia a GH para su filtro.20260112: Se carga evaluacion. 20260113: GH solicita avanzar con Jesus.20260114: se envia O.C con F.I 22 Enero.20260121: F.I 23 Enero por demora en carta de presentacion.</t>
  </si>
  <si>
    <t>20251126: Se inicia reclutamiento 20251202:Se enviaron 2 hojas de vida (Leidy Bocanegra, Catalina Yanguas) 20251203:El cliente cito a entrevista para el Viernes 5 Dic. 20251209:Se activo reclutamiento: Leidy no paso entrevista y Catalina Yanguas no se presento. 20251212:Se enviaro 3 hv Daniela Ramirez, Oscar Mendoza, Jean Paul Saa. 20251215: Se enviaron 3 hv mas Daniela Concha y Nicolas Perdomo. 20251215: El cliente cito a entrevista para el Martes 16. 20251216:Paso a pruebas Daniela Concha. 20251217:El cliente envio a contratar a Daniela Concha. 20251218:Se envio a contratacion con FI 5 Enero</t>
  </si>
  <si>
    <t>20251209: Se activa reclutamiento 20251211:El cliente envio a evaluar a Jenny Garces. 20251212:La candidata no paso prueba de integridad. 20251215:Se le pregunto al cliente como proceder, si tienen otra persona para evaluar o activamos reclutamiento. Sin Embargo se activa reclutamiento. (3) 20251218:Se enviaron 3 hojas de vida Yamileny Nañez, Daniela Garces, Juan Jose Castro. 20251218:El cliente envio a evaluar a un candidato Kevin Cordoba se enviaron pruebas. 20251224:Se solicito retroalimentacion. (2) 20251226: El cliente envio a evaluar a Yamileny, se enviaron pruebas y se cito a entrevista. 20260102: El candidato Kevin aun no ha terminado pruebas blue site por tal razon no se ha podido subir el informe. 20260105:Se subio informe de Kevin y se le informo al cliente. 20260106:Se subio informe de Yamileny y se le informo al cliente. 20260107:El cliente envio a contratar a Yamileni. Se envio a contratacion con FI 22 Ene.</t>
  </si>
  <si>
    <t>20251029: REQ preventiva. JI y GH revisan candidatos entrevistados en vacante de EC para esta oferta. 20251107: Piden evaluar candidata Melanie Cerpa Cabrera en RQ preventiva. 20251111: GH comparte candidatas de Banco a tener en cuenta en el proceso: Sandra Arteta, Ibis ortega y Vanessa Donado. 20251114: GH Solicita agendar entrevistas con las 3 candidatas de Banco y Melanie Cerpa (Externa) para el 18/Nov. 20251119: JI Solicita avanzar a pruebas con Sandra, Ibis y Vanessa. Melanie no pudo asistir y sera reprogramada. 20251125: Se comparte Informes a JI de cand Sandra Arteta, Ibis Ortega y Vanessa Donado (Melanie no continua por cirugia). 20251128: GH solicita avanzar EDS con Sandra Arteta Arteta. 20251202: Se comparte a contratacion para incio de EDS. 20251204: Se confirma EDS favorable. A espera de indicacion para inicio de contratacion. 20251212: GH confirma que candidata Sandra Artera desiste del proceso y da aval para enviar a EDS a Vanessa Donado Aguas. 20251215: Se comparte a EDS candidata Vanessa Donado Aguas con FI 5/Ene. 20260102: Contratacion confirma ingreso de Vanessa Donado Aguas con FI 05/01/2026.</t>
  </si>
  <si>
    <t>20251016: Crean RQ. 20251021: Se comparten: Vianys - Karen. 20251028: Se solicita informaciòn de avance. 20251029: Solicitan evaluar a Vianys. 20251107: Candidata desiste. 20251118: Se programa con Lìder entrega de candidatos para el 18/Nov. 20251120: Se comparten 4 candidatos para cubrir 2 vacantes: Indira - Marisella - Julieth - Sayuris. 20251202: Piden evaluar a Indira en la RQ 14942 y piden ver mas candidatos para esta RQ. 20251204: Se comparten: Eduardo - Luis - Ana. 20251209: Candidato Luis en entrevista con Lìder. 20251216: se comparte terna Sebastian Muñoz, Katty Castillo y Liliana Imitola. 20251218: GH solicita avanzar proceso evaluativo con Katty Johana Castillo Acosta. 20251224: Candidata Katty Castillo tiene pendiente una prueba. 20260105: Se comparte registro evaluativo y se avanza con EDS. 20260106: Congelan contrataciones - GH tramita aval para ingreso al 13//Ene. 20260107: Candidata en EMO. 20260109: Se confirma contratación de la colaboradora Katty Johanna Castillo Acosta, con FI. 13/01/2026.</t>
  </si>
  <si>
    <t>20251021: Crean RQ. 20251023: Se comparten: Silvana - Divisai. 20251028: Se solicita informaciòn de avance. 20251111: GH pide al lìder agendar espacio para entrevista. 20251112: Se suma dupla: Lineth - Yorleidys - GH informa que las entrevistas son el 19/Nov. 20251119: Piden nuevos candidatos. 20251121: Se comparten: Yengil - Roximar. 20251125: Se solicitan informaciòn de avance. 20251201: Se solicita informaciòn de avance. 20251202: Informan que el Lìder entrevistarà despues del cierre de mes. 20251204: Descartan candidatos. 20251209: Se comparten: Nikolas - Cristina -Jesus. 20251212: Se envia a proceso evaluativo a Cristina. 20251218: Se avanza con EDS 20251231: Se confirma contratación de la estudiante Cristina Isabel Hadechini Perez, con FI. 05/01/2026.</t>
  </si>
  <si>
    <t>20251002: Se activa reclutamiento. 20251002: Se le compartieron 7 hojas de vida para la validacion del cliente. 20251006: Pendiente de retroalimentacion del cliente. 20251014: Las personas enviadas ya no estan disponibles el dia de hoy se comparten 5 hojas de vida para la validacion del cliente. 200251017: El cliente solicita avanzar proceso con Laura Gomez y con Mateo Baena. 20251020: Se esta en proceso evaluativo con los 2 candidatos mencionados. 20251022: Se evalua a Laura Gomez. para esta RQ. 20251024: Se envia a contratacion a la candidata si todo sale ok su ingreso seria el 4 de noviembre 20251027: La candidata Laura se retira del proceso por que le progamaron una cirugia. SE REACTIVA PROCESO. 20251029: Se comparten 7 hojas de vida. 20251106: Pendiente retroalimentacion del cliente. 20251110: Pendiente por retroalimentación por parte de cliente . 20251118: La rq se detiene ya que la jefe de el CM esta en capacitacion en cali . 20251128: La rq se encuentra suspendida por directriz del cliente. 20251202: Se le comparte al cliente un correo para que nos retroalimente de la rq 20251203: El cliente solicita avanzar con 2 candidatas para fase evaluativa . 20251209: El cliente da el aval para avanzar a fase final con Luisa Fernanda Vasquez para ingreso el 5 de enero . 20251215: La candidata se encuentra en EM ya que solo hasta hoy tenia disponibildiad.</t>
  </si>
  <si>
    <t>Candidato 1</t>
  </si>
  <si>
    <t>Candidato 2</t>
  </si>
  <si>
    <t>Candidato 3</t>
  </si>
  <si>
    <t>Candidato 4</t>
  </si>
  <si>
    <t>Candidato 5</t>
  </si>
  <si>
    <t>Estudio de seguridad</t>
  </si>
  <si>
    <t>Prueba integridad</t>
  </si>
  <si>
    <t>20251212: Gh solicita evaluar a Yesenia Vallecilla. 20251217: se informa a GH que la candidata no pasa prueba integridad. 20251219: Gh solicita evaluar y contratar a Victoria Plaza. 20251223: Se carga informe y se envia OC con F.I 5 ene. 20251231: se solicita excepcion de Victoria de vacunas y rcp. gh informa que decide esperar a completar los documentos pte. Se modifica FI para 13 ENE.</t>
  </si>
  <si>
    <t>Rubiela Buitrago Rodriguez</t>
  </si>
  <si>
    <t>20251119: En reclutamiento 20251125: En reclutamiento 20251202: se agenda entrevista con gh para el 05 de diciembre, se reprogramo la entrevista para el 10 de Diciembre. 20251210: se continua con reclutamiento. 20251216: Cliente nos indica fecha para el 17 de Diciembre entrevistar aprendiz. 20251222: se recibe retroalimentación de GH indicando que no continua con la aprendiz. 20260108: Se continua reclutamiento. 20260114: Entrevista de 2 aprendices con GH. 20260115: a la espera retroalimentacion 20260120: Se realiza proceso con dos aprendices no favorables por parte de JI. Se continua con reclutamiento. 20260127 se agenda entrevista dos aprendices rubiela en pruebas a la espra de documentos 20260202: cliente indica una segunda entrevista con JI 20260204: Se solicita retroalimentación. 20260211: Se envía a estudio de seguridad y contratación a Rubiela Buitrago con fecha de ingreso tentativa del 23 de Febrero.</t>
  </si>
  <si>
    <t>Juan Pablo Gomez Arango</t>
  </si>
  <si>
    <t>20250909: Se activa reclutamiento. 20250915; Nos encontramos en proceso de reclutamiento 20250922: Reclutamiento. 20251006: Reclutamiento . 20251014: Reclutamiento 20251020: Se encuentra en validacion los 5 candidatos . 20251027: Reclutamiento 20251106: Reclutamiento . 20251110: Se continua en reclutamiento 20251114: Se tiene en proceso evaluativo con el cliente 7 candidatos para entrevista el dia 19 de noviembre. 20251119: El cliente solicita evaluar a Jhon Rivera. 20251121: Se evalua al candidato y se comparte el concepto del candidato. 20251124: pendiente del aval por parte del cliente para avanzar a proceso de contratacion . 20251128: El candidato se encuentra en EM . 20251202: El candidato tiene aplazado los EM por un tema de gafas, se encuentra gestionando la nueva formula . 20251204: El candidato se retira del proceso. 20251209 Nos encontramos en reclutamiento de APH por directirz del cliente desde el 2 de diciembre. En la actualidad tenemos todas las plataformas activas pero ha sido complejo debido a la remuneracion economica. 20251215: Se envio 2 hojas de vida para validacion del cliente los cuales seran evaluados el miercoles 17 de diciembre .20251222: Los candidatos no continuan proceso por remuneracion, se compartieron 2 hv para su validacion. 20251229: Se le compartieron 3 hoja de vida para su validacion y tienen entrevista el 30 de diciembre 20260106: se comparte 1 HV. 20260115: Se tiene entrevista de 2 candidatos con el cliente. 20260121: Se avanza a proceso evaluativo con Kelly Giraldo . 20260127: Se comparte el concepto al cliente con las novedades de la prueba de integridad. 20260128: Se avanza a proceso de contratacion con la candidata Kelly Giraldo, para ingreso el 12 de febrero . 20260129: Se reinicia proceso de seleccion ya que la candidata no supera EM. 20260205: Se tienen 3 personas en entrevista con el cliente el dia de hoy. 20260209: El cliente solicita avanzar con Juan Pablo Gomez. 20260210: Se realiza proceso observativo se le notifica al cliente las novedades del cliente en pruebas y aun asi desea continuar con el proceso, se envia a contratacion. Si todo sale bien su ingreso seria el 23 de febrero. 20260212: El candidato se encuentra en estudio de seguridad. 20260219: El candidato se encuentra en EM. 20260220: El candidato firma contrato</t>
  </si>
  <si>
    <t>Grupo EMI</t>
  </si>
  <si>
    <t>Candidato desiste</t>
  </si>
  <si>
    <t>Examen medico</t>
  </si>
  <si>
    <t>SINCELEJO</t>
  </si>
  <si>
    <t>GESTOR/A COOPERATIVO</t>
  </si>
  <si>
    <t>Tania Lucia Gale Meza</t>
  </si>
  <si>
    <t>20250828: Asignan RQ y se inicia reclutamiento. 20250910: Se comparten candidatos a GH: Camilo Martinez - Jornaldo Meza - Luis Melendez a espera de programacion de entrevista con JI. 20250916: JI solicita agendar entrevistas con Camilo y Jornaldo para el dia 18/sep. 20250922: JI informa que solo asistio Camilo a entrevista y no aprobo el proceso. (4) 20250930: Se comparte terna a GH Javier Trespalacios - Maria Verbel - Klarem Goez los cuales son compartidos a JI a espera de programacion entrevista. 20251001: JI envia terna de candidatas para tener en cuenta de las cuales solo 1 es contactada y no avanza por edad y ya laboro en la compañia, GH solicita seguir insistiendo a las otras 2 candidatas. (8) 20251014: DC Solicita agendar entrevistas el 17/oct. 20251020: GH informa que los candidatos Javier Trespalacio, Klaren Goez, Ana Simanca, Mileidy Sierra no avanzan en el proceso. Retomamos reclutamiento. 20251029: Se comparte a GH terna Jessica Tamara y Aura Pernett. 20251104: GH solicita citar a entrevista a Jessica Tamara y Aura Pernett para el dia 5/Oct. 20251107: JI informa que candidatos no avanzan proceso. En reclutamiento. 20251128: Se comparte nueva terna: Mary Diaz, Adriana Zapa y Carolina Chadid. 20251201: GH Solicita agendar entrevistas para el 2/Dic. 20251202: Confirman avance a evaluacion de candidata Adriana Zapa Gonzalez. 20251209: Candidata Adriana Zapa desiste del proceso y se retoma reclutamiento. 20251215: Se comparte a GH terna de candidatos Marcela Morales - Liceth Barbosa - Osnaider Perez. 20251216: Confirman entrevistas para el dia 18/Dic con candidatos Liceth - Osnaider - Marcela. 20251222: JI informa que candidatos Liceth - Osnaider - Marcela no avanzar entrevista. (2) 20251229: Entrevista con nuevos candidatos reclutados los cuales no pasaron entrevista. 20260106: Congelan contrataciones. 20260107: En proceso de entrevistas de candidatos para envio a GH. 20260109: Se comparte a GH candidaros Brenda Ortega - Yolima Martinez - Jennifer Martinez - Aury Romero los cuales seran entrevistados el 13/Ene. 20260113: JI confirman avanzar proceso evaluativo con Aury Romero Montes. 20260121: Candidata Aury Romero Montes no paso Midot (62). 20260129: En seguimiento con GH confirman no continuidad por proceso evaluativo de Aury Romero. (7) 20260202: Se comparte a GH cand Tania Gale Meza la cual sera entrevistada el Feb/03. 20260203: Solicitan avanzar a proceso evaluativo con Tania Gale Meza. 20260205: Cand Tania Gale Pend prueba veritas; le fue reenviada. 20260210: Se comparte informe y se confirma proceso evaluativo favorable de Tania Gale. JI solicita avanzar con EDS. 20260211: Se inicia EDS con candidata Tania Gale Meza con FI 23/Feb. 20260219: Cand Tania Gale Meza en EMO. FI: 23/Feb. 20260220: Se confirma contratación de la colaboradora Tania Lucia Gale Meza, con FI. 23/02/2026.</t>
  </si>
  <si>
    <t>Andy Geovan Alvarez Alvarez</t>
  </si>
  <si>
    <t>Estudio de Seguridad</t>
  </si>
  <si>
    <t>ANALISTA RIESGO CREDITO</t>
  </si>
  <si>
    <t>Liz Stephanie Valdes Medina</t>
  </si>
  <si>
    <t>20251008: GH solicita publicación concurso interno se publica el 09/10 hasta el 12/10. 20251014: Se deja para validación de GH 2 HV (Sebastian, Jean Carlos). 20251017: GH solicita reclutamiento externo. 20251022: se envian 3 hv: Ronaldo, Ana Maria y Juan Camilo. 20251105: gh solicita evaluar a Maria Alejandra y Ronaldo y solicita activar reclutamiento. (5) 20251106: gh solicita evaluar tambien a Liz Valdes. Se programan pruebas. 20251111: se notifica a gh que ronaldo no ha realizado pruebas, gh solicita reprogramar pruebas. Ese mismo dia se comparte 2 hv. 20251113: Se confirma informe de Maria Alejandra y Liz Valdez y se envia novedad Veritas de Ronaldo. Pte retro por gh. 20252411: gh solicita detener proceso y contratar a liz valdez la primera fecha de contratacion de febrero. 20260119: GH solicita contratar a Liz Valdes con f.I 2 feb. 20260124: Se informa a GH que la candidata aun no entrega certificado de estudios. 20260126: GH envia excepcion y se envia OC con F.I 2 feb.</t>
  </si>
  <si>
    <t>Prueba de Integridad</t>
  </si>
  <si>
    <t>Greisy Gisseth Galves Correa</t>
  </si>
  <si>
    <t>20251014: Se activa reclutamiento. 20251029: Se envian 3 hv. Pte retro por gh. 20251107: gh solicita evaluar a Valentina Ibarra y Jonny Rodriguez. Se programan pruebas. 20251113: se informa a gh que Jonny presenta novedad en veritas y Valentina desiste del proceso. Se activa reclutamiento. 20251125: Se envia 3 hv. Pte retro por gh. 20251205: pte retro por gh. 20251208: gh solicita evaluar a Karol Yague. Se programan pruebas. 20251215: Candidata no se presenta a entrevista, envia notificacion por novedad personal. Se reprograma entrevista para 16 Dic. 20251218: Se confirma informe. 20251222: Se envia OC FI 05 ENE. 20251223: se envia novedad de bases y se envian 3 hv. pte retro por gh. 20260105: Gh solicita cancelar proceso de Karol y solicita evaluar a Paula Gutierrez. Se programan pruebas. 20260107: Se informa que Paula no realiza pruebas y no contesta. gh solicita activar reclutamiento. 20260116: se envian 4 hv. 20260120: GH solicita evaluar a Greysi Galves. 20260126: Se envia Informe y se envia OC FI 02 Feb.</t>
  </si>
  <si>
    <t>EJECUTIVO/A NEGOCIOS</t>
  </si>
  <si>
    <t>Martin Alonso Navarro Rolong</t>
  </si>
  <si>
    <t>20251014: Crean RQ. 20251016: Se comparten: Kelly - Margarita - Nelson. 20251020: Candidatos en entrevista. 202510123: Solicitan evaluar a Kelly Bitar. 20251027: Candidata desiste. 20251114: Se comparten: Johanny - Ana - Brandon. 20251118: Se solicitan informaciòn de avance - GH informa que las entrevistas quedan para el 24/Nov. 20251124: GH informa que los candidatos no asisten a entrevista - Piden ver mas. 20251125: Se informa que Johanny y Brandon desean continuar en el proceso y se suma a Karen. 20251226: Se solicita informaciòn de avance - Informan que estaran programando nuevamente entrevistas. 20251209: Se solicita informaciòn de avance.20251216: Se solicita informacion del proceso sin tener respuesta. 20251217: GH confirma que candidatos no asistieron a la entrevista. (15) 20251223: Se comparte terna a GH Aura Machado - Martin Navarro - Lucely Herrera. 20260105: Congelan contrataciones. 20260106: Se solicitan informaciòn de avance. (4) 20260107: Piden evaluar a Martin Navarro. 20260114: Se informa que el candidato cuenta con proceso evaluativo favorable y se pide aval para avanzar con el EDS.(6) 20260122: Piden avanzar EDS y EMO con el candidato. 20260129: Se comparte EMO para VoBo - GH da aval para avanzar. 20260130: Candidato en apertura de cuenta. 20260130: Se confirma contratación del Colaborador Martin Alonoso Navarro Rolong, con FI. 02/02/2026.</t>
  </si>
  <si>
    <t>SURA EPS</t>
  </si>
  <si>
    <t>Karol Daniela Gonzalez Barreiro</t>
  </si>
  <si>
    <t>20251016:Se solicito reclutamiento. 20251020: En el momento solo hay estudiantes en etapa lectiva. (9)20251028: Se enviaron dos hojas de vida de candidatos en etapa productiva (Maria Fernanda Cuero e Isabella Gutierrez) 20251104: Se solicito retroalimentacion. 20251107:El cliente aun no da retroalimentacion. 20251110: El cliente informa que entrevistara esta semana. 20251113:Se solicito retroalimentacion. 20251114: El cliente informa que esta esperando informacion de fecha y hora para la citación a entrevistas con el líder del proceso. 20251118: Se solicito retroalimentación. 20251119: GH informa que sigue esperando fecha y hora por parte del lider para realizar entrevistas. 20251124:Se enviaro correo informando al cliente que se detendra este proceso debido a que no hermos tenido respuesta. 20251125:HG Informa que entrevistaran el 1 de Diciembre. (22)20251128: GH Informa que los candidatos ya no se estan disponibles. Se envio correo solicitando que se debe de gestionar las entrevistas mas rapido ya que los aprendices se ubican rapido. 20251201:Se activa reclutamiento. (27)20251204:Se envio una hoja de vida (Liliana Hurtado) 20251210:Se solicito retroalimentacion. 20251212:aun no dan retroalimentacion. 20251215: Se volvio a solicitar retroalimentacion. 20251217:El cliente informa que hoy estan en entrevista. (8) 20251218:El cliente solicito evaluar a Miriam Chenoa. Se enviaron pruebas y se cito a entrevista para el 19 dic. Pendiente subir informe. 20251224:Se subio informe y se le informo al cliente. 20251230:Se solicito retroalimentacion. 20260106:Se volvio a solicitar retroalimentacion del informe subido el 24 de Dic. 20260113: Se volvio a solicitar retroalimentacion de la candidata evaluada. 20260113:El cliente decidio no continuar con la candidata y solicito mas reclutamiento. 20250115:Se enviaron 2 hv Daniela Gonzalez, Maira Velasco. 20260116: GH envio a evaluar a las dos candidatas, se enviaron pruebas y se citaron a entrevista para el Jueves 22 Ene. 20260122: Se subieron informes y se le informo al cliente. 20260128: Se solicito retroalimentacion. 20260202: Se volvio a solicitar retroalimentacion. 20260203: El cliente envio a contratar a Daniela Gonzalez. 20260204: Se envio a contratacion.</t>
  </si>
  <si>
    <t>EJECUTIVO DE NEGOCIOS</t>
  </si>
  <si>
    <t>Alon Alejandro Rodriguez Gil</t>
  </si>
  <si>
    <t>20251020: Se encuentra en proceso de reclutamiento. 20251027: Se esta en proceso de reclutamiento . 20251104: Se compartio una Hv el dia 4 de noviembre. 20251110: Pendiente por retroalimentacion. 20251121: Se le compartieron al cliente 4 HV. 20251124: Tienen entrevista los candidatos el 25 en las horas de la tarde. 20251126: El cliente solicita avanzar con Jhon James Bedoya . 20251128; Se le comparte el concepto al cliente y se solicita avanzar con el candidato para ingreso el 10 de diciembre . 20251202: El candidato no supera ES. SE REINICIA PROCESO . 20251210: Se le comparten al cliente 3 hojas de vida. 20251215: Se le comparte al cliente una HV. 20251222: El proceso de reclutamiento ha sido complejo por la remuneracion economica estamos en proceso activo 20251229: Reclutamiento 20260107: continua reclutamiento. 20260116: Se comparte 2 hojas de vida para validacion del cliente. 20260121: Se envia correo para solicitar retroalimentacion de los candidatos. 20260127: Se envio el concepto de Alejandro Rodirguez, pendendiente de su retroalimentacion . 20260128: Se envia a contratacion a el candidato Alejandro Rodriguez. 20260129: El candidato se encuentra en EM si todo sale ok su ingreso seria para el 12. 20260205: En apertura de cuenta. 20260206: El candidato firma contrato</t>
  </si>
  <si>
    <t>Magno Chocolates</t>
  </si>
  <si>
    <t>ANALISTA GESTION INFORMACION</t>
  </si>
  <si>
    <t>Jesus David Rivero Ortega</t>
  </si>
  <si>
    <t>20251028: GH solicita reclutamiento. 20251031: Se envian 4 hv: Jeison Perea, Edgar Hoyos, Nicolas Nuñez, Brayan. . Palacios.20251107: se solicita retroalimentación.20251110: se informe desde GH que Valeria apoyara la gestion, pdt retro.20251114: Se solicita retroalimentación. 20251120: se realiza seguimiento.20251201: se realiza seguimiento.20251209: se realiza seguimiento.20251215: cliente no brinda respuesta se detiene el proceso. 20251229: GH solicita evaluar Jesus rivero, fernando valencia.20260107: se carga evaluacion en SF. 20260115: GH solicita enviar a ES y examenes pero no se cuenta con aprobacion, en pausa.20260123: GH Solicita enviar a contratacion jesus rivero.20260126: se envia O.C con F.I 2 Febrero.</t>
  </si>
  <si>
    <t>Bancoomeva</t>
  </si>
  <si>
    <t>Javier Eduardo Mora Arevalo</t>
  </si>
  <si>
    <t>20251105: Validar req con GH 20251120: Se indica realiza proceso externo, se agenda con jefe inmediatos 8 candidatos para el 25 de Nov. 20251125: Se realiza proceso con 6 candidatos que llegaron, de ellos se seleccionan 2 candidatos, sin embargo gh solicita pieza grafica para realizar proceso interno. 20251202: se envía pruebas Johan Callejas para dar inicio proceso con el colaborador y se activa los 2 candidatos externos. 20251210: A la espera de respuesta por parte de JI. 20251218: se agenda reunión con JI para validación de candidatos. 20251219: Se realiza entrevista en conjunto con la Jefe inmediato de la nacional, se descartan los dos candidatos presentados. Se refuerza el perfil y se solicita espacio para el dia 30 de Diciembre. 20251230: proceso no favorable 20260102: Se continua con reclutamiento agenda para la segunda semana de enero. 20260126: se realiza proceso con 3 candidatos no favorables por para de JI . Se solicita retroalimentación del proceso. 20260130: Se agenda proceso para el 3 de febrero. 20260203: De 5 candidatos se da continuidad con 4 candidatos. En proceso de pruebas y documentos, para validar con la gerencia los candidatos. 20260210: se agenda entrevista con lider de th, con fecha del 12 y 13 de febrero. Pendiente de retroalimentación. 20260213: se da continuidad con el candidato JAVIER MORA. 20260216: Se envia OC con fecha tentativa el 23 de Febrero.</t>
  </si>
  <si>
    <t>Skandia</t>
  </si>
  <si>
    <t>Jiscell Fernanda Mendieta Enciso</t>
  </si>
  <si>
    <t>20251105: Se activa relcutamiento. 20251110: Se agendan entrevistas con JI 12Nov. 20251112: Candidato seleccionado ADRIANA ALEJANDRA CHARRY MESA se solicitan documentos. 20251114: Se solicita ES candidata seleccionada fecha tentativa de ingreso 24Nov. 20251121: Candidata desiste del proceso. Se activa reclutamiento. 20251125: Se realizan entrevistas con JI candidata seleccionada Ingrid Lorena Forero. Se solicitan documentos. 20251201: Se solicita ES candidata seleccionada fecha tentativa de ingreso 10Dic. 20251205: Candidata solicita plazo para viajar a finales de año. Se activa reclutamiento. 20251209: Se programan entrevistas con JI 16Dic. 20251216: Candidatos seleccionados Jesus Willington Ortiz Lopez y Sergio Armando Hernandez Ocasión se solicitan documentos. 20251219: Candidato Jesus Willington Ortiz Lopez no favorable en integridad. Se activa proceso con segunda opción Sergio Armando Hernandez Ocasión. 20251222: Se solicita ES candidato seleccionado fecha tentativa de ingreso 05Ene. 20251223: Candidato no favorable en ES. Se activa reclutamiento. 20251226: Se programan entrevistas con JI 07Ene. 20260107: Se retoma proceso con Ingrid Lorena Forero se programa entrevista con JI martes 13Ene. 20260113: Se solicita ES candidata seleccionada fecha tentativa de ingreso 22Ene. 20260115: Se realizan modificaciones en los horarios de la oferta por movimientos internos de la operación. Candidata no continua en proceso. Se activa reclutamiento. Se programan entrevistas con JI 20Ene. 20260120: Candidata seleccionada JISCELL FERNANDA MENDIETA ENCISO se solicitan documentos. 20260123: Se solicita ES candidata seleccionada fecha tentativa de ingreso 02Feb.</t>
  </si>
  <si>
    <t>Clinicos IPS</t>
  </si>
  <si>
    <t>AUXILIAR TRANSPORTE ASISTENCIAL</t>
  </si>
  <si>
    <t>Guillermo Luis Lidueña Menco</t>
  </si>
  <si>
    <t>20251105: Se activa reclutamiento. 20251106: Se programan entrevistas para el 10 de Noviembre. 20251110: Con base en el espacio de hoy candidatos aptos Albeiro peñalosa y Juan Parra, se programa prueba tecnica para el 11 de Noviembre. 20251111:Se selecciona a Albeiro Peñalosa, se solicitan documentos. 20251118: Se envía a estudio de seguridad y contratación a Albeiro Peñalosa con fecha tentativa de ingreso del 01 de Diciembre con posibilidad de cambio con base en la informacion de GH. 20251128: GH indica que el candidato presenta una novedad en un documento el cual le exige una respuesta de 10 días, mientras se espera el trámite se procede a activar nuevamente reclutamiento. 20251202: Se programan entrevistas para el 3 de Diciembre. 20251203: Ningún candidato es apto por competencias, se retoma reclutamiento. 20251205: Se programa nuevo espacio de entrevista para el 10 de Diciembre con JI. 20251210: Candidato apto Jesus Casiano, se solicitan documentos. 20251215: Candidato Jesus aun en documentos. 20251217: Candidato desiste por motivos personales, se programa nuevo espacio para el 23 de Diciembre con base en disponibilidad de JI. 20251224: Ningun candidato apto, se retoma reclutamiento a la espera de agenda por parte de GH. 20251226: en reclutamiento, a la espera de agenda por JI para entrevistas. 20251230: A la espera de agenda para entrevista por parte de JI. 20260102: Se programa nuevo espacio para el 6 de Enero con JI. 20260106: Se preselecciona a Guillermo Lidueña, se solicitan docuemtos. 20260108: Candidato Guillermo Lidueña aun en documentos. 20260113: Candidato Guillermo aun en documentos indica dejar lo pendiente al día hoy. 20260114: Se envía a estudio de seguridad y contratación a Guillermo Lidueña con fecha tentativa de ingreso del 22 de Enero. 20260122: GH solicita modificar fecha de ingreso tentativamente para el 2 de Febrero. 20260128: Con base en el espacio de hoy candidato preseleccionado Jaider Arevalo, sería el back del candidato en proceso de contratación Guillermo Lidueña. 20260206: Candidato Guillermo Lidueña apto en emo y e.s., a la espera de aval para su ingreso por parte de GH. 20260209: Se detiene proceso mientras definen aval de ingreso. 20260217: Se reabre vacante con base en información recibida por parte de GH, se retoma proceso de ingreso de Guillermo Lidueña con fecha tentativa de ingreso del 23 de Febrero.</t>
  </si>
  <si>
    <t>Sanitas</t>
  </si>
  <si>
    <t>Ruben Dario Echavarria Rivas</t>
  </si>
  <si>
    <t>20251114: Se compartieron 5 HV. 20251118: Se le compartieron al cliente 2 HV. 20251124. Se encuentran en proceso de entrevista 2 candidatos . 20251128: Se encuentra en reclutamiento la vacante ya que las personas evaluadas se reubicaron en otra rq . 20251202: Reclutamiento . 20251209 Reclutamiento . 20251215: Se tiene en proceso de entrevista 4 candidatos . 20251222: Los candidatos se retiran del proceso. Reclutamiento. 20251229: El dia 30 tienen entrevista con 4 candidatos enviados el dia de hoy. 20260105: Gh solicita evaluar a Ruben Dario Echavarria. 20250107: se comparte retroalimentacion con concepto aprobado del candidaro Ruben Echavarria. 20260116: Pendiende del aval del candidato evaluado Ruben Echavarria . 20260121: Pendiente por aval de la nacional . 20260127: Pendiente del aval por parte del cliente. 20260129: El cliente solicita avanzar a fase de contratacion con Ruben Echavarria. Si todo sale bien su ingreso seria el 12 de febrero. 20260205: Apertura de cuenta . 20260212: El candidato se encuentra listo, pendiente por aval de la nacional para el ingreso 20260218:El candidato firma contrato</t>
  </si>
  <si>
    <t>Contrasandia</t>
  </si>
  <si>
    <t>Lina Marcela Ortiz Camacho</t>
  </si>
  <si>
    <t>20251007: Se realiza primer grupo de curso cerrado y se selecciona a Estefania Virgen 20251114: Se envia OC con F.I 9 dic. 20251118: GH crea rq. 20251118: GH decide no continuar con la candidato por temas medicos. 20251128: Se envio correo solicitando información de como proceder con esta Rq. 20251201:El lciente informo que vamos a seguir reclutamiento con aprendices para el área Administrativa. 20251202:Se enviaron 5 hojas de vida (Luisa Ibarguen, Ingrid Calderon, Tatiana Rodriguez, Anyi Erazo, Duban Valencia) 20251209:Se solicito retroalimentacion. 20251215:El cliente informa que terminara entrevistas el 15 de dic. 20251218:Se solicito retroalimentacion. 20251220:Se enviaron 4 hv Andrea Tautas, Jesus Villamizar, Daylen Bolaños, Edwin Nieves. 20251224:Se solicito retroalimentacion. El cliente envio a evaluar a Ediwn Nieves para cubrir la RQ 10059 y necesita aprendices que esten en etapa lectiva hasta Junio 20260108:Se enviaron 2 hv Juan Felipe Rodriguez, Lina Ortiz. 20260115:El cliente cito a entrevista a los candidatos. 20260119:El cliente envio a evaluar a los dos candidatos. 20260121:Lina esta citad a entrevista para el 23 ene y Juan Felipe no ha terminado pruebas. 20260126:Se subio informe de Juan Felipe y Lina Ortiz y se le informo al cliente. 20260127:El cliente envio a contratar a Lina Ortiz 20260128:Se envio a contratacion con FI FEB 12.</t>
  </si>
  <si>
    <t>Estefania Gamboa Bedoya</t>
  </si>
  <si>
    <t>20251112: se activa reclutamiento. 20251114: se envia 2cv a GH. 20251121: se realiza seguimiento.20251209: se realiza seguimiento.20251216: se realiza seguimiento.20251226: se detiene proceso por falta de respuesta GH..20260113: Se activa vacante. 20260115: se envian 2cv a GH.20260119: GH solicita evaluar a Stefani Gamboa.20260123: se carga evaluacion. gh solicita contratacion. 20260126: se envia O.C con F.I 2 Febrero.</t>
  </si>
  <si>
    <t>Alirio Leiva Lerma</t>
  </si>
  <si>
    <t>20251113: gh solicita evaluar a Viviana Gomez. Se programan pruebas. 20251120: se confirma informe. 20251121: se solicita aval de formacion academica para avanzar contratacion. 20251124: se da aval de excepcion. Ese mismo dia se notifica que candidata no ha enviado documentos. Pte de envio de documentacion para avanzar contratacion. 20251227: candidata envia documentos. 20251228: se envia OC FI 10 DIC. 20251202: Candidata desiste del proceso. Se activa reclutamiento. 20251211: Se envian 4 hv. Pte retro por gh. (5) 20251226: pte retro por gh. Ese mismo dia gh solicita evaluar a Alirio Leiva, Se programan pruebas. 20260105: se confirma informe. gh solicita contratar al candidato. 20260106: Se envia OC FI 13 ENE. (2) 20250115: GH solicita mover F.I para 2 feb.</t>
  </si>
  <si>
    <t>EMI</t>
  </si>
  <si>
    <t>ANALISTA ARQUITECTURA EMPRESARIAL</t>
  </si>
  <si>
    <t>Lilibeth Pacheco Jimenez</t>
  </si>
  <si>
    <t>205251118: se envia reclutamiento.20251124: se envia a GH 4CV.20251201: se realiza seguimiento.20251209: GH solicita evaluar a (Daniela Roa)20251211: GH informa que daniela roa desiste del proceso por oferta salarial, se activa reclutamiento.20251218: se envian 2cv a GH.20251222: se envian a GH 2cv adicionales Emerson y Liibeth.20251224: GH solicita evaluar Carolina Huertas.20251230: GH solicita evaluar a Lilibeth.20260106: evaluaciones en SF.20260114: GH solicita enviar a contratacion Lilibeth, se envia O.C con F.I 22 Enero.20251231: rq detenido por instruccion del corporativo.20260121: uco autorizar activar contrataciones, se define F.I 2 Febrero, dado a demora en gh para brindar autorizacion por central de riesgo</t>
  </si>
  <si>
    <t>MEDICINA PREPAGADA/TEMPORAL</t>
  </si>
  <si>
    <t>Carolina Rodriguez Silva</t>
  </si>
  <si>
    <t>20251118: pdt por parte de GH confirmar formación para iniciar reclutamiento. 20251120: se solicita de nuevo confirmacion de formacion academica. 20251124: GH confirma formación, se activa reclutamiento.20251124: se envian 4cv a GH. 20251209: se realiza seguimiento.20251215: Se realiza seguimiento.20251217: GH informa continuar en reclutamiento, se solicito cv a universidades, las comparten en enero.20260107: se envian 4cv a GH.20260109: GH solicita evaluar Carolina Rodriguez.20260115: evaluada informe en SF, 20260116. GH solicita enviar a contratacion. 20260119: se envia orden con F.I 2 Febrero.</t>
  </si>
  <si>
    <t>AUXILIAR REGIONAL COMERCIAL GCGIA</t>
  </si>
  <si>
    <t>Angelica Maria Caycedo Gongora</t>
  </si>
  <si>
    <t>20251121: Se inicia reclutamiento 20251125: Jefe inmediato nos indica agenda para el 2 de Diciembre 20251202: Director comercial nos reagenda para el día jueves 4 de diciembre. 20251205: A la espera de agenda de validacion de hojas de vida por parte del director comercial 20251209: A la espera de respuesta por parte de JI 20251212: se realiza entrevista con 5 candidatos en conjunto con JI 20251218: se agenda reunión con JI para validación de candidatos. 20251219: Jefe inmediato solicita nuevo proceso, para el 29 de Diciembre. 20251229: se realiza proceso, no favorable. 20260102: Se continua con reclutamiento 20260108: Se agenda proceso a la espera de retro, de acuerdo a jefe inmediato no favorable, quiere ver mas personas 20260109: En reclutamiento 20260115: se agenda entrevista con JI se realiza proceso con otro grupo. 20260122: candidatos no pasan proceso, se continua reclutamiento. 20260129: Se realiza proceso con 5 candidatas favorable una candidata, JI indica ver candidatos internos proceso el 4 de febrero 20260205: A las espera de retroalimentación. 20260206: Con base en la informacion se genera espacio de assesment para el 9 de febrero. 20260209: Con base en el espacio de hoy candidata seleccionada Angelica Caycedo se solicitan documentos. 20260210: Se envía a estudio de seguridad y contratación a Angelica Caycedo con fecha tentativa de ingreso del 23 de Febrero.</t>
  </si>
  <si>
    <t>Covinoc</t>
  </si>
  <si>
    <t>Ingrid Natali Rojas Hernandez</t>
  </si>
  <si>
    <t>20251124: Se inicia reclutamiento 20251202: Jefe inmediato indica agendamiento, se presentan 3 candidatos al proceso, se selecciona una candidata Katherine castellanos, se le solicita documentos, para enviar a ES 20251205: Candidato desiste del proceso. 20251210: Se activa reclutamiento. 20251217: se agenda entrevista con JI. 20251218: Con base en el espacio candidata seleccionada Natali Rojas, se solicitan documentos. 20251224: Se envía a estudio de seguridad y contratación a Natali Rojas con fecha tentativa de ingreso del 13 de Enero. GH indica que queda con fecha de ingreso del 2 de febrero.</t>
  </si>
  <si>
    <t>Juliana Karolin Olier Bru</t>
  </si>
  <si>
    <t>20251121: Crean RQ y se inicia reclutamiento. 20251202: Detiene proceso. 20251209: En reuniòn de seguimiento piden activar proceso. (4) 20251211: Se retoma reclutamiento. 20251218: Se comparte terna a GH Juliana Olier - Alejandra Garzon - Joice Mora. 20251219: Solicitan agendar entrevistas con JI el 23/Dic. 20251226: Pendiente retroalimentacion de candidatos. (9) 20260107: GH confirma avanzar a proceso evaluativo con Juliana Olier Bru. 20260114: Candidata Juliana Olier Bru pendiente por realizar 1 prueba y diligenciar formatos. (2) 20260119: Se comparte reporte evaluativo. (4) 20260126: GH solicita avanzar a EDS con Juliana Olier Bru. 20260127: Se avanza con EDS. 20260205: Se confirman contratacion de la colaboradora Juliana Olier Bru, con fecha 23/02/2026.</t>
  </si>
  <si>
    <t>BANCO ITAU</t>
  </si>
  <si>
    <t>ASESOR/A SERVICIOS</t>
  </si>
  <si>
    <t>Victoria Cabrera Muriel</t>
  </si>
  <si>
    <t>20251124: se activa reclutamiento.20251126: GH solicita evaluar a Maribel Gonzalez y continuar en reclutamiento.20251127: GH solicita no continuar en evaluación con Maribel.20251128: se envian 2cv a GH.20251128: GH indica no avanzar con candidatos enviados, solicita reclutamiento. 20251201: gh envian referidos a evaluación ( Karen, Vivian, Camila).20251202: Gh solicita contratar Camila proceso simultaneo. 20251202: se envia O.C con F.I 10 Dic.20251205: candidata no aprueba EMO, se activa reclutamiento.20251211: se envian a GH 6cv.20251216: GH informa que tendran entrevista con lider miercoles 17 Dic.20251222: GH solicita evaluar a Makol Stefan y Angie. Michel.20252226: Continuar con Makol Stefan.20260102: se envia O.C con F.I 13 ENERO.20260121: se cancela contratacion, GH solicita evaluacion a victoria.20260123: evaluacion en sf, gh solicita enviar a contratacion. 20260126: se envia O.C con F.I 2 Febrero.20260129: se establece nueva fecha de ingreso por disponibilidad de candidata ingreso 12 Febrero.</t>
  </si>
  <si>
    <t>PASTO</t>
  </si>
  <si>
    <t>Fredy Antonio Vallejo Gusman</t>
  </si>
  <si>
    <t>20251125: El cliente solicito reclutamiento. 20251203:Se enviaron 3 hojas de vida (Alexander Caceres, Ivonne Cordoba, Anderson Gordon). 20251205:cliente cito a entrevista para el Martes 9 de Dic. 20251209: Se activo nuevamente reclutamiento. Alexander no se conecto, Ivonne no paso entrevista, Anderson no se contecto. 20251211:Se enviaron 3 hojas de vida (Angelica Cortez, Elcy Burbano, Felipe Chamorro, Freddy Vallejo). 20251215:El cliente cito a entrevista para el Miercoles 17 de Dic. 20251217:Paso entrevista a pruebas Angelica y Frddy. 20251218:Angelica no paso veritas. 20251224: Fredy no ha terminado betesa y se subio informe de Eliana y se le informo al cliente. 20260102: Se solicito retroalimentacion del informe subido el 24 de Dic. Y se subio informe del candidato Fredy. 20260106:Se solicito retroalimentacion de los informes subidos de los dos candidatos en proceso. 20260107:El cliente envio a contratar a Eliana. 20260108:Se envio a contratacion. 20260109:La candidata no paso ES. El cliente envio a contratar la segunda opcion Fredy. Se envio a contratacion con FI 22 de Ene. 20260123:eL candidato salio con novedad en ES. Esperando aprobacion por parte de gh para su contratacion. 20260127:El cliente solicito seguir la contratacion con fecha de ingreso 2 de Feb.</t>
  </si>
  <si>
    <t>Banco Contactar</t>
  </si>
  <si>
    <t>Eileen Dayana Rosero Benitez</t>
  </si>
  <si>
    <t>20251125: se envia a Reclutamiento. 20251127: se envian 3cv a GH. 20251202: GH solicita evaluar a (Martha). 20251210: GH solicita no evaluar a Martha, se activa reclutamiento. 20251215: se envian 2cv a GH. 2021216: Pdt agenda entrevista lider. 20251226: se realiza seguimiento. 20260105: se realiza seguimiento. 20260115: se realiza seguimiento. 20260120: se envian 3cv a GH. 20260122: gh solicita evaluar a Eileen Rosero. 20260128: se carga evaluacion. 20260129:GH solicita enviar a contratacion. 20260130: se envia O.C con F.I 12 Febrero.</t>
  </si>
  <si>
    <t>Angelis Vanesa Peralta Reinel</t>
  </si>
  <si>
    <t>20251125: Crean RQ y se procede a realizar solicitud de aprendices a instituciones. 20251202: Se reciben aprendices por parte del tecnologico comfenalco los cuales no se encuentran disponibles. 20251210: Se comparte dupla Angelis Peralta y Laura Aleman a espera de entrevista con JI. 20251216: JI solicita iniciar proceso evaluativo con Laura Aleman Yepez. 20251218: Candidata Laura Aleman no aprobo proceso evaluativo. 20251222: GH Solicita avanzar proceso evaluativo con Angelis Vanesa Peralta Reinel. 20260108: Se comparte reporte evaluativo de Angelis y se informa que está pendiente carta de presentacción. 20250115: Se vuelve a solicitar carta de aval de practicas a la institucion, teniendo en cuenta su regreso de vacaciones. 20260116: Se avanza con EDS. 20260122: Candidata Angelis en apertura de cuenta.20260126: Se confirma contratación de la estudiante Angelis Vanesa Peralta Reinel, con FI. 02/02/2026.</t>
  </si>
  <si>
    <t>Pruebas</t>
  </si>
  <si>
    <t>Stefania Valencia Caicedo</t>
  </si>
  <si>
    <t>20251127: se envia a Reclutamiento.20251203: se envian 2 cv a GH shaira y gloria. 20251212: GH solicita evaluar a las dos candidatas. 20251215: Shaira no aprobo integridad y Gloria no habilitada para practicas. 20260105: se envian a gh 9cv y se programan pruebas de integridad. 20260109: se activa reclutamiento, ya que los candidatos no aprueban proceso de evaluacion, solo continua stefania valencia, pero se requieren mas cv. 20260113: se envian 4cv, en evaluacion en conjunto con GH 15 enero.20260115: no aprobaron envaluacion. Se solicita reclutamiento. 20260119: Gh solicita avanzar en contratacion con stefania valencia.20260120: Se envia orden con F.I 2 Febrero.</t>
  </si>
  <si>
    <t>CENTRO DE CONTACTO- COOMEVA</t>
  </si>
  <si>
    <t>Margie Liseth Orejuela Zapata</t>
  </si>
  <si>
    <t>20251125: se envia a reclutamiento.20251129: se envian dos cv Diego Leon, Margie Lizeth.20251215: GH solicita evaluacion, Margie, pdt aprobación GH.20261219 se carga evaluacion en SF. 20260105: Se realiza seguimiento.20260114: GH solicita enviar a contratacion marggie. 20260115: se envia O.C con F.I 22Enero. 20260121: se modifica fecha de contratacion 2 febrero, por carta institucion.</t>
  </si>
  <si>
    <t>Ricardo Andres Alvarez Santos</t>
  </si>
  <si>
    <t>20251201: Crean RQ - En reclutamiento. 20251204: Piden evaluar y contratar al candidato Pablo Paez (viene en backUp desde Marzo) 20251216: Solicitan volver a programar pruebas a Pablo Paez debido a que no las habia podido realizar. 20251219: Candidato Pablo Paez desiste del proceso. 20251223: Se comparte a GH candidatos Gabriela Castilla Ibarra - Jose Blanco Bermudez - Javier Cierra - Luis Ortegate. 20260105: Congelan contrataciones. 20260107: Descartan candidatos. (5) 20260119: Se comparten Alberto - Yaneris - Ricardo. 20260121: GH informa que esta pte cordinar entrevistas con lider (en encuentro comerical). (2) 20260128: Solicitan evaluar a Ricardo Alvarez. 20260205: Se comparte registro evaluativo y se avanza con EDS. 20260210: GH solicita contratar al candidato con FI. 23/feb. 20260212: Candidato en oferta. 20260213: Se confirma contratación del colaborador Ricardo Andres Alvarez Santos, con FI: 23/02/2026.</t>
  </si>
  <si>
    <t>EQUIDAD SEGUROS</t>
  </si>
  <si>
    <t>Gabriela Rodriguez Basto</t>
  </si>
  <si>
    <t>20251127: El cliente solicito reclutamiento. 20251201:Se enviaron 2 hojas de vida (Lino Gonzlaez, Angely Mendoza) 20251204:El cliente solicito evaluar a Angely Mendoza. Se cito a entrevista para el Miercoles 10 dic. 20251210:La candidata no ha terminado veritas.(2) 20251211:Se subio informe y se le informo al cliente. 20251216:La candidata informo que desiste del proceso, se activa nuevamente reclutamiento. (5) 20251222:Se enviaron 2 hv Wilme Padilla y Gabriela Rodriguez. 20251223:El cliente envio a evaluar a Gabriela, se enviaron pruebas y se cito a entrevista. (2)20260201: La candidata no ha termindo prueba betesa por tal razon no se ha podido subir el informe. 20260105:Se subio informe y se le informo al cliente. 20260107:El cliente envio a contratar a Gabriela con FI 3 Feb.</t>
  </si>
  <si>
    <t>Monica Patricia Varela Rada</t>
  </si>
  <si>
    <t>20251202: Crean RQ. 20251205: Se comparten: Astrid - Geraldine -. Yulissa. 20251209: Se solicita informaciòn de avance. 20251215: Candidatos no avanzaron en entrevista con JI. Se inicia reclutamiento. 20251223: Se comparte a GH candidatos Gabriela Castilla - Jose Blanco - Javier Sierra - Luis Ortegate. 20260105: Congelan contrataciones. 20260107: Descartan candidatos.(5) 20260115: Se informa a GH gestiòn de reclutamiento. 20260119: Se comparten: Juleidis - Luisa - Monica Jose. 20260121:GH informa que estan en programación de entrevista con líder (encuetro comercial). (4) 20260129: Solicitan evaluar a Monica Varela. 20260205: Se comparte registro evaluativo y se avanza con EDS. 20260210: GH solicita contratar a la candidata con FI. 23/feb. 20260212: Candidata en oferta. 20260219: Se confirma contratación de la colaboradora Monica Patricia Varela Rada, con FI. 23/02/2026.</t>
  </si>
  <si>
    <t>Ana Maria Ribero Hoyos</t>
  </si>
  <si>
    <t>20251215: Se activa reclutamiento. 20251216: se envian 5 hv. Pte retro por gh. 20251226: pte retro por gh. 20260106: Gh informa que se programara entrevista el 09 de Enero. Pte retro por gh. 20260113: Gh solicita evaluar 4 candidatos. 20260119: se entrega informe de 3 candidatos, Natalia desiste. 20260204: GH solicita contratar a Ana Maria Ribero. 20260205: se envia OC con FI 12 feb.</t>
  </si>
  <si>
    <t>Isabella Riascos Samboni</t>
  </si>
  <si>
    <t>20251210: Se activa reclutamiento. 20251215: Se envian 4 hv. Pte retro por gh. 20251226: pte retro por gh. 20260106: gh solicita evaluar a Andrea Herrera y Valeria Rodriguez. Se programan pruebas. 20260108: Se informa a gh que Valeria no pasa prueba integridad y Andrea no termina pruebas, ni se conecta a entrevista. Se activa reclutamiento. 20260115: se envian 3 hv. 20260123: gh solicita evaluar a Isabella Riascos. Se programan pruebas. 20260129: Se confirma informe. 20260202: se envia OC FI 12 FEB.</t>
  </si>
  <si>
    <t>Nancy Angelina Chavez Lesmes</t>
  </si>
  <si>
    <t>20251210: Se activa reclutamiento. 20251215. Se tiene programado AS para el 16 de diciembre .20251222: El AS pasado se selecciono una candidata la cual fue evaluada para otra RQ. Se tiene programado AS para el 23 de diciembre. 20251223: Se realiza AS y se selecciona para esta vacante Carolina Alzate. 20251224: Se program a proceso evaluativo con la candidata y es satisfactorio. 20251226: Se envia a proceso de contratacion con fecha del 13 de enero. 20251229: La candidata esta en EM. 20260102: candidata desiste del proceso. Se reinicia RQ. 20260108: se envian 5 HV para entrevista el 9 de enero. 20260116: Se realizo AS el dia viernes y supero el proceso Nancy Chavez. Se envia concepto para validacion del cliente. 20260126: Se envia el concepto al cliente y es satisfactorio. Se envia a contratacion Nancy Chavez, con fecha de ingreso el 2 de febrero. 20260127: La candidata se encuentra en EM . 20260129: La candidata se presenta a exames medicos mañana por que se encuentraba por fuera de la ciudad . 20260205: Apertura de cuenta. 20260209: La candidata firma contrato</t>
  </si>
  <si>
    <t>Keralty</t>
  </si>
  <si>
    <t>EJECUTIVO/A AFILIACION B2B CEM MP</t>
  </si>
  <si>
    <t>Jose Miguel Fonseca Gomez</t>
  </si>
  <si>
    <t>20251210: Se activa reclutamiento 20251215. Se tiene programado AS para el 16 de diciembre 20251210: Se activa reclutamiento. 20251215. Se tiene programado AS para el 16 de diciembre .20251222: El AS pasado se selecciono una candidata la cual fue evaluada para otra RQ. Se tiene programado AS para el 23 de diciembre . 20251229: Del AS pasado se seleccionaron candidatos para la venta uno a uno el dia 30 tenemos AS. 20260108: se envian 5 HV para entrevista el 9 de enero. 20260116: Pendiente disponibildiad del cliente. 20260119: Se tiene programado AS para el 20 de enero. 20260120: Se avanza con Eliana Chalarca. 20260122: Se envia concepto al cliente, ya que no supero la prueba de servicio . 20260127: El cliente esta solictando aval del DR Manuel . 20260129: Pendiente por el aval de DR Manuel 20260205: El Dr Manuel no da el aval, se avanza con recutamiento para AS el martes 10 de febrero . 20260211: Se realizo AS y pasan 2 candidatos Jose Fonseca y Lina Hoyos. Se encuentra en proceso evaluativo . 20260217: Se avanza con el candidato Jose Fonseca, si todo sale bien su ingreso seria el 2 de marzo. 20260219: El candidato se encuentra en examenes medicos . 20260220: El candidato firma contrato</t>
  </si>
  <si>
    <t>Novaventa</t>
  </si>
  <si>
    <t>Prueba de Servicio</t>
  </si>
  <si>
    <t>Cesar Augusto Lopez Herrera</t>
  </si>
  <si>
    <t>20251211: Se activa reclutamiento. 20251215: Se realizan entrevistas con JI candidato seleccionado DIEGO ROMÁN VARGAS VARGAS. Se solicitan documentos. 20251217: Se realizan entrevistas con GH candidato no favorable. Se activa reclutamiento. 20251222: Se continua reclutamiento se programan entrevistas 29Dic. 20251229: Candidato seleccionado IVAN LEONARDO VILLAMIZAR SALCEDO se solicitan documentos. 20260105: Se solicita ES candidato seleccionado fecha tentativa de ingreso 13Ene. 20260107: Candidato desiste del proceso por mejor oferta. Se activa reclutamiento. 20260115: Se realizan entrevistas con JI candidatos no favorables. Se programan entrevistas 16Ene. 20260116: Candidato seleccionado Rocio Leon Ortiz. Se solicitan documentos. 20260120: Se programa prueba midot. 20260122: Candidata no faborable en prueba de servicio. Se activa reclutamiento. Se programan entrevistas con JI 28Ene. 20260128: Candidato seleccionado CESAR AUGUSTO LOPEZ HERRERA se solictan documentos. 20260203: Candidato tiene entrevista con GH se agenda MIDOT. 20260204: Se solicita ES candidato sleeccionado fecha tentativa de ingreso 23 de Febrero</t>
  </si>
  <si>
    <t>Coorserpark s.a.s</t>
  </si>
  <si>
    <t>Natalia Martinez Molina</t>
  </si>
  <si>
    <t>20251210: se envia a reclutamiento.20251219: se comparten 4cv a GH. 20251226: se realiza seguimiento, GH informa que hoy estan siendo evaluados por lider. 20260105: se realiza seguimiento, GH informa evaluar a Nicol Tibaduiza. 20260109: se evalua. 20260114: Nicol desiste, se activa reclutamiento. 20260115: GH informa avanzar en evaluacion con Natalia Martinez.20260119: Evaluada, evaluacion en S, GH informa enviar a contratacion, se envian con F.I 02 Febrero.</t>
  </si>
  <si>
    <t>Dalis Maria Castelblanco</t>
  </si>
  <si>
    <t>20251212: Se activa reclutamiento. 20251215: Con base en la información recibida se agendan entrevistas para el 16 de Diciembre. 20251217: Con base en el espacio candidatos aptos Lorena Valero, Laura Cagua y Julibeth Vanegas, a la espera de agenda con JI para entrevista final. 20251224: A la espera de agenda por parte de GH para entrevista con JI. 20251226: A la espera de retro o agenda por parte de JI. 20260105: Con base en la información recibida por GH se programa assesment con candidatos aptos para el 6 de Enero. 20260106: Con base en la información recibida por GH candidata seleccionada Julibeth Vanegas, se solicitan documentos. 20260108: Candidata Julibeh aun en documentos, solicita un poco más de plazo dado que actualmente labora. 20260113: Candidata Julibeth aun en documentos, indica dejar lo pendiente al día hoy. 20260119: Con base en la información recibida por parte de la candidata Julibeth, ella está pasando por una pérdida familiar por lo que tuvo que viajar fuera de Bogotá, manifiesta seguir interesada, en conversación con GH se indica darle plazo de unos días para esperarla entre tanto dan aval de ingresos, e igualmente se irán revisando más perfiles. 20260120: Con base en espacio con GH candidata preseleccionadas Dalis, Geraldine y Laura, a la espera de espacio con JI. 20260122: Con base en la información recibida por parte de GH aun a la espera de espacio con JI para evaluar preseleccionadas Dalis, Geraldine y Laura. 20260127: A la espera de respuesta y agenda de parte de JI para evaluar personal preseleccionado. 20260129: Aun a la espera de respuesta de GH. 20260130: Con base en información recibida se detiene vacante hasta obtener respuesta por parte del cliente. 20260202: Con base en la información recibida se reabre proceso. 20260206: Con base en la informacion recibida por parte del cliente se retoma a Julibeth, se solicitan documentos. 20260209: Se envía a estudio de seguridad y contratación a Dalis Castelblanco, con fecha tentativa de ingreso del 23 de Febrero.</t>
  </si>
  <si>
    <t>Davivienda</t>
  </si>
  <si>
    <t>Valentina Ceballos Restrepo</t>
  </si>
  <si>
    <t>20251212: se activa reclutamiento 20251217: se comparten 6 HV 20251229: a la espera de retroalimentacion de GH 20260107: se solicita retroalimentación de nuevo a GH 20260113: GH informa que hay dos candidatos en entrevista con JI. Adicional se comparten 2 HV (Valentina Ceballos) más 20260115: se envia 1 HV adicional. A la espera de retroalimentacion 20260121: Gh informa que aún están evaluando a otros candidatos e indica que ya se tienen descartado algunos otros, se continua el reclutamiento 20260122: GH solicita evaluar a Valentina Ceballos y Andry Coral. 20260129: se envia retroalimentacion indicando la continuidad con Valentina Ceballos y no continuidad con Andry Coral. 20260130: GH solicita el envio a contratacion de Valentina Ceballos. Se envia OC 20260205: candidata registra sin novedad en ES y EM aprobados 20260211: contratacion confirma ingreso de Valentina Ceballos con fecha de inicio el 12 de feb</t>
  </si>
  <si>
    <t>ANALISTA MERCADEO</t>
  </si>
  <si>
    <t>Camila Mosquera Ojeda</t>
  </si>
  <si>
    <t>20251215: se envia a Reclutamiento. 20251223: se envian 3cv Michel, maria camila castro, Juan Daniel. 20251226: Lider solicita agendar entrevista para el 30 Dic. 20260105: se realiza seguimiento. 20260106: se comparte hv adicional. 20260114: GH comparte feedback, se activa reclutamiento. 20260116: Se envian 4cv a GH .20260121: se realiza seguimiento. 20260123: GH solicita reclutamiento para revision por lider y definir a quien contratar. 20260126: Se envia carpeta con 14cv para revision. 20260204: GH solicita evaluar a Valeria, camila y daniela pendiente que envien su hv. 20260209: se carga evaluaciones en sf. 20260211: GH solicita contratacion con camila. 20260212: Se envia O.C. F.I 23 Febrero.</t>
  </si>
  <si>
    <t>UNIALQUILERES</t>
  </si>
  <si>
    <t>Talia Alejandra Pabon Pabon</t>
  </si>
  <si>
    <t>20251216: Se activa reclutamiento. 20251218: se envian 4 hv pte retro por gh. 20251226: pte retro por gh. 20260106: gh informa que por vacas de lider, se entrevistara el 15 Ene. Pte retro por gh. 20250116: Gh solicita evaluar 3 candidatos. 20260119: se comparte prueba integridad riesgo 3 y se da concepto de Mariet. 20260120: GH decide no continuar con ella. 20260122: se entregan informes de Evelyn y Talia. 20260123: GH solicita contratar a Talia con F.I 2 feb. 20260126: se envia OC.</t>
  </si>
  <si>
    <t>Mariana Lizeth Muñoz Navas</t>
  </si>
  <si>
    <t>20251216: se activa reclutamiento. 20251219: se envian 4cv. 20260105: Se realiza seguimiento. 20260108: GH solicita continuar con Nikolle y Valery. (8) 20260109: se activa reclutamiento las dos candidatas quedaron en UCO. 20260122: se envian 6cv.20260123: gh evaluara el martes 27 enero. 20260128: gh solicita evaluar a Linda Velasco, Mariana Muñoz y Santiago Acosta. Se programan pruebas. 20260204: se informa que Linda y Santiago desisten del proceso y se confirma informe de Mariana Muñoz. pte retro por gh. 20260206: Gh solicita avanzar contratacion Mariana. 20260211: Se envia OC FI 23 Feb.</t>
  </si>
  <si>
    <t>Camilo Jose Marquez Lemos</t>
  </si>
  <si>
    <t>20261225: Se activa reclutamiento. 20260105: Se envian 3hv. 20260108: Gh solicita a evaluar a Isabella Florez y continuar con reclutamiento. 20250115: se entrega informe. 20260204: GH solicita evaluar referido. 20260209: se entrega informe. 20260211: GH solicita contratar a Camilo MArquez (referido). 20260212: Se envia OC con F.I 23 feb.</t>
  </si>
  <si>
    <t>Nury Jasbleyde Riaño Vasquez</t>
  </si>
  <si>
    <t>20251216: Se activa reclutamiento. Se retoman backup KATHERINE DIAZ LOPEZ, se solicitan documentos. 20251217: Se realizan entrevistas con GH candidato no favorable. Se continua reclutamiento. 20251222: Se programan entrevistas 29Dic. 20251229: Candidata seleccionada YESICA YURLEY VANEGAS MATEUS se solicitan documentos. 20260105: Se solicita ES candidata seleccionada fecha tentativa de ingreso 13Ene. 20260107: Candidata no favorable en ES. Se continua reclutamiento. 20260115: Se realizan entrevistas con JI candidatos no favorables. Se programan entrevistas 16Ene. 20260116: Candidata seleccionada Nury Jasbleyde Riaño Vázquez se solicitan documentos. 20260120: Se programa prueba midot. 20260123: Se solicita ES candidata seleccionada fecha tentativa de ingreso 02Feb.</t>
  </si>
  <si>
    <t>AUXILIAR CREDITO</t>
  </si>
  <si>
    <t>Deiver Andres Sanchez Tovar</t>
  </si>
  <si>
    <t>20251216:El cliente solicito reclutamiento. Se solicito perfil ya que en Coonectados no aparece. (1) 20251217:El cliente envio perfil y se activa reclutamiento y se pregunto si sera hara concurso mixto o reclutamiento. 20251219:Se enviaron concurso para el Martes 23. 20251222:Se enviaron 4 hv Evelyn Vicuña, Victor Sanehz, Dover Vidal, Jesus Delgado. 20260102:Se confirmo filtro interno y se solicito retroalimentacion. 20260106:Se volvio a solicitar retroalimentacion. 20260107:El cliente informa que los candidatos estan citados para prueba tecnica. 20260113:Se solicito retroalimentacion. 20250115:El cliente envio a evaluar a Jesus Delgado, David Zafra y Samuel Gil. Se enviaron pruebas. 20260119: David Zafra no paso prueba de integridad y Samuel Gil salio no interpretable en la prueba Betesa. El cliente envio a evaluar tambien a Anderson Vasco. 20210120:Se subio informe de Jesus Delgado y se le informo al cliente. pendiente subir informe de Anderson. 20260126: Se solicito evaluar a Samuel y repetir la preuba Betesa. 20260127: Se subio informe de Anderson y se le informo al cliente. 20260128:Se subio informe de Samuel y se le informo al cliente. 20260129:El cliente envio a evaluar a Carlos Rodriguez y Deiver Sanchez. 20260204:Se subieron los ultimos dos informes y se le informo al cliente. 20260211:El cliente envio a contratar a Deiver Sanchez. 20260212:Se envio a contratacio con FI 23 de Feb.</t>
  </si>
  <si>
    <t>Coofisan</t>
  </si>
  <si>
    <t>AUDITOR/A FINANCIERO</t>
  </si>
  <si>
    <t>Jhonny Fernando Acosta Ortega</t>
  </si>
  <si>
    <t>20251217: GH envia hv para evaluación Jhony Acosta referido uco.20251222: se carga evaluacIon en SF.20260102: GH envia correo solicitando revision de perfil para continuar.20260115: se realiza seguimiento.20260123: gh solicita enviar a contratacion Jhony acosta.20260126: Se envia O.C con F.I 2 Febrero.</t>
  </si>
  <si>
    <t>USC COOMEVA</t>
  </si>
  <si>
    <t>EJECUTIVO/A COMERCIAL SECTORIAL</t>
  </si>
  <si>
    <t>Leidy Yuliana Zapata Laverde</t>
  </si>
  <si>
    <t>20251217:Se activo reclutamiento. (6) 20251229:Se enviaron 3 hv Diana Muñoz, Lisbeth Eraso, Darling Jimenez. (1) 20260102:El cliente cito a entrevista para el Miercoles 7 Ene. (5) 20260108:Paso a pruebas Darling Jimenez. 20260114:La candidata no ha terminado pruebas, por tal razon no se ha subido el informe. 20260115:La candidata desistio del proceso. Se activa reclutamiento. 20260129:Se enviaron 3 hv Isabella Franco, Leidy Zapata, Milena Vidal. 20260130:El cliente cito a entrevista para el Martes 3. 20260204:El cliente envio a evaluar a Leidy Zapata. 20260209:Se subio informe y se le informo al cliente. 20260210:El cliente envio a contratar a Leidy 20260211:Se envio a contratacion con FI 23 FEB.</t>
  </si>
  <si>
    <t>Colfondos</t>
  </si>
  <si>
    <t>John Edison Morales Reina</t>
  </si>
  <si>
    <t>20251217:Se activo reclutamiento. 20260105:Se enviaron 3 hv Aura Sanchez, Erika Lopez, Jean Salinas. Se citaron a entrevista para el 7 de Enero. 20260108: Paso a pruebas Erika Lopez. 20260115:La candidata no paso prueba de servicio. Se activa reclutamiento. El cliente envio a evaluar a Jhon Morales. Se enviaron pruebas. 20260119:El candidato no ha terminado pruebas. 20260121:Se subio informe y se le informo al cliente. 20260126:El cliente envio a contratar a John Morales. Se envio a contratar con FI 2 Feb. 20260127:GH solicito cancelar la contratacion debido a que el salario basico para este cargo bajar al smlv. 20260202:Se volvio a activar la contratacion con FI 3 Feb. A la espera del correo de Tatiana para su ingreso.</t>
  </si>
  <si>
    <t>Colmedica Medicina Prepagada</t>
  </si>
  <si>
    <t>Nelsa Nides Ramos Acalo</t>
  </si>
  <si>
    <t>20251216:Se activo reclutamiento 20251219:Se enviaron 10 hv para las RQ 15515, 15516, 15517,15518,15519,15520. 20251222:El cliente envio a evaluar a Alirio Leiva. Se envian pruebas. 20251226:El candidato no ha terminado prueba Bluesite. Se cito a entrevista para el Martes 30. No se pudo conectar. Se volvio a citar para el 5 de Enero. 20260105:Se le dio retroalimentacion al cliente de la evaluacion. (4) 20260106:El cliente envio a contratar a Alirio Leiva en la RQ 15293. 20260115:Aun no se recibe retroalimentacion de las hv enviadas. 20260116:El cliente envio a evaluar a Ana Milena Orozco.(7) 20260120: se informa que la candidata no presenta pruebas ni asiste a entrevista, Gh solicita retomar reclutamiento. 20260122: se envian 6 hv. Pte retro por gh. 20260128: gh informa que se programan entrevistas para el 29 Enero. Pte retro. 20260129: GH solicita evaluar a Tatiana, Anguie, Lisethh, Wiley, Ingrid, Sara y Jennifer. Se programan pruebas. (1) 20260204: se envia retro (2 candidatas no pasan veritas, 1 desiste, 3 no aptas entrevista, 1 no pasa prueba servicio) y se activa reclutamiento. 20260205: Se envian 5 hv. Pte retro por gh. 20260206: Se envian 3 hv adicional. 20260211: gh envia retro de hv (2 no contestan, 1 desiste, 1 descartado por JI, 2 no pasan entrevista) y se solicita evaluar a Nelsa y Ivonne (reclutamiento) y johana ortega (refer). Se programan pruebas. 20260213: se informa a gh que ivone desiste y nelsa (67) y johana (69) no pasan PS. Se activa reclutamiento. 20260217: gh solicita retomar evaluacion de Nelsa Ramos teniendo en cuenta aval del corpo de avanzar con candidatos que puntuen en PS superior a 60. Se programa entrevista. Ese mismo dia gh solicita avanzar contratacion con proceso de seleccion y contratacion en simultaneo FI 23 FEB. 20260218: Se envia OC FI 23 FEB.</t>
  </si>
  <si>
    <t>Johana Sixta Ortega Muñoz</t>
  </si>
  <si>
    <t>20251216:Se activo reclutamiento. 20251219:Se enviaron 10 hv para las RQ 15515, 15516, 15517,15518,15519,15520. 20251231: El lider esta en vacaciones por tal razon aun no dan retroalimentacion. 20250105: se solicito retroalimentacion de las hv enviadas y el cliente informa que el lider esta en vacaciones y no ha retomado el proceso. 20260115:Aun no se recibe retroalimentacion de las hv enviadas. 20260119:Aun no se recibe retroalimentacion. 20260120: GH solicita retomar reclutamiento.20260122: se envian 6 hv para g vacantes. Pte retro por gh. 20260128: gh informa que se programan entrevistas para el 29 Enero. pte retro. 20260129: GH solicita evaluar a Tatiana, Anguie, Lisethh, Wiley, Ingrid, Sara y Jennifer. Se programan pruebas. 20260204: se envia retro (2 candidatas no pasan veritas, 1 desiste, 3 no aptas entrevista, 1 no pasa prueba servicio) y se activa reclutamiento. 20260205: Se envian 5 hv. Pte retro por gh. 20260206: Se envian 3 hv adicional. 20260211: gh envia retro de hv (2 no contestan, 1 desiste, 1 descartado por ji, 2 no pasan entrevista) y se solicita evaluar a Nelsa y Ivonne (reclutamiento) y johana ortega (refer). Se programan pruebas. 20260213: se informa a gh que ivone desiste y nelsa (67) y johana (69) no pasan PS. Se activa reclutamiento. (3) 20260217: gh solicita retomar evaluacion de Johana Sixta Ortega teniendo en cuenta aval del corpo de avanzar con candidatos que puntuen en PS superior a 60. Se programa entrevista. Ese mismo dia gh solicita avanzar contratacion con proceso de seleccion y contratacion en simultaneo FI 23 FEB. 20260218: Se envia OC FI 23 FEB.</t>
  </si>
  <si>
    <t>Grupo Effi</t>
  </si>
  <si>
    <t>Stephanie Fernanda Calderon Diaz</t>
  </si>
  <si>
    <t>20251217: Se activa reclutamiento. 20251224: Con base en la disponibilidad de agenda de JI se programan entrevistas para el 26 y 29 de Diciembre. 20251226: Con base en el espacio de hoy se reprograman candidatos para el espacio del Lunes 29 dado que indican no poder conectarse al espacio. 20251229: Con base en el espacio de hoy candidata apta Alenis Diaz, se solicitan documentos e igualmente se programa nuevo espacio para el 5 de Enero para ver más perfiles. 20260105: Con base en el espacio de hoy candidatas aptas Stephanie calderon y back Marcela Ramirez, se solicitan documentos e igualmente se programa nuevo espacio para el 8 de Enero. 20260108: Candidata Sthepanie Calderon aun pendiente de documentos para enviar a contratacion indica por tarde mañana quedar al día, con base en el espacio de hoy candidata apta Milangela Carrillo, se solicitan documentos. 20260110: Se envía a estudio de seguridad y contratación a Stephanie Calderon con fecha tentativa de ingreso del 22 de Enero. 20260122: Con base en la información recibida por parte de GH se modifica fecha de ingreso tentativamente para el 2 de Febrero, con posibilidad de modificación y avales de parte de GH.</t>
  </si>
  <si>
    <t>Enfermeros de tu mano</t>
  </si>
  <si>
    <t>FIDUCOOMEVA</t>
  </si>
  <si>
    <t>Angie Tatiana Timana Canchala</t>
  </si>
  <si>
    <t>20251217: Se activa reclutamiento. 20251218: se envian dos cv a GH. 20251226: se realiza seguimiento.20260105: se realiza seguimiento.20260114: se activa reclutamiento.20260115: se envian 5cv a GH.20260121: GH solicita evaluar a angie timana,cristhian bolaños. 20260128: se entregan informes. 20260211: GH solicita contratar a Angie Timana. 20260212: se envia OC con F.I 23 feb.</t>
  </si>
  <si>
    <t>Mathias Hurtado Delgado</t>
  </si>
  <si>
    <t>20251217: Se activa reclutamiento. 20251224: Se envian 3 hv. pte retro por gh. 20260106: Pte retro por gh. 20250115: se solicita retroalimentacion. 20250116: GH solicita evaluar y contratar a Mathias Hurtado. 20260123: se entrega informe. 20260127: se envia OC con F.I 2 feb.</t>
  </si>
  <si>
    <t>Ximena Bolaños Fernandez</t>
  </si>
  <si>
    <t>20251212: GH solicita evaluar a Geraldine Riascos. 20251217: se informa que la candida aun no realiza pruebas. 20251219: candidata desiste, GH informa que el 22 dic haran nuevas entrevistas e informaran para evaluar. 20260106: gh informa que se programa entrevista el Viernes. Pte retro por gh. 20260113: GH solicita evaluar 3 candidatos. 20250115: se informa que Mabel Narvaez y Juan Arias no pasan prueba de servicio, pte Evelin. 20260116: se informa que Evelin tampoco pasa prueba servicio. Se inicia reclutamiento. 20260122: gh solicita evaluar a Luisa Espinosa y Mayerly. Se programan pruebas. 20260123: Se envian 3 hv. pte retro por gh. 20260126: se informa a gh que Luisa y Mayerly no pasan prueba de servicio y se solicita retro de hv enviadas el 23 Ene. pte retro por gh. 20260205: se solicita retroalimentacion. 20260211: pte retro por gh. 20260202: gh solicita activar reclutamiento. 20260206: Se envian 6 hv. Pte retro por gh. Ese mismo dia gh solicita evaluar a y contratar a Ximena Bolaños. Se programan pruebas. 20260212: se envia informe. gh solicita avanzar contratacion. 20260216: Se envia OC FI 23 FEB.</t>
  </si>
  <si>
    <t>SYNLAB</t>
  </si>
  <si>
    <t>Nataly Reyes Cala</t>
  </si>
  <si>
    <t>20251218: Se inicia reclutamiento 20251222: Se solicita agenda con jefe inmediato 20251229: Se agenda entrevista con JI y Director comercial proceso no favorable 20260102: Se continua con reclutamiento agenda para la segunda semana de enero 20260126 : se solicita espacio con JI proceso próximo martes 3 de febrero, se selecciona 3 candidatos, se agenda entrevista con lider de th con fecha 13 de febrero Nataly Reyes 20260216 Se envia OC con fecha tentativa el 23 de Febrero</t>
  </si>
  <si>
    <t>AUXILIAR OPERACIONES FPV</t>
  </si>
  <si>
    <t>Yaneth Milena Mendoza Berrocal</t>
  </si>
  <si>
    <t>20251222: se realiza afinamiento perfil, se activa reclutamiento externo. 20251223: se publica vacante interna, hasta el 29 Dic. 20260102: se comparto 4cv externas y se confirmas 15cv internas para revision por GH. 20260115: se realiza seguimiento.20260120: GH solicita aplicar prueba tecnica 10 candidatos. 20260126: se comparten las PT. 20260128: GH solicita evaluar a Carlos Marquez, Jaider Villota y Yaneth Mendoza. 20260204: se entregan informes. 20260205: GH solicita contratar a Yaneth con F.I 12 feb. 20260206: se envia OC.</t>
  </si>
  <si>
    <t>Fiducoomeva</t>
  </si>
  <si>
    <t>Paula Andrea Guayacan Castro</t>
  </si>
  <si>
    <t>20251219: Se activa reclutamiento. 20251230: Se continua reclutamiento. Se programan entrevistas con JI 07Ene. 20260107: Se realizan entrevistas con JI candidata seleccionada LAURA SOFIA MINA. Se solicitan documentos. 20260109: Candidata indica tiene problemas con el diploma pero ya lo solicito a la institución. 20260114: Se solicita ES candidata selecciónada fecha tentativa de ingreso 22Ene. 20260116: Candidata desiste del proceso. Se activa reclutamiento se programan entrevistas con JI 20Ene. 20260120: Candidato no favorables. Se programan entrevistas 28Ene. 20260128: Candidato seleccionado PAULA ANDREA GUAYACÁN CASTRO se solicitan documentos. Gh solicita ver mas candidatos 30Ene. 20260130: Se realizan entrevistas con nuevos candidatos. Candidata seleccionada ANGYE VANESSA NUÑEZ MARTIN se solicitan documentos. 20260202: GH entrevista candidatas, seleccionada ANGYE VANESSA NUÑEZ MARTIN. 20260204: Candidata no favorable en integridad. 20260204: Se activa backup PAULA GUAYACAN se envia prueba MIDOT. 20260205: Se solicita ES candidata seleccionada fecha tentativa ingreso 12Feb.</t>
  </si>
  <si>
    <t>TRADER JUNIOR</t>
  </si>
  <si>
    <t>Diego Lopez Correa</t>
  </si>
  <si>
    <t>20251218: Se envia a Reclutamiento.20251218: Se realiza afinamiento, lider solicita entrega de hv el 8 de Enero, dado que sale a vacaciones y regresa en esta fecha. 20260106: se envian 6 cv a GH. 20260115: se realiza seguimiento. 20260121: se realiza seguimiento. 20260122: GH solicita evaluar a daniel, diego y juan. 20260128: se carga evaluacion en SF. 20260203: Gh solicita enviar a contratación a Diego lopez. 20260204: se envia O.C con F.I 12 Febrero.</t>
  </si>
  <si>
    <t>CARVAL</t>
  </si>
  <si>
    <t>Omar Dario Malaver Peña</t>
  </si>
  <si>
    <t>20251222: Se activa reclutamiento. 20251226: Se agendan entrevistas 29Dic. 20251229: Candidatos no favorables. Se programan entrevistas 07Ene. 20260107: Se realizan entrevistas candidatos no favorables. Se continua reclutamiento. 20260108: Se programan entrevistas con JI 14Ene. 20260114: Se realizan entrevistas 8 candidatos no favorables. Se programan nuevas entrevistas 16Ene. 20260116: Candidato seleccionado Victor Lozano se solicitan documentos. 20260120: Se programa prueba midot. 20260126: Se solicita ES candidato seleccionado fecha tentativa de ingreso 02Feb. 20260127: Candidato no favorable en ES. Se activa reclutamiento. 20260129: Se programan entrevistas con JI 03Feb. 20260203: Candidato seleccionado Omar Malaver se solicitan documentos y se agenda prueba MIDOT. 20260205: Se solicita ES candidato seleccionado fecha tentativa de ingreso 12Feb.</t>
  </si>
  <si>
    <t>Bancamia</t>
  </si>
  <si>
    <t>Nicolas Andres Sanchez Montañez</t>
  </si>
  <si>
    <t>20251222: Se activa reclutamiento. 20251226: Se programan entrevistas con JI 29Dic. 20251229: Candidatos no favorables, Se programan entrevistas 07Ene. 20260107: Se realizan entrevistas candidatos no favorables. Se continua reclutamiento. 20260108: Se programan entrevistas con JI 14Ene. 20260114: Se realizan entrevistas 8 candidatos no favorables en entrevista. Se programan nuevas entrevistas 15Ene. 20260116: Candidata seleccionada CLAUDIA ALEJANDRA BERDUGO CRUZ, Se solicitan documentos. 20260120: Se programa prueba midot. 20260123: Se solicita ES candidata seleccionada fecha tentativa de ingreso 02 Feb. 20260129: Candidata no favorable en ES. Se activa reclutamiento. Se programan entrevistas con JI 03Feb. 20260203: Candidato seleccionado NICOLAS ANDRES SANCHEZ MONTAÑEZ se solicitan documentos y se agenda prueba MIDOT. 20260205: Se solicita ES candidato seleccionado fecha tentativa de ingreso 12Feb. 202500206: Se le indica el resultado al cliente 20260209: Cliente indica que va solicitar aval para continuar con el candidato el proceso 20260212: Se le solicita retroalimentación. 20260216: Se da aval para continuar con el candidato OC con fecha tentativa el 23 de Febrero</t>
  </si>
  <si>
    <t>Linda Cristina Rivas Gonzalez</t>
  </si>
  <si>
    <t>20251222: Se activa reclutamiento. 20251226: Se recibe candidato para reintegro Diego Mauricio Urueña Diaz se envian pruebas y se solicitan documentos. 20251230: GH indica estan a la espera de autorización de reingreso por parte juridica. 20260105: Gh indica aun estan a la espera de autorización. Indican no activar reclutamiento por ahora. 20260108: Se solicita nuevamente retroalimentación a GH. 20260114: solicitan activar reclutamiento. 20260116: Se programan entrevistas con JI 21Ene. 20260121: Candidatos no favorables. Se programan entrevistas 23Ene. 20260123: Candidata preseleccionada Hidler Torres. 20260126: Se solicita a JI espacio para entrevista. 20260127: Se programan entrevistas con JI 29Ene. 20260129: Se reactiva proceso Diego Urueña se solitan documentos faltantes. En entrevistas realizadas candidato seleccionado Diego Marin. Se solicitan documentos y se agenda MIDOT. 20260130: Candidato desiste del proceso. 20260204: Se le indica a Diego documentos pendientes. 20260205: Se solicita al candidato documento pendientes 20260209: se le indica al candidato un plazo para enviar el documento. 20260210: Se realiza prueba MIDOT 20260211: Se envia candidato a ES con Fecha tentativa el 23 de febrero, Candidato desiste del proceso 20262016: Dan aval para continuar con el que estaba pendiente con prueba MIDOT LINDA CRISTINA RIVAS GONZALEZ se envia OC con fecha tentativa 23 de febrero</t>
  </si>
  <si>
    <t>MEDICO/A GENERAL</t>
  </si>
  <si>
    <t>CARGO MEDICO</t>
  </si>
  <si>
    <t>Gustavo Adolfo Franco Vallejo</t>
  </si>
  <si>
    <t>20251224: Se envia a contratacion a GIOVANNA MARIZOL QUIJANO TALERO una persona que teniamos en back-up desde el mes de noviembre, de un proceso de seleccion pasado adelantado el 15 de noviembre. 20251229: La candidata se encuentra en EM 20260102: candidata registra con novedad en ES. Se reinicia RQ. 20260106: GH solicita evaluar a tres candidato Adolfo Suarez, Daniela Romero y Natalia Padilla. Se proceso evaluativo. 20260116: Pendiente de respuesta por parte del cliente .20260122: Pendiente respuesta del cliente. 20260127: Se esta a la espera de la retroalimentacion del cliente Daniela Romero. 20260128: Se avanza a proceso de contratacion con Daniela Romero . 20260129: SE REINIA EN PROCESO YA QUE LA CANDIDATA NO SUEPERA ES. 20260130: Se tiene 4 candidatos en entrevista con el cliente. 20260202: El cliente solicita avanzar con 4 candidatos. 20260205: Se avanza para esta RQ Gustavo Franco. 20260212: El candidato se encuentra en estudio de seguridad 20260218: El candidato firma conterato</t>
  </si>
  <si>
    <t>Hospital General del Sur</t>
  </si>
  <si>
    <t>York Frank Lopez Rodriguez</t>
  </si>
  <si>
    <t>20260105: Se envian 3 HV: Marlon Sanchez, Juan Pablo Rojas, Alejandro Giraldo y 2 HV que cuentan con la experiencia pero no tienen carrera profesional finalizada: Laura Corredor y Juan Camilo Agudelo, en caso de que se puedan incuir en el proceso y realizar excepción por formación academica, de acuerdo a la dificultad para el reclutamiento de este cargo. 20260115: En entrevistas iniciales con candidatos enviados. 20260129: Se solicita aplicar prueba de serivcio e integridad a candidatos que pasan entrevista: Marlon Sanchez, Juan Pablo Rojas, York Frank Lopez, pendiente assessment para definir el proceso. 20260203: Se solicita continuar con York Frank Lopez para ingreso el 12 de febrero. 20260205: Se envia informe, pendiente entregar certificado de estudio actual para enviar orden de contratación. 20260206: Se solicita contratación. 20260209: Se informa a GH que se tiene inconveniente con la contratación del candidato porque se encuentra en proceso de retiro en regimen especial (policia). 20260211: No se ha definido el retiro, se aplaza contratación para el 23 de febrero. 20260218: El candidato entregó soporte de retiro de regimen especial y firma contrato. *Descontar 14 dias en proceso de selección por demora en dar continuidad al proceso, despues de enviar HV. *Descontar 4 dias en proceso de contratación, por demora en presentar soporte de retiro de regimen especial.</t>
  </si>
  <si>
    <t>Martidoll S.A.S</t>
  </si>
  <si>
    <t>MONTERIA</t>
  </si>
  <si>
    <t>Connie Mayela Cordero Regino</t>
  </si>
  <si>
    <t>20251222: Se inicia proceso de reclutamiento. 20251226: Se le comparten al cliente 3 hojas de vida. 20251229: Pendiente por retroalimentacion del cliente 20260107: aun a la espera de retroalimentacion de GH. 20260116: Pendiente de retroalimentacion del cliente . 20250119: El cliente solicita avanzar con Kiara Aguirre. 20260122: Se envia el concepto al cliente el cual no es favorable por parte de la USC, pendiente de que el cliente defina la continuidad o no. 20260127: Se tiene entrevista con un back-up Juana Durango Sanchez. 20260129: La candidata se cita 2 veces a proceso y no se concecta se envia nuevamente reclutamiento se comparten 4hv . 20260205: Se envia a concepto al cliente. 20260206: Se envia a contratacion la candidata connie con visto bueno del cliente . 20260212: La candidata se encuentra en EM . 20260219: La candidata firma contrato</t>
  </si>
  <si>
    <t>Anthony Guerra Castillo</t>
  </si>
  <si>
    <t>20251226: Se activo reclutamiento. 20260107: Politecnico comparte 4 aprendices y seran entrevistadas el 9/Ene. 20260109: Candidatas del politecnico no avanzan por no disponibilidad de practicas. 20260115: System Center comparte aprendices las cuales seran entrevistadas el 16/Ene. 20260116: Candidatas Belkis Quiroz y Jairis Bolvar no asisten a entrevista, desisten del proceso. A espera que instituciones compartan mas aprendices; se encuentran en proceso de matricula. 20260130: Entrevistas con 3 aprendices del Centro Inca. 20260205: En evaluacion aprendiz Anthony Guerra Castillo. 20260206: Se comparte registro evaluativo y simultaneo a EDS y EMO aprendiz Anthony Guerra.20260211: Se confirma contratación del estudiante Anthony Guerra Castillo, con FI. 12/02/2026.</t>
  </si>
  <si>
    <t>Jose Manuel Marin Chavez</t>
  </si>
  <si>
    <t>20251226: se envia a reclutamiento.20260105: Se envian 5cv a GH.20260108: GH slicita evaluar Jose Marin los demas estan en prueba de conduccion.20260114: evaluado, se carga en SF. 20260114: GH solicita evaluar a Omar polonia y Cristian Yacumal.20260123: GH informa enviar a contratacion Jose marin.20260126: Se envia O.C con F.I 2 Febrero.</t>
  </si>
  <si>
    <t>Red de urgencias de la costa pacífica</t>
  </si>
  <si>
    <t>EJECUTIVO/A COMERCIAL</t>
  </si>
  <si>
    <t>Sadith Paola Narvaez Guerra</t>
  </si>
  <si>
    <t>20251229: Reclutamiento 20260106: se continua reclutamiento, a la espera de definir con GH la persona a cargo del proceso debido a que la líder esta en vacaciones 20260116: se comparten 7 HV para entrevista, a la espera de que la líder defina fecha de entrevista 20260121: aun se espera disponibilidad de la líder 20260123: JI solicita entrevistas para el 28 de ene. 20260127: se comparten 11 HV para entrevista 20260128: se presentan 8 candidatos y aprueban Dana Caheverra, Miguel Carvajal, Daniel Galeano, Maria Camila Gomez, Evelyn Cosme 20260129: se incia proceso evaluativo con los 5 candidatos 20260203: se comparte retroalimentacion con concepto apto de Dana Chaverra, Miguel Carvajal y Daniel Galeano, desiste Evelyn Cosme y no aprueba Camila Gomez. 20260204: JI solicita contratar a Sadith Narvaez quien se encuentra en el momento por temporal. Se envia OC. 20260205: candidata Sadith Narvaez aprueba ES y se envia a EM 20260209: candidata registra sin novedad en EM 20260210: contratacion confirma ingreso de Sadith Narvaez con fecha de inicio el 23 de feb</t>
  </si>
  <si>
    <t>Job &amp; Talent Coomeva</t>
  </si>
  <si>
    <t>Laura De Jesus Anaya Dominguez</t>
  </si>
  <si>
    <t>20251229: Se activa reclutamiento. 20251229: Reclutamiento 20260102: GH retoma las HV enviadas en el mes de diciembre. 20260106: GH solicita evaluar a Adolfo Suarez, Daniela Romero y Natalia Padilla, se programa proceso evaluativo. 20260116: Pendiente por el VB por parte del cliente de los candidatos evaluados . 20260126: Pendiente aval por parte del cliente . 20260127: Pendiente por aval de los candidatos a. 20260128: El cliente solicita contratar en esta rq a Adolfo Suarez. Y natalia queda descartada .20260129: Se avanza con Adolfo a estudio de seguridad si todo sale bien su ingreso seria el 12. 20260205: El candidato se encuentra en apertura de cuenta . 20260212: El candidato se retira del proceso . Se tenian candidatos en proceso y se proceden a evaluar. 20260213:Se envia el concepto al cliente y solicita avanzar con Laura Amaya 20260219: La candidata se encuentra en EM . 20260220: La candidata firma contrato</t>
  </si>
  <si>
    <t>Hospital San Rafale</t>
  </si>
  <si>
    <t>VILLAVICENCIO</t>
  </si>
  <si>
    <t>AUXILIAR ZONAL DE SOPORTE COMERCIAL GCC</t>
  </si>
  <si>
    <t>Karol Dayana Lara Reyes</t>
  </si>
  <si>
    <t>20251222: Se activa el proceso de acuerdo a solicitud de GH, En reclutamiento 20251226: Se agenda entrevista con JI, se selecciona candidata, se le solicita documentos, 20251229: Se valida para poder enviar a E.S. 20260102: Se envía a estudio de seguridad y contratación a Karol Lara con fecha tentativa de ingreso del 13 de Enero. 20260127: se activa proceso con fecha tentativa de ingreso el 2 de febrero</t>
  </si>
  <si>
    <t>Falabella</t>
  </si>
  <si>
    <t>Valentina Millan Betancourt</t>
  </si>
  <si>
    <t>20251230:El cliente solicito reclutamiento. 202602:El cliente cito a entrevista para el 8 de Ene, candidatos enviados por ellos. 20260108:No se presentaron 3 candidatos y 2 no cumplian con el perfil. 20250113:Se enviaron 2 hv Monica Cardenas, Francy Calle. 20260114:El cliente cito a entrevista para el Jueves 15. 20260116:El cliente envio a evaluar a Francy. Se enviaron pruebas. 20260120:La candidata no ha terminado las pruebas. 20260126:La candidata no ha realizado la prueba Midot. 20260127:Se decidio no continuar con la candidata. Se activa reclutamiento. 20260128: El cliente envio a evaluar a una candidata Valentina Millan. Se enviaron pruebas. 20260203:Se subio informe y se le informo al cliente. 20260203:El cliente envio a contratar a Valentina. 20260209: El cliente envio formato de excepcion por formación academica y se envio a contratacion con FI 23 Feb.</t>
  </si>
  <si>
    <t>Nación Runner</t>
  </si>
  <si>
    <t>Laura Sofia Penagos Paz</t>
  </si>
  <si>
    <t>20251230:: Se envia a reclutamiento. 20251230: GH Envia cv para evaluacion Laura Penagos. 20260106: se carga evaluacion en sf. 20260107: GH informa avanzar en contratacion con laura penagos para ingreso 23 de febrero, posicion se libera el 21 feb. 20260107: se envia a contratacion con F.I 23 febrero. 20260121: se modifica fecha de ingreso 2 Marzo. 20260210: gh solicita ingreso 23 de Febrero</t>
  </si>
  <si>
    <t>Metropolitan Cleaning Services</t>
  </si>
  <si>
    <t>EJECUTIVO/A BANCA PYME</t>
  </si>
  <si>
    <t>Jaime Fernando Uribe Reyes</t>
  </si>
  <si>
    <t>20251231: Se envia a reclutamiento.20260105: se envia para concurso interno, sale 6 enero hasta 7 enero.20260107: GH envia 2 cv internas para aplicar pruebas psicotecnicas.20260107: se envian 2cv externas a GH.20260114: GH informa seran evaluados por lider, pdt retro.20260127: GH informa que 28 enero seran evaluados por lider, pdt retro.20260129: GH solicita evaluar a Jaime uribe.20260203: se carga evaluacion en sf, GH solicita contratacion.20260204: se envia O.C con F.I 12 Febrero, GH solicita ingreso para el 23 de Febrero.</t>
  </si>
  <si>
    <t>Bancolombia</t>
  </si>
  <si>
    <t>Martha Daniela Moreno Guerrero</t>
  </si>
  <si>
    <t>20251230: se activa reclutamiento. 20260108: se envian 4 HV para entrevista el 9 de enero. 20260116: Pendiente de disponibilidad de agenda por parte del cliente . 20260122: El cliente notifica que el jefe se encuentra en reunion nacional, validar disponibilidad la primera semana de febrero . 20260129: Se tiene as el 3 de febrero . 20260205: Se tiene entrevista individual con Daniela Moreno . 20260212: La candidata esta pendiente por un visto bueno para enviarla a contratacion. 20260213: Se envia a contratar a la candidata Daniela Moreno 20260219: Se encuentra en EM. 20260219: La candidata firma contrato</t>
  </si>
  <si>
    <t>Medical Solution</t>
  </si>
  <si>
    <t>Cindy Paola Jimenez Soto</t>
  </si>
  <si>
    <t>20251230: Se inicia proceso de reclutamiento 20260108: se envian 4 HV para entrevista el 9 de enero. 20260116: Del AS realizado no pasaron los candidatos pendiente de disponibilidad de agenda por parte del cliente. 20260116: Se tiene programado AS para el dia martes 20 de enero. 20260120: El cliente solicita evaluar a Cindy Paola Jimenez . 20260127: La candidata firma contrato</t>
  </si>
  <si>
    <t>Bold</t>
  </si>
  <si>
    <t>Paula Andrea Lopez Osorio</t>
  </si>
  <si>
    <t>20260108: se envian 4 HV para entrevista el 9 de enero. 20260116: Del as realizado paso Andres Valencia pero no supero la fase de prueba de servicio. Pendiente de agenda por parte del cliente. 20260122: Se programa AS para el 3 de febrero por diponibilidad del cliente . 20260127: Se realiza entrevista de una candidata por parte del cliente. 20260129: Se tiene programado proceso evaluativo con Paula Lopez. 20260205: Se envia a contratacion la candidata Paula Lopez. 20260219: se encuentra en EM 20260220: La candidata firma contrato</t>
  </si>
  <si>
    <t>Aress</t>
  </si>
  <si>
    <t>Gabriella Manzi Caviedes</t>
  </si>
  <si>
    <t>20260105: Se envia a reclutamiento.20260105: Se envian 3cv a GH.20260113: GH solicita evaluar a Nicolle y Gabriela, se agendan para el viernes 16 Ene GH solicito evaluacion en conjunto, 20260219: se carga informe en SF. .20260119: Gh Solicita enviar a contratacion Gabriella, 20260120: se envia O.C con F.I 2 Febrero.</t>
  </si>
  <si>
    <t>Maira Valentina Flor Salazar</t>
  </si>
  <si>
    <t>20260105: Se envia a reclutamiento.20260115: se envia 1cv a GH.20260122: se realiza seguimiento.20260126: gh solicita reclutamiento, se envian 4cv y gh envian a evaluar dos candidatas de cv que enviaron a ellos desde la U.20260126: GH solicita enviar silmultaneo evaluacion con contratación a referida maria valentina flor.20260127:se carga informe en SF. GH solicita enviar O.C, se envia OC. con F.I 2 Febrero.</t>
  </si>
  <si>
    <t>ANALISTA NAL SERVICIO Y EXPERIENCIA</t>
  </si>
  <si>
    <t>Natalia Ferrer Gomez</t>
  </si>
  <si>
    <t>20260105: Se envia a reclutamiento.20260114: se envian 3cv.20260122: se realiza seguimiento.20260123: detenido.20260126: gh solicita evaluar Natalia Ferrer.20260130: Se carga evaluacion en sf. 20260202: gh solicita contratacion, se envia O.C con F.I 12 Febrero.</t>
  </si>
  <si>
    <t>Andrea Del pilar Abril Acosta</t>
  </si>
  <si>
    <t>20260105: Se activa reclutamiento. 20260108: Se realizan entrevistas con JI candidatos no favorables. Se continua reclutamiento. 20260114: Se realizan entrevistas con JI candidatos seleccionados July Rivera y Pablo Aponte con JI diferente a quien solicita la vacante. 20260115: Se solicitan documentos. 20260120: Se realizan nuevas entrevistas JI candidata seleccionada Andrea Abril. Se solicitan documentos. 20260122: Se agenda prueba midot. 20260126: Se solicita ES candidata seleccionada. Fecha tentativa de ingreso 02 febrero.</t>
  </si>
  <si>
    <t>Colmedicos</t>
  </si>
  <si>
    <t>Daniel Esteban Martinez Baron</t>
  </si>
  <si>
    <t>20260107:Se solicito perfil para iniciar reclutamiento. 20260109:Aun no envian el perfil. 20260114:Se volvio a solicitar el perfil 20260115:El cliente envio perfil y se activa reclutamiento. 20260122:Se enviaron 3 hojas de vida Dalia Bermudez, Jackeline Rodriguez y Addier Morales. 20260126:El cliente cito a entrevista para el Jueves 29 Enero. 20260127: Solo se presento a entrevista una persona y no paso. Se enviaron 3 hv Paula Andrea Zamora, Stefani Mosquera, Regina Bermudez. 20260203:El cliente cito a entrevista para el Martes 11 Feb. 20260211: Solo se presento Paula Zamora y se entrevistaron dos candidatos del centro de contacto. 20260212:Paso a pruebas Daniel Martinez. 20260213:El cliente solicito cerrar la RQ con Daniel Martinez con cambio laboral</t>
  </si>
  <si>
    <t>Laura Giraldo Castro</t>
  </si>
  <si>
    <t>20260108: Pendiente realizar solicitud a las instituciones, ya que se encuentran en periodo de vacaciones. 20260115: Se envia HV de estudiante disponible en etapa productiva de CENSA: Laura Giraldo. Se confirma gestión realizada con las otras instituciones que se han logrado contactar: Cruzada social y Sena, que no cuentan en el momento con estudiantes disponibles en etapa productiva. 20260116: Se solicita continuar con proceso de evaluación y contratación con la candidata para ingreso el 2 de febrero. 20260119: Se envia informe, se solicita contratación con FI 2 de febrero. 20260127: La candidata firma contrato. *Descontar 3 dias en proceso de conratacion, pendiente duplicar posicion para grabar contrato, ya que la aprendiz actual tiene fecha de baja 31 de enero.</t>
  </si>
  <si>
    <t>Liceth Paola Barbosa Orozco</t>
  </si>
  <si>
    <t>20260105: Crean RQ - Solicitan evaluar a candidata referida: Juliana Chavez. 20260106: Se evidencia que la candidata presentò proceso para Coomeva en Abr/2025 y presento novedad - Se reporta la no continuidad del proceso y se activa reclutamiento. 20260108: Se comparten: Ingrid Vergara - Jhennifer Martinez - Liceth Barbosa - Pte entrevista por lìder. 20260115: Solicitan evaluar a Liceth Barbosa. 20260122: Se comparte registro evaluativo. 20260127: Se avanza con EDS. 20260129: Candidata en oferta. 202602128: Se confirma contratación de la colaboradora Liceth Paola Barbosa Orosco, con FI. 12/02/2026.</t>
  </si>
  <si>
    <t>SOLUCIONES COMERCIALES</t>
  </si>
  <si>
    <t>PEREIRA</t>
  </si>
  <si>
    <t>Alejandro Gomez Muñoz</t>
  </si>
  <si>
    <t>20260107: Pendiente realizar solicitud a las instituciones, ya que se encuentran en periodo de vacaciones. 20260115: Se logró contacto con las personas encargadas de la Univesidad Catolica, confirman que se encuentan aún en vacaciones hasta el 20 de enero, esa semana estarian compartiendo hojas de vida, ya que si cuentan con estudiantes disponibles de Administración de Empresas e Ingenieria Industrial. 20260121: Se envian 3 HV de estudiantes disponibles de la Universidad Católica: Valeria Ceballos, Nicolas Giraldo, Alejandro Gomez. 20260127: Se solicita aplicar prueba de servicio e integridad a los 3 candidatos para definir el proceso. 20260128: Se solicita continuar con proceso de evaluación y contratacion con Alejandro Gomez, con FI 12 de febrero. 20260130: Se envia informe, se solicita contratación. 20260205: El candidato firma contrato.</t>
  </si>
  <si>
    <t>Emily Julieth Luna Caceres</t>
  </si>
  <si>
    <t>20260106: se activa reclutamiento. 20260116: Se tiene una candidata en proceso Emily Caseres. Pendiente del aval por aprte del cliente . 20260120: El cliente da aval de la candiata con las novedades presentada en la pruebas y se da aval desde la nacional para el ingreso. 20260121: Se envia a contratacion. 20260122: Estudio de seguridad . 20260127: Apertura de cuenta 20260129: Entregando documentos faltantes. 20260130: La candidata firma contrato</t>
  </si>
  <si>
    <t>Bomberos Envigado</t>
  </si>
  <si>
    <t>Juan Pablo Garcia Lopera</t>
  </si>
  <si>
    <t>20260106: se activa reclutamiento. 20260108: Se cmpartieron 6 hojas de vida . 20260116: Se avanza con Juan Pablo garcia. Estamos pendiente de aval por parte del cliente . 20260120: El cliente da el aval desde la DN para avanzar en el proceso. Se envia a contratacion . 20260122: Se enceuntra en estudio de segruidad 20260127: Se encuentra en apertura de cuenta. 20260206: Se envio la carta de compromiso para que el cliente de la excepcion. 20260206: Se cierra la contratacion.</t>
  </si>
  <si>
    <t>Clinica de la policia</t>
  </si>
  <si>
    <t>David Andres Martinez Galvis</t>
  </si>
  <si>
    <t>20260106: gh solicita evaluar a David Martinez. Se programan pruebas. 20260108: Se notifica a gh que candidato no realiza pruebas, ni se presenta a entrevista. (2)20260113: candidato completa pruebas y se reprograma entrevista para 14 ene. 20250115: se entrega informe. GH solicita contratar con f.I 2 feb. 20260116: se envia OC FI 02 FEB.</t>
  </si>
  <si>
    <t>ANALISTA GESTION CONTABLE</t>
  </si>
  <si>
    <t>John Edison Hincapie Florez</t>
  </si>
  <si>
    <t>20260106: GH envia cv referida para evaluacion Edward Henao.20260109: GH solicita incluir evalaucion a Daniela Rivera.20260113: Evaluacion en SF de edward.20260116: informe de Daniela cargado en sf.20260121: se realiza seguimiento.20260130: GH solicita envia O.C, se envia con F.I 12 Febrero.20260202: candidato no aprueba secap.20260203: se activa reclutamiento.20260205: Banco informa que enviaran candidatos de su parte para evaluar en esta posicion.20260210: GH envia 3 candidatos para evaluar fabian, jhon, darling.20260216: se carga evaluacion, gh solicita enviar O.C de Jhon. 20260217:se envia O.C con F.I 23 Febrero.</t>
  </si>
  <si>
    <t>AMCOR RIGID PACKAGING</t>
  </si>
  <si>
    <t>Maripaz Johana Gonzalez Quiñones</t>
  </si>
  <si>
    <t>20260107: Crean RQ. 20260120: Se comparten Ronald Martinez - Maripaz Gonzalez - Andrea Arias. 20260129: Se solicita información de avance. 20260204: Se comparten: Lisbeth - Zoraya - Carlos - Laura. Piden ir evaluando a Maripaz. 20260212: Se comparte regitro evaluativo y pide conocer avances del proceso. 20260217: De la nacional piden evaluar a referida de presidencia - detienen EDS de Maripaz. 20260218: Informan que la referida desiste y solicitan avanzar EDS y EMO de manera simultánea con la Dra. Maripaz para ingreso al 23/Feb. 20260220: Se confirma contratación de la colaboradora Maripaz Johana Gonzalez Quiñonez, con FI. 23/02/2026.</t>
  </si>
  <si>
    <t>CLINICA TRAUMANORTE S.A.</t>
  </si>
  <si>
    <t>Carlos Alberto Bedoya Valencia</t>
  </si>
  <si>
    <t>20260102: se activa reclutamiento 20260107: se comparten 3 HV a la espera de retroalimentacion de GH. 20260116: Se tiene a 2 candidatos en proceso evaluativo Carlos Bedoya y Luis Angel , Edwar bonilla. 20260122: pendiente el aval por parte de la nacional. 20260127: El candidato Edwar Bonilla no supera el proceso evaluativo. para esta rq se ubica a Carlos Bedoya . 20260129: Se envia a contratacion a carlos bedoya. 20260205: Se encuentra en apertura de cuenta . 20260212: Pendiente del aval por parte de la nacional. 20260219: Pendiente por aval de la nacional. 20260220: El candidato firma contrato</t>
  </si>
  <si>
    <t>Hospital San Vicente Fundacion</t>
  </si>
  <si>
    <t>Linzay Stefany Prado Valdez</t>
  </si>
  <si>
    <t>20260108: Se activa reclutamiento. 20260114: Se realizan entrevistas 3 candidatas. No favorables. 20260120: Se realizan entrevistas con JI no favorables. se programan entrevistas 23Ene. 20260123: Se realizan entrevistas con JI candidata favorable LINZAY STEFANY PRADO VALDEZ. Se solicitan documentos. 20260126: Candidata indica no ha podido enviar documentos, pero hoy los envia. 20260127: Se programa prueba Midot. 20260129: Candidata envia documentos faltantes. 20260202: JI solicita nuevas hojas de vida. 20260204: GH indica continuar con la contratación. 20260205: Se solicita ES candidata seleccionada fecha tentativa de ingreso 12 Feb.</t>
  </si>
  <si>
    <t>Eps Sanitas</t>
  </si>
  <si>
    <t>AUXILIAR CONTABILIDAD</t>
  </si>
  <si>
    <t>Evelyn Maryuri Posso Bermudez</t>
  </si>
  <si>
    <t>20260109:El cliente envio a evaluar a Evelyn Posso 20260115:Se subio informe a coonectados y se le informo al cliente. 20260116: El cliente envio a contratar a Evelyn pero no se ha enviado ya que no tenemos autorizacion. 20260121:Se activaron las contrataciones. preguntar a gh si se enviara a contratar. 20250122:El cliente envio a contratar a Evelin, Se envio a contratacion con FI 2 de Febrero.</t>
  </si>
  <si>
    <t>Licores la Cariñosa</t>
  </si>
  <si>
    <t>Juan Manuel Diaz Espinosa</t>
  </si>
  <si>
    <t>20260108: Se activa reclutamiento. 20260120: se enviaron 2 hv. 20260123: GH solicita evaluar y contratar a Juan Manuel. 20260129: Se confirma informe. (2)20260202: gh solicita avanzar contratacion con FI 23 FEB. 20260205: se envia OC FI 23 FEB.</t>
  </si>
  <si>
    <t>Valentina Penna Ortega</t>
  </si>
  <si>
    <t>20260108: Se activa reclutamiento. 20250115: se envian 3 hv. (2) 20260123: gh solicita evaluar a Valentina Penna. Se programan pruebas. 20260129: Se confirma informe. 20260202: gh solicita avanzar contratacion con FI 23 FEB. 20260205: se envia OC FI 23 FEB.</t>
  </si>
  <si>
    <t>Christian Santiago Gomez Pinto</t>
  </si>
  <si>
    <t>20260108: Se activa reclutamiento. 20250115: se envian 3hv. (2)20260123: gh solicita evaluar a Christian Gomez y Jose Barreto. Se programan pruebas. 20260129: Se confirma informe de Christian, Jose No pasa Veritas. 20260202: gh solicita avanzar contratacion con FI 23 FEB. 20260205: se envia OC FI 23 FEB.</t>
  </si>
  <si>
    <t>Yeiberlin Daniela Burgos Racines</t>
  </si>
  <si>
    <t>20260108:El cliente envio a evaluar a dos aprendices Darlyn Collazos y Yeiberling Burgos. 20260114:Las candidatas no ha terminado pruebas. 20260115: Darlyn no se conecto a entrevista y tampoco ha terminado las pruebas. Yeiberlin tampoco se pudo conectar y no ha terminado las pruebas, se reprogramo entrevista para el Viernes 16. 20260119:La candiata no ha terminado pruebas veritas. 20260120: Se subio informe de Yeiberling y se le informo al cliente. 20260121:El cliente envio a contratar a la candidata. 20260123:Se envio a contratar con FI 2 Feb.</t>
  </si>
  <si>
    <t>JEFE/A VENTAS MP</t>
  </si>
  <si>
    <t>Nataly Paola Martinez Charris</t>
  </si>
  <si>
    <t>20260108: Crean RQ y piden evaluar al referido: Jhonatan Llanos. 20260113: Se informa que el candidato tiene Pte realizar pruebas y no responde las llamadas. 20260114: GH pide esperar que las pueda realizar. 20260121: Se contacta al candidato por WP. 20260122: En candidato desiste por adelantar proceso con otra compañia. 20260128: Piden evaluar a referida: Gladis Carreño. 20260130: Descartan a Gladis y piden evaluar a Nataly Martinez. 20260204: Se comparte registro evaluativo y se avanza con EDS. 20260205: Candidata en oferta y apertura de cuenta. 20260206: Se confirma contratación de la colaboradora Nataly Paola Martinez Charris, con FI.c12/02/2026.</t>
  </si>
  <si>
    <t>CHUBB SEGUROS COLOMBIA S.A.</t>
  </si>
  <si>
    <t>Carla Paola Navarro Maldonado</t>
  </si>
  <si>
    <t>20260109: Crean RQ - Piden evaluar al candidato en BckUp Carlos Arrieta. 20260113: Se informa que el candidato tiene Pte Veritas - y prueba de Servico. 20260120: Se avanza con EDS. 20260122: Candidato presenta reporte en bases - Se comparte la no continuidad. 20260128: Piden evaluar a la referida:Carla Navarro. 20260206: Se comparte registro evaluativo y se avanza con proceso simultáneo EDS y EMO. 20260211: Se confirma contratación de la colaboradora Carla Paola Navarro Maldonado, con FI. 12/02/2026.</t>
  </si>
  <si>
    <t>Valentina Tapasco Franco</t>
  </si>
  <si>
    <t>20260115: Se solicita avanzar con proceso de evaluación con Yesica Lorena Valencia, estudiante de American Bussiness que envío HV a GH. 20260120: Pendiente enviar orden de contratación, ya que la candidata no ha enviado documentos, informa que debe solicitar el diploma o acta de grado a la Institución. 20260121: La candidata desiste del proceso. Pendiente de otras hojas de vida del American Bussiness School que confirma que puede tener otros estudiantes disponibles. 20260123: Se envian 4 HV: Martha Lucia Cardona, Alison Valentina Aldana, Carlos Fabian Rebolledo, Valentina Tapasco. 20260126: Se solicita continuar con proceso de evaluación y contratacion con Valentina Tapasco, se solicita que se realice estudio de seguridad y examen medico simultaneo para alcanzar a ingresar con FI 2 de febrero. 20260127: Se envia informe, se solicita contratación. 20260130:La candidata firma contrato.</t>
  </si>
  <si>
    <t>Samuel Ospina Velasquez</t>
  </si>
  <si>
    <t>20260115: se activa reclutamiento, GH confirma formacion. 20260120: se envian 4cv a GH. 20260122: GH solicita aplicar pruebas a Jordan Mendoza y Anderson Peñate, ademas envian 5 hv para ofertar y aplicar pruebas. 20260127: se entrega informacion de gestion. 20260128: GH solicita evaluar 3 candidatos. 20260202: se entregan informes. 20260204: GH solicita contratar a Samuel Ospina con F.I 12 feb. 20260205: se envia OC. 20260211: candidato no tiene carta presentacion porque la institucion esta en paro, se corre ingreso para el 23 feb.</t>
  </si>
  <si>
    <t>Nery Eduardo Bonilla Minotta</t>
  </si>
  <si>
    <t>20260116: Se envia a reclutamiento, estudiante derecho.20260120: se envian 4cv a GH.20260123: gh comprate retro, se activa reclutamiento.20260126: se envian 1cv a GH.20260128: GH envia candidato para evaluacion eduardo bonilla.20260203: Se carga evaluacion en SF.20260203: GH solicita eviar O.C, Se enviar con F.I 12 Febrero.20260211: se reprograma ingreso para el 23 de febrero por que no se recibio a tiempo carta de Universidad.</t>
  </si>
  <si>
    <t>ONG CRECER EN FAMILIA</t>
  </si>
  <si>
    <t>Daniela Andrea David Gallego</t>
  </si>
  <si>
    <t>20260116: se activa reclutamiento 20260119: se comparten 7 HV (Daniela Gallego) y GH programan entrevistas en conjunto para el 20 de ene. 2060120: se presenta Vicky Villareal y aprueba, se programan proceso evaluativo 20260123: se envia retroalimentacion de Vicky Villareal con concepto aprobado, al tiempo GH solicita evaluar a Daniela Gallego. 20260127: se envia retroalimentacion con concepto aprobado de la candidata y solicita enviar a contratar. Se envia OC de Daniela Gallego con fecha de inicio el 2 de feb. 20260128: candidata se encuentra en EM con ES aceptados. 20260130: se notifica contratacion de Daniela Gallego con fecha de inicio el 2 de feb</t>
  </si>
  <si>
    <t>Luz Esterli Botero Angulo</t>
  </si>
  <si>
    <t>20260116: Crean RQ y piden evaluar a candidata: Luz Botero. 20260122: Se comparte reporte evaluativo. 20260128: Se avanza con EDS y EMO de manera simultánea. 20260129: Candidata en oferta. 20260130: Se confirma contratación de la colaboradora Luz Esterli Botero Angulo, con FI. 02/02/2026.</t>
  </si>
  <si>
    <t>Luz Dary Romero Oyola</t>
  </si>
  <si>
    <t>20260119: El cliente solita evaluar un back-up que se tenia del mes de noviembre. 20260122: Se evalua y el proceso es satifactorio de Victor Payares. 20260123: Se envia el concepto al cliente y espera de respuesta 20260127: Se esta a la espera de la respuesta por parte del cliente 20260129: Pendiente por que el cliente nos comparta el aval de el DR manuel. 20260205: El Dr manuel no da el aval se tenia a una persona en back-up Luz Dary Romero . 20260206: Se envia a contratacion la candidata. 20260211: La candidata firma contrato</t>
  </si>
  <si>
    <t>Banco Av Villas</t>
  </si>
  <si>
    <t>EJECUTIVO/A FUERZA MOVIL BCO</t>
  </si>
  <si>
    <t>Carlos Eduardo Echeverry Calderon</t>
  </si>
  <si>
    <t>20260119: Se activa reclutamiento, se retoma backup de proceso anterior Yady Molina, e igualmente se programan entrevistas para el 20 de Enero. 20260120: Con base en el espacio de hoy candidato seleccionado Carlos Echeverry, a la espera de espacio con JI, e igualmente se programa nuevo espacio de entrevistas para el 27 de Enero con base en disponibilidad de GH. 20260127: Con base en el espacio de hoy candidato apto Daniel Camelo, al igual que los 2 candidatos anteriormente preseleccionados (Yady y Carlos) a la espera de agenda para espacio con JI. 20260129: Con base en la información recibida por parte de GH se programa nuevo espacio para el 3 de Febrero afin de ver más perfiles, e igualmente seguimos a la espera de agenda con JI para evaluar los 3 candidatos ya preseleccionados Yady, Carlos y Daniel. 20260202: Con base en la informacion recibida, se programa espacio con JI para el 4 de Febrero. 20260204: Con base en el espacio candidato apto Carlos Echeverry, se solicitan documentos. 20260206: Candidato Carlos aun en documentos, indica dejar al día lo pendiente hoy. 20260211: Se envía a estudio de seguridad y contratación a Carlos Echeverry con fecha tentativa de ingreso del 23 de Febrero.</t>
  </si>
  <si>
    <t>Mi banco</t>
  </si>
  <si>
    <t>Marley Liliana Pico Chaparro</t>
  </si>
  <si>
    <t>20260120: GH informa que para esta vacante se tendrán en cuenta unos temporales. 20260121: GH comparten las HV de Mariana David y Daniel Alvarez 20260123: GH solicita evaluar a Mariely Pico. 20260128: se envia retraolimentacion de Marley Pico y GH solicita enviar a contratar 20260129: se envia OC de Mariely Pico con fecha de inicio el 12 de feb 20260205: candidata Marley Pico se encuentra en ES 20260206: candidata aprueba ES y se envia a EM 20260211: contratación confirma ingreso de la candidata Marley Liliana Pico con fecha de inicio el 12 de feb</t>
  </si>
  <si>
    <t>Stefanny Quintero Cardenas</t>
  </si>
  <si>
    <t>20260122: Se retoman HV del reclutamiento realizado para el cargo Ejecutivo Fidelización y se solicita aplica pruebas a los siguientes candidatos: Juan David Quintero, Maria Fernanda Velasquez, Stefanny Quintero, Carol Michell Castro. 20260122: Se solicita continuar con proceso de evaluación y contratación con FI 2 de febrero, con Juan David Quintero. 20260126: Se envia informe, se solicita contratacion. 20260128: El candidato desiste del proceso por otra oferta laboral, se solicita avanzar con Stefanny Quintero para ingreso el 12 de febrero. 20260130: Se envia informe, se solicita contratación. 20260203: La candidata presenta novedad en EDS, pendiente definir continuidad. 20260205: Se define retomar el proceso de contratación con Juan David Quintero para ingreso el 12 de febrero. 20260209: Se reporta novedad en examen medico de Juan David Quintero, de acuerdo a recomendación del medico laboral no se puede continuar con el proceso. 20260211: Se define retomar el proceso de contratación con Stefanny Quintero, se recibe aprobación por novedad en EDS, se define fecha de ingreso 23 de febrero. 20260217: La candidata firma contrato. *Descontar 8 dias en proceso de selección el primer candidato desiste y luego no pasa EMO, se debe iniciar proceso con otra candidata.</t>
  </si>
  <si>
    <t>Clinica Comfamiliar</t>
  </si>
  <si>
    <t>TERAPEUTA DOMICILARIO CEM</t>
  </si>
  <si>
    <t>Paola Andrea Castro Guevara</t>
  </si>
  <si>
    <t>20260120: El cliente envia la hoja de vida de un candidato que laboro por la temporal para proceso evaluativo . 20260122: Se avanza proceso evaluativo con Paula Castro . 20260127: La candidata no supera fase evaluativa 20260129: El cliente esta solicitando autorizacion en la nacional para el ingreso de la candidata. 20260205: Pendiente del aval . 20260212: pendiente por el aval. 20260216: Se envia a contratacion con aval del DR Manuel 20260219: Se encuentra en EM . 20260220: La candidata firma contrato</t>
  </si>
  <si>
    <t>Coomeva Experiencia Medica</t>
  </si>
  <si>
    <t>Yudy Yesaira Balanta Filigrana</t>
  </si>
  <si>
    <t>20260120: Se envia para reclutamiento. 20260122: se envian 4cv. 20260126: GH solicita evaluar a Yesaira Balanta y enviar a contratacion 12 de Feb. 20260128: se carga evaluacion. 20260129: GH solicita contratacion. 20260130: se envia O.C con F.I 12 Febrero.</t>
  </si>
  <si>
    <t>Christian Camilo Ruiz Diaz</t>
  </si>
  <si>
    <t>20260121: Se solicita informacion a GH sobre proceso a realizar. 20260122: gh solicita evaluar y contratar a Christian Ruiz. Se programan pruebas. 20260127: Se envia informe y OC FI 02 Febrero en Simultaneo.</t>
  </si>
  <si>
    <t>Elite Nutrition SAS</t>
  </si>
  <si>
    <t>Mayra Alejandra Velasco</t>
  </si>
  <si>
    <t>20260121:Se activo reclutamiento. 20260202: Se enviaron 5 hoja de vida Kristin Portillo, Natalia Caicedo, Rosa Valencia, Lorena Mosquera, Alexandra Barcelo. 20260205:El cliente envio a contratar a Mayra Velasco, candidata evaluada tambien en la RQ 15071. Con FI 12 Feb. 20260211: El insitituto aun no envio la carta por tal razon la candidata queda para ingreso el 23 de FEB.</t>
  </si>
  <si>
    <t>Karol Dayana Borbon Riveros</t>
  </si>
  <si>
    <t>20260122: Se inicia reclutamiento 20260129: Se agenda entrevista con JI- candidatos presentados 3 No favorables en proceso de entrevista. 20260204: Con base en la informacion recibida por JI candidata referida preseleccionada Katerine Arrieta, se generan pruebas y solicitan documentos. 20260209: Se envía a estudio de seguridad con fecha de ingreso tentativa del 23 de Febrero. 20260218: Candidata Katerine desiste; Con base en la informacion recibida por GH la posicion queda habilitada a partir del 2 de Marzo para Karol Borbon (activa en Coomeva) movimiento interno y firmaría con fecha del 23 de Febrero.</t>
  </si>
  <si>
    <t>Giros y Finanzas</t>
  </si>
  <si>
    <t>Bryan Alejandro Ordoñez Acevedo</t>
  </si>
  <si>
    <t>20260121: Se activa reclutamiento . 20260123: Al cliente se le habian compartido unas hv para otra rq, y solicita evaluar en esta a Juan Carlos Ruiz. 20260127: Se envia concepto al cliente no satifactorio del candidato pendiente a la respuesta del cliente . 20260129: Se tiene programado entrevista con 6 candidatos para el dia de mañana con el cliente . 20260206: Se activa reclutamiento ya que los otros candidatos se ubicaron en otras rq . 20260209: Se enviaron 5 hojas de vida. 20260212: Se tiene en proceso evaluativo a Laura Anaya, Paula Salazar, Brayan Ordoñez . B20260213: El cliente solicita avanzar con Brayan Ordonez despues de su proceso evaluativo. Si todo sale bien su ingreso seria el 23 de febrero 20260219: Se encuentra en EM. 20260220: El candidato firma contrato</t>
  </si>
  <si>
    <t>AUXILIAR NAL OTORGAMIENTO AMPAROS</t>
  </si>
  <si>
    <t>Ana Maria Leon Carabali</t>
  </si>
  <si>
    <t>20260122:El cliente envio a evaluar a Ana Maria Leon, se enviaron pruebasy se cito a entrevista. 20260128:No se ha podido subir el informe ya que no ha terminado pruebas. 20260130:Se subio informe y se le informo al cliente. El cliente envio a contratar con FI 12 Feb.</t>
  </si>
  <si>
    <t>Alvaro Javier Santander Camacho</t>
  </si>
  <si>
    <t>20260121: GH solicita evaluar a Alvaro Santander. Se programan pruebas. 20260123: Se notifica a gh que candidato no pasa prueba servicio. (2)20260126: gh solicita evaluar al candidato teniendo en cuenta que trabaja con nosotros por medio de temporal. 20260128: Se evalua al candidato y se reprograma prueba de servicio. (1)20260130: gh solicita avanzar contratacion. 20260203: Se envia OC FI 12 FEB.</t>
  </si>
  <si>
    <t>Maria Fernanda Velasquez Ramirez</t>
  </si>
  <si>
    <t>20260122: Se retoman hojas de vida del reclutamiento realizado para el cargo de Ejecutivo de Fidelización y se solicita programar pruebas a los siguientes candidatos: Juan David Quintero, Maria Fernanda Velasquez, Stefanny Quintero, Carol Michell Castro. 20260123: Se solicita continuar con proceso de evaluación y contratación para ingreso el 2 de febrero con Maria Fernanda Velasquez. 20260126: Se envia informe, se solicita contratacion. 20260130: La candidata firma contrato. *Descontar 1 dia en proceso de contratacion, por demora por en completar documentos por parte de la candidata.</t>
  </si>
  <si>
    <t>Eje Paliativos</t>
  </si>
  <si>
    <t>Cielo Constanza Erazo Toledo</t>
  </si>
  <si>
    <t>20260122: gh envia a Cielo erazo para contratacion.20260126: se carga evaluacion y gh solicita enviar O.C, se envia O.C con F.I 2 Febrero.</t>
  </si>
  <si>
    <t>Melissa Catalina Lopez Castañeda</t>
  </si>
  <si>
    <t>20260123: Se activa reclutamiento. 20260126: Se compartieron 2 hojas de vida. 20260127: El cliente solicita evaluar a Melisa Lopez. 20260128: El proceso de Melisa es satifctorio, se avanza a la siguiente fase de contratacion, si todo sale bien su ingreso seria el 12 de febrero . 20260129: Se tiene a Melissa en fase de contratacion y un back-up Juana Pegano. 20260205: Se encuentra en apertura de cuenta . 20260211: Se contrata a melissa para esta RQ</t>
  </si>
  <si>
    <t>Escuela de trabajo San Jose</t>
  </si>
  <si>
    <t>Juan Camilo Arango Bernal</t>
  </si>
  <si>
    <t>20251210: se activa reclutamiento 20251212: se comparten 5 HV (Juan Camilo Arango) para evaluacion de GH. 20251229: Pendiente por respuesta del cliente 20250106: se valida nuevamente con el cliente a la espera de la retraolimentacion. 20260113: GH solicita evaluar al candidato Juan Camilo Arango. 20260115: se envia retroalimentacion con concepto del candidato. 20260121: se espera aún retroalimentacion de GH quien indica que esta a la espera de la entrevista con el JI 20260126: GH solicita enviar al candidato a contratar en la RQ 15709 para la sede las americas. Se envia OC 20260127: candidato registra con novedad en ES y GH brinda autorizacion para dar continuidad 20260129: candidato se encuentra en EM y apertura de cuenta 20260202: contratacion confirma ingreso de Juan Camilo Arango</t>
  </si>
  <si>
    <t>Banco Popular</t>
  </si>
  <si>
    <t>Miguel Angel Carvajal Londoño</t>
  </si>
  <si>
    <t>20260122: se activa reclutamiento 20260123: JI solicita entrevistas para el 28 de ene. 20260127: se comparten 11 HV para entrevista 20260128: se presentan 8 candidatos y aprueban Dana Caheverra, Miguel Carvajal, Daniel Galeano, Maria Camila Gomez, Evelyn Cosme 20260129: se incia proceso evaluativo con los 5 candidatos 20260203: se comparte retroalimentacion con concepto apto de Dana Chaverra, Miguel Carvajal y Daniel Galeano, desiste Evelyn Cosme y no aprueba Camila Gomez. 20260205: JI solicita sacar un espacio para evaluacion comercial con los entrenadores el 6 de feb. 20260206: se presentan los tres candidatos, no aprueba Dana Chaverra y Daniel Galeano será tenido en cuenta para otra vacate, Miguel Carvajal queda en stand by. 20260209: GH solicita detener rq considerando que la pos va ser entregada. 20260210: Gh informa que la pos ya no se entregará, así que JI solicita la contratacion de Miguel Carvajal. 20260211: se envia OC de Miguel Carvajal con fecha de inicio el 23 de feb. 20260216: candidato apruebas ES. 20260218: candidato aprueba EM y se encuentra en apertura de cuenta 20260219: contratacion confirma ingreso de Miguel Carvajal con fecha de inicio el 23 de feb</t>
  </si>
  <si>
    <t>APARTADO</t>
  </si>
  <si>
    <t>Jean Paul Palencia Perez</t>
  </si>
  <si>
    <t>20260123: Gh solicita evaluar al candidato Jean Paul Palencia para la vacante 20260128: se envia retraolimentacion con concepto aprobado del candidato y GH solicita enviar a contratacion con excepcion por perfil academico 20260129: se envia OC de Jean Paul Palencia con fecha de inicio el 12 de feb 20260204: candidato aprueba ES y EM. 20260205: se valida con GH el tema de la baja como aprendiz para llevar a cabo el envio de contrato 20260210: candidato se encuentra en proceso asociatividad 20260211: contratacion confirma ingreso de Jean Paul Palencia con fecha de inicio el 12 de feb</t>
  </si>
  <si>
    <t>Andres Felipe Ramos Cadavid</t>
  </si>
  <si>
    <t>20260126: gh envia 1cv para evaluar.20260130: Se carga informe SF.20260130: GH solicita enviar a contratacion, 20260202: se envia O.C con F.I 12 Febrero.</t>
  </si>
  <si>
    <t>JEFE/A REG. BIENESTAR</t>
  </si>
  <si>
    <t>Alexander Duvan Medina Avila</t>
  </si>
  <si>
    <t>20260126: Asignan RQ y activan proceso mixto. Se lanza concurso interno con fecha fin 30/Ene. Candidato externo en evaluacion Alexander Medina. 20260204: Se comparte informe de seleccion de Alexander Medina a GH. 20260205: Se comparten candidatos, internos : Yucelis Pugliece, Jhonathan Fontalvo, Monica Solano. Cand Externos: Gloribel Martinez, Narly Garcia, Alexander Medina, Adriana Otero. 20260206: JI solicita avanzar con evaluacion de internos: Jonathan Fontalvo, Monica Solano, Yucelis Pugliece. 20260210: Se comparten informes de seleccion de cand internos a JI. 20260211: Solicitan avanzar EDS con Alexander. 20260212: Se avanza con EDS. 20260219: Se confirma contratación del colaborador Alexander Duvan Medina Avila, con FI. 23/02/2026.</t>
  </si>
  <si>
    <t>CCF COMFAMILAR DEL ATLANTICO</t>
  </si>
  <si>
    <t>COORDINADOR/A NAL SERVICIO Y EXPERIENCIA</t>
  </si>
  <si>
    <t>Julian Andres Lozano Pinzon</t>
  </si>
  <si>
    <t>20260127: GH solicita evaluar Julian Lozano.20260129: se carga evaluacion en SF, gh solicita contratacion.20260130: se envia O.C con F.I 12 Febrero.20260209: GH solicita ingreso para el 23 de febrero por posicion ocupada hasta el 14 de Febrero.</t>
  </si>
  <si>
    <t>EFICACIA</t>
  </si>
  <si>
    <t>Gisel Marina Peña Morales</t>
  </si>
  <si>
    <t>20260126: se retoma el proceso que se inicio en el mes de oct del 25 con Gina Peña quien fue enviada el 7 de oct, evaluada desde el 16 de oct y se suspendio el proceso hasta el mes de dic. En aquel momento se compartieron 6 HV el 14 de oct 20260127: se envia OC de Gina Peña para ingresar el 22 de feb 20260204: candidata aprueba el proceso de EM y ES, se encuentra en apertura de cuenta y asociatividad 20260205: contratacion confirma ingreso de gisel Peña con fecha de inicio el 23 de feb</t>
  </si>
  <si>
    <t>Alberto Mario Iglesias Maza</t>
  </si>
  <si>
    <t>20260127: Se activa reclutamiento. 20260203: Se realizan entrevistas con JI candidatos no favorables. 20260204: Se retoma proceso con candidato ALBERTO MARIO IGLESIAS MAZA seleccionado por la jefe Nadin. Se envia prueba MIDOT. 20260205: a la espera que el candidato realice la prueba 20260209: Se le solicita la realizacion de los documentos, el candidato envio todos los documentos, a la espera de que realice MIDOT, 20260211: Se le marca para que realice la prueba sin ninguna respuesta, se le indica a cliente e indica que se le de espera. 20260217: Dan aval para continuar 20260218: se envia OC ALBERTO MARIO IGLESIAS MAZA Con fecha tentativa 23 Febrero.</t>
  </si>
  <si>
    <t>Metlife</t>
  </si>
  <si>
    <t>Tatiana Vanessa Cadavid Perez</t>
  </si>
  <si>
    <t>20260129: El dia 20 de enero se realizo as y una candidata quedo en back-up. Tiene entrevista con la cliente el lunes 2 de febrero Tatiana Cadavid . 20260206: Se envia a contratacion a Tatiana Cadavid si todo sale ok su ingreso seria el 12. 20260210: La candidata firma contrato</t>
  </si>
  <si>
    <t>Alma Angelica Brand Giraldo</t>
  </si>
  <si>
    <t>20260128: GH solicita evaluacion de Alma.20260202: se carga evaluacion en sf, gh solicita contratacion. se envia O.C con F.I 12 Febrero.</t>
  </si>
  <si>
    <t>Nivia De jesus Redondo Ramirez</t>
  </si>
  <si>
    <t>20260128: Crean RQ. 20260205: Se comparten: Jorge - Dolfis - Nivia. 20260210: Solicitan evaluar a Nivia Redondo. 20260213: Se comparte registro evaluativo. 20260216: Se avanza con EDS. 20260219: Candidata en oferta. 20260220: Se confirma contratación de la colaboradora Nivia De Jesus Redondo Ramirez, con FI. 23/02/2026.</t>
  </si>
  <si>
    <t>Mayela Salas Bravo</t>
  </si>
  <si>
    <t>20260128: Crean RQ. 20260130: Se avanza evaluación con candidatos en BackUp: Diany - Fabian - Mayela. 20260202: Piden avanzar con Mayela. 20260204: Se comparte registro evaluativo y se avanza con EDS. 20260211: Se confirma contratación de la Colaboradora Mayela Salas Bravo, con FI. 12/02/2026.</t>
  </si>
  <si>
    <t>SEGUROS SURA</t>
  </si>
  <si>
    <t>GERENTE OFICINA BCO</t>
  </si>
  <si>
    <t>Miguel Sebastian Bautista Lopez</t>
  </si>
  <si>
    <t>20251210: se activa reclutamiento. 20251212: se comparten 5 HV para evaluacion de GH. 20251229: Pendiente de retroalimentacion del cliente 20251230: se comparten 2 HV 20260102: se comparten 5 HV (Miguel Sebastian Bautista) 20260106: se solicita retroalimentación a GH 20260115: se valida nuevamente retroalimentacion con GH e indica que están en entrevista con los candidatos y el JI 20260119: se solicita nuevamente retroalimentacion y GH solicita evaluar a Miguel Sebastian Bautista y Leidy Damaris Mejia 20260120: se comparte retroalimentacion a GH de Miguel Sebastian Bautista 20260122: se comparte retroalimentacion de Leidy Damaris Mejia. 20260123: GH solicita evaluar a Daniela Duque. 20260127: se envia retroalimentacion a GH y solicitar contratar a la candidata. Se envia OC para ingreso el 2 de feb. 20260128: Gh indica que la candidata ya no será la que se tendrá en cuenta para la vacante y solicitar enviar a contratacion a Miguel Sebastian Bautista. Se envia OC 20260129: Gh solicita cerrar esta RQ ya que el candidato va ser ingresado a la RQ 15766 Gte de oficina Americas. Se envia OC para fecha de ingreso el 12 de feb 20260204: candidato Miguel Sebastian Bautista aprueba ES y EM, se encuentra en asociatividad 20260205: contratacion confirma ingreso de Miguel Sebastian Bautista con fecha de inicio el 12 de feb</t>
  </si>
  <si>
    <t>Johan Sebastian Ossa Echeverry</t>
  </si>
  <si>
    <t>20260203: se envian 4 HV: Dahiana Rodas, Carlos Eduardo Lopez, Juan Felipe Perez, Victor Manuel Sanchez. 20260210: Se solicita aplicar pruebas a Carlos Eduardo Lopez y Dahiana Rodas, se solicita continuar con recluamiento para completar terna de candidatos. 20260211: Se comparte resultado de pruebas, se envian otras 2 HV: Johan Sebastian Ossa, Julian Andres Henao. 20260213: Se solicita continuar con proceso de evaluación y contratación con Johan Sebastian Ossa. 20260216: Se envia informe, se solicita contratación con FI 23 de febrero. 20260220: El candidato firma contrato.</t>
  </si>
  <si>
    <t>Wualter Ferney Suarez Menjuren</t>
  </si>
  <si>
    <t>20260202: Se activa reclutamiento. 20260204: Se agendan entrevistas con JI 06Feb. se da continuidad con Walter Ferney Suarez: con OC se envia con FI el 23 de Febrero</t>
  </si>
  <si>
    <t>AUXILIAR ADMINISTRATIVA</t>
  </si>
  <si>
    <t>Angie Paola Moreno Calvache</t>
  </si>
  <si>
    <t>20260202:El cliente envio a evaluar a Angie Paola Moreno. Se enviaron pruebas y se cito a entrevista.20260210: Se subio informe y se le informo al cliente. 20250211: El cliente solicito contratar a la candidata. 20260212:Se envio a contratacion con FI 23 de Feb.</t>
  </si>
  <si>
    <t>Carvajal Tecnólogia</t>
  </si>
  <si>
    <t>Yenifer Alejandra Bogota Sanabria</t>
  </si>
  <si>
    <t>20260204: Se activa reclutamiento. Se recibe hv referida Yenifer Bogota. 20260205: Se envian pruebas y se solicitan documentos.20260209: Se envia a ES con Fecha tentativa 23 de febrero</t>
  </si>
  <si>
    <t>Hernan Eduardo Orozco Vidal</t>
  </si>
  <si>
    <t>20260204: Crean RQ - Piden evaluar al referido Hernan Orozco. 20260212: Se informa que el candidato tiene Pte realizar una prueba. 20260216: Se comparte registro evaluativo y se avanza con EDS. 20260217: Se reporta novedad en EDS - dan aval para avanzar. 20260219: Candidato en oferta. 20260220: Se confirma contratación del candidato Hernan Eduardo Orozco Vidal, con FI. 23/02/2026.</t>
  </si>
  <si>
    <t>Wilder Stiven Camargo Escorcia</t>
  </si>
  <si>
    <t>20260205. Crean RQ. 20260210: Piden evaluar a candidato referido Wilder. 20260213: Se comparte registro evaluativo y se avanza con EDS. 20260219: Candidato en EMO. 20260620: Se confirma contratación del colaborador Wilder Stiven Camargo Escorcia, con FI. 23/02/2026.</t>
  </si>
  <si>
    <t>DYM LIMPIEZA SAS</t>
  </si>
  <si>
    <t>Melina Agudelo Rojas</t>
  </si>
  <si>
    <t>20260204: Crean RQ - Piden pasar a proceso simultáneo EDS y EMO la candita referida Melanie Agudelo, quien viene evaluada desde el 30/Ene. 20260206: Se comparte registro evaluativo y se avanza con EDS.20260211: Se confirma contratación de la colaboradora Melina Agudelo Rojas, con FI. 12/02/2026.</t>
  </si>
  <si>
    <t>Yulieth Vanessa Gonzalez Gomez</t>
  </si>
  <si>
    <t>20260205: Crean RQ. 20260209: Piden evaluar a candidatos en BackUp Yulieth. 20260213: Se comparte registro evaluativo y se avanza con EDS. 20260619: Candidata en oferta. 20260220: Se confirma contratación de la colaboradora Yulieth Vanessa Gonzalez Gomez, con FI. 23/02/2026.</t>
  </si>
  <si>
    <t>Yuly Paola Rivera Aldana</t>
  </si>
  <si>
    <t>20260206: Se inicia reclutamiento 20260211: Se solicita agenda para proceso, indican proximo 17 de febrero se da continuidad con la candidata Yuli Paola Rivera Aldana se envia OC con Fi el 23 de Febrero</t>
  </si>
  <si>
    <t>Ana Maria Rodriguez Velasco</t>
  </si>
  <si>
    <t>20260209: GH solicita evaluar y contratar simultaneo a Ana Hoyos, se carga informe.20260210: GH solicita enviar contratacion.20260211: se envia O.C con F.I 23 Febrero.</t>
  </si>
  <si>
    <t>ABOGADO/A</t>
  </si>
  <si>
    <t>Diana Carolina Gonzalez Vidarte</t>
  </si>
  <si>
    <t>20260210: GH envia dos candidatos para evaluacion cinthia y diana gonzalez.20260212: se carga evaluacion en sf.20260213: GH solicita contratacion de diana gonzalez, se envia O.C con F.I 23 Febrero.</t>
  </si>
  <si>
    <t>CELSIA INTERNET S.A.S.</t>
  </si>
  <si>
    <t>AUXILIAR SARLAFT</t>
  </si>
  <si>
    <t>Jose Esteban Cepeda Zuñiga</t>
  </si>
  <si>
    <t>20260210: GH envian dos cv para evaluar.20260213: Se carga evaluacion en sf, gh solicita contratacion.20260216: se envia oc con F.I 23 febrero.</t>
  </si>
  <si>
    <t>GESTOR/A COLABORADORES</t>
  </si>
  <si>
    <t>Rosa Gisela Gomez Yepes</t>
  </si>
  <si>
    <t>20260210: GH solicita contratacion de Rosa Yepes, envian excepcion para su proceso de evaluacion y contratacion. 20260211: se carga evaluacion en sf, GH solicita enviar O.C, se envia O.C con F.I 12 Marzo.</t>
  </si>
  <si>
    <t>Juan Felipe Hoyos Acevedo</t>
  </si>
  <si>
    <t>20260210: Se solicita iniciar proceso de seleccion y contratacion con Juan Felipe Hoyos para ingreso el 23 de febrero, colaborador que se encuentra contratado por temporal. 20260213: Se envia informe, se solicita contratación. 20260220: El candidato firma contrato. *Descontar 1 dia en proceso de contratación, por demora por parte del candidato en completar documentos.</t>
  </si>
  <si>
    <t>EJECUTIVO(A) SERVICIO AL PRESTADOR MP</t>
  </si>
  <si>
    <t>Maria Del carmen Calderon Conta</t>
  </si>
  <si>
    <t>20260212: Se envian pruebas y se solicitan documentos. entrevista 13 de febrero se encvia OC a Maria Del carmen Calderon con FI 23 De Febrero</t>
  </si>
  <si>
    <t>Job talent</t>
  </si>
  <si>
    <t>DIRECTOR(A) NAL ABASTECIMIENTO</t>
  </si>
  <si>
    <t>Ricardo Andres Perez Mera</t>
  </si>
  <si>
    <t>20260205: GH solicita contratar a Ricardo Perez. 20260206: se inicia proceso contratacion. 20260211: Gh confirma requi. Se confirma contratacion.</t>
  </si>
  <si>
    <t>Gilberto Arias Ocampo</t>
  </si>
  <si>
    <t>20260212: Se solicita iniciar proceso de selección y contratación para ingreso el 23 de febrero con Gilberto Arias quien se encuentra vinculado por medio de empresa temporal. 20260216: Se envia informe, se solicita contratación. 20260220: El candidato firma contrato.</t>
  </si>
  <si>
    <t>Ingrid Marioli Galeano Estupiñan</t>
  </si>
  <si>
    <t>20260202: JI solicita abrir la convocatoria, se activa reclutamiento 20260206: se comparten 11 HV para entrevista el 11 de feb. 20260211: se presentan 9 candidatos y aprueban Jaime Paul, Ingrid Marioli y Fabian Alferez. 20260212: se valida con los candidatos y se programa proceso evaluativo a Ingrid Marioli y Fabian Alferez. Jaime Paul desiste por condiciones de la oferta. 20260213: se comparte retroalimentacion con concepto aprobado y JI solicita la contratacion. Se envia ES a los dos candidatos Ingrid Marioli y Fabian Alferez 20260217: candidata Ingrid Marioli se tiene en cuenta para esta RQ, registra con ES aprobados y se envia a GH para la gestión con la temporal.</t>
  </si>
  <si>
    <t>Servicios Funebres San Pedro</t>
  </si>
  <si>
    <t>Fabian Eduardo Alferéz Pinilla</t>
  </si>
  <si>
    <t>20260202: JI solicita abrir la convocatoria ya que se va reasignar la pos que esta en otra ciudad, se activa reclutamiento 20260206: se comparten 11 HV para entrevista el 11 de feb. 20260211: se presentan 9 candidatos y aprueban Jaime Paul, Ingrid Marioli y Fabian Alferez. 20260212: se valida con los candidatos y se programa proceso evaluativo a Ingrid Marioli y Fabian Alferez. Jaime Paul desiste por condiciones de la oferta. 20260213: se comparte retroalimentacion con concepto aprobado y JI solicita la contratacion. Se envia ES a los dos candidatos Ingrid Marioli y Fabian Alferez 20260218: candidato Fabian Alferez se tiene en cuenta para esta RQ, registra con ES aprobados y se envia a GH para la gestión de contratacion con temporal</t>
  </si>
  <si>
    <t>Himed Solutions</t>
  </si>
  <si>
    <t>Kelly Dayana Rodriguez Marquinez</t>
  </si>
  <si>
    <t>20251125: se envia a Reclutamiento. 20251201: se envian 2cv a GH. 20251209: Se envian 3cv a GH. 20251215: GH solicita evaluar candidatos. 20251516: candidatos no continuan en proceso con otra empresa se activa reclutamiento. 20251219: se programan pruebas de integridad a dos estudiantes Maria Gutierrez y Juan Mosquera. 20251223: No aprobaron pruebas. 20260105: se comparten 3cv Karol Henoi, Juan Caicedo, Laura Molina. 20260109: se activa reclutamiento. 20260113: se envian 4cv, en evaluacion en conjunto con GH 15 enero.20260119: se activa reclutamiento.20260120: se envian 8cv.20260123: se evaluan con gh los estudiantes, continuar con kelly rodriguez.20260127: se carga evaluacion. 20260128: GH enviar a contratacion.20260130: se envia O.C con F.I 12 Febrero.</t>
  </si>
  <si>
    <t>20250603: Se encuentra en reclutamiento. 20250610: Estamos con estrategias de reclutamiento. 20250613: Se compartieron 2 HV al cliente. 20250617: Las personas enviadas no asistieron a entrevista, se continua reclutamiento. 20250624: Nos encontramos en reclutamiento. 20250701: Se compartieron 2 HV el 27 de junio pendiente de retroalimentacion. 20250707: El cliente notifica que las personas enviadas no continuan proceso. 20250714: Se continua en reclutamiento. 20250721: Se continua reclutamiento. 20250724: Se compartieron 4 HV. 20250729: Se descartaron 3 candidatos, pendiente 1 en proceso. 20250804: Se comparten 3 HV. 20250811: Se encuentra una persona en proceso evaluativo. 20250819: El candidato que teniamos en proceso evaluativo aplico para operador, se le compartieron el viernes 15 de agosto 2 HV. 20250826: Los candidatatos enviados no continuan proceso, se esta en reclutamiento. 20250902: Se envio reclutamiento al cliente. 20250903: El cliente solicita avanzar con Davinson Mosquera, el cual sera evaluado. 20250908: El resultado del proceso de Davinson no es satisfactorio, se avanzo en reclutamiento y se compartieron 2 HV el dia de hoy. 20250915. Pendiente de retroalimentacion por parte del cliente de una HV enviada, por otro lado el dia de hoy se comparte 1 hv para validacion. 20250922: El dia viernes 19 de septiembre compartimos 3 HV adicionales. Segun informa el cliente esta en proceso de entrevista el dia de hoy y mañana. 20250926: El cliente descarta los candidatos enviados. 20250930: En reunion con el cliente se flexibiliza el perfil para persona que hayan manejado vehiculos grandes (NKR, NPR). 20251002: El cliente solicita avanzar con Jhon Fredy Salazar. Se programa proceso evaluativo 20251006: El candidto se encuentra pendiente de envio de documentos. 20251008: Se reinicia proceso por que el candidato no supera ES. 20251014: Se comparten 2 HV. 20251020: El cliete solicita avanzar con Wilmar Alonso Yarce. El cual sera evaluado el 21 de Octubre . 20251024: Se envia concepto al cliente favorable de Fredy Jimenez pendiente al visto bueno de ellos. 20251027: El candidato se encuentra en estudio de seguridad. 20251031: El candidato se retira del proceso por temas de vacunas. 20251104: Se tiene en proceso evaluativo a Fabian Alzante. 20251106: Se le envio el concepto al cliente pendiente por visto bueno 20251107: Se envia a contratacion el candidato si todo sale ok su ingreso seria el 18 de noviembre. 20251110: El candidato se encuentra en ES. 20251116: El candidato no supera EM. 20251117:SE REACTIVA PROCESO DE RECLUTAMIENTO . 20251127: Se comparten 5 hojas de vida. 20251205: Elcliente solicita evaluar al candidato Andy. 20251210: El proceso del candidato es satisfactorio se envia a contratacion para la primera fecha de ingreso de enero. 20251226: El candidato se encuentra en EM. 20251230: El proceso del candidato se suspende por directriz de la nacional. 20260107: El candidato esta ok pendiente por aval de la nacional. 20260130: Pendiente aval. 20260204: Se da el aval de contratar al candidato con fecha del 12 de febrero .</t>
  </si>
  <si>
    <t>Nicolas Kendry Silva Diaz</t>
  </si>
  <si>
    <t>Desiste del proceso</t>
  </si>
  <si>
    <t>OPERADOR/A CEM</t>
  </si>
  <si>
    <t>Oscar Alberto Arevalo Penagos</t>
  </si>
  <si>
    <t>20250910: Desde la fecha de inicio del proceso de reclutamiento, a diciembre del 2025 se evaluaron más de 20 personas obteniedo 9 personas aptas en diferentes fechas en ese rango de tiempo, quienes no culminaron el proceso de vinculacion por caída en emo, desistimiento o estudio de seguridad. 20260106: Se envía a estudio de seguridad y contratación a Luis Cetina con fecha tentativa de ingreso del 22 de Enero. 20260108: Con base en la información recibida por parte de contratacion candidato Luis Cetina no aprueba estudio de seguridad. 20260115: Con base en el espacio de hoy candidato apto Javier Cañon, se solicitan documentos. 20260119: Candidato Javier Cañon aun en documentos indica seguir interesado, e igualmente se programa nuevo espacio para el 21 de Enero. 20260121: Con base en el espacio de hoy ningun candidato es apto, se genera nuevo espacio de entrevista para el 28 de Enero con base en disponilidad de agenda de GH, adicionalmente Javier Cañon aun sigue en proceso, manifesta novedades personales pero sigue interesado y en proceso de documentos. 20260127: Se envían hv de citados al espacio de mañana 28 de Enero. 20260128: Con base en el espacio de hoy candidato apto Oscar Arevalo, se solicitan documentos, e igualmente se genera nuevo espacio para el 29 de Enero afin de conseguir back. 20260129: Con base en el espacio de hoy candidato apto Joon sanabria, se solicitan documentos. 20260206: Candidato Oscar y Joon en proceso de documentos, indican seguir interesados y dejar al día lo pendiente cuanto antes. 20260212: Se envía a estudio de seguridad y contratación a Oscar Arevalo con fecha tentativa de ingreso del 23 de Febrero. 20260227: Se modifica fecha de ingreso para el 2 de Marzo dado que el candidato ha presentado novedades. 20260302: Candidato aun pendiente de validación dado que tiene un saldo pendiente de simit, en validacion. 20260305: En validacion del candidato Oscar Arevalo, a la espera de paz y salvo para avanzar. 20260309: Con base en la retroalimentación del cliente se modifica fecha de ingreso para el 25 de Marzo. ***Se descuentan dias en seleccion, por novedad del candidato***</t>
  </si>
  <si>
    <t>Clínica nueva el lago</t>
  </si>
  <si>
    <t>CORREDORES DE SEGUROS</t>
  </si>
  <si>
    <t>Leidy Lorena Campo Valencia</t>
  </si>
  <si>
    <t>20250912: Se activa reclutamiento. 20250917: Se envian 2 hv. Pte retro por gh. 20250926: Pte retro por gh. 20251003: gh solicita evaluar a Yina Marcela. Se programan pruebas. 20251008: se notifica que candidata no asiste a entrevista y se llama a validar y no se nota interes. Se activa reclutamiento. 20251023: Se envia 2 hv. Pte retro por gh. 20251104: Pte retro por gh. 20251110: gh envia retro y solicita activar reclutamiento. 20251114: Se envian 2 hv. Pte retro por gh. 20251125: gh envia retro y solicita activar reclutamiento. Ese mismo dia se envia 2 hv. 20251126: gh envia retro y solicita 1 hv adicional a completar. ese mismo dia se envia la hv. 20251201: gh envia retro y se activa reclutamiento. 20251203: Se envian 4 hv. Pte retro por gh. 20251210: Gh envia retro, se activa reclutamiento. 20251211: Se envian 4 hv. Pte retro por gh. 20251215: Se solicita retro. 20251226: pte retro por gh. 20260106: Teniendo en cuenta que los aprendices enviados ya no estan disponibles. Se activa reclutamiento. 20260113: se pasa rq para curso cerrado. 20260126: se realiza grupo de entrevistas. 20260205: se realiza segundo grupo de entrevistas. Se selecciona a Leidy Campo. 20260220: se envia OC de Leidy Campo con F.I 9 mar.</t>
  </si>
  <si>
    <t>Medellin</t>
  </si>
  <si>
    <t>Mariana Rivera Martinez</t>
  </si>
  <si>
    <t>Prueba de servicio</t>
  </si>
  <si>
    <t>ANALISTA REG MICROCREDITO</t>
  </si>
  <si>
    <t>Elber Andres Sarmiento Avendaño</t>
  </si>
  <si>
    <t>ENVIGADO</t>
  </si>
  <si>
    <t>EJECUTIVO/A COMERCIAL VINCULACION</t>
  </si>
  <si>
    <t>Mariana Restrepo Herrera</t>
  </si>
  <si>
    <t>20251003: JI solicita reclutamiento preventivo ante la posible salida de un colaborador. 20250906: se activa reclutamiento 20251009: se comparten 2 HV para entrevista el 14 de oct. 20251014: se comparte 1 HV adicional, se presentan 2 candidatas sin embargo, no aprueban proceso. 20251021: se comparten 4 HV adicionales para ser tenidas en cuenta 20251023: JI solicita entrevistas para el 27 de oct. 20251027: se presenta 1 candidato pero no aprueba entrevista. 20251028: se continua reclutamiento 20251104: continua proceso de reclutamiento teniendo en cuenta que aún no se define la salida del colaborador actual 20251110: se continua reclutamiento. 20251118: se continua reclutamiento teniendo en cuenta que se está priorizando el proceso de los otros equipos 20251124: se continua reclutamiento 20251201: se continua gestión reclutamiento teniendo en cuenta que el colaborador ya no continua en la organizacion 20251209: se continua reclutamiento 20251212: se continua proceso de reclutamiento. 20251229: Se le compartieron al cliente el dia 22 de diciembre 3 hojas de vida nos encontramos a la espera de retroalimentacion 20260106: GH informa que la RQ podría cancelarse teniendo en cuenta que la posición va ser entregada. Se espera definir esta semana. 20260109: GH informa que finalmente la pos continua, al tiempo solicitar contratar en esta pos a Edwin Palacio. 20260114: el candidato aún no actualiza los documentos, se valida con JI para definir si se hará el proceso. 20260116: colaborador no continua el proceso ya que presenta su renuncia. 20260119: se le comparte 1 HV a JI, sin embargo, informa que brindara respuesta esta semana. 20260121: se programa entrevistas para el 23 de enero. 20260123: se presentan dos candidatos y aprueba Santiago Moreno, se programan pruebas. 20260127: se envia retroalimentacion del candidato y se programa entrevista con la Gerente, aprueba el espacio. 20260128: se programa entrevista con entrenador. 20260129: a la espera de confirmación de JI para confirmar la posible continuidad del candidato 20260202: JI indica que el candidato no aprobo entrevista con el entrenador, por lo cual se descarta su postulacion. 20260205: JI solicita la contratación del candidato pero por temporal en la RQ 15813. 20260209: se continua reclutamiento. 20260212: se programa convocatoria abierta para el 16 de feb 20260216: se comparten 2 Hv para entevista el 17 de feb. 20260217: se presenta un candidato, no aprueba entrevista y el otro candidato queda reprogramado para el 18 de feb. 20260218: se presenta el candidato Johny Alvarez y aprueba entrevista. 20260219: se programa proceso evaluativo con Jonhny Alvarez 20260223: se comparte retroalimentacion de Johny Alvarez y JI solicita enviar al proceso de contratación. se envia OC 20260225: candidato Johny Alvarez se encuentra en EM y aprueba proceso de ES, sin embargo, candidato desiste al final del proceso por otra oferta labora. SE REINICIA RQ 20260227: Se comparten 3 HV (Mariana Restrepo) 20260303: Se presentan 2 candidatas Mariana Restrepo y Vanessa Vera. se programa proceso evaluativo 20260305: se comparte retroalimentacion con concepto aprobado de a las candidatas. 20260309: JI solicita el envio al proceso de contratación de la candidata. 20260310: se envia OC para ingreso de Mariana Restrepo. 20260312: candidata se encuentra en proceso de EM luego de aprobar ES 20260317: candidata Mariana Restrepo se encuentra en proceso de apertura de cuenta, ya lista para contratar 20260320: contratacion confirma ingreso de Mariana Restrepo con fecha de inicio el 25 de mar</t>
  </si>
  <si>
    <t>WTW</t>
  </si>
  <si>
    <t>Helen Johanna Paredes Franco</t>
  </si>
  <si>
    <t>Hillary Julieth Hurtado Vega</t>
  </si>
  <si>
    <t>Sara Patiño Villegas</t>
  </si>
  <si>
    <t>Santiago Velez Zea</t>
  </si>
  <si>
    <t>Juan Diego Escobar Molina</t>
  </si>
  <si>
    <t>20251021: JI solicita contratar a la candidata Ana Maria Burgos quien quedo en back desde el 26 de sep. 20251022: se envia OC de Ana Maria Burgos 20251023: candidata registra con novedad sin excepcion en ES. Se activa reclutamiento 20251028: se comparten 3 HV para entrevista el 28 de oct 20251028: se presentan 2 candidatos y aprueba el candidato Alexander Morales, se valida con el candidato la posibilidad de avanzar pero desiste debido a la fecha de su primer pago. 20251104: se comparten 4 HV (Katherine Zapata) 20251107: se presentan 3 candidatos y aprueba Katherine Zapata. 20251110: se inicia proceso evaluativo con Katherine Zapata. 20251113: se comparte retroalimentacion de Katherine Zapata y JI indica que no desea continuar con la candidata. Se comparten 3 HV para entrevista el 14 de nov. 20251113: 2 candidatos programados desisten y 1 de ella solicita reprogramar. 20251118: se continua reclutamiento 20251119: se comparten 3 HV para entrevista el 20 de nov. 20251120: se presentan dos candidatas y aprueba Vanessa Sanchez. se programa proceso completo 20251121: candidata Vanessa Sanchez indica que desiste del proceso. De la misma manera JI solicita retomar el proceso con un candidato evaluado el 14 de jul del presente año pero no continua proceso, JI solicita retomar el proceso. Se solicita al candidato continuar el proceso 20251124: se comparte retroalimentacion de Michael Restrepo para continuar el proceso. 20251126: JI solicita enviar a contratación al candidato Michael Restrepo para el 10 de dic. Se envia OC. 20251201: candiddato Michael Restrepo registra sin novedad en ES y EM 20251203: candidato indica que va esperar hasta el día de viernes, por lo cual el JI indica descartar su proceso. 20251209: se continua reclutamiento 20251211: se comparten 3 HV para entrevista el 12 de dic. 20251212: se presenta 1 candidato pero no aprueba entervista, se continua reclutamiento. 20251222: Se evalua una candidata que esta por la temporal. 20251229: Se avanza proceso con Luisa Acevedo para la tercera fecha de ingreso 20260105: Gh informa que esta RQ probablemente sea cancelada teniendo en cuenta que se hará entrega de la posición, se espera definir esta semana. 20260107: se envian 8 HV para entrevista el 9 de enero. 20260109: se presentan dos candidatos y aprueba Juan Esteban Restrepo. 20260113: se envia retroalimentacion del candidato Juan Esteban Restrepo. 20260114: JI solicita continuar con la contratacion, se envia OC para ingreso el 22 de enero 20260119: candidato registra con novedad en ES. Se reinicio la RQ 20260121: se comparten 3 HV para entrevista el 22 de ene 20260122: se presenta 1 candidato pero no aprueba entrevista. 20260129: se comparten 5 HV para entrevista el 30 de ene 20260130: se presentan dos candidatos, aprueba el candidato Mario Mora y se programa proceso evaluativo. 20260203: se envia retroalimentacion con concepto aprobado y se programa entrevista con Gte de Zona para el 4 de feb. 20260204: se presenta el candidato y aprueba con Gte Zona la entrevista 20260205: JI envia solicitud para contratacion al candidato Mario Mora. Se envia OC con fecha de inicio el 23 de feb. 20260209: candidato registra con novedad en ES, no es posible continuar. Se reinicia la RQ. 20260210: se continua el proceso con Daniel Galeano quien estuvo en entrevista el 6 y 9 de feb con las líderes ya aprobó. 20260211: se envia OC de Daniel Galeano con fecha de inicio el 23 de feb. 20260213: candidato Daniel Galeano registra con novedad en ES, por lo cual no es posible tener en cuenta su contratacion. Se REINICIA RQ. 20260217: se envian 3 candidatos para entrevista, sin embargo, desisten por las condiciones de la oferta 20260223: se programa entrevistas con candidatos, se presenta la candidata Maribel Peñuela y aprueba, se inicia proceso evaluativo 20260224: se envia retroalimentación de la candidata Maribel Peñuela y JI solicita el envio a contratación. 20260225: candidata se encuentra en EM y aprueba ES. 20260226: candidata desiste del proceso por motivos personales. Ese mismo día se comparten 3 HV y se programa entrevista para el 2 de marzo. 20260302: se presentan 2 candidato y aprueban Juan David Cely y Juan Diego Escobar. 20260305: se comparte retroalimentacion con concepto aprobado de Juan Diego Escobar. 20260306: JI solicita el envio al proceso de contratacion. 20260309: se envia OC de Juan Diego Escobar con fecha de inicio el 25 de marzo 20260312: candidato se encuentra en proceso de EM luego de aprobar ES 20260316: candidato completa el proceso con la apertura de cuenta y a la espera para enviar a contratar. 20260317: GH informa que se recibe autorizacion para adelantar la contratacion para el 19 de marzo. 20260318:contratacion confirma ingreso deJuan Diego Escobar con fecha de inicio el 19 de marzo luego de la autorizacion por parte de la nacional</t>
  </si>
  <si>
    <t>Konecta</t>
  </si>
  <si>
    <t>TUNJA</t>
  </si>
  <si>
    <t>GERENTE ZONAL</t>
  </si>
  <si>
    <t>Maria Angelica Perez Rivera</t>
  </si>
  <si>
    <t>EJECUTIVO/A PROFUNDIZACION</t>
  </si>
  <si>
    <t>Lina Maria Trujillo Ospina</t>
  </si>
  <si>
    <t>Banco de Occidente</t>
  </si>
  <si>
    <t>Maria Alejandra Agredo Quinayas</t>
  </si>
  <si>
    <t>Nueva EPS</t>
  </si>
  <si>
    <t>ANALISTA NAL COMERCIAL</t>
  </si>
  <si>
    <t>Freddy Alberto Mosquera Colorado</t>
  </si>
  <si>
    <t>Luna Mariana Roman Ramirez</t>
  </si>
  <si>
    <t>Daniel Fernando Betancur Marin</t>
  </si>
  <si>
    <t>Edward Enrique Bonfante Castro</t>
  </si>
  <si>
    <t>Cooperativa Financiera de Antioquía</t>
  </si>
  <si>
    <t>Fabiola Pardo Diaz</t>
  </si>
  <si>
    <t>Alianza Valores</t>
  </si>
  <si>
    <t>Vanessa Julenys Montoya Lagares</t>
  </si>
  <si>
    <t>20251224: Asignan RQ. En reclutamiento. 20260109: Envìo de candidatos. 20260115: Se informa a GH que nos encontramos en gestiòn de candidatos. 20260116: Se comparten: Maria - Heidi - Kellys. 20230120: Heidi desiste y las otras candidatas son descartadas por GH. 20260128: Se comparten: Aldair - Mary - Sindy. 20260130: Piden evaluar a Aldair - candidato desiste y las otras candidatas son descartadas por GH. 20260212: Reclutamiento - Candidatos ofertados no aceptan. 20260218: Se comparten: Dilia - Vanessa - Maria - Emily. 20260225: Solicitan evaluar a todos los candidatos para tener BackUp y dar prioridad para EDS con Vanessa Montoya. 20260302: Se comparte registro evaluativo y se avanza con EDS. 20260303: Se reporta novedad - GH da aval para avanzar. 20250305: Candidata en EMO. 20260310: Se confirma contratación de la colaboradora Vanessa Julenys Montoya Lagares, con FI. 12/03/2026</t>
  </si>
  <si>
    <t>PISOS Y ENCHAPES RYL</t>
  </si>
  <si>
    <t>EJECUTIVO/A FIDELIZACIÓN</t>
  </si>
  <si>
    <t>Jeniffer Giraldo Sanchez</t>
  </si>
  <si>
    <t>Elida Vanesa Perez Areiza</t>
  </si>
  <si>
    <t>Banco Falabella</t>
  </si>
  <si>
    <t>CUCUTA</t>
  </si>
  <si>
    <t>Maria Angelica Marin Amaya</t>
  </si>
  <si>
    <t>20251212: se activa reclutamiento. 20251229: La universidades se encuentran en vacaciones 20260106: se comparte 2 HV. 20260107: se comparte 1 HV más. 20260113: GH informa que hay 1 candidata en entrevista con el JI, adicional se compaarte 1 HV (Paola Vargas) adicional. 20260115: se solicita retraolimentacion nuevamente a GH 20260121: Gh informa que los tres candidatos, dos desisten y otra no se presenta a entrevista. Se envia 1 candidata 20260122: GH solicita evaluar a Paola Vargas 20260126: Gh solicita evaluar Lizeth Quintero 20260128: candidata Paola Vargas desiste, no continua el proceso, se continua proceso evaluativo con Lizeth Quintero 20260203: se comparte retroalimentacion con concepto no aprobado de Lizeth Quintero, teniendo en cuenta el resultado en prueba de servicio. 20260205: se continua reclutamiento 20260206: se comparten 3 (Maria Angelica Marin) HV. 20260211: se solicita retroalimentacion a GH 20260216: GH solicita evaluar a Maria Angelica Marín. 20260219: se comparte retroalimentacion con concepto aprobado de la candidata y GH solicita el envio a contratación 20260220: se envia OC a Maria Angelica Marin 20260225: candidata aprueba ES y EM, se encuentra en proceso de apertura de cuenta 20260227: contratacion confirma ingreso con fecha de inicio el 2 de marzo de Maria Angelica Marin</t>
  </si>
  <si>
    <t>Maria Maryuri Casaran Nuñez</t>
  </si>
  <si>
    <t>20251216: se activa reclutamiento. 20251219: se envian 4cv. 20251230: GH informa que cambian la formacion de estudiantes, requieren administrativo, se activa reclutamiento. 20260105: se envian 9cv a GH.20260115: se activa reclutamiento.20260120: se envian 5cv a GH. 20260127: gh solicita evaluar a Angie Ortiz y Ingrid Roman. Se programan pruebas. 20260203: se informa a gh que candidatas no culminan pruebas y desisten del proceso. Se activa reclutamiento. 20260205: se continuara rq para curso cerrado con Maria Casaran. 20260220: se carga informe y se envia OC con FI 9mar.</t>
  </si>
  <si>
    <t>ANALISTA NAL RETENCION</t>
  </si>
  <si>
    <t>Juan Felipe Tamayo Mejia</t>
  </si>
  <si>
    <t>20251216:El cliente solicito concurso interno 20251217:Se envio concurso interno hasta el 22 de Diciembre. 20251222:El concurso no salio debido a que GH informa que estaba incapacitada, por tal razon solicito volverlo enviar. 20251223:Salio concurso interno hasta el 29 dic. 20260106:Se confirmo filtro interno. El cliente detuvo el proceso. 20260202:El cliente envio a evaluar 4 candidatos internos Juan Felipe Tamayo, Jorge Ivan Ramos, Lizeth Hoyos y Jeison Cadena. Se enviaron pruebas y se citaron a entrevista para el Viernes 6 y Lunes 9. 20260206:El cliente envio a evaluar a otro candidato Matius Chica. 20260210:Se subieron los 4 informes a coonectados y se le informo al cliente. 20260213:Se subio informe de Matius y se le informo al cliente. 20260218:El cliente envio a contratar a Juan Felipe Tamayo para el 25 de Marzo ya que termina su practica ese dia. 20260225:El candidato no ha enviando documentos, por tal motivo no se ha podido enviar a contratacion. 20260226:Se solicito a gh formato de excepcion para poderlo enviar a contratar ya que aun no es profesional y el perfil solicita ser profesional. 20260304:No se ha podido enviar a contratarción ya que GH no ha enviado formato de excepcion de estudios. 20260306:GH envia formato de excepción por estudios y experiencia laboral. Se envia a contratacion con FI 25 de Marzo.</t>
  </si>
  <si>
    <t>Nataly Hernandez Luna</t>
  </si>
  <si>
    <t>20251217:Se solicito recltuamiento. 20251224:Se enviaron 3 hojas de vida Brayan Baca, Marco Banguera, Paula Barrera. 20251229:El cliente cito a entrevista para el Miercoles 7 ENE. 20260108:ninguno de los 3 candidatos se presento. Se activa reclutamiento. 20260109:Se enviaron 3 hv Isabel Gonzales, Hugo Mejia, Mauricio Murgueito. 20260113:El cliente cito a entrevista para el Miercoles 14 Ene. 20260115:Paso a pruebas Isabel Gonzales. Se enviaron pruebas. 20260119: La candidata no paso prueba de integridad. Se activa reclutamiento. 20260126:Se enviaron 3 hojas de vida Kelly Gomez, Viviana Lopez, Yulady Giraldo. 20260127:El cliento cito a entrevista para el Martes Feb 3 tambien cito a Nataly Hernandez candidato que teniamos para Gestora Cooperativa. 20260204:El cliente solicito pruebas para Nataly Hernandez. 20260205: La candidata no ha terminado pruebas. 20260210:Se subio informe 20260211:El cliente envio a contratar a Nataly Hernandez con FI 2 de Marzo.</t>
  </si>
  <si>
    <t>Erica Isabel Lopez Alvarez</t>
  </si>
  <si>
    <t>Comfandi</t>
  </si>
  <si>
    <t>Juan Jose Duarte Ortiz</t>
  </si>
  <si>
    <t>20251217:Se activo reclutamiento. 20251219:Se enviaron 10 hv para las RQ 15515, 15516, 15517,15518,15519,15520. 20251222:El cliente envio a evaluar a Maria Fernanda Villa. Se enviaron pruebas y se cito a entrevista para el Martes 30. 20251226:La candidata no ha terminado prueba betesa. 20251229: La candidata no paso entrevista y se le informo al cliente. 20250105: se solicito retroalimentacion de las hv enviadas y el cliente informa que el lider esta en vacaciones y no ha retomado el proceso. 20260115: Aun no se recibe retroalimentacion de las hv enviadas. 20260116:El cliente envio a evaluar a Paula Vargas. Se enviaron pruebas y se cito a entrevista para el 20 Enero. 20260120:La candidata no paso prueba de Integridad, se retoma reclutamiento. 20260122: se envian 6 hv. Pte retro por gh. 20260128: gh informa que se programan entrevistas para el 29 Enero. pte retro. 20260129: GH solicita evaluar a Tatiana, Anguie, Lisethh, Maria del Pilar, Wiley, Ingrid, Sara y Jennifer. Se programan pruebas. 20260204: se envia retro (2 candidatas no pasan veritas, 1 desiste, 3 no aptas entrevista, 1 no pasa prueba servicio). y se envia OC de Maria del Pilar FI 12 Feb. 20260209: Se reporta novedad de Maria del pilar en proceso de contratacion. gh solicita cancelar proceso. Se activa reclutamiento. 20260217: gh solicita retomar evaluacion de Ingrid Cordoba teniendo en cuenta aval del corpo de avanzar con candidatos que puntuen en PS superior a 60. Se programa entrevista. Ese mismo dia gh solicita avanzar contratacion con proceso de seleccion y contratacion en simultaneo FI 23 FEB. 20260218: Se envia OC FI 23 FEB. 20260219: Candidata Ingrid desiste del proceso. Se activa reclutamiento. 20260220: gh solicita evaluar a Stheban Jaramillo. Se programan pruebas. 20260223: se envio novedad veritas riesgo 3 de candidato. 20260224: Gh solicita ampliar informacion en entrevista para definir. 20260302:Se envio ampliacion de veritas y pte de retro por gh para avanzar proceso. 20260311: gh informa que no se va aval para avanzar con Stheba. Se activa reclutamiento. Ese mismo dia gh solicita evaluar y contratar a Juan Jose Duarte (Refer). Se programan pruebas. 20260316: gh solicita enviar a contratacion simultaneo SYC. Ese dia se envia OC FI 25 Mar.</t>
  </si>
  <si>
    <t>Fortuna exotic</t>
  </si>
  <si>
    <t>Claudia Lorena Vela Mejia</t>
  </si>
  <si>
    <t>Vincuservi</t>
  </si>
  <si>
    <t>Michel Camila Riascos Ruiz</t>
  </si>
  <si>
    <t>20251219: se activa reclutamiento. 20251226: se envian 3 hv. Pte retro por gh. 20260106: Pte retro por gh. 20260114: se solicita retroalimentacion. 20260128: Pte retro por gh. 20260205: Pte retro por gh. 20260210: gh solicita evaluar y contratar a Leidy Lozano. 20260213: se envia informe. gh solicita avanzar contratacion. 20260216: se envia oc fi 23 feb. 20260217: se notifica a gh que candidata desiste proceso. gh solicita evaluar y contratar a Michel Riascos. Se programan pruebas. 20260220: Se envia OC FI 02 Marzo.</t>
  </si>
  <si>
    <t>Nayelis Carolina Jordan Cantillo</t>
  </si>
  <si>
    <t>Mayra Alejandra Barrios Estrada</t>
  </si>
  <si>
    <t>Natalia Yusef Mosquera Mosquera</t>
  </si>
  <si>
    <t>Genesis Melisa Sanchez Escobar</t>
  </si>
  <si>
    <t>Santiago Sanchez Bernal</t>
  </si>
  <si>
    <t>20251222:Se activo reclutamiento. 20260114:El cliente envio a evaluar a candidato interno Santiago Sanchez. 20260119:El informe se subio a coonectados y se le informo al cliente. 2026136:El cliente informa que aún el candidato no pasara al cargo. 20260224:El cliente informa que el candidato ingresara el 2 de Abril.</t>
  </si>
  <si>
    <t>ANALISTA NAL COMERCIAL/ASESOR/A INTEGRAL</t>
  </si>
  <si>
    <t>Matius Alejandro Chica Herrera</t>
  </si>
  <si>
    <t>GESTOR(A) EXCELENCIA CLINICA CM MP</t>
  </si>
  <si>
    <t>Stella Maria Munive Ulloa</t>
  </si>
  <si>
    <t>Carlos Alberto Obando Torrente</t>
  </si>
  <si>
    <t>Juliana Lozada Padilla</t>
  </si>
  <si>
    <t>20251224:Se activo reclutamiento. 20260105:Se enviaron 3 hv Juan Sebastian Sosa, Juliana Lozada, Zharick Acuña. 20260106: GH informa que esta a la espera de que el lider le confirme fecha de entrevista. 20260115:Se solicito retroalimentacion. 20260119:GH informa que el lider aun no le da retroalimentacion de las hv. 20260120:GH solicito suspender la RQ mientras se puede ingresar la temporal para que capacite al practicante. 20260130:El cliente retomo el proceso y envio a evaluar a Juliana Lozada y Zharick Acuña. 20260206:Se subieron los informes y se le informo al cliente. 20260220:Se solicito retroalimentacion. 20260224:El cliente envio a contratar a Juliana Lozada. 20260225: Se envio a contratacion con FI 12 de Marzo.</t>
  </si>
  <si>
    <t>Marta Jeny Gonzalez Atehortua</t>
  </si>
  <si>
    <t>Daniel Esteban Martinez</t>
  </si>
  <si>
    <t>Angelica Maria Varela Betancourt</t>
  </si>
  <si>
    <t>20260108: Se envian 8 HV: Christian David Montoya, Jose Fernando Muñoz, Elizabeth Giraldo, Pedro Luis Lopez, Camilo Andres Marin, Paula Marcela Torres, Jhon Edison Gallego, Christian Leon. 20260115:En entrevistas iniciales con candidatos enviados. 20260129: Entrevista programada para 30 de enero. 202600202: Se solicita iniciar contratación con Angelica Maria Varela, que actualmente se encuentra contratada por temporal y cuenta con proceso de selección vigente de noviembre/25. 20260203: Se solicita contratación con FI 12 de febrero, se recibe autorización para ingreso de comerciales en la segunda fecha. 20260204: Se solicita detener la contratación, mientras se define cambio en el salario básico y comisiones de esta posición. 20260210: Se solicita continuar con la contratacion con FI 2 de marzo. 20260223: La candidata firma contrato.*Descontar 10 días en proceso, mientras se definía cubrir vacante con colaboradora temporal. *Descontar 10 dias en proceso de contratacion por demora de la candidata en completar documentos y por definición de FI para el 2 de marzo.</t>
  </si>
  <si>
    <t>Ziaholve Camila Gutierrez Niño</t>
  </si>
  <si>
    <t>20260108: Crean RQ - Se informa que las instituciones esta de vacaciones y retoman a partir del 15/ene. 20260115: Se reactiva solicitud a las instituciones. 20260116: Reuniòn con Centro Inca. 20260122: Se comparten: Miguel - Vanessa - Saray. 20260128: Piden evaluar y contratar a Saray. 20260202: Candidata comparte documentos - Pte prueba veritas. 20260204: Candidata desiste por firmar con otra empresa. 20260212: Se comparten: Natalia - Marcos. 20260219: Sin avance. 20260326: Se solicita información de avance. 202060227: Solicitan evaluar a Natalia. 20260302: Candidata desiste. 20260305: Se comparten: Ziaholve - Astrid. 20260309: Solicitan evaluar a Ziahove. 20260312: Candidata con pruebas Ptes. 20260316: Se comparte reporte evaluativo y se avanza con EDS. 20260318:Candidata en EMO. 20260320: Se confirma contratación de la estudiante Ziaholve Camila Gutierrez Niño, con FI. 25/03/2026.</t>
  </si>
  <si>
    <t>TECNOLOGO(A) RADIOLOGIA</t>
  </si>
  <si>
    <t>Yeraldin Mondragon Castro</t>
  </si>
  <si>
    <t>20260108: gh solicita evaluar a Dayibis y Yeraldin. 20260113: se informa a GH que las candidatas no superan prueba servicio. 20260128: Pte retro por gh. 20260129: Se detiene hasta que gh nos birnde retroalimentacion. 20260309: gh solicita reactivar proceso y evaluar a Yeraldin Mondragon teniendo en cuenta la modificacion del porcentaje min de la prueba servicio. Se programa entrevista. 20260310: Se confirma informe.gh solicita avanzar contratacion. 20260311: Se envia OC FI 25 Mar.</t>
  </si>
  <si>
    <t>Cedima</t>
  </si>
  <si>
    <t>Daniel Yesid Gutierrez Barrios</t>
  </si>
  <si>
    <t>20260108: Crean RQ - Se informa que las instituciones se encuentran de vacaciones y retoman a partir del 15/ene. 20260115: Se reactiva solicitud a las instituciones. 20250116: Reuniòn con Centro Inca. 20260122: Se validan candidatos postulados. 20260203: Se comparten Dylan - Wilmar. 20260209: Candidatos desisten. 20260210: Piden evaluar al candidato Daniel Gutierrez, quien viene de la RQ 15550, enviado el 04/Feb. 20260219:Se reporta proceso evaluativo. 20260220: Se avanza con EDS.20260226: Candiadato en apertura de cuenta. 20260227: Se confirma contratación del colaborador Daniel Yesid Gutierrez Barrios, con FI. 02/03/2026.</t>
  </si>
  <si>
    <t>Jose Gregorio Alvarez Mojica</t>
  </si>
  <si>
    <t>20260108: Crean RQ - Se informa que las instituciones se encuentran de vacaciones y retoman a partir del 13/ene. 20260115: Se reactiva solicitud a las instituciones. 20260116: Reuniòn con Centro Inca.20260122: Se comparten Stefanny - Libed. 20260128: Candidatos no avanzan. 20260205: Se comparten: Sandra - Kiara - Jose. 20260212: Sin avance por parte del cliente.020260217: Solicitan evaluar a Jose. 20260226: Se comparte registro evaluativo y se avanza con EDS mas EMO de manera simultánea. 20260225: Se reporta novedad en Cifin - GH da aval para avanzar. 20260226: Candidato en apertura de cuenta. 20260327: Se confirma la contratación del colaborador Jose Gregorio Alvarez Mojica, con FI. 02/03/2026.</t>
  </si>
  <si>
    <t>Humberto Arturo Morales Serna</t>
  </si>
  <si>
    <t>20260113: Crean RQ confidencial.20260120: Se comparten: Aldo - Jairder - Katherine. 20260126: Katherine pasa a entrevista con lider, los otros dos candidatos son descartados - Piden ver mas candidatos. 20260205: Se comparten: Diana - Carlos - Yolima. 20260212: Sin avance por parte del cliente. 20260217: Solicitan evaluar y contratar al referido Hernando Morales. 20260219: Candidato en pruebas y entrevista con USC. 20260223: Se comparte registro evaluativo y se avanza con EDS. 20260226: Candidato en EMO. 20260305: Se confirma contratación del colaborador Humberto Arturo Morales Serna, con FI. 12/03/2026.</t>
  </si>
  <si>
    <t>BBVA</t>
  </si>
  <si>
    <t>Daniel Fernando Gallego Burbano</t>
  </si>
  <si>
    <t>20251226: se envia a reclutamiento con rq 15583.20260105: Se envian 5cv a GH con rq 15583. 20260114: GH solicita evaluar a Omar polonia y Cristian Yacumal.20260122: Se carga informe. 20260123: GH informa enviar a contratacion Omar Polonia en esta rq.20260126: Se envia O.C con F.I 2 Febrero.20260129: se activa reclutamiento, Jose polania no aprobo filtros de contratacion.20260130: GH informa continuar con cristian yacumal.20260203: se informa a gh que candidato aun no envia documentos.20260205:se informa a gh que candidato aun no envia documentos, pendiente que confirme si iniciamos reclutamiento.20260206: se activa reclutamiento.20260210: se envian 4cv, gh comparte 1 referido para evaluacion.20260213: referido desiste, pediente retro de las 4cv enviadas.20260216: GH envia 1 referido para evaluar Silvio Muñoz.20260223: Se informa a GH que referido no es bachiller.20260225: se realiza seguimiento de 4cv enviadas 10 de Febrero.20260309: GH comparte feedback, se activa reclutamiento.20260310: GH comparte referido Daniel Gallego para evaluacion.20260313: evaluacion en SF, GH solicita enviar O.C, se envian O.C con F.I 25 Marzo.</t>
  </si>
  <si>
    <t>GRUPO E.M.S</t>
  </si>
  <si>
    <t>TECNICO/A MANTENIMIENTO</t>
  </si>
  <si>
    <t>Andres Mauricio Morales Bonilla</t>
  </si>
  <si>
    <t>20260122: El cliente solicito reclutamiento. 20260123:Se solicito a GH humana reunión para afinar el perfil. 20260127:Se llamo a GH para afinar el perfil y unimo al tecnico que actualmente esta realizando el cargo. Se inicia reclutamiento. 20260129:Se enviaron 5 hv Alexander Mena, Andres Diaz, Andres Morales, Santiago Alzate, Danny Velasco. 20260204:Se solicito retroalimentacion. 20260211: Se volvio a solicitar retroalimentacion. 20260216:El cliente envio a evaluar a Andres Mauricio. Se enviaron pruebas. 20260219:El cliente envio a contratar a Andres. Se envio a contratacion con FI 2 de Marzo.</t>
  </si>
  <si>
    <t>Agregados y Mezcals Cachibi</t>
  </si>
  <si>
    <t>Daniela Prado Tamayo</t>
  </si>
  <si>
    <t>EJECUTIVO/A ATENCION INTEGRAL</t>
  </si>
  <si>
    <t>Cindy Johanna Chavarro Taborda</t>
  </si>
  <si>
    <t>20260119: GH solicita evaluar a Laura Culma y cindy Chavarro. 20260120: se informa que Cindy no pasa prueba servicio. 20260121: se informa que Laura tampoco pasa prueba. GH solicita reclutamiento. 20260127: se envian 3 hv. Ese mismo dia gh solicita evaluar a Gloria, Valeria y Maria Camila. Se programan pruebas. 20260130: se informa que valeria y maria no pasan prueba servicio y gloria tiene pte relizar veritas y p servicio. 20260202: Se informa que gloria no pasa prueba de servicio y se solicita retro de hv enviadas el 27 Ene. 20260211: gh informa que esta pte de agenda lider. 20260218: gh solicita reactivar evaluacion y contratacion de Cindy Chavaro con el aval de avanzar con PS superior a 60. Se programa entrevista. 20260220: Se envia OC FI 02 Marzo.</t>
  </si>
  <si>
    <t>Valentina Garcia Hernandez</t>
  </si>
  <si>
    <t>MEDICO(A) FONOSALUD</t>
  </si>
  <si>
    <t>Stephanny Cañar Sarria</t>
  </si>
  <si>
    <t>20260122: GH solicita reclutamiento confidencial, se programa afinamiento para el 23 ene. 20260123: Se realiza afilimiento y se activa reclutamiento. 20260202: Se envian 3 hv. Pte retro por gh. 20261102: Pte retro por gh. 20260213: gh solicita evaluar a Sthefany y Oscar. Se programan pruebas. 20260216: se informa que oscar presenta novedad veritas riesgo 3. 20260217: gh solicita avanzar contratacion de Stephanny Cañar. 20260220: Se envia OC FI 02 Marzo</t>
  </si>
  <si>
    <t>Diego Alejandro Betancur Valle</t>
  </si>
  <si>
    <t>TULUA</t>
  </si>
  <si>
    <t>Diana Vanessa Marin Peña</t>
  </si>
  <si>
    <t>20260122: gh solicita evaluar a Ana Paola Montaño. Se programan pruebas. 20260128: Se notifica a gh que Ana Paola no pasa prueba servicio. Pte retro por gh. 20260203: gh solicita activar reclutamiento. 20260206: Se envian 6 hv. Pte retro por gh. 20260216: gh solicita evaluar a Diana Marin y Juan Camilo Ladino.Se programan pruebas. 20260220: gh solicita avanzar con Diana Marin. Ese mismo se envia OC FI 02 Marzo.</t>
  </si>
  <si>
    <t>Hospital Departamental Tomas Uribe Uribe</t>
  </si>
  <si>
    <t>Angelica Silva Cardenas</t>
  </si>
  <si>
    <t>Natalia Marcela Rodriguez Diaz</t>
  </si>
  <si>
    <t>Candidata desiste</t>
  </si>
  <si>
    <t>Nemesis Gabriela Goto Ledezma</t>
  </si>
  <si>
    <t>Johana Ximena Campo Bonilla</t>
  </si>
  <si>
    <t>20260126: se envia a reclutamiento carreras administrativas o de procesos. 20260127: se envian 4cv a GH.20260130: gh comparte feedback, solicita reclutamiento .20260204: se envian 3cv a GH. 20260211: GH solicita evaluar a Leidy connsuelo. 20260213: Leidy consuelo desiste, se activa reclutamiento. 20260220: se envia O.C de Maria Fda Torres con F.I 9 de Marzo. 20250225: se activo reclutamiento, candidata no aprobo Estudio de seguridad. 20260227: se envian 3cv a GH.20260304: GH solicita evaluar y contratar a Johana Campo.20260310: se carga evaluacion, 20260312:GH solicita enviar orden de contratacion.20260313: Se envia O.C con F.I 25 Marzo.</t>
  </si>
  <si>
    <t>Yerlin Quiñonez Caicedo</t>
  </si>
  <si>
    <t>20260123: Se activa reclutamiento. 20260205: en proceso de evalaucion curso cerrado Yerlin Quiñonez. pte fechas para envio de OC. 20260220: se envia OC de Yerlin Quiñonez con FI 9 mar.</t>
  </si>
  <si>
    <t>Maria Isabel Diaz Meneses</t>
  </si>
  <si>
    <t>20260128: gh solicita est. sistemas. 20260202: GH envia 2 hv para validar y ofertar. 20260205: se envia retroalimentacion sobre las hv y se comparten 4 hv. 20260216: GH solicita evaluar 3 candidatos. 20260224: se entregan informes. 20260225: GH solicita contratar a Ma. Isabel Diaz con F.I 25 mar. 20260227: se envia OC.</t>
  </si>
  <si>
    <t>Luisa Maria Bernal Arroyave</t>
  </si>
  <si>
    <t>20260126: se activa reclutamiento 20260129: se comparten 3 HV a GH 20260203: se comparten 3 HV adicionales para considerar por parte de GH. 20260205: a la espera de retroalimentacion de GH y se comparten 2 (Luisa Bernal) HV adicionales 20260211: se solicita nuevamente retroalimentación a GH 20260216: GH solicita evaluar a Maria Isabel Manrique y Angelica Isabel Correa 20260219: Se comparte retroalimentación con conceptos aprobados 20260223: GH informa que no se podrá tener en cuenta a la candidata Maria Isabel Manrique por factores de riesgo. 20260224: GH solicita evaluar a Luisa Bernal. 20260225: se envia retroalimentacion de la candidata Luisa Bernal y GH solicita envia a contratación. 20260226: se envia OC de Luisa Bernal 20260303: candidata aprueba ESy EM 20260304: candidata Luisa Bernal se encuentra en apertura de cuenta 20260309:contratacion confirma ingreso de Luisa Bernal con fecha de inicio el 12 de marzo</t>
  </si>
  <si>
    <t>Diana Marcela Alvarez Henao</t>
  </si>
  <si>
    <t>20260129: Se envian 7 HV: Juan Carlos Jurado, Luisa Fernanda Arango, Juan David Giraldo, Santiago Ospina, Juan Esteban Ramirez, Angela Bibiana Echeverri, Daniel Morales. 20260202: Se solicita aplicar pruebas a Juan Esteban Ramirez. 20260204: El candidato no pasa prueba de servicio e integridad, se solicita continuar con reclutamiento. 20260205: Se envian 6 HV: Hector Benavides, Jhon Forero, Ana Maria Marin, Cristian Leonardo Melan, William Alfonso Salazar, Harold Hurtado. 2060212:En proceso de entrevista inicial con candidatos enviados. 20260218: Pendiente retroalimentación y contiuidad del proceso. 20260219: Se solicita aplicar pruebas a Cristian Melan, Juan Felipe Orjuela y continuar con evaluación y contratación para ingreso el 2 de marzo con Hector Enrique Benavides. 20260220: Se informa que el candidato Hector Benavides, no pasa prueba de integridad, se define avanzar con contratación con Juan Felipe Orjuela. 20260223: Se envia informe, se solicita contratacion con FI 2 de marzo. 20260225: Se reporta novedad en bases en EDS, no se puede avanzar con el proceso. 20260226: Se solicita iniciar nuevamente reclutamiento, ya que los otros candidatos que se tenian en la terna finalista, no pasaron pruebas. 20260303: Se envian otras 6 HV: Alvaro Davila, Maria Alejandra Vergara, Claudia Lorena Ospina, Luisa Fernanda Gordillo, Valentina Jimenez, Yessica Serna. 20260310: Se envian otras 3 HV por solicitud del cliente: Diana Marcela Alvarez, Liliana Maria Henao, Eliana Maritza Garcia. 20260312: Se solicita aplicar pruebas a Diana Marcela Alvarez y Valentina Jimenez y continuar con proceso de contratación con Diana Marcela Alvarez para ingreso el 25 de marzo. 20260313: Se envia informe, se solicita contratación. 20260320: La candidata firma contrato. *Descontar 16 dias en proceso de selección, el primer candidato seleccionado no pasa EDS. *Descontar 1 dia en proceso de contratación, por volumen en el área de contratación.</t>
  </si>
  <si>
    <t>Monica Alzate Lopez</t>
  </si>
  <si>
    <t>20260127: Se envia solicitud de concurso para solicitar publicación a comunicaciones, para que los candidatos se postulen desde el 29 de enero al 2 de febrero. 20260203: GH informa que no se requiere envío de HV, porque esta posición se va a cubrir con movimiento interno de una Asesora Integral, pendiente definir. 20260212: Pendiente solicitud de evaluación de candidata interna para realizar cambio interno. 20260218: Se solicita evaluación de colaboradora Monica Alzate, para movimiento interno a partir del 2 de marzo. 20260224: Se envia informe, se cierra requisición.</t>
  </si>
  <si>
    <t>Hiderley Torres Berrio</t>
  </si>
  <si>
    <t>Angie Melissa Cardona Gil</t>
  </si>
  <si>
    <t>ANALISTA CONTABLE</t>
  </si>
  <si>
    <t>Laura Nataly Quintero Diaz</t>
  </si>
  <si>
    <t>20260206:El cliente va a enviar a evaluar una persona. a las espera de que confirmen cual es la persona. 20260212:Se solicito retroalimentacion. 20260213: El cilente envio a evaluar a Laura Quintero. Se cito a entrevista para el Jueves 19. 20260220:Se subio informe y se le informo al cliente. El cliente envio a contratar a la candidata y se envio con FI 2 de Marzo.</t>
  </si>
  <si>
    <t>Estefania Narvaez Jimenez</t>
  </si>
  <si>
    <t>20260128: se activa reclutamiento.20260129: se envian 4cv a GH.20260204: se realiza seguimiento, cliente informa los entrevista 6 febrero.20260209: GH solicita evaluar a Estefania Narvaez.20260213: se carga evaluacion en sf, gh solicita contratacion.20260216: se envia O.C con F.I 23 Febrero.20260223: Se modifica F.I para 2 de marzo dado a que no se logro realizar asociatividad a tiempo y no logro firmar.</t>
  </si>
  <si>
    <t>Lina Maria Zambrano Granados</t>
  </si>
  <si>
    <t>20260128: Crean RQ. 20260212: Se comparten: Silvia - Wilson - Henry. 20260219: En reunión de seguimiento informan que la líder entrevistará el 24/feb. 20260225: Piden evaluar a Silvia Castillo e ir compartiendo mas candidatos. 20260303: Se comparte reporte evaluativo y se avaza con EDS. 20260306: Candidata en EMO. 20260310: Se descarta candidata por estudio pensional. 20260312: Solicitan evaluar en esta RQ a la candidata Lina Zambrano, quien viene de la RQ 15975 (enviada el 10/mar). 20260313: Se comparte registro evaluativo y se avanza con EDS. 20260317: Se comparte novedad en EDs - GH pide avanzar. 20260318: Candidata en EMO. 20260320: Se confirma contratación de la colaboradora Lina Maria Zambrano Granados, con fecha de ingreso 25/03/2026.</t>
  </si>
  <si>
    <t>COLSANITAS</t>
  </si>
  <si>
    <t>Derian Josue Perez Pacheco</t>
  </si>
  <si>
    <t>20260129: Crean RQ. 20260210: Se comparten: Vanessa - Martin - Saudy. 20260211: Lider informa que entrevistará a Vanessa y Martin, mas candidato en BackUp Derian (Feb/02). 20260219: Piden evaluar a Derian. 20260225: Se comparte reporte evaluativo. 20260226: Se avanza con EDS. 20260305: Candidato en Oferta. 20260309: Se confirma contratación del colaborador Derian Josue Perez Pacheco, con FI. 12/03/2026.</t>
  </si>
  <si>
    <t>COORDINADOR/A PROYECTOS INFRAESTRUCTURA</t>
  </si>
  <si>
    <t>Alan Fabian Cruz Moreno</t>
  </si>
  <si>
    <t>20260130: Se solicito reclutamiento. 20260202: Se solicito al cliente reunión con el lider del area. 20260204: Se realizo perfilamiento de cargo y el lider envio 2 hv. pendiente enviar hv 20260206: Se enviaron 6 hv y candidatos enviados por el lider. Nestor Bravo, Allan Cruz, Cindy Moreno, Aura Aponte, Cristian Hernandez, Laura Rodriguez, arlen asprilla, Nestor Arce, Alber Hernadez. 20260211: Se solicito retroalimentacion. 20260217:Se volvio a solicitar retroalimentacion. 20260219:El cliente envio a evaluar a Nestor, Allan, Cindy, Arlen, Nestor. 20260224: Nestor Bravo no paso prueba de integridad. 20260226:Se subieron los informes y se le informo al cliente. 20260303:El cliente envio a contratar a Allan Cruz 20260304:Se envio a contratación con FI 12 de Marzo.</t>
  </si>
  <si>
    <t>VAG Arquitectura e Ingeniería</t>
  </si>
  <si>
    <t>Erik Leonardo Tibocha Gamba</t>
  </si>
  <si>
    <t>Shirley Vanessa Forero Santana</t>
  </si>
  <si>
    <t>Axa Colpatria</t>
  </si>
  <si>
    <t>Luis Felipe Osorio Caicedo</t>
  </si>
  <si>
    <t>20260202: Se activo reclutamiento con perfil diseño. 20260204:Se enviaron 5 hv Miriu Lima, Maicol Cardenas, Brandon Ortiz, Maryuri Caicedo y Danna Paz. 20260205:El cliente solicito que sean hombres y jovenes. 20260211: El cliente cito a entrevista para el 12 de Febrero. 20260213:El cliente solicito mas hv ya que ninguno de los candidatos se presento a entrevista. Se activa reclutamiento. 20260217:Se enviaron 3 hv Erick Epia, Luis Felipe Osorio y Sebastian Amado. 20260219:El cliente envio a evaluar a Eirck y Luis Felipe. 20260224:Erick no paso prueba de integridad por tal razon se sigue proceso con Luis Felipe. Se evaluo a Luis Felipe pero el cliente quiere ver mas aprendices. Se activo reclutamiento. 20260304:El cliente envio a evaluar a Luis Felipe. Se envio a contratacion con FI 12 de Marzo</t>
  </si>
  <si>
    <t>Elda Rosa Martinez Cordoba</t>
  </si>
  <si>
    <t>Viva IPS Estadio</t>
  </si>
  <si>
    <t>YOPAL</t>
  </si>
  <si>
    <t>Edward Albeiro Rodriguez Penagos</t>
  </si>
  <si>
    <t>Angela Policarpa Arango Giraldo</t>
  </si>
  <si>
    <t>202600202: Se solicita iniciar proceso de contratación con Angela Policarpa Arango quien actualmente esta contratada por temporal, y cuenta con proceso de selección vigente de noviembre/25. 20260203: Se solicita contratación con FI 12 de febrero, se recibe autorización para contratación de esta posición en la segunda fecha de ingreso. 20260211: No se realiza cambio interno para liberar la posición y realizar la contratación, pendiente dar continuidad para grabación de contrato en la siguiente fecha de ingreso. 20260218: Se define que esta contratacion se va a realizar con FI 2 de marzo, pendiente liberar posición con movimiento interno a partir del 1 de marzo. 20260302: La candidata firma contrato, se graba con fecha del mismo día por fecha en la que se libera la posición. *Descontar 15 dias en contratación, por definición de fecha de ingreso y posicion ocupada</t>
  </si>
  <si>
    <t>OFICIAL CUMPLIMIENTO SUPLENTE</t>
  </si>
  <si>
    <t>Adolfo Andres Diaz Hernandez</t>
  </si>
  <si>
    <t>Independiente</t>
  </si>
  <si>
    <t>Andres Marino Rosales Ramirez</t>
  </si>
  <si>
    <t>20260202: gh solicita contratar a german alcala quien estaba en proceso de contratacion en la requi 15627. 20260203: Se envia OC con el nuevo numero de requi FI 12 Febrero. 20260209: se a gh novedad de examen medico aplazado. 20260211: gh informa que se detiene proceso y se activa reclutamiento. 20260220: gh solicita evaluar y contratar en simultaneo a Andres Rosales. Se programan pruebas. 20260223: Se envia OC FI 02 Marzo. proceso simultaneo de SYC.</t>
  </si>
  <si>
    <t>Sebastian Prada Vanegas</t>
  </si>
  <si>
    <t>20260203: pte que gh defina si se activa reclutamiento. 20260206: gh activa reclutamiento. 20260211: Se envian 2 hv. Pte retro por gh. 20260218: Pte retro por gh. 20260220: gh solicita evaluar y contratar en simultaneo a Sebastian Prada. Se programan pruebas. 20260223: Se envia OC FI 02 Marzo. proceso simultaneo de SYC.</t>
  </si>
  <si>
    <t>Centro Comercial Mónaco Plaza</t>
  </si>
  <si>
    <t>Tomas Eduardo Martinez De pinillos Andrade</t>
  </si>
  <si>
    <t>Cristian Camilo Palacio Serna</t>
  </si>
  <si>
    <t>20260203: se activa reclutamiento 20260212: se comparten 2 HV para entrevista el 13 de feb 20260213: candidatos no se presentan 20260216: se tiene programado convocaroria abierta para el 18 de feb 20260218: se presentan 12 candidatos y aprueban 6 de los cuales continuan 4 20260219: 2 de las candidatas no aprueban prueba de servicio 20260223: se programa entrevista con JI a Felipe Osorio, candidato aprueba proceso 20260224: candidato se encuentra en proceso evaluativo 20260226: candidato Felipe Osorio, desiste del proceso ya que no responda más los contactos. 20260226: candidata desiste Marlen Peñuela del proceso por motivos personales. Ese mismo día se comparten 3 HV y se programa entrevista para el 2 de marzo. 20260303: se presenta 1 candidata Carmen Causil y aprueba proceso de entrevista. 20260305: se comparte retroalimentación con concepto aprobado de Carmen Causil 20260309: candidata tiene entrevista con Gte de Zona y se le solicita un nuevo espacio para el día siguiente. 20260310: JI indica que candidata no aprueba proceso. Así mismo, se tiene en cuenta para esta RQ el cubrimiento con Cristian Palacio quien se encuentra el proceso desde el 3 marzo y se aplico entrevista el el 4 de marzo y proceso evaluativo con el resultado apto enviado el 10 de marzo. Al tiempo JI solicita el envío a contratación. Se envia OC de Cristian Palacio para ingreso el 25 de marzo. 20260313: candidato Cristian Palacio aprueba ES, se envia a EM 20260316: candidato aprueba EM y se encuentra a la espera para aperturar cuenta 20260317: GH informa que se recibe autorizacion para adelantar la contratacion para el 19 de marzo. El candidato se dispone a aperturar en cuenta el 18 de marzo. 20260318:contratacion confirma ingreso de Cristian Palacio con fecha de inicio el 19 de marzo luego de la autorizacion por parte de la nacional</t>
  </si>
  <si>
    <t>Tunave</t>
  </si>
  <si>
    <t>Herick Franck Gonzalez Romero</t>
  </si>
  <si>
    <t>Prosegur Alarms</t>
  </si>
  <si>
    <t>Yarlin Johana Herazo Cabarcas</t>
  </si>
  <si>
    <t>20260205: Crean RQ. 20260210: Piden evaluar a Referida Yarlin. 20260216: Se comparte registro evaluativo y se avanza con EDS. 20260219: Candiata en EMO. 20260226: Se confirma contratación de la colaboradora Yarlin Johana Herazo Cabarca, con FI. 02/03/2026.</t>
  </si>
  <si>
    <t>CARTAGO</t>
  </si>
  <si>
    <t>Wendy Daniela Bohorquez Garay</t>
  </si>
  <si>
    <t>Mayra Liliana Rivero Arenilla</t>
  </si>
  <si>
    <t>20260102: Crean RQ. 20260210: Se comparten Yessika - Lorayne - Jesus. 20260211: Piden evaluar a Yessika.20260212: Piden ir teniendo en BackUp a referida Mayra. 20260213: Se comparte registro evaluativo de Yessika y se avanza con EDS. 20260219: Se reporta que la candidata tiene pte la optometría y que manifiesta presentar fiebre, por esta razón no ha ido a la valoración. 20260225: Se realiza seguimiento a la candidata y no se logra la comunicación - Piden evaluar a Mayra Rivera. 20260226: Se comparte reporte evaluativo. 20260227: Se avanza con EDS.20260303: Candidata en EMO. 20260305: Candidata en apertura de cuenta. 20260310: Se confirma contratación de la colaboradora Mayra Liliana Rivero Arenilla , con FI. 12/03/2026.</t>
  </si>
  <si>
    <t>ASMET SALUD EPS</t>
  </si>
  <si>
    <t>Jonathan Jesus Batalla Ballestero</t>
  </si>
  <si>
    <t>ANALISTA NACIONAL ADMINISTRATIVO Y FINANCIERO</t>
  </si>
  <si>
    <t>Paola Andrea Gaviria Rodriguez</t>
  </si>
  <si>
    <t>20260205: se activa reclutamiento concurso mixto. 20260209: se envia concurso mixto fecha maxima publicacion 13 Feb. 20260210: se envian 5 hv reclutamiento externo. 20260216: se confirma filtro interno. Pte retro por gh. 20260225: gh solicita evaluar a Paola Gaviria, Diana Llanos, Ximena Ayala, Sebastian Chacon. Se programan pruebas. 20260303: gh envia prueba tecnica para realizar a candidatos. 20260305: Se envia prueba tecnica. 20260306: Se confirma informe de candidatos. Pte retro por gh. 20260311: Pte retro por gh. 20260313: gh solicita avanzar contratacion con Paola Gaviria. 20260316: Se envia OC FI 25 Mar.</t>
  </si>
  <si>
    <t>Daniela Zapata Chanci</t>
  </si>
  <si>
    <t>20260205: se activa reclutamiento. 20260210: se comparten 5 HV adicionales y se programan AS para el 16 de feb 20260216: se presentan 11 candidatos, se da continuidad con Valentina Pino, Elisabet Ortega, Angelica Silva, Paula Ramirez, Daniela Chanci y Elida Perez. Se programa proceso evaluativo. 20260218: Se envia retroalimentacion de las candidatas y JI solicita entrevista individual con Daniela Zapata 20260223: JI solicita el envio a contratación de Daniela Zapata 20260224: Se envia OC de Daniela Zapata. 20260225: candidata aprueba ES y se encuentra en EM. 20260227: contratacion confirma ingreso con fecha de inicio el 2 de marzo de Daniela Zapata</t>
  </si>
  <si>
    <t>Oriana Isabel Rivera Majin</t>
  </si>
  <si>
    <t>20260206: Se activo reclutamiento. 20260210: Se enviaron 4 hv Claudia Pedreros, Luisa Bermudez, Nicolas Caicedo y Owen Sinisterra. 20260213:El cliente envio a evaluar a 5 personas Jhon Alejandro Betancurt, Maria Lozano, Oriana Rivera, Valentina Romero y Yuliana Mamian. 20260223:Se subieron informes y se le informo al cliente. 20260225: El cliente envio a contratar a Oriana. 20260302:Se envio a contratacion con FI 12 de Marzo.</t>
  </si>
  <si>
    <t>Universidad Santiago de Cali</t>
  </si>
  <si>
    <t>David Estiven Zafra Ramírez</t>
  </si>
  <si>
    <t>20260211: GH solicita aplicar prueba a david zafra y derlyn lopez.2026.20260216: se notifica a gh derlyn no aprobo prueba de servicios y aun david zafra no realiza pruebas. 20260219: se informan resultados a GH, Pendiente notificacion para avanzar en evaluacion.20260220: GH solicita avanzar con David zafra.20260223: se carga evaluacion en sf, GH solicita enviar O.C, se envia O.C con F.I 02 Marzo.</t>
  </si>
  <si>
    <t>Job&amp;Talent (Bancoomeva)</t>
  </si>
  <si>
    <t>Jhon Felipe Chimbaco Ruales</t>
  </si>
  <si>
    <t>Pedro Luis Lopez Ortiz</t>
  </si>
  <si>
    <t>Megalinea Banco Bogotá</t>
  </si>
  <si>
    <t>ANALISTA CONTROL CONTABLE</t>
  </si>
  <si>
    <t>Vanessa Elcira Pelaez Angulo</t>
  </si>
  <si>
    <t>20260204: GH nvian dos candidatos para evaluacion diana y juan carlos.20260210: GH crea rq, se cargan evaluaciones en SF.20260212: GH solicita evalua a Elcira Pelaez.20260217: se carga evaluacion en SF.20260218: GH solicita enviar a contratacion a Vanessa.20260218: Se envia O.C con F.I 2 Marzo.</t>
  </si>
  <si>
    <t>INGENIERO/A OPERACIONES TI</t>
  </si>
  <si>
    <t>Danna Carolina Montoya Suarez</t>
  </si>
  <si>
    <t>20260210: GH envia candidata Danna para evaluacion.20260216: se carga evaluacion.20260218: GH solicita contratacion de Danna.20260219: se envia O.C con F.I 2 Marzo.</t>
  </si>
  <si>
    <t>GTC Corporation</t>
  </si>
  <si>
    <t>Jhon Steven Gonzalez Molina</t>
  </si>
  <si>
    <t>Ana Maria Estrada Vargas</t>
  </si>
  <si>
    <t>Sebastian Paris Villamarin</t>
  </si>
  <si>
    <t>20260211:Se activo reclutamiento. 20260218:Se enviaron 3 hv Alvaro Duarte, Jesus Tapasco y Oscar Manrique. 20260224:El lider entrevisto candidato que se encontraba participando en la RQ 15504 para otro lider. 20260225:El cliente envio a contratar a Sebastian Paris. 20260225: El candidato no ha enviado documentos. 20260302: No se ha podido enviar a contratacion ya que el candidato le falta el certificado de estudios. 20260304:Se envio al candidato con FI 25 de Marzo.</t>
  </si>
  <si>
    <t>Alvaro Duarte Salas</t>
  </si>
  <si>
    <t>20260211:Se activa reclutamiento. 20250225: Se hicieron entrevista y se envio a pruebas a Alvaro, candidato evaluado para la rq 15836 20260302:Se subio informe y se le informo al cliente. 20260304:El cliente envio a contratar a Alvaro Duarte. Se envio a contratacion con FI 25 de Marzo.</t>
  </si>
  <si>
    <t>Scotiabank</t>
  </si>
  <si>
    <t>Sheylin Florez Saenz</t>
  </si>
  <si>
    <t>Sandra Patricia Rios Colina</t>
  </si>
  <si>
    <t>20260211: Asignan RQ. Solicitan aprendiz del programa Marketing Digital. 20260212: Se envia solicitud a instituciones. 20260218: Feria de aprendices centro Inca 20/Feb. 20260220: Se comparte dupla a GH Astrid Garcia y Sandra Rios y seran entrevistadas el 23/Feb. 20260223: GH solicita avanzar a evaluacion con Sandra Patricia Rios Colina. 20260224: Se comparte informe de Sandra Rios y solicitan avanzar a EDS y EMO FI: 02/Mar. 20260227: Se confirma contratacion de Sandra Rios Colina con FI 2/Mar.</t>
  </si>
  <si>
    <t>Keysha Jolie Abdala Quiroz</t>
  </si>
  <si>
    <t>20260211: Asignan RQ. Solicitan estudiante de psicologia. 20260212: Se hace solicitud a universidades. 20260216: Universidad del norte comparte estudiante Nur El Reda Suarez. Entrevista SyC 20/Feb. 20260225: Se comparte terna a GH: Shelsy Tellez, Gianella Vegliante y Keysha Abdala y seran entrevistadas el 26/Feb. 20260226: GH solicita avanzar a evaluacion con Keysha Abdala y Shelsy Tellez. 20260302: Se compate reporte evaluativo. 20260303: Piden avanzar con Keysha. 20260305: Se avanza con EDS. 20260311: Se confirma contratacion de Keysha Jolie Abdala Quiroz FI: 12/Mar.</t>
  </si>
  <si>
    <t>Fabian Luna Martinez</t>
  </si>
  <si>
    <t>20260211: Asigan RQ. Pend definir posicion. 20260204: Cand evaluado en la RQ 15399. Se comparte cand a GH: Omar Sepulveda, Ingrid Cortes, Anyie Valencia, Fabian Luna, Eder Moneriz. 20260211: JI solicita avanzar en evaluacion con Fabian Luna Martinez. 20260218: Se comparte informe de seleccion a GH de candidato Fabian Luna Martinez. 20260219: Solicitan avanzar en EDS con Fabian Luna Martinez FI: 02/Mar. Pend posicion. Se comparte a contratacion. 20260302: Se confirma contratacion de Fabian Luna Martinez FI: 02/Mar.</t>
  </si>
  <si>
    <t>Jose Alfonso de jesus Martinez Coquies</t>
  </si>
  <si>
    <t>20260211: Asignan RQ. Pendiente definir posicion. 20260203: Cand evaluado en la RQ 15404: Se comparte a GH Jose Martinez Coquies el cual sera entrevistado el Feb/03. 20260212: GH solicita avanzar con proceso evaluativo de Jose Martines Coquies. 20260218: Se comparte informe de seleccion a GH de candidato Jose Martinez Coquies. 20260219: Solicitan avanzar en EDS con Jose Martinez Coquies. FI 02/Mar. Pend posicion. 20260219: Se comparte a contratacion a Jose Martinez Coquies con FI: 2/Mar. 20260227: Contratacion confirma ingreso de Jose Alfonso de Jesus Martinez Coquies con FI: 2/Mar.</t>
  </si>
  <si>
    <t>Cristian David Diaz Garzon</t>
  </si>
  <si>
    <t>20260211: se envia a reclutamiento.20260216: GH solicita evaluar a cristhian diaz.20260220: se carga evaluacion en SF, GH solicita contratacion.20260223: se envia O.C con F.I 02 Marzo.</t>
  </si>
  <si>
    <t>Unidad de Respuesta en Salud</t>
  </si>
  <si>
    <t>Ana Maria Trujillo Vergel</t>
  </si>
  <si>
    <t>20260211: se envia a reclutamiento.20260216: GH solicita evaluar a Natalia Ledesma.20260217: se envian 5cv.20260219: se informa a GH que referida Natalia no aprobo prueba de servicio.20260224: GH solicita evaluar a Ana Maria Trujillo.20260227: se carga evaluacion, gh solicita enviar OC, se envia O.C con F.I 12 Marzo.</t>
  </si>
  <si>
    <t>Ayudas Diagnósticas Sura</t>
  </si>
  <si>
    <t>Juan Camilo Quiroga Montilla</t>
  </si>
  <si>
    <t>20260211: Se activo reclutamiento 20260213:El cliente cito a entrevista candidatos del centro de contacto y 3 candidtos nuestros que estaban participando en proceso de Ejecutivo Comercial. 20260217:El cliente envio a pruebas a Marcela Varela. 20260218:La candidato no paso prueba veritas. El cliente envia otro candidato a evaluar Juan Quiroga. 20260223:El cliente envio a contrata a Juan Camilo. Se envio a contrata con FI 2 de Marzo.</t>
  </si>
  <si>
    <t>Jorkley Katerine Alvarez Monsalve</t>
  </si>
  <si>
    <t>20260212: se activa reclutamiento interno por solicitud de GH 20260218: aún no se reciben HV internas, se lleva acabo reclutamiento preventivo de manera externa 20260220: no se reciben HV internas 20260225: se comparten 4 HV a considerar por parte de GH 20260302: se valida con GH tema de modelo y estructura del cargo para definir la información con los candidatos 20260305: se comparten 4 HV (Jorkley Alvarez) para entrevista el 9 de mar. 20260309: se presentan 3 candidatas y aprueban Kelly Estefania Londoño y Katherine Alvarez. 20260310: se programan PS a las candidatas 20260313: se envia retroalimentación y JI solicita enviar a contratar a Katherine Alvarez para ingreso el 25 de mar. Se envia OC. 20260317: candidata aprueba ES y se envia EM 20260320:contratacion confirma ingreso de Jorkley Alvarez con fecha de inicio el 12 de marzo</t>
  </si>
  <si>
    <t>Viajes Éxito</t>
  </si>
  <si>
    <t>Orlando Galindo Montoya</t>
  </si>
  <si>
    <t>20260213: GH envia 1 referido para aplicar pruebas.20260216: se informa a GH que no aprobo prueba de servicio e integridad, atenta a aprobaciones para evaluar.20260219: GH solicita evaluar Orlando.20260223: se carga evaluacion en SF, GH solicita avanzar en contratacion.20260224: se envia O.C con F.I 12 Marzo.</t>
  </si>
  <si>
    <t>Maicol Stiven Carabali Nazarit</t>
  </si>
  <si>
    <t>20260213: GH envia 4 referidos para evaluar.20260216: se notifica a GH resultados. 20260219: GH solicita evaluar a Maicol. 20260224: se carga informe en SF, GH solicita contratacion, se envia O.C con F.I 12 Marzo</t>
  </si>
  <si>
    <t>Ackerley Cedeño Garcia</t>
  </si>
  <si>
    <t>20260213: GH envia dos referidos para evaluar edison y ackerley.20260216: se informa a gh que edison aprobo servicio y se solicita aprobacion por prueba de integridad, aun ackerley no realiza pruebas.20260219: se informan resultados a GH, Pendiente notificacion para avanzar en evaluacion.20260220: GH solicita activar reclutamiento, se envian 5 cv a GH.20260225: Se realiza seguimiento.20260302: GH solicita evaluar a Ackerley enviado por GH.20260306: Se carga evaluacion en SF.20260309: GH solicita enviar a contratación.20260310: se envia O.C con F.I 25 Marzo.</t>
  </si>
  <si>
    <t>Alexander Carlos Andres Trujillo Cediel</t>
  </si>
  <si>
    <t>Tigo</t>
  </si>
  <si>
    <t>ASISTENTE NAL GESTION Y SEGUIMIENTO</t>
  </si>
  <si>
    <t>Diana Katerine Pelaez Naranjo</t>
  </si>
  <si>
    <t>20260213: Se activa reclutamiento mixto. 20260216: se envia publicacion de concurso fecha publi max 20 Feb. 20260220: Se envian 3 hv de reclutamiento externo. 20260224: Se confirma filtro interno. Pte retro por gh. 20260226: Se programa Assessment para el 27 Febrero. 20260227: GH solicita evaluar a Diana Pelaez, Alexandra Paz y Yulieth Toscano. Se programan pruebas. 20260309: Se confirma informes. 20260311: gh solicita avanzar contratacion con Diana Pelaez. 20260311: Se envia OC FI 25 Mar.</t>
  </si>
  <si>
    <t>Auren Auditores</t>
  </si>
  <si>
    <t>Laura Maria Usuga Guisao</t>
  </si>
  <si>
    <t>20260213: se activa reclutamiento 20260219: se continua reclutamiento 20260223: JI solicita evaluar a la candidata interna Laura Maria Usuga 20260302: se comparte retroalimentacion con concepto aprobado de Laura Usuga 20260306: GH confirma que se hará el movimiento interno para el cumbrimiento de la vacante con Laura Maria Usuga a partir del 9 de marzo</t>
  </si>
  <si>
    <t>Mariana Merlano Varon</t>
  </si>
  <si>
    <t>20260219: Crean RQ. 20260226: Se comparten: Veriozka - Cindy - Julio. 20260225: Piden evaluar a Veriozka.20260302: Se comparte reporte evaluativo y se avanza con EDS. 20260303: Se comparte reporte EDS - GH Humana pide no continuar. 20260309: GH Solicita evaluar a la referida Mariana Merlano. 20260312: Se comparte reporte evaluativo para el avance con EDS. 20260313: Se avanza con EDS. 20260318: Candidata en EMO. 20260319: Se confirma contratación de la colaboradora Maria Merlano Varon, con FI. 25/03/2026.</t>
  </si>
  <si>
    <t>FSCR INGENIERÍA S.A.S</t>
  </si>
  <si>
    <t>Angelica Maria Villa Layos</t>
  </si>
  <si>
    <t>Veronica Maria Murillo Severiche</t>
  </si>
  <si>
    <t>20260216: Se activa reclutamiento.20260218: GH envia dos cv para evaluacion.20260223: Se carga evaluacion en SF, GH solicita enviar O.C, se envia con F.I 2 Marzo.</t>
  </si>
  <si>
    <t>Coopserp</t>
  </si>
  <si>
    <t>ANALISTA FORMALIZADOR CASH MANAGEMENT</t>
  </si>
  <si>
    <t>Karen Andrea Leyton Cortes</t>
  </si>
  <si>
    <t>ANALISTA CUMPLIMIENTO CASH MANAGEMENT</t>
  </si>
  <si>
    <t>Natalia Ortega Arias</t>
  </si>
  <si>
    <t>20260216: pendiente perfil.20260217: se realiza afinamiento de perfil. 20260218: se activa reclutamiento externo y se envia para publicacion interna el jueves 19 hatsta lunes 23. 20260303: se envian 2cv a GH.20260311: se realiza seguimiento.20260312: GH solicita evaluar a Natalia ortega, colaboadoroa interna en BCO, ya se habia evaluado para otro proceso, 20260316:evaluacion en SF, pdt prueba de potencialidad para cerrar proceso. 20260327: GH comparte potencialidad, se cierra proceso.</t>
  </si>
  <si>
    <t>Laura Marcela Camargo Ramirez</t>
  </si>
  <si>
    <t>20260216: Se activa reclutamiento, se genera espacio para el 18 de Febrero. 20260218: Con base en el espacio de hoy candidatos aptos: Laura Camargo, Diana Garcia, Yurely Garcia y Diana Linares, a la espera de espacio con JI. 20260226: Con base en la informacion recibida por GH y JI candidata seleccionada Laura Camargo, se solicitan documentos. 20260303: Se envía a estudio de seguridad y contratacion a Laura Camargo con fecha tentativa de ingreso del 12 de Marzo. 20260305: Con base en la informacion recibida por gh se modifica su fecha de ingreso para el 25 de Marzo.</t>
  </si>
  <si>
    <t>Nexa BPO</t>
  </si>
  <si>
    <t>Milagros Sandrith Barrios Ortega</t>
  </si>
  <si>
    <t>Saray Mendoza Silva</t>
  </si>
  <si>
    <t>Manuel Jose Vesga Guerra</t>
  </si>
  <si>
    <t>20260218: Se inicia reclutamiento. 20260225: Se agenda proceso y se continua con tres candidatos para pruebas JHON BARRERA, MANUEL VESGA y VANESSA FORERO. 20260226 se solicita pruebas y documentos 202600303: Se continua a la espera de documentos 20260306: Se envian a E.S con OC con FI 12 De Marzo Manuel Vesga</t>
  </si>
  <si>
    <t>GESTION Y CONSULTORIA GROUP JY SAS</t>
  </si>
  <si>
    <t>ANALISTA FORMALIZADOR ACTIVO</t>
  </si>
  <si>
    <t>Diana Cardoza Suarez</t>
  </si>
  <si>
    <t>20260217: GH solicita evaluacion y contratacion de Diana Cardoza.20260218: se carga evaluacion en sf, gh solicita contratacion.20260219: se envia O.C con F.I 2 marzo.</t>
  </si>
  <si>
    <t>Natalia Perea Orozco</t>
  </si>
  <si>
    <t>20260218: GH envia a evaluar Natalia Perea..20260224: se carga evaluacion en SF.20250225: GH solicita enviar O.C.20260226: Se envia O.C con F.I 12 Marzo.</t>
  </si>
  <si>
    <t>Alan Smith Vizcaino Avendaño</t>
  </si>
  <si>
    <t>20260218: Crean RQ. 20260220: Se comparten: Daniela - Alan. 20250224: Piden evaluar a Alan. 20260304: Se comparte reporte evaluativo y se avanza con EDS. 20260306: Candidato en EMO. 20260310: Se confirma contratación del estudiante Alan Smith Vizcaino Avendaño, con FI: 12/03/2026.</t>
  </si>
  <si>
    <t>ANALISTA EXPERIENCIA CASH MANAGEMENT</t>
  </si>
  <si>
    <t>Juan Esteban Murillo Cifuentes</t>
  </si>
  <si>
    <t>20260218: GH solicita evaluar a Juan esteban Murillo.20260224: se carga evaluacion en SF.20250225: GH solicita enviar O.C.20260226: Se envia O.C con F.I 12 Marzo.</t>
  </si>
  <si>
    <t>Finding</t>
  </si>
  <si>
    <t>ANALISTA FORMALIZADOR REDES Y COMPENSACION</t>
  </si>
  <si>
    <t>Alexandra Otero Fajardo</t>
  </si>
  <si>
    <t>20260218: GH envia a evaluar Alexandra Otero.20260224: se carga evaluacion en SF.20250225: GH solicita enviar O.C.20260226: Se envia O.C con F.I 12 Marzo.</t>
  </si>
  <si>
    <t>ANALISTA FORMALIZADOR ADMINISTRACION ACTIVO</t>
  </si>
  <si>
    <t>Diego Andres Diaz Montaño</t>
  </si>
  <si>
    <t>20260218: GH envia a evaluar Diego Andres Diaz..20260224: se carga evaluacion en SF.20250225: GH solicita enviar O.C.20260226: Se envia O.C con F.I 12 Marzo.</t>
  </si>
  <si>
    <t>ANALISTA CUMPLIMIENTO VINCULACION CLIENTES Y PASIVOS</t>
  </si>
  <si>
    <t>Tatiana Lopez Ortega</t>
  </si>
  <si>
    <t>20260218:GH solicita evaluar a Tatiana Lopez. 20260224: se carga evaluacion en SF, pendiente notificación de GH para realizar movimiento interno y enviar prueba de potencialidad.</t>
  </si>
  <si>
    <t>ANALISTA CUMPLIMIENTO TRANSACCIONAL E INVERSIONES</t>
  </si>
  <si>
    <t>Gisella Buitrago Aragon</t>
  </si>
  <si>
    <t>20260218: pendiente perfil.20260223: se recibe perfil 4pm.20260224: se envia a UCO para publicacion jueves 26 de febrero hasta lunes 2 de marzo.20260227: GH solicita evaluar 3cv. 20260305: se cargan evaluaciones en sf.20260312: GH solicita enviar O.C de Gisella.20260313: se envia O.C con F.I 25 Marzo.</t>
  </si>
  <si>
    <t>Sandra Martinez Serrano</t>
  </si>
  <si>
    <t>19022026: se activa reclutamiento 20260225: JI solicita evaluar a la candidata interna Sandra Martinez y Alejandro Rodriguez 20260303: se comparte retroalimentacion con concepto aprobado de sandra martinez y alejandro rodriguez 20250305: GH informa que se hará el movimiento interno con Sandra Martinez con fecha de inicio a partir del 9 de mar.</t>
  </si>
  <si>
    <t>Elisabet Ortega Sanchez</t>
  </si>
  <si>
    <t>20260219: se activa reclutamiento 2026020 Se envia retroalimentacion de las candidatas tenidas en cuenta de las RQ anteriores evaluadas el 16 de feb y enviadas el 10 de feb, y evaluadas el 18 de feb y JI solicita entrevista individual con Elisabet Ortega 20260223: JI solicita el envio a contratación de Elisabet Ortega 20260224: Se envia OC de Elisabet Ortega. 20260225: candidata aprueba ES y se encuentra en EM 20260226: contratacion confirma ingreso de la candidata Elisa Ortega con fecha de inicio el 2 de mar</t>
  </si>
  <si>
    <t>Isabel Cristina Tamayo Rincon</t>
  </si>
  <si>
    <t>20260219: se activa reclutamiento 20260225: se comparten 5 HV para assessment el 2 de marzo 20260302: se comparten 5 HV (Isabel Tamayo) adicionales y se reprograma espacio para el 5 de mar 20260305: se presentan 8 candidatos y aprueban Lina Henao, Jennifer Pineda, Isabel Tamayo y Oscar Rojas 20260309: se envia retroalimentacion con concepto aprobado de los 4 candidatos y JI solicita entrevista para el 10 de mar. 20260311: JI solicita enviar al proceso de contratación a Isabel Tamayo. 20260313: se envia OC con fecha de ingreso del 25 de mar de Isabel Tamayo 20260318: candidato Isabel Tamayo aprueba ES y se encuenta en EM 20260320: contratacion confirma ingreso de Isabel Tamayo con fecha de inicio el 25 de mar</t>
  </si>
  <si>
    <t>Oscar Hernan Rojas Rodriguez</t>
  </si>
  <si>
    <t>20260219: se activa reclutamiento 20260225: se comparten 5 (Oscar Rojas) HV para assessment el 2 de marzo 20260302: se comparten 5 HV adicionales y se reprograma espacio para el 5 de mar 20260305: se presentan 8 candidatos y aprueban Lina Henao, Jennifer Pineda, Isabel Tamayo y Oscar Rojas 20260309: se envia retroalimentacion con concepto aprobado de los 4 candidatos y JI solicita entrevista para el 10 de mar. 20260311: JI solicita enviar al proceso de contratación a Oscar Rojas. 20260313: se envia OC con fecha de ingreso del 25 de mar de Oscar Rojas 20260318: candidato Oscar Rojas aprueba ES y se encuenta en EM 20260320: contratacion confirma ingreso de Oscar Rojas con fecha de inicio el 25 de mar</t>
  </si>
  <si>
    <t>Juan Pablo Ortiz Diaz</t>
  </si>
  <si>
    <t>Yireth Camila Ibarguen Mosquera</t>
  </si>
  <si>
    <t>Karen Yuliana Quiñones Torres</t>
  </si>
  <si>
    <t>20260219: GH envian dos cv para evaluar.20260225: Se carga evaluacion en SF.20260226: GH solicita enviar O.C de Karen Quiñones. 20260227: se envia O.C con F.I 12 Marzo.</t>
  </si>
  <si>
    <t>ANALISTA REG PRODUCTO</t>
  </si>
  <si>
    <t>Yesica Alexandra Velasquez Hernandez</t>
  </si>
  <si>
    <t>20260219: se activa reclutamiento. 20260225: en reclutamiento. 20260304: se continua reclutamiento. 20260312: se continua proceso de reclutamiento. 20260316: JI indica que la vacante se hará una promoción con la actual Asesora Logistica Yesica Velasquez por lo cual, se abre la vacante para Asesor Logistico. 20260324: se recibe solicitud por parte de GH para proceso evaluativo. 20260325: se programa proceso evaluativo. 20260330: se comparte retroalimentacion con concepto aprobado a GH, se culmina proceso para promoción a partir de inicios de abril.</t>
  </si>
  <si>
    <t>Leonardo Osorio Patiño</t>
  </si>
  <si>
    <t>20260219: se activa reclutamiento 20260225: se encuentra en proceso evaluativo de las RQ anteriores Gustavo Acasio y Luz Aida Aguirre 20260227: candidata Luz Aguirre desiste del proceso y Gustavo Acasio no aprueba pruebas piscotécnicas. 20260303: se compartem 3 HV y se programa entrevista para el 4 de mar 20260304: se presentan dos candidatos y aprueba Cristian Palacio. se programan pruebas psicotécnicas 20260305: JI solicita evaluar al candidato Leonardo Osorio, referido por el cliente. 20260309: se comparte retroalimentacion con concepto aprobado y se programa entrevista con el candidato para el 10 de mar 20260310: JI solicita el envio a contratacion del candidato Leonardo Osorio. 20260311: Se envia OC del candidato Leonardo Osorio 20260316: candidato aprueba ES y EM, se encuentra en apertura de cuenta 20260317: GH informa que se recibe autorizacion para adelantar la contratacion para el 19 de marzo 20260318:contratacion confirma ingreso de Leonardo Osorio con fecha de inicio el 19 de marzo luego de la autorizacion por parte de la nacional</t>
  </si>
  <si>
    <t>Heinsohn</t>
  </si>
  <si>
    <t>Valeria Cardona Montealegre</t>
  </si>
  <si>
    <t>20260220: Se activa reclutamiento. 20260302: gh solicita contratar a valeria cardona quien fue evaluada en la requi 15784. 20260304: Se envia OC FI 12 Marzo.</t>
  </si>
  <si>
    <t>Constructora Marval</t>
  </si>
  <si>
    <t>Maria Fernanda Alegria Muñoz</t>
  </si>
  <si>
    <t>20260220: Se activa reclutamiento. Ese mismo dia gh solicita evaluar y contratar en simultaneo a Maria Fer Alegria. Se programan pruebas. 20260223: Se envia OC FI 02 Marzo. proceso simultaneo de SYC.</t>
  </si>
  <si>
    <t>Brayhan Rolando Leon Ayala</t>
  </si>
  <si>
    <t>20260220: Se activa reclutamiento. 20260223: Cliente comparte perfil de referido que labora para la casa de cobranza de Fundación Brayhan leon, se valida perfil. 20260225: Candidato Brayhan Leon en documentos. 20260226: Se envía a estudio de seguridad y contratación a Brayhan leon con fecha tentativa de ingreso del 12 de Marzo.</t>
  </si>
  <si>
    <t>Hector Favio Moreno Vargas</t>
  </si>
  <si>
    <t>20260220: Se activa requi para avanzar contratacion de Hector Moreno quien estaba evaluado en la requi 15830. Ese mismo dia se envia OC FI 02 Marzo.</t>
  </si>
  <si>
    <t>Juan Sebastian Benavidez Serrano</t>
  </si>
  <si>
    <t>20260220: gh solicita evaluar a beatriz Cruz. Se programan pruebas. 20260224: se notifica a gh que candidata no realiza pruebas, candidata queda de completarlas. 20250227: se informa a gh que beatriz no realiza proceso e informa que no tiene disponibilidad para completarlas. Se activa reclutamiento. 20260310: gh solicita evaluar a Juan Sebastian Benavidez. Se programan pruebas. 20260312: Se envia OC FI 25 MAR.</t>
  </si>
  <si>
    <t>Global Seguros de Vida</t>
  </si>
  <si>
    <t>MEDICO GESTION CLINICA NEG INTER MP</t>
  </si>
  <si>
    <t>Luisa Maria Alzate Herrera</t>
  </si>
  <si>
    <t>20260211: Se solicita activar esta vacante de forma confidencial. Se tiene reunion el 12 de febrero con la cliente para realizar afinamiento de perfil. 20260213: Se realiza envio de 8 hojas de vida para validacion del cliente. 20260218: El cliente solicita avanzar proceso con 3 candidatas. se tiene proceso evaluativo el 20 de febrero. 20260223: Se le comparte el concepto al cliente y se solicita avanzar con Luisa Alzate. 20260305: La candidata se envio a contratacion el dia 26 de febrero, si todo sale bien su ingreso seria el 12 de marzo ya que solicito este espacio para entrega. 20260306: La candidata firma contrato</t>
  </si>
  <si>
    <t>San Vicentre CES</t>
  </si>
  <si>
    <t>David Hoyos Ramirez</t>
  </si>
  <si>
    <t>20260226: Se envian 4 HV: David Hoyos, Juan David Giraldo, Diego Alejandro Murillo, Evelyn Rodriguez. 20260303: Se solicita aplicar pruebas a candidatos que aprueban entrevista inicial: Diego Alejandro Murillo, David Hoyos y candidato referido Santiago Jose Osorio. 20260304: Se comparte resultado de pruebas, pendiente definir candidato seleccionado. 20260306: Se solicita continuar con proceso de evaluación y contratacion con David Hoyos para ingreso el 25 de marzo. 20260310: Se envia informe, se solicita contratación. 20260318: El candidato firma contrato. *Descontar 2 dias en proceso de contratación, por inconvenientes en realizar apertura de cuenta por parte del Banco.</t>
  </si>
  <si>
    <t>Marlym Esther Herrera Diaz</t>
  </si>
  <si>
    <t>Kevin Andres Galindo Naranjo</t>
  </si>
  <si>
    <t>20260226: Se envian 5 HV: Ana Sofia Henao, Kevin Andres Galindo, Carlos Andre Trujillo, Jenny Herrera, Erick Cubillos. 20260304: En proceso de entrevistas y assessment. 20260312: Se solicita evaluar a Carlos Andres Trujillo, Kevin Andres Galindo, Johan Steven Suarez, y continuar con contratación con FI 25 de marzo con Kevin Andres Galindo, evaluado en req 15864. 20260313: Se envia informe, se solicita contratación. 20260320: El candidato firma contrato. *Descontar 1 dia en proceso de contratación, por demora por parte del candidato en completar documentos.</t>
  </si>
  <si>
    <t>Banco Agrario</t>
  </si>
  <si>
    <t>John Jader Londoño Betancur</t>
  </si>
  <si>
    <t>Ambulancias Santa Rita</t>
  </si>
  <si>
    <t>Paula Andrea Zambrano Guerrero</t>
  </si>
  <si>
    <t>20260223: gh solicita evaluar a Paula Zambrano. Se programan pruebas. 20260303: gh solicita avanzar contratacion. 20260304: se envia OC FI 12 Marzo.</t>
  </si>
  <si>
    <t>Sandra Patricia Espinel Rodriguez</t>
  </si>
  <si>
    <t>AUXILIAR COMERCIAL</t>
  </si>
  <si>
    <t>Sara Gallego Meneses</t>
  </si>
  <si>
    <t>Ana Alexandra Perdomo Sagobal</t>
  </si>
  <si>
    <t>Javier Mauricio Suarez Leon</t>
  </si>
  <si>
    <t>20260218: Se inicia reclutamiento, 20260224: Se realiza entrevista con 4 candidatos, favorables en proceso 3, se envia pruebas y documentos 20260225: Se agendan candidatos con lider de TH 20260226: Se recibe retroalimentacion de dar continuidad con JAVIER MAURICIO SUAREZ se envia ES con fecha tentativa el 4 de Marzo</t>
  </si>
  <si>
    <t>Edinson Jose Jaramillo Cuello</t>
  </si>
  <si>
    <t>20260225: se activa reclutamiento.20260302: GH solicita evaluar y contratar a Edison Jaramillo.20260306: se carga evaluacion en SF.20260309: GH solicita enviar O.C. 20260313: Se envia O.C con F.I 25 de marzo, se envian el 13 dado que no envio documentos completos.</t>
  </si>
  <si>
    <t>Jhon Alejandro Betancourt Cardenas</t>
  </si>
  <si>
    <t>20260227:El cliente envio a contratar a Jhon Alejandro Betacourt. Candidato evaluado tambien en la RQ 15814. Se envia OC con FI 12 mar</t>
  </si>
  <si>
    <t>Centro Comercial Chipichape</t>
  </si>
  <si>
    <t>AUDITOR(A) MEDICO MP</t>
  </si>
  <si>
    <t>Lina Estefania Villabona Caviedes</t>
  </si>
  <si>
    <t>20260226: Se inicia reclutamiento. 20260302: Se genera espacio para el 3 de Marzo. 20260303: Con base en el espacio de hoy candidatos aptos: Lina Villabona y Johnathan Roncancio, se solicitan documentos. 20260305: Candidatos aun en documentos, indican demoras dado que laboran actualmente. 20260306: Se envía a estudio de seguridad a Lina Villabona, con fecha tentativa de ingreso del 12 de Marzo. 20260310: Con base en la información recibida por la candidata se modifica fecha de ingeso para el 25 de Marzo dado que la candidata necesita unos días para entregar su actual puesto, GH manifiesta estar de acuerdo.</t>
  </si>
  <si>
    <t>AGM salud</t>
  </si>
  <si>
    <t>Maria Camila Arias Quiñones</t>
  </si>
  <si>
    <t>20260226: Se inicia reclutamiento 20260304: Se realiza proceso se envia a ES Maria Camila Arias Quiñones, Manuel Jose Vesga a la espera de estudio para definir</t>
  </si>
  <si>
    <t>CAFAM</t>
  </si>
  <si>
    <t>MEDICO/A TELEASISTENCIA</t>
  </si>
  <si>
    <t>Stephania Perez Caldas</t>
  </si>
  <si>
    <t>20260226: se activa reclutamiento. 20260304: El cliente envio a evaluar a dos personas Stephania Perez y Armando Sanchez. 20260306: Armando Sanchez se retiro del proceso. 20260310: Se subio informe y se le informo al cliente. 20260311:El cliente envio a contratar a la candidata. Se envio a contratacion con FI 25 de Marzo.</t>
  </si>
  <si>
    <t>Clinica Rey David</t>
  </si>
  <si>
    <t>Nicolas Padua Leon</t>
  </si>
  <si>
    <t>20260304:El cliente envio a evaluar a Nicolas Padua Leon. Sin embargo no han enviado la prueba de pontencialidad. 20260306:El cliente envio prueba de pontecialidad. 20260311:El candidato le hace falta terminar una prueba. 20260312:Se subio informe y se le informo al cliente. 20260316:El cliente solicito cerrar RQ por cambio laboral.</t>
  </si>
  <si>
    <t>Wendy Lizarazo Arboleda</t>
  </si>
  <si>
    <t>Cindy Dayanna Corredor Cholo</t>
  </si>
  <si>
    <t>20260302: Se inicia reclutamiento 20260304:Se realiza proceso con 5 candidata, no favorable. se afianza perfil se agenda espacion nuevamente para el 10 de Marzo. 20260310: Con base en el espacio de hoy candidata seleccionada Cindy Corredor, se solicitan documentos. 20260312: Se envía a estudio de seguridad y contratación a Cindy Corredor con fecha tentativa de ingreso para el 25 de Marzo.</t>
  </si>
  <si>
    <t>Famisanar</t>
  </si>
  <si>
    <t>AUXILIAR ADMINISTRATIVO/A</t>
  </si>
  <si>
    <t>Karen Julieth Ramirez Galindo</t>
  </si>
  <si>
    <t>LIDER GESTIÓN INFORMACIÓN</t>
  </si>
  <si>
    <t>Francia Victoria Surata</t>
  </si>
  <si>
    <t>20260227:El cliente solicita contratar a Francia Surata, quien fue evaluada en febrero como lider de celula. 20260304:Se envio a contratacion a Francia Surata con FIE 25 de Marzo</t>
  </si>
  <si>
    <t>LIDER DE OPERACIONES ASOCIATIVIDAD</t>
  </si>
  <si>
    <t>Lady Natalia Peña Saavedra</t>
  </si>
  <si>
    <t>20260227:El cliente solicita contratar a Lady Peña, quien fue evaluada en febrero como lider de celula. 20260304:Se envio a contratar a Natalia Peña con FI 12 de Marzo.</t>
  </si>
  <si>
    <t>Angie Paola Gonzalez Moyano</t>
  </si>
  <si>
    <t>20260302: Se toma back de proceso anterior de aprendices candidata Angie Gonzalez quien ya tenía estudio de seguridad adelantado del 13 de Febrero, se solicita el ingreso sea para el 12 de Marzo por inicio de etapa lectiva de la aprendiz.</t>
  </si>
  <si>
    <t>AUXILIAR REG PRODUCTO GCC</t>
  </si>
  <si>
    <t>Adriana Lucia Muñoz Peña</t>
  </si>
  <si>
    <t>20260304: Se inicia reclutamiento. 20260311: Cliente envía referido, se envían pruebas y se programa a entrevista para el 12 de Marzo. 20260312: se evalua la persona, se solicitan documentos. 20260313: Candidata aun en documentos. 20260316: Se envía a estudio de seguridad y contratación a Adriana Muñoz con fecha tentativa de ingreso del 25 de Marzo.</t>
  </si>
  <si>
    <t>Mariana Maria Santana Santana</t>
  </si>
  <si>
    <t>NOVUMED SALUD S.A.S.</t>
  </si>
  <si>
    <t>Camilo Fernando Carpio Bejarano</t>
  </si>
  <si>
    <t>20260302: GH solicita evaluar a Camilo Carpio.20260306: Se carga evaluacion en SF.20260309. Se solicita contratacion.20260310: se envia O.C con F.I 25 Marzo.</t>
  </si>
  <si>
    <t>Astrid Rebolledo Magon</t>
  </si>
  <si>
    <t>20260303: GH solicita evaluar astrid rebolledo.20260309: Evaluacion en SF, GH solicita enviar a contratacion.20260310: se envia O.C con F.I 25 marzo.</t>
  </si>
  <si>
    <t>Yonatan Arley Correa Vega</t>
  </si>
  <si>
    <t>20260303: se activa reclutamiento.20260309: se envian 2cv a GH.20260310: GH solicita evaluar referido Yonatan Arley, sin embargo solicita reclutamiento. 20260311: se activa reclutamiento.20260313: se carga evaluacion de Yonatan en SF, GH solicita enviar O.C, se envia O.C con F.I 25 Marzo.</t>
  </si>
  <si>
    <t>AUXILIAR DE ADMISIONES CM MP</t>
  </si>
  <si>
    <t>Miguel Angel Torres Alvarez</t>
  </si>
  <si>
    <t>AUXILIAR SELECCION Y CONTRATACION</t>
  </si>
  <si>
    <t>John Elkin Molina Palacios</t>
  </si>
  <si>
    <t>Satarem</t>
  </si>
  <si>
    <t>ANALISTA SELECCIÓN</t>
  </si>
  <si>
    <t>Kelly Katherine Bolaños Diaz</t>
  </si>
  <si>
    <t>20260303: se inicia proceso seleccion. Se retoma a Katherine quien fue evaluada en proceso de jul 2025, acepta oferta. 20260305: se envia OC con FI 12 mar de Katherine Bolaños.</t>
  </si>
  <si>
    <t>Allers Group</t>
  </si>
  <si>
    <t>Maria Jose Zuluaga Camacho</t>
  </si>
  <si>
    <t>20260303: se inicia reclutamiento. 20260304: se citan 10 candidatos para assessment el 6 mar. 20260306: pasan a evaluacion 2 candidatas. 20260311: se selecciona a Maria Jose Zuluaga. 20260312: se envia OC con FI 18 mar.</t>
  </si>
  <si>
    <t>Clínica Nuestra Señora de los Remedios</t>
  </si>
  <si>
    <t>REGENTE DIRECTOR/A TECNICO/A SERVICIO</t>
  </si>
  <si>
    <t>Alexander Payan Villa</t>
  </si>
  <si>
    <t>20260303: Llega requisición para iniciar proceso de evaluación y contratación con colaborador que se encuentra contratado por temporal: Alexander Payan. 20260305: Se envia informe, se solicita contratación con FI 12 de marzo. 20260311: El candidato firma contrato.</t>
  </si>
  <si>
    <t>Silvana Maria Torres Torres</t>
  </si>
  <si>
    <t>20260310: Crean RQ - Piden evaluar a referido: David Lopez y candidata en BackUp: Silvana Torres. 20260312: Se comparte reporte evaluativo de Silvana -David no responde las llamadas. 20260313: Se avanza EDS con Silvana. 20260317: Piden descartar a David. 20260318: Candidata Silvana en EMO. 20260319: Se confirma contratación de la colaboradora Silvana Maria Torres Torres, con FI. 25/03/2026.</t>
  </si>
  <si>
    <t>SIGGO</t>
  </si>
  <si>
    <t>Jesus Lizardo Sanchez Saavedra</t>
  </si>
  <si>
    <t>20260305: Se envia reclutamiento. 20260306: GH solicita evaluar a Jesus .20260310: se carga evaluacion en SF, GH Solicita enviar O.C, se envia O.C con F.I 25 Marzo.</t>
  </si>
  <si>
    <t>Banco Mundo Mujer</t>
  </si>
  <si>
    <t>Luis Alejandro Rodriguez Arroyave</t>
  </si>
  <si>
    <t>20260225: GH solicita la evaluacion de Alejandro Rodriguez para la vacante en mencion. 20260303: se envia retroalimentacion con concepto aprobado del candidato. 20260305: GH indica que el cambio laboral del colaborador se haria a partir del 1 de abril. 20260316: GH comparte la notificacion indicando que el proceso de cambio laboral con Alejandro Rodriguez.</t>
  </si>
  <si>
    <t>Victor Andres Payares Arroyave</t>
  </si>
  <si>
    <t>GESTOR/A COMERCIAL</t>
  </si>
  <si>
    <t>Tatiana Castro Mesa</t>
  </si>
  <si>
    <t>20260309: gh solicita evaluacion por promocion interna de Tatiana Castro. Se solicita prueba potencialidad. 20260318: sigue pte prueba potencialidad. 20260320: GH envia prueba potencialidad, se inicia evaluacion. 20260326: se entrega informe. GH solicita cerrar requi.</t>
  </si>
  <si>
    <t>DIRECTOR/A CORPORATIVO DE ABASTECIMIENTO Y SERVICIOS INTEREMPR</t>
  </si>
  <si>
    <t>Juan Camilo Gonzalez Marroquin</t>
  </si>
  <si>
    <t>20260312: gh solicita contratar a Juan Gonzalez con FI 16 mar. Se envia OC.</t>
  </si>
  <si>
    <t>Bomba Foods</t>
  </si>
  <si>
    <t>ENTRENADOR/A DESARROLLO COMERCIAL</t>
  </si>
  <si>
    <t>Ivan Dario Silva Perez</t>
  </si>
  <si>
    <t>COORDINADOR/A COMERCIAL MEDIOS DE PAGO</t>
  </si>
  <si>
    <t>David Padilla Lopez</t>
  </si>
  <si>
    <t>20260316: GH envian 3cv para evaluar. 20260320: se cargan evaluaciones en SF. 20260327: se realiza seguimiento, pdt respuesta. 20260330: David padilla seleccionado.</t>
  </si>
  <si>
    <t>COORDINADOR/A COMERCIAL CANALES</t>
  </si>
  <si>
    <t>Tatiana Alexandra Manco Restrepo</t>
  </si>
  <si>
    <t>20260316: GH envian 3cv para evaluar. 20260320: se cargan evaluaciones en SF. 20260327: se realiza seguimiento, pdt respuesta. 20260330: seleccionada Tatiana Manco.</t>
  </si>
  <si>
    <t>ANFITRION</t>
  </si>
  <si>
    <t>Mariana Garcia Ortiz</t>
  </si>
  <si>
    <t>Mac Center</t>
  </si>
  <si>
    <t>NUTRICIONISTA DOMICILARIO CEM</t>
  </si>
  <si>
    <t>20250813: Se activa reclutamiento. 20250819: Se envian 3 hv. pte retro por gh. 20250822: gh solicita evaluar a Miguel Ortiz. Se programan pruebas. 20250825: miguel no pasa Veritas. Se activa reclutamiento. 20250828: Se envian 3 hv. Pte retro por gh. 20250905: gh envia retro y activa reclutamiento. 20250908: Se envian 2 hv. pte retro por gh. 20250911: Gh solicita evaluar a Karen Narvaez. Se programan pruebas. 20250917: Se envia informe. pte retro por gh. 20250918: gh solicita avanzar contratacion FI 01 Octubre. 20250922: Se envia OC FI 01 Oct. 20250924: Se notifica novedad de Secap. gh solicita cancelar proceso. Se activa reclutamiento. 20250929: Se envian 2 hv. 20251003: GH solicita evaluar a Yamir Yobana Hurtado. Se programan pruebas. 20251010: se envia informe. pte retro por gh. 20251014: GH solicita detener proceso con Yamir. Se activa reclutamiento. 20251024: Se envian 6 hv para 3 vacantes. Pte retro por gh. 20251110: pte retro por gh. 20251114: Pte retro por gh. tiene pte informar si elimina la requi para remplazar por un cupo de curso cerrado o se continua con reclutamiento. 20251118: Se define que se continuara con la requi y se activa reclutamiento. 20251125: se envian 2 hv. Pte retro por gh. 20251202: pte retro por gh. 20251208: Gh solicita Evaluar a Angie Muñoz. Se programan pruebas. 20251210: se notifica a gh que candidata no ha realizado pruebas. 20251215: se notifica a gh que candidata no pasa veritas. Se activa reclutamiento. 20251223: se envian 7 hv para las 3 vacantes activas. pte retro por gh. 20260102: gh solicita evaluar a Juan David Caicedo. Se programan pruebas. 20250107: se informa a gh que Juan David desiste del proceso. Se activa reclutamiento. 20260121: Se envian 7 hv para 5 requis activas. 20260122: Gh envia retro y se activa reclutamiento. 20260126: gh solicita evaluar a Nasly Sofia. Se programan pruebas. 20260130: se confirma informe. gh informa que candidata se encuentra pidiendo el permiso de trabajo para avanzar contratacion. Se pasa rq para curso cerrado y se inicia evaluación de Nicolas Silva. 20260220: Se envia OC de Nicolas con F.I 9 mar.</t>
  </si>
  <si>
    <t>20250917: Se activa reclutamiento. 20250922: Proceso de reclutamiento . 20250930: Reclutamiento. 20251006: Reclutamiento .20251014: Reclutamiento. 20251020: Se enceuntran 5 candidatos en evaluacion con el cliente. 20251027: Reclutamiento 20251106: Reclutamiento .20251110: Se continua en proceso de reclutamiento 20251114: El cliente esta en proceso evaluativo de 7 candidatos el 19 de noviembre. 20251124: El cliente movio el proceso de entrevista para hoy y se tiene programadas. 20251128: La personas evaluadas para este RQ no continuan proceso. En reclutamiento. 20251202: Nos encontramos en reclutamiento. 20251209 Nos encontramos en reclutamiento de APH por directirz del cliente desde el 2 de diciembre. En la actualidad tenemos todas las plataformas activas pero ha sido complejo debido a la remuneracion economica . 20251222: Reclutamiento 20251229: Se le compartieron 3 hoja de vida para su validacion y tienen entrevista el 30 de diciembre 20260102: GH informa que no aprueban entrevista. 20260107: se continua reclutamiento. 20260115: Se tiene entrevista con 2 candidatos. 20260121: El cliente solicita avanzar con Josely Sierra, se procede a fase evaluativa. 20260127: La candidata no supera la prueba de servicio se REINICIA PROCESO DE RECLUTAMIENTO . 20260129: Reclutamiento. 20260205: Se encuentra en entrevista 3 candidatos. 20260209: El cliente solicita avanzar con Brayan Lopez . 20260210: Se avanza proceso de contratacion con el candidato en mencion, si todo sale bien tu fecha de ingreso es el 23 de febrero. 20260212: El candidato no supera la fase de ES. SE REINICIA PROCESO. 20260213: Se compartieron 9 HV. 20260219: Se encuentra en proceso evaluativo Mariana Rivera. 20260220: Se avanza proceso de contratacion con Mariana Rivera, si todo sale satisfactorio su ingreso seria el 2 de marzo . 20260227: La candidata firma contraro</t>
  </si>
  <si>
    <t>20250924: Se inicia reclutamiento 20250929: Se solicita agenda, cliente indica que la vacante es de manera confidencial. 20250930: En revision de candidatos. 20251007: En reclutamiento de candidatos aptos para el cargo. 20251014: En revision de hojas de vida. 20251028: En reclutamiento. 20251031: Candidatos preseleccionados en pruebas. 20251105: Candidatos aun en pruebas. 20251118: Con base en la informacion recibida se programa entrevista con JI para el 20 de Noviembre. 20251124: Se solicita retroalimentación 20251202: a la espera de retroalimentación de dos candidatos entrevistados, pendiente de prueba técnica por parte de cliente 20251205: a la espera de retro por parte de JI 20251209: a la espera de validación por parte de JI 20251216: quedamos pendientes de agenda con JI 20251222: cliente indica nuevas vacantes para gestionar y queda pendiente de envíar prueba técnica para aplicación a los candidatos pendientes. 20260108: Se solicita validación de los candidatos se agendan para el 9 de enero 20260109: Se agenda con Gerente para el dia 15 de enero. 20260115: Con base en el espacio candidato seleccionado Rafael Perez, se solicitan documentos. 20260126: Se envía a estudio de seguridad y contratación a Rafael Perez con fecha tentativa de ingreso del 2 de Febrero. 20260129: Rafael Perez no aprueba estudio de seguridad, se retoma reclutamiento, con base en la disponibildad de JI se genera nuevo espacio para el 3 de Febrero. 20260203: Con base en el espacio candidatos aptos Stefany Lopez y Andres Sarmiento, a la espera de agenda para prueba técnica, e igualmente se genera nuevo espacio para el 10 de Febrero por disponibildad de agenda JI. 20260210: Con base en el espacio de hoy candidatos aptos Diana Garcia, Oscar Acosta y Cristian Castro, se programa prueba técnica para el 12 de Febrero. 20260212: Con base en el espacio candidatos aptos Cristian Castro, se citan junto con los anteriormente seleccionados Stefany Lopez y Andres Sarmiento a entrevista con gerencia para el 18 de Febrero. 20260226: Candidato Cristian Castro desiste por mejor oferta laboral, se retoma back Stefany Lopez. 20260305: Candidata Stefany en proceso de emo. 20260309: Candidata Stefany desiste del proceso se retoma backup Andres Sarmiento, se envía a estudio de seguridad y contratación a Andres Sarmiento con fecha del 12 de Marzo.</t>
  </si>
  <si>
    <t>20251014: Se activa reclutamiento. 20251028: Se envian 2 hv. Pte retro por gh. 20251031: gh solicita evaluar a Martha Daniela. Se programan pruebas. 20251107: se confirma informe. Ese mismo dia gh solicita avanzar contratacion. 20251110: Se envia OC FI 18 NOV. 20251112: se informa novedad de examen medico de Daniela, no se puede avanzar con candidata. Se activa reclutamiento. 20251125: Se envia 2 hv. Pte retro por gh. 20251205: gh informa que se entrevisto los candidatos. Pte retro de las entrevistas. 20251205: gh envia retro, candidatos no se presentan a entrevista. Se activa reclutamiento. Ese mismo dia se envian 3 hv. pte retro por gh. 20251212: gh solicita evaluar a Diana Orejuela y Alejandra Rodriguez. Se programan pruebas. 20251218: candidatos no pasan proceso (diana no pasa entrevista, Alejandra no pasa veritas) Se activa reclutamiento. 20251223: se envian 7 hv para las 3 vacantes activas. pte retro por gh. 20260106: Pte retro por gh. 20260114: se pasa requi para curso cerrado. 20260126: se entrevista grupo y se selecciona a Helen Paredes. 20260220: Se envia OC de Helen con FI 9 mar.</t>
  </si>
  <si>
    <t>20251016:El cliente solicito estudiantes de Call Center del insitituto PIO. 20251020:El instituto respondio que no cuentan actualmente con estudiantes en etapa practica. Se le informo al cliente y se le envio informacion de otras insitutciones que cuentan con el programa pero actualmente no tienen estudiantes disponbibles. 20251024: Se le envio al cliente correo con el estudio realizado acerca de las instituciones que ofrecen programas de Call Center y que actualmente no cuentan con estudiantes disponibles. 20251105: Se enviaron 3 hojas de vida (Angela del Carmen Sanchez, Erika Murillo, Yuly Ordoñez) 20251110:El cliente entrevistara esta semana. 20251113:Se solicito retroalimentacion. 20251118: se solicito retroalimentacion. 20251120: Se volvio a solicitar retroalimentacion. 20251125: El cliente envio a evaluar solo una personas ya que las otras dos vive muy lejos y no se tendran en cuenta. Se activo reclutamiento. 20251201:Se envio una hoja de vida (Deysi Garcia) y se envio correo informando que no ha sido posible tener mas hojas de vida de aprendices y se solicito cambiar la especialidad a Auxiliar Administrativo. 20251205:Se solicito retroalimentacion. 20251215:Se envio otra hv Angela Cabezas 20251217:El cliente solicito mas hv, la candidata no paso entrevista. 20260106:Aun no se han encontrado aprendices de Call Center. 20260119:Se enviaron 3 hv Aaron Parras, Isabella Ramos y Lucineth Sanchez. 20260121:Se solicito retroalimentacion. 20260126:Se solicito retroalimentacion. 20260128: Se volvio a solicitar retroalimentacion. 20260129:El cliente solicito mas retroalimentacion ya que los candidatos ya no se encuentra disponibles. Se activo reclutamiento. 20260218:Se le informo al cliente que esta posición se cerrara con aprendices de curso cerrado. 20260220: se envia OC de Hillary Hurtado con F.I 9 mar.</t>
  </si>
  <si>
    <t>20251021: Se activa reclutamiento. 20251027: Reclutamiento 20251106: Reclutamiento . 20251110: Se contianua en reclutamiento .20251118: Pendiente de retroalimentacion por parte del cliente de 7 candidatos que tienen entrevista el 19 de noviembre. 20251124. Se tiene entrevista con 5 candidatos. 20251128: Los candidatos evaluados en esta rq se envian a otras mas antiguas, esta rq se encuentra en rclutamiento. 20251202: Reclutamiento. 20251209 Nos encontramos en reclutamiento de APH por directirz del cliente desde el 2 de diciembre. En la actualidad tenemos todas las plataformas activas pero ha sido complejo debido a la remuneracion economica. 20251215: En proceso de reclutamiento. 20251222: Reclutamiento. 20251229: Se le compartieron 3 hoja de vida para su validacion y tienen entrevista el 30 de diciembre. 20260102: GH informa que candidatos no aprueban. 20260107: continua reclutamiento. 20260116: Reclutamiento . 20260121: De una reclutamiento enviado para otra RQ se avanza en esta con David Graciano a fase evaluativo. 20260127: El candidato no supera la prueba de servicio SE REINICIA PROCESO EVALUATIVO. 20260129: Reclutamiento. 20260205: Reclutamiento. 20260212: Reclutamiento 20260213: Se comparten 9 HV. 20260219: Se encuentra en proceso evaluativo Sara Patiño. 20260220: Se avanza con el proceso de la candidata Sara Patiño, si todo sale bien su ingreso seria el 2 de marzo . 20260227: La candidata firma contrato</t>
  </si>
  <si>
    <t>20251021: Se activa reclutamiento. 20251027: Reclutamiento. 20251106: Reclutamiento 20251110: Se continua en reclutamiento. 20251118: Pendiente de retroalimentacion por parte del cliente de 7 candidatos que tienen entrevista el 19 de noviembre. 20251124. Se tiene entrevista con 5 candidatos. 20251128: Los candidatos evaluados en esta rq se reasignan en otras mas antiguas, esta rq se encuentra en reclutamiento . 2025122: Reclutamiento. 20251209 Nos encontramos en reclutamiento de APH por directirz del cliente desde el 2 de diciembre. En la actualidad tenemos todas las plataformas activas pero ha sido complejo debido a la remuneracion economica . 20251215: En reclutamiento . 20251222: Reclutamiento. 20251229: Reclutamiento 20260106: continua reclutamiento. 20260116: Reclutamiento. 20260121: Reclutamiento. 20260127: Reclutamiento. 20260129: Reclutamiento . 20260205: Reclutamiento 20260212: Reclutamiento 20260213: Se compartieorn 9 hojas de vida. 20260219: Se encuentra en proceso evaluativo Santiago velez. 20260220: El proceso de Santiago Velez es satisfactorio, se envia a contratacion si todo sale bien su ingreso seria el 2 de marzo . 20260305: El candidato no pudo ingresar ya que no ha comprando la poliza de responsabilidad civil. Estamos pendientes a que nos informe de la compra</t>
  </si>
  <si>
    <t>20251025: Se publica vacante 20251105: Proceso lo realiza el headhunter 20251120: Solicitan apoyo de reclutamiento 20251125: Se envia 6 candidatos para la respectiva revisión, 20251202: se recibe retroalimentación del proceso, no favorables candidatos, se continúa con la búsqueda. 20251209: Cliente esta evaluando los candidatos del head Hunter y 2 que se le enviaron . 20251229: Vacante gestionada por GH 20260226: Envian candidata MARIA ANGELICA PEREZ RIVERA para enviar a E.S se envia OC para ingreso tentativo el 4 de Marzo</t>
  </si>
  <si>
    <t>20251104: gh solicita evaluar y contratar a Lina Lopez Priedrahita. Se programan pruebas. 20251111: Se envia novedad veritas. pte retro por gh. 20251114: gh solicita evaluar a Lina y activar reclutamiento. 20251121: se notifica a gh que la candidata lina ha tenido problemas con la conexion y se cita a entrevista presencial el 25 NOV. 20251127: se envia ampliacion de veritas. 20251201: se envia aval para avanzar contratacion. Ese mismo dia se envia OC FI 10 DIC, 20251209: contratacion informa que la candidata no se ha presentado a examen. Se validar con la candidata e indica que tuvo novedad con su hijo y se presenta a examen. Se envia novedad a gh, para validar si se continua contratacion para enero o se activa reclutamiento. Pte retro por gh. 20251210: gh solicita avanzar contratacion con fi 05 Enero. 20251211: candidata desiste del proceso. Se activa reclutamiento. 20251219: Se envian 3 hv. pte retro por gh. 20260105: gh informa que los jefes se encuentran en vacaciones. 20250116: GH solicita evhyaluar a Isabel Florez. 20260123: se entrega informe, no apto. 20260126: Gh solicita activar reclutamiento. 20260206: Se envian 3 hv. Pte retro por gh. 20260211: gh informa que se programaran entrevistas para el 12 FEB. 20260212: gh solicita evaluar a Lina Trujillo y Daniela Garcia. Se programan pruebas. 20260216: se informa a gh que daniela desiste y lina no pasa PS (64). Se activa reclutamiento. 20260218: gh solicita reactivar evaluacion y contratacion de Lina Trujillo con el aval de avanzar con PS superior a 60. Se programa entrevista. 20260220: gh solicita avanzar contratacion. 20260223: Se envia OC FI 02 Marzo.</t>
  </si>
  <si>
    <t>20251107: se envia a reclutamiento.20251112: se envia 3cv a GH.20251120: se realiza seguimiento.20251121: Gh solicita evaluar a ruben zapata.20251201: gh solicita reclutamiento ruben desiste.20231203: se envia 3cv a gh humana jose, carlos, jonathan.20251212: gh informa canditatos no se presentaron a entrevista, refieren 1cv para evaluacion harrison.20251222: se envia orden de ingreso con fecha 5 enero.20260121: se inicia reclutamiento, harrison desiste.20260126: se envian 3cv a gh y gh envia 1 referido para evaluar.20260128: se notifica a gh que referida no aprobo prueba de servicio.20260129: gh en respuesta de VoBo por parte de GH corporativa.20260130: se carga evalucion en sf.20260205: se realiza seguimiento.20260212: se realiza seguimiento.20260218: GH Solicita enviar O.C de Maria Alejandra.20260219: se envia O.C con F.I 2 de Marzo.</t>
  </si>
  <si>
    <t>20251113: Se activa reclutamiento mixto. 20251114: Se envia publicacion fecha maxima postulacion 21 Nov. 20251124: Se confirma filtro interno. 20251125: Se envian 4 hv. Pte retro por gh. 20251209: gh informa que se programa entrevista en el transcurso de la semana. Pte retro por gh. 20251215: Pte retro por gh. 20251226: Pte retro por gh. 20260102: gh solicita evaluar a Freddy Mosquera y Diego Cardona. (21) Se programan pruebas. 20260107: Se notifica que Diego no pasa prueba integridad y se envia informe de Freddy. Pte retro por gh. 20260108: gh solicita avanzar contratacion con Freddy. Se informa que para avanzar contratacion, se requiere aval del corporativo. 20260128: gh solicita avanzar contratacion con Freddy FI 23 Feb. (6) 20260130: Se envia OC FI 23 FEB. 20260203: GH infroma que se corre el ingreso para el 02 Marzo por cierre de su contratao como Practicante.</t>
  </si>
  <si>
    <t>20251124: La RQ se encuentra en reclutamiento. 20251128: Reclutamiento. 20251202: Reclutamiento. 20251209 Reclutamiento. 20251215. Reclutamiento. 20251222: Reclutamiento. 20251229: Reclutamiento. 20260116: Reclutamiento. 20260121: Reclutamiento. 20260127: Reclutamiento. 20260129: Reclutamiento. 20260205: Reclutamiento. 20260212: Reclutamiento. 20260213: Se comparten 9 hojas de vida. 20260219: Se encuentra en proceso evaluativo Luna Roman. 20260220: La candidata Luna Roman aprueba la fase evaluativa se envia a contratacion y si todo sale bien su ingreso seria el 2 de marzo . 20260227: La candidata firma contrato</t>
  </si>
  <si>
    <t>20251124: La rq se encuentra en recutamiento. 20251128: Reclutamiento. 20251202: Reclutamiento. 20251209 Nos encontramos en reclutamiento de APH por directirz del cliente desde el 2 de diciembre. En la actualidad tenemos todas las plataformas activas pero ha sido complejo debido a la remuneracion economica. 20251215: Se tiene en proceso de entrevista 4 candidatos. 20251222: Reclutamiento. 20251229: El dia 30 tienen entrevista con 4 candidatos enviados el dia de hoy. 20260105: Gh solicita evaluar a Camilo Rios 20260107: se comparte retraolimentacion con concepto aprobado de Camilo Rios. 20260116: Estamos pendiente del aval por parte del cliente para avanzar en el proceso. 20260121: Pendiente del aval por parte del cliente . 20260127: Pendiente por el aval del cliente. 20260129: Se envia a contratacion a Camilo Rios, si todo sale ok su ingreso seria el 12 de febrero. 20260205: Apertura de cuenta. 20260212: El candidato no vuelve a contestar las llamadas, se REINICIA PROCESO. 20260216: Se comparte 3 hojas de vida. 20260218: El cliente solicita avanzar con Daniel Betancur. 20260219: Se envia a contratacion a Daniel Betancur. 20260227: El candidato firma contrato</t>
  </si>
  <si>
    <t>20251128: se activa reclutamiento 20251202: se continua reclutamiento 20251204: se comparte 1 HV para entrevista el 5 de dic. 20251205: se presenta Anderon Restrepo y aprueba, se programan pruebas. 20251210: se comparte retroalimentacion con concepto aprobado del candidato 20251211: GH solicitar dan continuidad para proceso de contratacion. 20251212: se envia OC Anderson Restrepo con fecha del 5 de ene. 20251229: El candidato no supera la fase final del proceso. SE REINICIA RQ 20251230: se comparte 1 HV para entrevista el 5 de enero. 20260105: candidato no se presenta al espacio de entrevista. 20260107: se continua reclutamiento 20260108: se envia 1 HV para entrevista el 13 de enero. 20260114: candidata no aprueba proceso, se continua reclutamiento 20260119: se comparte 1 HV 20260120: se presenta el candidato y GH solicita continuar. 20260121: candidato no aprueba por resultado en prueba de integridad, se continua reclutamiento. 20260122: se envia 1 candidato para entrevista el 23 de ene. 20260123: candidato se presenta y aprueba 20260126: GH informa que es necesario informar al candidato los cambios proximos en las condiciones del salario basico, por lo cual el candidato queda en stand by. 20260128: se comparte 1 HV para entrevista el 30 de ene. 20260130: se presenta la candidata Yuli Ochoa y aprueba entrevista. 20260202: se programa pruebas a la candidata, a la espera de su culminación. 20260206: candidata Yuli Ochoa no obtiene el resultado en prueba de servicio. 20260209: se comparten 2 HV para entrevista el 12 de feb. 20260212: se presenta 1 candidato pero no aprueba, se reprograma la otra candidata para el 13 de feb 20260213: se envia 1 HV (Edwar Bonfante) para entervista el 16 de feb. 20260216: se presenta candidato y aprueba entrevista, se programa proceso evaluativo a Edwar Bofante 20260218: se comparte retroalimentacion con concepto aprobado sobre el candidato y GH solicita avanzar con el proceso de contratacion. 20260219: se envia OC para el ingreso de Edwar Bonfante para el 2 de marzo. 20260225: candidato aprueba EM y ES (luego de excepcion por parte de GH), se encuentra en apertura de cuenta. 20260226: se solicita a GH hacer el ajuste al salario considerando el nuevo perfilamiento 20260227: contratacion confirma ingreso con fecha de inicio el 2 de marzo de Edward Bonfante</t>
  </si>
  <si>
    <t>20251203: Se inicia reclutamiento 202512005: Se solicita agenda con JI. 20151210: pendiente de agenda. 20251216: se agenda con JI proceso el 18 de Dic. 20251219: Se realiza entrevista en conjunto con la Jefe inmediato de la nacional, no se da continuidad a los dos candidatos presentados. Se refuerza el perfil y se sollicita espacio para el dia 30 de Diciembre. 20251230: proceso no favorable. 20260102: Se continua con reclutamiento agenda para la segunda semana de enero. 20260126: se realiza proceso con 3 candidatos, proceso no favorables por JI . 20260130: Se realiza reunión para solicitar retroalimentación del proceso y se agenda para el 3 de febrero. 20260203: De 5 candidatos se da continuidad con 4 candidatos. En proceso de pruebas y documentos, para validar con la gerencia los candidatos. 20260210: se programa entrevista con lider de th, con fecha del 12 y 13 de febrero. 20260213: pendiente de retroalimentación. 20260216: Se continua con Fabiola Pardo Diaz, se envia OC con fecha tentativa 23 de Febrero, sin embargo se esta evaluando a la candidata para el cargo de Lider especializado. 20260218: en entrevista con Gerente y se define ingreso en esta REQ, ingreso el 4 de Marzo.</t>
  </si>
  <si>
    <t>20251210: Se solicita iniciar reclutamiento de manera confidencial, para cubrir vacante por posible cambio laboral. 20251215: Se confirma que se va realizar el movimiento interno, se solicita publicar oferta con nombre de la empresa. 20251216: Se envian 7 HV: Monica Andrea Garcia, Natalia Cardona, Jeimy Carolina Londoño, Sara Lucia Padilla, Tania Marcela Carmona, Viviana Muriel, Jhonier Garcia. 20251223: Pendiente retroalimentacion sobre HV enviadas. 20260105: Se solicita enviar más HV con experiencia preferiblemente en sector salud (IPS, clinicas). 20260106: Se envian otras 6 HV: Angela Tatiana Alemeza, Beatriz Lorena Romero, Estefania Cardona, Fabio Andres Espinosa, Karen Fernanda Serna, Stefanny Quintero. 20260108: Se envian otras 5 HV por solicitud del cliente, con experiencia en sector salud: Daniela Carmona, Edgar Ivan Garcia, Maderly Arenas, Derly Johanna Ordoñez, Juliana Clavijo. 20260114: Se solicita continuar con evaluación con Francy Milena Guevara. 20260115: La candidata no pasa la prueba de servicio, se solicita continuar con reclutamiento. 20260116: Se envian otras 6 HV: Claudia Marcela Sanchez, Hamilton Leonardo Bedoya, Maria Camila Duque, Paola Restrepo, Valentina Henao, Yuly Andrea Ospina. 202601520: Se solicita aplicar pruebas a Maria Camila Duque, Hamilton Leonardo Bedoya, Yuly Andrea Ospina. 20260121: Se notifica resultado de pruebas, solo aprueba Yuly Andrea Ospina, los otros candidatos no pasan prueba de servicio. Se solicita aplicar pruebas a Mariana Taborda. 20260122: Se informa resultado de pruebas de Mariana Taborda, no pasa prueba de servicio. 20260126: Por solicitud de GH se envian otras 7 HV: Angie Lorena Sepulveda, Cristian Andres Roman, Erika Johana Valencia, Leidy Gimena Rodriguez, Miguel Andres Giraldo, Mirian Aricapa, Yeny Carmona. 20260130:Se envian otras 5 HV: Angelica Morales, Deisy Juliana Clavijo, Laura Camelo, Maria Argenis Buitrago, Marisol Lopez. 20260205: En gestión para autorización para continuar con el proceso con una de las candidatas que no pasó prueba de servicio. 20260206: Se envian 8 HV: Adriana Esperanza Guisao, Angela Henao, Diana Carolina Alzate, Diana Cristina Hurtado, Juan David Tabares, Karen Quintero, Tatiana Geraldine Santa, Viviana Cruz. 20260210: Se solicita aplicar pruebas a Viviana Cruz. 20260211: La candidata no pasa prueba de servicio, se solicita continuar con reclutamiento. 20260213: Se envian otras 8 HV: Cindy Ocampo, Dahiana Marcela Ortiz, Diana Lopez, Jennifer Giraldo, Kelly Cartagena, Nancy Duque, Wendy Alejandra Garcia, Yuliana Arenas. 20260217: Se solicita aplicar pruebas Jennifer Giraldo. 20260218: Se define avanzar con proceso de evaluación y contratación con Jennifer Giraldo para ingreso el 2 de marzo. 20260220: Se envia informe, se solicita contratación. 20260227: La candidata firma contrato. *Descontar 31 dias en proceso de selección, las candidata seleccionadas inicialmente no pasan prueba de servicio, se debe iniciar nuevamente reclutamiento en varias oportunidades. *Descontar 1 día en proceso de contratación, por demora por parte de la candidata en realizar apertura de cuenta.</t>
  </si>
  <si>
    <t>20251211: se activa reclutamiento. 20251222: Se comparten 2 hojas de vida. 20251229: Pendiente de retroalimentacion del cliente 20260106: a la espera de retroalimentación del cliente, se continua reclutamiento 20260115: se comparten 5 HV y GH solicita abrir la convocatoria mixta. 20260116: por solicitud de la nacional solo se podra hace concurso interno o externo, por lo cual Gh solicita abrir la convocatoria interna. 20260120: se lanza convocatoria con fecha hasta el 26 de ene. 20260126: se reciben HV internas pero no cumplen con el perfil requerido. 20260128: se comparten 9 HV (Elida Perez) para entrevista el 29 de ene. 20260129: se presentan 4 candidatas a entrevista, sin embargo, ninguna de ellas aprueba el proceso. 20260205: se comparten 7 HV para proceso. 20260210: se comparten 5 HV adicionales y se programan AS para el 16 de feb. 20260216: se presentan 11 candidatos, se da continuidad con Valentina Pino, Elisabet Ortega, Angelica Silva, Paula Ramirez, Daniela Chanci y Elida Perez. Se programa proceso evaluativo. 20260218: no se continua con Paula Ramirez por resultado en proceso evaluativo. Se envia retroalimentacion de las candidatas y JI solicita entrevista individual con Elida Perez. 20260223: JI solicita el envio a contratación de Elida Perez 20260224: Se envia OC de Elida Perez. 20260225: candidata aprueba ES y se encuentra en EM. 20260225: candidata aprueba ES y se encuentra en EM 20260302: contratacion confirma ingreso con fecha de inicio el 2 de marzo Elida Perez</t>
  </si>
  <si>
    <t>20251217: Se activo reclutamiento. 20251223:Se enviaron 3 hv Chafic Navetty, Harold Izquierdo, Sidney Quiceno. 20251224:El cliente cito a entrevista para el 7 de Enero. 20250108: paso a pruebas Chafic Navetty. 20250114:El candidato no ha terminado prueba midot. 20260119: Se subio informe y se le informo al cliente. 20260126:El cliente informo que no seguira proceso con Chafit ya que no le dieron buenas referencias al lider. Se activa reclutamiento. 202to60204:El cliente envio a evaluar a Sidney, candidata que estaba citada para Ejecutivo Comercial Vinculacion y le intereso sectorial. 20260205:La candidata no paso prueba de servicio. Se activa reclutamiento. 20260218:Se subio informe de Erica Lopez candidata que no habia pasado prueba de servicio en 63 en otra RQ y se le informo al cliente. 20260218:El cliente envio a contratar a Erika. Se envio con FI 2 de Marzo.</t>
  </si>
  <si>
    <t>20251217: Se activa reclutamiento. 20251226: se envian 4 hv. Pte retro por gh. 20260106: Gh informa que la lider se encuentra de vacaciones. 20260120: GH informa que solo entrevistaran 1 candidato, solicitan personas con experiencia en MP que vivan en Palmira y trabajen en Cali, se realizara estudio de mercado. (17) 20260126: Se envia hv de Claudia Vela, previamente validada con la jefe de ventas. 20260127: gh solicita evaluar a Claudia. Se programan pruebas. 20260130: se informa a gh que claudia no pasa prueba servicio. Se activa reclutamiento. 20260210: Se programa reunion para revisar las novedades del perfil y del proceso con gh. 20260217: gh solicita reactivar evaluacion y contratacion de Claudia Vela con el aval de avanzar con PS superior a 60. Se programa entrevista. 20260220: se envia OC FI 02 Marzo.</t>
  </si>
  <si>
    <t>20251224: Asignan RQ - Se informa que las instituciones estan de vacaciones y retoman a partir del 13/Ene. 20260115: Se activa la solicitud a instituciones. 20260116: Reuniòn en el Centro Inca. 20260122: En validación de candidatos inscritos. 20260123: Se comparte dupla: Andreina - Mary. 20260202: Descartan candidatas. 20260204: Se comparten Daniel - Nayerlis. 20260212: Solicitan evaluar a Nayerlis y pasar a Daniel para la RQ 15650.20260219: Se confirma registro evaluativo. 20260220: Se avanza con EDS. 20260226: Candidata en Oferta. 20260227: Se confirma contratación de la estudiante Nayelis Carolina Jordan Cantillo, con FI. 02/03/2026.</t>
  </si>
  <si>
    <t>20251218: Se activa reclutamiento. 20251219: se envian 4 hv. pte retro por gh. 20251222: gh solicita evaluar a Jose Manuel Mosquera. Se programan pruebas. 20250105: se notifica a gh que candidato no avanza prueba integridad. Se solicita evaluar a Wilmer Padilla. Se programan pruebas. 20250107: se informa a gh que Wilmer no pasa prueba integridad. gh solicita activar reclutamiento. 20260121: se envian 7 hv para 5 requis activas. 20260122: Gh envia retro y se activa reclutamiento. 20260126: se pasa requi para curso cerrado y se preselecciona a Mayra Barrios, se pasa a evaluacion. 20260211: en proceso de evalaucion curso cerrado. pte fechas para envio de OC. 20260220: se envia OC de Mayra Barrios.</t>
  </si>
  <si>
    <t>20251218: Se activa reclutamiento. 20251219: se envian 4 hv. pte retro por gh. 20251222: gh solicita evaluar a Maria Gutierrez. Se programan pruebas. 20250105: se notifica a gh que candidato no avanza prueba integridad. Se solicita evaluar a Gabriela y Helen. Se programan pruebas. 20250107: se informa a gh que gabriela y helen se encuentran en proceso con otra empresa. gh solicita activar reclutamiento. 20260121: se envian 7 hv para 5 requis activas. 20260122: Gh envia retro y se activa reclutamiento. 20260126: se pasa requi para curso cerrado y se preselecciona a Natialia Mosquera, se pasa a evaluacion. 20260211: en proceso de evalaucion curso cerrado. pte fechas para envio de OC. 20260220: se envia OC de Natalia con FI 9 mar.</t>
  </si>
  <si>
    <t>20251218: Se activa reclutamiento. 20251219: se envian 4 hv. pte retro por gh. 20251222: gh solicita evaluar a Liliana Rojas y Yenifer Cifuentes. Se programan pruebas. 20250105: se notifica a gh que candidatas no superan evaluacion. Se solicita evaluar a Luisa Martinez. Se programan pruebas. 20250107: se informa a gh que Luisa no realiza pruebas. gh solicita activar reclutamiento. 20260121: se envian 7 hv para 5 requis activas. 20260122: Gh envia retro y se activa reclutamiento. 20260126: se pasa requi para curso cerrado. 20260205: se preselecciona a Genesis Sanchez, se pasa a evaluacion. 20260211: en proceso de evalaucion curso cerrado. pte fechas para envio de OC. 20260220: se envia OC de Genesis con FI 9 mar.</t>
  </si>
  <si>
    <t>20260105:El cliente solicito congelar el envio del concurso interno hasta que se activen las contrataciones. 20260119:El cliente solicito activar nuevamente la RQ. Se envio a publicacion interna con fecha del 20 al 23 de Enero. 20260128:Se confirmo reclutamiento interno. 20260204:Se solicito retroalimentacion. 20260205:El cliente informa que el Viernes 6 aplicaran pruebas a los pre seleccionados. 20260211: Se solicito retroaimentacion. GH informa que este proceso esta en revision por Manuel por tal razon no pueden avanzar aun. 20260218:Se volvio a solicitar retroalimentacion. 20260223: El cliente activo nuevamente el proceso y solicito concurso mixto. 20260224:El cliente activo el proceso y se envio a publicar como concurso mixto y se activo reclutamiento. 20260302:El cliente envia a evaluar a Matius Chica. 20260309: Gh informa que se hara CL.</t>
  </si>
  <si>
    <t>20251223: Se activa reclutamiento. 20251230: Se continua en reclutamiento. 20250106: Se envian hojas de vida a GH. 20260108: GH informa citaran a 2 candidatos a entrevista la proxima semana. Solicita envio de más hojas de vida. 20260113: Se envian nuevas hojas de vida a la espera de retroalimentación. 20260115: Se solicita retroalimentación. 20260116: 4 candidatos citados a entrevista. 20260116: GH informa 2 candidatos favorables para assessment. Solicitan más hojas de vida. 20260123: Se envian nuevas hojas de vida. 20260126: GH informa 3 candidatos enviados tienen entrevista el 27Ene. 20260128: GH informa no favorables en entrevista. Solicitan hv nuevas. 20260202: Se agendan pruebas a candidato preseleccionado CARLOS ALBERTO CORRALES, en reclutamiento de nuevas hojas de vida. 20260205: GH solicita mas hdv, se le indica la dificultad de acuerdo al perfil solicitado 20260209: se continua con el reclutamiento 20260212: Se le envia nuevas hojas de vida a la espera de retroalimentación.20260218: Se solicita retroalimentacion a gh indican que estan en estrevista con JI quedamos pendiente de la respuesta por parte de ellos. 20260223:Retroalimentacion desfavorable con candidatos se agenda un espacio con cliente para afianzar el perfil 27Febrero, continuamos con el reclutamiento. 20260302: se envia nuevas hdv 20260305: a la espera de retroalimentación.-indican que se realiza proceso el dia martes 10 de Marzo por parte de GH. 20260310: Con base en el espacio candidata seleccionada Stella munive, se solicitan documentos. 20260313: Candidata aun en documentos indica dejar al día hoy sus pendientes. 20260316: Se envía a estudio de seguridad y contratación a Stella Munive con fecha tentativa de ingreso del 25 de Marzo.</t>
  </si>
  <si>
    <t>20251223: Se activa requi, pte envio de formacion y funciones para activar reclutamiento. 20260106: se solicita nuevamente informacion para la activacion de la busqueda. Ese mismo dia envia informacion y activa reclutamiento. 20260120: se envia 1 hv. 20260122: GH amplia a estudiantes tecnicos admon. 20260202: se cubrira con curso cerrado. 20260211: Gh comparte 11 hv para validar y ofertar. 20260212: Se confirman 4 candidatos, 2 no disponibles y 5 sin contacto. 20260219: se confirman 2 candidatos mas. 20260224: Gh solicita evaluar a Carlos Obando y Michael Lenis. 20260302: se entregan informes. 20260305: GH solicita contratar a Carlos Obando. Se envia OC con FI 12 mar. 20260311: no entrega carta presentacion, se corre ingreso para el 25 mar.</t>
  </si>
  <si>
    <t>20251230: Se inicia proceso de reclutamiento 20260108: se envian 4 HV para entrevista el 9 de enero. 20260116. Pendiente por disponibilidad del cliente .20260122: El cliente notifica que el jefe se encuentra en reunion nacional, validar disponibilidad la primera semana de febrero 20260129: Se tiene AS el 3 de febrero . 20260205: Se tiene entrevista individual con Yenifer Llano . 20260212: La candidata no continua proceso. 20260213: Se detiene la RQ hasta nueva directriz, Ya que tenemos una candiata preseleccionada pero solo puede ingresar finalizando marzo. 20260305: La candidata supera el proceso evalutivo y se avanza a contratacion. Su ingreso seria para el 25 de marzo. 20260318: La candidata se ecnuentra en EM 20260324: La candidata se le dio de baja para ingreso el 25 de marzo. 20260325: La candidata firma contrato.</t>
  </si>
  <si>
    <t>20260120: Se activa reclutamiento.20260122: Se envian 6cv.20260128: GH solicta evaluar linda y santiago.20260129: GH solicita cv enfocadas al area administrativas.20260202: se envian 2cv a GH.20260203: candidatos ya se emplearon.20260204: se envian 6cv a gh.20260211: se realiza seguimiento.20260213: GH solicita continuar con santiago.20260216: santiago ya esta contratado con otra empresa, se activa reclutamiento.20260217: Se evalua a daniela. 20260218: se carga evaluacion, 20260219: se pasa para curso cerrado, GH solicita contratacion de daniela. 20260220: se envia OC de Daniela Prado con F.I 9 marzo.</t>
  </si>
  <si>
    <t>20260120: Se inicia reclutamiento. 20260122: Se enviaron 3 candidatos para validacion del cliente. 20260127: Pendiente de retroalimentacion por partde del cliente. 20260129: Se compartieron 5 HV para la validacion del cliente. 20260205: Se tiene en proceso evaluativo a Yulian Rincon . 20260212: El candidato se retira del proceso, activa reclutamiento . 20260216: Se envian 3 hojas de vida. 20260219: El cliente solicita avanzar con Juliana David. Proceso evaluativo 20260224. El candidato se retira del proceso. 20260227: Reclutamiento 20260302. Se compartieron 8 hojas de vida para validacion del cliente. 20260305: El cliente solicita avanzar con Valentina garcia 20260306: Se envia a contratacion a Valentina Garcia, si todo sale bien su ingreso seria el 25 marzo. 20260312: La candidata se encuentra en EM. 20260318: La candidata se encuentra lista para contratar</t>
  </si>
  <si>
    <t>20260122: Se activa reclutamiento. 20260127: Se esta en reclutamiento ya que esta rq es de orientador espiritual. 20260128: Se le compartieron 4 hojas de vida para su validacion. 20260129: El cliente solicita avanzar con Alejandra Maya, se avanza a proceso evaluativo. 20260205: La candidata no supera fase evaluativa por prueba de servicio. Se avanza con un reclutamiento previamente enviados para esta vacante. 20260210: El cliente solicita avanzar con Diego Betancur. 20260212: El proceso evaluativo de Diego es satisfactorio, se avanza con el a contratacion si todo sale bien su ingreso seria el 23 de Febrero. 20260219: Se encuentra en EM</t>
  </si>
  <si>
    <t>20260122: se activa reclutamiento 20260128: se comparten 9 HV para entrevista el 29 de ene 20260129: se presentan 4 candidatas a entrevista, sin embargo, ninguna de ellas aprueba el proceso. 20260205: se comparten 7 HV (Angelica Silva) para proceso. 20260210: se comparten 5 HV adicionales y se programan AS para el 16 de feb. 20260216: se presentan 11 candidatos, se da continuidad con Valentina Pino, Elisabet Ortega, Angelica Silva, Paula Ramirez, Daniela Chanci y Elida Perez. Se programa proceso evaluativo. 20260218: Se envia retroalimentacion de las candidatas y JI solicita entrevista individual con Angelica Silva 20260223: JI solicita el envio a contratación de Angelica Silva 20260224: Se envia OC de Angelica Silva. 20260225: candidata aprueba ES y se encuentra en EM 20260227: contratacion confirma ingreso con fecha de inicio el 2 de marzo de Angelica Silva</t>
  </si>
  <si>
    <t>20260123:Se activo reclutamiento. 20260203: La insititucion informa que los estudiantes de matricularan el Sabado, por tal razon compartiran candidatos la proxima semana. ya se le informo al cliente. 20260210: Se envio una hoja de vida Diana Osorio. 20250211: El cliente envio a evaluar a Diana. 20260220:La candidata no ha termindo pruebas. 20260225: La candidata no ha terminado prueba y tampoco contesta el celular ni mensajes. Se activa reclutamiento. 20260304:El clienTe envio a evaluar a una candidata referida por el lider, Natalia Rodriguez 20260309:Se subio informe y se le informo al cliente. 20260310:El cliente solicito contratar a la candidata. 20260311:Se envio a contratacion con FI 25 de Marzo.</t>
  </si>
  <si>
    <t>20260126: se envia a reclutamiento carreras administrativas. 20260127: se envian 4cv a GH. 20260130: GH solicita evaluar a Lizeth y envia 1 candidata para evaluacion, peggy. 20260205: Peggy no se presento a entrevista, lizeth no continua en proceso, se activa reclutamiento. 20260211: vacante en reclutamiento. 20260213: se envia a nemesis a GH para evaluar, 20260318: se carga evaluación.20260319: GH solicita contratacion. 20260220: se envia O.C de Nemesis Gabriela con F.I 9 de Marzo.</t>
  </si>
  <si>
    <t>20260127: Se activa reclutamiento. Se programan entrevistas 30Ene. 20260130: Candidato seleccionado Linda Cristina Rivas González. Se agenda prueba MIDOT y se solicitan documentos. 20260203: Se le informa prueba pendiente a la candidata. 202500206: Se le indica el resultado al cliente 20260209: Cliente indica que va solicitar aval para continuar con el candidato el proceso 20260212: Se le solicita retroalimentación. se da el aval y se pasa a la otra req 15563 para ser contratada. 20260213: Se continua con reclutamiento 20260218: Se realiza proceso de 3 candidata una favorable en pruebas y solicitud de documentos: Hiderley Torres a la espera para enviar a E.S por definición del cliente, quiere evaluar mas candidatos 20260220: Se continua con el reclutamiento 20260225: Se agenda entrevista con JI con 4 candidatos no favorables. 20260226: Se da el aval para continuar con la candidata 20260227: Se envia candidata a ES con fecha tentativa el 12 de Marzo</t>
  </si>
  <si>
    <t>20260127: Gh solicita est. de diseño grafico. 20260130: Se envian 3 hv Andres Ante, Melissa Cardona y Shome Alexander. 20260205: Gh informa que solo pasa entrevista Melissa, se retoma reclutamiento. 20260209: se envian 3 hv Danna Zapata, Karen Betancourt y Heidy Guirales. 20260216: GH solicita evaluar a Karen, Heidy y Melissa. 20260219: se entregan informes. 20260220: GH solicita contratar a Melissa. 20260223: se envia OC con F.I 2 mar.</t>
  </si>
  <si>
    <t>20260202: Se activa reclutamiento. 20260204: Se agendan entrevistas con JI 06Feb. se reagenda proceso para el 10 de Febrero proceso no favorable 20260211: Se continua con el proceso de reclutamiento 20260217: Proceso no favorable con los candidatos presentado se continua con el reclutamiento. 20260225: Se realiza entrevista con JI con 4 candidatos una candidata continua en el proceso , se le envia pruebas y documentos MARIA CAMILA ARIAS se le solicita a la candidata el envio de todo completo para envia a ES. 20250305 Se envia del proceso realizado el 4 de marzo a ERIK LEONARDO TIBOCHA, OC con FI 12 de Marzo</t>
  </si>
  <si>
    <t>20260202: Se activa reclutamiento. 20260204: Se agendan entrevistas con JI 06Feb. se reagenda proceso para el 10 de Febrero proceso no favorable 20260211: Se continua con el proceso de relutamiento 20260217: Se realiza entrevista con JI con 4 candidatos pasa KAREN PEREZ, se le envia pruebas y documentos 18 Febrero se le solicita a la candidata el envio de todo completo para envia a ES. candidata no favorable en pruebas 20260219: Se continua con el reclutamiento, con agenda para el 25 de Febrero. 20260225: Se agenda proceso y se continua con tres candidatos para pruebas JHON BARRERA, MANUEL VESGA y VANESSA FORERO. 20260226 se solicita pruebas y documentos. 20260312: Se da continuidad con Vanessa Forero para el 25 de Marzo</t>
  </si>
  <si>
    <t>20260204: Reclutamiento. 20260206: Se compartieron 5 HV. 20260211: El cliente solicita avanzar proceso evaluativo Camila Lopera. 20260212: Se tiene proceso evaluativo con la candidata. 20260216: Se envia el concepto no apto de la candidata, el cliente solicita reclutamiento. 20260219: Se comparten 10 HV para validacion del cliente el lunes 23. 20260227: El cliente solicita reromar a Erika por nuevo salario. 20260304: La candidata no continua proceso se retira. Se activa reclutamiento. 20260306: Se le comparten al cliente 4 hojas de vida. 20260312: El cliente solicita avanzar con Elda Rosa Martinez y Maria Fernanda Obando. 20260313: Se avanza proceso con Elda Rosa Martinez si todo sale bien su inrgeso seria el 25 de marzo y se tiene un back que es Maria Fernanda Obando . 20260319: Pendiente aval del EM . 20260320: La candidata firma contrato</t>
  </si>
  <si>
    <t>20260202: Se activa reclutamiento. 20260204: Con base en la información recibida se programan entrevistas para el 5 de Febrero. 20260205: Con base en el espacio candidatos aptos Laura Carrillo y Maria Soler, a la espera de agenda con JI, e igualmente se genera nuevo espacio de entrevistas para el 11 de Febrero. 20260211: Con base en el espacio de hoy candidatos aptos Diana Sanchez y Edward Rodriguez, a la espera de agenda con JI. 20260216: con base en la disponibilidad de agenda se programa espacio con JI para el 18 de Febrero. 20260218: Con base en el espacio candidato apto Edward Rodriguez, se solicitand documentos. 20260223: Se envía a estudio de seguridad y contratación a Edward Rodriguez con fecha tentativa de ingreso del 2 de Marzo.</t>
  </si>
  <si>
    <t>20260203: GH solicita concurso mixto. Se agenda afinamiento para el 4 feb. 20260205: se envian links para publicacion del 6 al 10 feb. 20260212: se entrega filtro concurso. 20260224: se realiza seguimiento. 20260225: GH informa que se encuentran en PT. 20260305: Gh solicita evaluar a 2 candidatos. 20260312: se entregan informes. GH solicita contratar a Adolfo Diaz. 20260313: se envia OC con FI 25 mar.</t>
  </si>
  <si>
    <t>20260202: Reclutamiento. 20260205: El cliente envia un candidato para valoracion Tomas Martinez . 20260210: El proceso de Tomas es satisfctorio, se envia concepto al cliente. 20260212: El cliente da el aval, se avanza a proceso de contratacion. 20260219: Pendiente de la excepcion del cliente por novedad en ES . 20260220: El candidato firma contrato con fecha del 2 por disponibilidad del cliente</t>
  </si>
  <si>
    <t>20260204: Se activa reclutamiento. Se programan entrevistas con JI. 20260206: Proceso no favorable, se continua con reclutamiento. 20260217: proceso no favorable con candidatos, se continua con el reclutamiento. 20260225: se continua con DANIEL FELIPE BERMUDEZ se envia pruebas y documentos para enviar a ES. Se envia OC con FI 12 De Marzo. 20260304: Candidato desiste del proceso. 20260305: Se presentan nuevos candidatos. 20260306: Se realiza proceso con JI y qeda seleccionado HERICK GONZALEZ. 20260309: Se solicitan documentos. 20260316: Se envía a HERICK GONZALEZ con FI 25 de Marzo.</t>
  </si>
  <si>
    <t>20260205: Se realiza la solicitud a Cotecnova, la unica institución que se maneja en Cartago, pendiente respuesta para en ese caso realizar la búsqueda por medio del Sena. 20260210: Se valida con Cotecnova que se encuentra habilitada para contrato de aprendizaje: Wendy Daniela Bohorquez, hoja de vida que llegó por medio de la actual aprendiz. 20260212: Pendiente recibir HV por parte de Cootecnoca quienes informan que se encuentran en tramites de matricula para definir estudiantes disponibles. 20260218: Cotecnova confirma que no cuenta con más estudiantes disponibles, en la validación realizada con el Sena solo tienen estudiantes disponibles en etapa lectiva para inicio de productiva en 2027. Se va a realizar proceso de entrevista con la candidata disponible. 20260220: Se define avanzar con evaluación y contratacion para ingreso el 2 de marzo con Wendy Daniela Daniela Bohorquez. 20260223: Se recibe autorización por parte de GH Jairo Isaza para continuar con el proceso con un factor en riesgo 3 en prueba de ingtegridad. Se envia informe, se solicita contratación. 20260227: La candidata firma contrato.</t>
  </si>
  <si>
    <t>20260205: Crean RQ. 20260210: Lider informa que entrevistará a candidata en BackUp Yaneris Torres. 20260212: Descartan candidata. 20260219: Se comparten: Mayra - Jesus - Jasbeidy. 20260219: Piden evaluar a Jesus. 20260225: Candidato desiste - GH descarta. 20260226: Solicitan evaluar al referido Jonathan Batalla. 20260305: Se comparte reporte evaluativo y se avanza con EDS. 20260311: Se confirma contratación del colaborador Jonathan Jesus Batalla Ballestero, con FI. 12/03/2026.</t>
  </si>
  <si>
    <t>20260209: Gh solicita est. de admon o ing. ind. 20260216: se envian 3 hv Mailyn Mendoza, Nury Potosi y Jaime Garcia. 20260225: GH solicita evaluar 4 candidatos. 20260304: se entregan informes. 20260309: Gh solicita contratar a Jhon Chimbaco con Fi 12 mar. Se informa que no es posible por tiempo y volumen, se envia OC con FI 16 mar, pte validacion GH. 20260311: Gh solicita ingreso para el 25 mar.</t>
  </si>
  <si>
    <t>20260209: Se solicita iniciar reclutamiento y retomar HV del reclutamiento realizado para el concurso que se va a cubrir con movimiento interno. 20260211: Se envían 7 HV: Laura Milena Padilla, Valeria Valencia, Karem Dahiana Suarez, Alexis Benjumea, Yuliet Sofia Castro, Maria Tatiana Velez, Bryan Gordon. 20260218: En entrevistas con candidatos enviados. 20260220: Se solicita aplicar pruebas a candidatos finalistas, incluyendo candidatos que se retomaron del reclutamiento realizado para el cargo de Ejecutivo Sectorial. 20260223: Se solicita avanzar con contratación para el 2 de marzo con Pedro Luis Lopez, se envia informe, se solicita contratación. 20260227: El candidato firma contrato.</t>
  </si>
  <si>
    <t>20260211: gh solicita evaluar y contratar a Elizabeth, candidata en proceso en requi 15055. 20260211: Se informa a gh que candidata no pasa entrevista. Se activa reclutamiento. 20260211: se pasa rq a curso cerrado, en evaluacion Jhon Gonzalez seleccionado en grupo del 26 ene, pte fechas para envio de OC. 20260220: se envia OC de Jhon Gonzalez con F.I 9 mar.</t>
  </si>
  <si>
    <t>20260211:Se activo reclutamiento 20260212:El cliente envio a evaluar a una candidata enviada por ela, Ana Maria Estrada. 20260213:Se enviaron 3 hv Diego Botero, Maria Hernandez y Valentina Miranda. 20260216:El cliente cito a entrevista para el Martes 17. 20260217:Ana Maria Estrada no paso prueba de servicio. Diego Botero y Maira no pasaron entrevista y Valentina no paso entrevista. Se activa reclutamiento. 20260218: Informaron que la prueba de servicio ya se puede pasar a partir de 60. Se retoma proceso con Ana Maria Estrada. 20260220:Se subio informe y se le informo al cliente. 20260224: Se envio a contratacion a Ana Maria con FI 2 de Marzo</t>
  </si>
  <si>
    <t>20260217: Se envian 6 HV: Johan Steven Suarez, Maryi Katerin Narvaez, Alexander Carlos Andres Trujillo, Monica Andrea Villa, Julian Esteban Chuquen, Andrea Castaño. 20260304: En proceso de entrevista y Assessment. 20260312: Se solicita aplicar pruebas a Alexander Carlos Andres Trujillo, Kevin Andres Galindo y Johan Steven Suarez para las dos vacantes pendientes, y continuar con contratación con Alexander Carlos Andres Trujillo con FI 25 de marzo. 20260313: Se envia informe, se solicita contratación. 20260320: El candidato firma contrato. *Descontar 4 dias en proceso de seleccion por demora en continuar con el proceso después de eniar HV. *Descontar 1 dia en proceso de contratacion, por demora en realizar apertura de cuenta por parte del candidato.</t>
  </si>
  <si>
    <t>20260216: Se envia solicitud de publicación de concurso para que los candidatos se postulen desde el 17 hasta el 20 de febrero. 20260225: Se envian 7 HV de candidata interna que cumple con el perfil: Paola Natalia Castillo y 6 candidatos externos: Angelica Maria Villa, Angy Paola Mejia, Santiago Osorio, Lina Marcela Gil, Juan David Castrillon, Luis Fernando Mejia. 20260304: En proceso de revisión de HV y entrevistas iniciales. 20260312: Se solicita aplicar pruebas a: Angelica Maria Villa, Lina Marcela Gil, Luis Fernando Mejia, Juan David Castrillon. 20260313: Se define continuar con proceso de contratacion con FI 25 de marzo con Angelica Maria Villa. se envia informe, se solicita contratación. 20260319: La candidata firma contrato.</t>
  </si>
  <si>
    <t>20260216: pendiente perfil.20260217: se realiza afinamiento de perfil. 20260218: se activa reclutamiento externo y se envia para publicacion interna el jueves 19 hatsta lunes 23.20260303: se envian a GH 3v.20260311: se realiza seguimiento.20260312: GH envian cv de colaboradora interna para evaluar Karen Leyton.20260318: se carga evaluacion en sf, pdt prueba de potencialidad para cerrar rq.20260326: GH comparte prueba de potencialidad se cierra el proceso.</t>
  </si>
  <si>
    <t>20260217: Crean RQ. 20260220: Se comparten: Maria - Milagro. 20260224: Piden evaluar a las dos candidatas que pasan entrevista. 20260302: Se informa que Maira desiste - se avanza contratación con Miliagro. 20260303: Se comparte reporte evaluativo y se avanza con EDS. 20260304: GH pide ingreso para el 23/Mar toda vez que la posición esta ocupada. 202603006: candidata en EMO - GH informa que la posición queda desocupada el 15/mar, por tal, el ingreso se proyecta para el 25/mar. 20260316: Se confirma cotratación de la estudiante Milagro Sandrith Barrios Ortega, con FI. 25/03/2026.</t>
  </si>
  <si>
    <t>20260217: Crean RQ. 20260220: Se comparten: Nelson - Laura. 20260224: Descartan candidatos. 20260226: Se comparten Jesus - Saray. 20260227: Piden evaluar los dos candidatos. 20260303: Se informa que Jesus desiste. 20260305: Candidata Saray con prueba Bluesite Pte. 20260311: Se informa que la candidata cuenta con reporte evaluativo favorable para avanzar con EDS - GH solicitan evaluar a la referida Nayelis Pedroza y con su resultado la JI definirá quien avanza a contratación. 20260313: Se informa que la candidata no cuenta con concepto evaluativo favorable - Solicitan avanzar EDS con Saray. 20260318: Candidata en EMO.20260320: Se confirma contratación de la colaboradora Saray Medoza Silva, con FI. 25/03/2026.</t>
  </si>
  <si>
    <t>20260123: GH solicita activa reclutamiento interno. 20260204: se comparten 5 HV de colaboradores que cumplen con el perfil. 20260210: GH y JI solicitan realizar el AS par el 18 de feb. 20260218: se lleva a cabo AS y JI indica que de aquí al 20 de feb define las personas. 20260223: JI solicita avanzar con Juan Pablo Ortiz y se programa proceso evaluativo. 20260225: se envia retroalimentacion con el concepto del candidato con algunas observaciones en prueba de integridad. 20260304: GH informa que el candidato será la persona seleccionada. Se cierra RQ por promoción interna</t>
  </si>
  <si>
    <t>20260219: se activa reclutamiento. 20260224: Gh toma a Isabella Gonzalez para curso cerrado, habia sido enviada para Fidu, se continua gestion para ingreso el 9 mar. 20260225: candidata desiste, se reinicia reclutamiento.20260227: se envian 3cv a GH.20260305: se continua evaluacion con candidata Yireth Camila..20260311: evaluacion en sf. 20260312: GH solicita enviar O.C. 20260316: se envia O.C con F.I 25 marzo.</t>
  </si>
  <si>
    <t>20260223: Crean RQ. 20260304: JI comparte candidatos para validar. 20260305: Se comparten: Maria - Marlyn - Yissel. Entrevistas con JI 9/mar. 20260309: JI solicita avanzar en evaluacion con Maria Vergara, Marlyn Herrera y Yissel Martinez. 20260312: Se comparte informe evaluativo favorable de Maria Vergara y Marlyn Herrera. 20260313: JI confirma avanzar a EDS con Marlyn Esther Herrera Diaz. FI 25/Mar. 20260318: Candidata Marlyn Herrera en apertura de cuenta. 20260320: Se confirma contratacion de Marlyn Esther Herrera Diaz con FI 25/Mar.</t>
  </si>
  <si>
    <t>20260225: Se activa reclutamiento.20260303: GH solicita evaluar a Daniela Castro.20260304: se envian 2cv a GH.20260309: se activa reclutamiento.20260310: gh solicita evaluar a referido jhon jader.20260313: se carga evaluacion en sf, GH solicita envia O.C con F.I 25 Marzo.</t>
  </si>
  <si>
    <t>20260225: Se activa reclutamiento.20260304: se envian 2cv a GH.20260305: GH solicita evaluar a Referida Sandra Espinel.20260311: se carga evaluacion en SF, GH solicita enviar O.C, se envia O.C con F.I 25 Marzo.</t>
  </si>
  <si>
    <t>20260224: GH solicita contratacion de Sara Gallego con FI 2 mar. Se informa que por tiempos no es posible, se enviara para 12 mar. 20260227: pte excepcion por proceso seleccion, se envia OC.</t>
  </si>
  <si>
    <t>20260218: Se inicia reclutamiento, 20260225: Se realiza entrevista con 4 candidatos, favorables en proceso 3, se envia pruebas y documentos 20260226: Se agendan candidatos con lider de TH 20260226: Se recibe retroalimentacion de dar continuidad con ANA PERDOMO se envia ES con fecha tentativa el 4 de Marzo</t>
  </si>
  <si>
    <t>20260202: Se inicia reclutamiento, 20260209: Se realiza entrevista con 4 candidatos, favorables en proceso 3, se envía pruebas y documentos 20260211: se solicita agenda con lider th. 2020218: Se programa candidatos con lider 20260223: Se recibe retroalimentación 20260224: Se da continuidad con WENDY LIZARAZO se envía solicita documentos 20260225: se envía OC con fecha tentativa el 4 de Marzo</t>
  </si>
  <si>
    <t>20260227: gh solicita evaluar y contratar a Karen Ramirez con FI 12 mar. 20260305: Se carga informe y se envia OC con FI 12 mar.</t>
  </si>
  <si>
    <t>20260303: Crean RQ. 20260304: Se comparten: Azael - Mariana - Klisman - Yolanda. 20260309: Piden evaluar a: Azael - Mariana - Klisman - Laura. 20260310: Se informa que Azael desiste por adelantar proceso con otra organización. 20260311: Candidatos en prueba de conocimiento - Se comparte informes correspondientes. 20260313: Solicitan contratar a la candidata Mariana. 20260316: Se avanza con EDS. 20260320: Se confirma contratación de la colaboradora Mariana Maria Santana Santana, con FI. 25/03/2026.</t>
  </si>
  <si>
    <t>20260304: Reclutamiento 20260305: Se comparten 4 hojas de vida para la validacion del cliente 20260312: El cliente solicita avanzar con Miguel Torres y Liseth Ramirez. 20260313: El cliente solicita avanzar con MIguel Torres, si todo sale bien su ingreso seria el 25 de marzo . 20260318: El candidato se ecnuentra en EM. 20260320: El candidato firma contrato</t>
  </si>
  <si>
    <t>20260304: En reclutamiento de candidatos programa inclusión. 20260311: se entrevistan 2 candidatos y continuan a pruebas. 20260313: Se envia OC de John Molina con FI 25 mar.</t>
  </si>
  <si>
    <t>20260309: Se comparten 4 hojas de vida para la validacion. 20260311 El cliente solicita avanzar con Victor Payares. 20260312: Se avanza con el proceso de candidato si todo sale bien su ingreso seria el 25 de marzo 20260319: El candidato se encuentra el apertura de cuenta. 20260319: El candidato firmo contrato</t>
  </si>
  <si>
    <t>20260312: gh solicita contratar a Ivan Silva con FI 25 mar. Se solicita excepción a evaluacion para cumplir la fecha. 20260316: Se envia OC con FI 25 mar.</t>
  </si>
  <si>
    <t>20260316: se comparten 8 HV para entrevista el 24 de mar 20260324: se presentan 3 candidatos y aprueba Mariana García y Juan David Jaramillo 20260326: se envia retroalimentacion con con concepto aprobado de Mariana García y desiste Juan David Jaramillo 20260327: se envia ES y a la par a contratacion con la temporal</t>
  </si>
  <si>
    <t>Bomberos de Envigado</t>
  </si>
  <si>
    <t>SMIL</t>
  </si>
  <si>
    <t>Neuromedica</t>
  </si>
  <si>
    <t>Integral Proyectos Hidruhituango</t>
  </si>
  <si>
    <t>Funerarias y Camposanto Metropolitana</t>
  </si>
  <si>
    <t>Proeendo</t>
  </si>
  <si>
    <t>Fondo para la reparacion de las victimas</t>
  </si>
  <si>
    <t>CP Brokers</t>
  </si>
  <si>
    <t>MOVISTAR</t>
  </si>
  <si>
    <t>SERVIAMBULANCIAS DE PACIFICO</t>
  </si>
  <si>
    <t>Dulex Home</t>
  </si>
  <si>
    <t>Super Carnes</t>
  </si>
  <si>
    <t>Keyla Melliza Cardenas Gutierrez</t>
  </si>
  <si>
    <t>20250603: Crean RQ confidencial - Se detiene. 20250617: Piden ir enviando candidatos. 20250618: Se comparten:Hugo Berdugo - Maria Ferrigno - Juan Perez. 20250620: Se elimina RQ por solicitud de GH - Pider citar candidatos para entrevista. 20250625: Candidatos en entrevista. 20250701: En reuniòn de seguimiento piden abrir RQ y manejar proceso preventivo - Maria desiste - Hugo y Juan son descartados por lìder. 20250708: Se comparten: Marena Collante - Maria Barranco - James Romero. 20250715: Piden programar entrevista para el 17/jul. 20250717: Candidatos en entrevista. 20250721: En reuniòn de seguimiento informan que los candidatos son descartados por lider. 20250723: Se comparten: Bryan Manjarres - Johana Anaya - Ivan Rosado. 20250728: Se solicita informaciòn de avance - Indican que està pte definir fecha de entrevista por lìder. 20250805: En reuniòn de seguimiento informan que la JI se encuetra incapacitada y revisaran la posibilidad de enviar otro/a Lider para ir adelantando los procesos de selecciòn y asì mismo apadrinar los nuevos ingresos - Solicitan los candidatos a entrevista con GH para el 6/ago. 20250811: Solicitan evaluar a Bryan Manjarres. 20250814: Candidato Bryan Manjares desiste del proceso de seleccion. SE REINICIA REQ 20250821: Se comparte terna de candidatos a GH: Aylinn Bolaño - Natalia Morelli - Ander Figueroa. 20250825: Se solicita a GH avance del proceso, ya que los candidatos a la fecha no han sido programados a entrevistas con JI. 20250902: Siguen sin agendar espacios de entrevistas con los candidatos enviados - Aylinn Bolaño - Natalia Morelli - Ander Figueroa. 20250908: JI solicita agendar entrevistas con los candidatos para el 09/sep. 20250915: GH solicita activar la vacante nuevamente y llamar a continuar el proceso a Aylinn Bolaño. 20250919: Aylin Bolaño no desea continuar en el proceso. Se reactiva reclutamiento. 20250930: Se proyecta completar terna para envio 1/Oct, se cuenta con un candidato evaluado Nestor Aristizabal. 20251007: Se envia a GH dupla de candidatos Nestor Aristizabal y Jorge Wiswel. 20251014: DC solicita agendar entrevistas de Nestor y Jorge el 16/oct. 20251016: Cand Nestor y Jorge no asistieron a entrevista con DC, en reclutamiento. 20251028: En reunion con GH, DC y GC se indica tener la RQ preventiva y esperar el ingreso de la nueva GZ. 20251111: En reunion de seguimiento solicitan detener RQ. 20251226: GH solicita retomar nuevamente el reclutamiento. 20260106: Congelan contrataciones. SE REINICIA REQ 20260107: Se inicia entrevistas para enviar a GH. 20260109: Candidatos no avanzar en el proceso de seleccion. 20260129: En reunion de seguimiento solicitan activar el reclutamiento. 20260211: En proceso de entrevistas cand reclutados. 20260219: En proceso de entrevisas SyC nuevos cand. 20260220: Se comparte terna a GH: Angie Rojano, Aylin Bolaños y Eimy Arias. 20260223: GH solicita agendar entrevista el 24/Feb. 20260226: Sin retroalimentacion del proceso.2060303: Descartan candidatos. 20260304: Se comparten: Vivian - Zenth - Elena. 20260305: Piden agendar entrevista para el 09/mar. 20260309: Candidatos no avanzan en entrevista con JI. Se retoma reclutamiento. 20260316: Se comparte dupla a GH: Zenith De La Cruz y Keyla Cardenas. Seran entrevistadas por JI el 17/Mar. 20260317: Confirman avanza en proceso evaluativo con Keyla Melliza Cardenas Gutierrez. 20260318: Se comparte informe de seleccion favorable de candidata Keyla Cardenas. 20260319: GH y JI confirman avanzar a EDS con Keyla Melliza Cardenas Gutierrez. Se envia a contratacion FI: 6/Abr. 20260326: Candidata Keyla Cardenas en EMO. 20260330: Se confirma contratacion de Keyla Melliza Cardenas Gutierrez con FI 6/Abr.</t>
  </si>
  <si>
    <t>Desiste</t>
  </si>
  <si>
    <t>Keidy Tatiana Gil Hurtado</t>
  </si>
  <si>
    <t>20250710: GH solicita aprendiz de carreras admon. 20250716: se envian 2hv. 20250729: se solicita retroalimentacion. 20250801: gh solicita evaluar a Rosmery Camacho y solicitan mas hv. 20250806: La candidata aun no ha realizado las pruebas. 20250808: Se enviaron 4 HV 20250815:Se solicito retroalimentacion. 20250829: cliente informa que llamaron a los aprendices y no esta disponibles. 20250905: Se enviaron 2 HV 20250905: El cliente informa que el candidato Carlos Gil ya firmo contrato con otra empresa. 20250909: Se informa que no hay aprendices en etapa productiva. 20250915: Se enviaron 3 hv. 20250918: El cliente informa que entrevistara el dia Viernes 19. 20250922: Se solicitó retroalimentacion de las hv enviadas. 20250923:El cliente envio a evaluar a Miguel Ortega. 20250924:El candidato no paso entrevista. 20251001: Se enviaron 3 hv. 20251008: Se solicito retroalimentacion de las hv enviadas. 20251009: El cliente informa que se envio a Leonardo para otra posicion y las otras dos aprendices no pasan. 20251017: Se enviaron 2 hv. 20251020: GH informa que llamo a los dos estudiantes y ya tienen practica. 20251023: Se enviaron 2 hv. 20251030:GH informa que las candidatas no se presentaron a entravista. 20251106: Se enviaron 2 hv. 20251110: El cliente envio a evaluar a Caroline Herrera. 20251112: La candidata no paso entrevista. 20251114:Se enviaron dos hv. 20251122: El cliente solicito evaluar a Enrique Acuña. 20251127: El candidato tiene regimen especial e informa que no ve viable salirse de la la eps. Se activo reclutamiento. 20251128:Se envio una hv. 20251201: Se envio otra hv. 20251204: El cliente envio a evaluar a Hellen. 20251211:La candidata no sepresento a entrevista y no paso prueba de integridad, se activa reclutamiento.20251215: Se enviaron 2 hv. 20251217:El cliente informo que Estiwar ya firmo contrato y Andrea no paso entrevista. 20251222: Se enviaron 2 hv. 20251229:El cliente envio a evaluar a Helen. 20260105:Se subio informe. 20260106:El cliente envio a contratar a Helen. 20260107:Se envio a contratacion con FI 22 Ene. 2026013: La candidata no paso ES. Se activo reclutamiento. 20260120:Se enviaron 3 hv 20260126:Se solicito retroalimentacion. 20260127: El cliente envio a evaluar a Valentina Ruiz y a Juan Pablo Micolta enviada por ellos. 20260130: Valentina Ruiz es menor de edad, por tal razon no se puede tener en cuenta y Juan Pablo Micolta se encuentra estudiando Ing de Sistemas de Informacion. Se enviaron 3 hv mas. 20260204: Se solicito retroalimentacion. 20260211: el cliente solicito mas hojas de vida. 20260223: Se enviaron 3 hv. 20260224:El cliente informa que cito a dos candidatas para el Jueves 26 y Janny ya firmo con otra empresa. 20260226: El cliente envio a evaluar a Yenifer Hernandez.20260305: Se subio informe. El cliente envio a contrarar a Yenifer. 2060306: La candidata desistio del proceso. Se activa reclutamiento. 20260311: se enviaron 5 hv. 20260319: se subio informe de Sebastian. 20260326: el candidato desiste del proceso. 20260327: el cliente envio a contratar a Keidy. 20260330: se envio a contratacion con FI 15 abr.</t>
  </si>
  <si>
    <t>Prueba de integridad</t>
  </si>
  <si>
    <t>Juan Camilo Medina Villa</t>
  </si>
  <si>
    <t>20251107: se activa reclutamiento 20251111: se continua reclutamiento 20251118: se continua reclutamiento 20251119: se comparten 3 HV para entrevista el 20 de nov. 20251120: se presentan dos candidatas, aprueba una que se tiene en cuenta para la RQ 15104. 20251124: se continua en reclutamiento 20251201: se continua proceso de reclutamiento 20251209: se continua proceso de reclutamiento. 20251211: se comparten 3 HV para entrevista el 12 de dic. 20251212: se presenta 1 candidato pero no aprueba entervista, se continua reclutamiento.20251226: Se compartieron 3 hojas de vida. 20251229: Pendiente de la retroalimentacion del cliente 20260105: para esta posicion se tendrá en cuenta el ingreso de Luisa Acevedo quien está contratada por temporal actualmente, se encuentra actualizando los documentos. 20260107: se comparten 8 HV para entrevista el 8 de enero 20260113: se envia OC a Luisa Acevedo para ingreso el 22 de feb. 20260114: candidata registra con novedad en ES. Se valida con GH 20260115: GH informa que no es posible brindar excepcion. SE REINICIA RQ. 20260121: se comparten 3 HV para entrevista el 22 de ene. 20260122: se presenta 1 candidato pero no aprueba entrevista. 20260129: se comparten 5 HV para entrevista el 30 de ene 20260129: se presentan candidato, aprueba solo uno de ellos. 20260204: JI comparte la HV de Santiago Lopez y se programa entrevista para el 6 de feb. 20260206: se presenta el candidato Santiago Lopez, aprueba entrevista con la JI, se programan pruebas 20260209: candidato Santiago Lopez desiste por otra oferta laboral. SE REINICIA RQ 20260212: se comparten 2 HV para entrevista el 13 de feb. 20260213: candidatos no se presentan a entrevista y se reprograman por disponibilidad de los mismos para el 16 de feb. 20260216: candidatos no se presentan al espacio, se tiene programada convocatoria masiva para el 18 de feb. 20260223: se programa entrevistas con candidatos, se presenta la candidata Juan Esteban Restrepo y aprueba, se inicia proceso evaluativo 20260224: se envia retroalimentación del candidato Juan Esteban Restrepo y JI solicita el envio a contratación. 20260225: candidato se encuentra en EM y aprueba ES. 20260226: candidato desiste del proceso por motivos personales. SE REINICIA RQ. Ese mismo día se comparten 3 HV y se programa entrevista para el 2 de marzo. 20260302: se presentan 2 candidato y aprueban Juan David Cely y Juan Diego Escobar. 20260205: se comparte retroalimentacion con concepto aprobado de Juan David Cely 20260306: JI solicita el envio al proceso de contratacion. 20260309: se envia OC de Juan David Cely con fecha de inicio el 25 de marzo 20260312: candidato se encuentra en proceso de EM luego de aprobar ES 20260316: candidato completa el proceso con la apertura de cuenta y a la espera para enviar a contratar. 20260317: GH informa que se recibe autorizacion para adelantar la contratacion para el 19 de marzo. 20260318: candidato desiste del proceso de contratacion por otra oferta laboral. SE REINICIA RQ 20260326: se comparten 5 HV para entrevista con JI 20260327: se presentan 2 candidatos y aprueban Jenny Ramirez y Juan Camilo Medina 20260331: se comparte retroalimentacion y Gte solicia enviar a contratar a Juan Camilo Medina. 20260407: candidato tiene pendiente la certificación de estudio, a la espera para enviar OC. 20260408: se envia OC de Juan Camilo Medina 20260409: corporativo autoriza ingreso con fecha de inicio el 15 de abril del candidato 20260413: candidato aprueba ES y EMO 20260414: contratación confirma ingreso de la candidata Juan Camilo Medina con fecha de inicio el 15 de abril</t>
  </si>
  <si>
    <t>Camilo Jose Hernandez Castillo</t>
  </si>
  <si>
    <t>20251110: Crean RQ. 20251110: Cliente presenta candidato para tener en cuenta Dayron Gonzalez quien sera entrevistado por JI 12/Nov. 20251112: JI Solicita avanzar en evaluacion y prueba tecnica con Dayron Gonzalez para el 13/Nov. 20251119: Se comparte informes de seleccion a JI. 20251120: Confirman novedad en bases sin excepcion por tal motivo no avanza el candidatos Dayron Gonzalez. Se retoma el reclutamiento y SE REINICIA REQ. 20251202: Se comparten candidatos: Angelina Barros, Cindy Viloria, Raul Nieto y Yelinson Puello. Piden programar entrevista con JI el 04/Dic. 20251204: JI solicita avanzar a proceso evaluativo con Yelinson Yeis Puello Miranda. 20251209: Candidato tiene pendiente dos pruebas psicotecnicas. Se desarrollo prueba tecnica. 20251216: Se confirma proceso evaluativo favorable y prueba tecnica aprobada de Yelinson Puello. A espera de confirmacion de avance. 20251219: Se comparte dupla a JI Leonel Montero - Lenys Rodriguez y se programan entrevistas para el 23/Dic. 20251223: Se confirma avance a evaluacion con Leonel Montero y Lenys Rodriguez. Prueba tecnica el 29/Dic. 20260106: Congelan contrataciones. 20260107: Se solicita informacion del avance del proceso a JI, sin respuesta aun. 20260115: Aun sin respuesta por parte de JI. 20260116: JI informa que candidata Lenys Rodriguez no paso prueba tecnica, se inicia reclutamiento. 20260121: Se comparte candidatos a JI: Juan Guerra, Angelica Arrieta, Karen Guardo. 20260122: JI solicita revisar nuevas hv. 20260128: Se comparte candidatos a JI Javier Ramos, Ana Negrete, Angelica Arrieta y Juan Guerra. 20260205: A espera de retroalimentacion del proceso. 20260212: Sin retroalimentacion del proceso. 20260213: JI solicita agendar entrevistas con cand Juan Guerra, Ana Negrete y Javier Ramos para el 20/Feb. 20260223: JI solicita retomar reclutamiento, candidatos no avanzan en entrevista. 20260303: Se comparten: Diana - Angela - Edwin. 20260305: Piden evaluar a Angela y pasar a prueba técnica. 20260312: Se comparte proceso evaluativo favorable de Angela Patricia Ayazo Arias y confirman envio a EDS. FI: 25/Mar. 20260313: Contratacion confirma novedad en bases por la tal motivo no se continua con la contratacion de Angela Ayazo y se retoma reclutamiento. SE REINICIA REQ 20260316: Se comparte terna Amaury Beltran, Camilo Hernandez, Jair Rosales y Yeraldin Chamorro a espera que programen entrevista. 20260319: Solicitan agendar entrevistas con JI el 20/Mar. 20260320: JI solicita adelantar proceso evaluativo con Jair Rosales y Camilo Hernandez. 20260325: Se realiza prueba tecnicas a Camilo y Jair. Se comparte informe evaluativo a JI. A espera de definicion. 20260326: JI Solicita avanzar a EDS con Camilo Jose Hernadez Castillo con FI 15/Abr. 20260331: Se comparte a contratacion candidato Camilo Jose Hernandez Castillo con FI 15/Abr. 20260409: En apertura de cuenta Camilo Jose Hernandez Castillo. 20260413: Se confirma contratacion de Camilo Jose Hernandez Castillo con FI: 15/Abr.</t>
  </si>
  <si>
    <t>Refax Colombia</t>
  </si>
  <si>
    <t>Katherine Bolaños Diaz</t>
  </si>
  <si>
    <t>Luis Miguel Castillo Montenegro</t>
  </si>
  <si>
    <t>20251007: se realiza primer convocatoria de curso cerrado. 20251014: se realiza segunda convocatoria y se selecciona a Stefan Jaramillo. 20251116: se envia OC con FI 9 dic. 20251203: candidato desiste del proceso, se inicia reclutamiento. 20251204: se envia a reclutamiento.20251205: se envian 3cv a GH. 20251212: GH solicita evaluar Diana, stefaby, alejandra.20251215: Diana Alejandra Ramos continua en proceso, pdt evaluación por GH. 20251226: se realiza seguimiento a GH. 20260105: Se realiza seguimiento.20260113: GH solicita enviar a contratacion a Diana, Diana desiste firmo con otra empresa.20260113: se activa reclutamiento, se envian 4cv, en evaluacion en conjunto con GH 15 enero.20260119: se activa reclutamiento.20260120: se envian 8cv.20260123: se evaluan con gh los estudiantes, continuar con Jose miguel zuluaga. 20260127: se carga evaluacion. 20260128: GH enviar a contratacion.20260129: se activa reclutamiento, jose desiste.20260202: se envian 4cv a GH.20260210: se evaluan 3 candidatos de concurso cerrado gabriela, daniela, isabella, continua isabella en esta rq. 20260220: se envia O.C de Luisa Valeria con F.I 9 de Marzo.20260226: no continuamos con Luisa, se activa reclutamiento.20260303: se envian 3cv a GH.20260305: En evaluacion 1 candidata Gabriela Chara.20260311: evaluacion en sf, 20260313: GH solicita enviar O.C. 20260316: se envia O.C con F.I 25 Marzo. 20260317: Desistio del proceso, se activa reclutamiento.20230318: Se envian 3 cv.20260320: continua luis miguel, se carga evaluacion en sf. 20260324: GH solicita enviar OC. 20260325: Se envia OC con F.I 6 abril. 20260401: No envian carta de Luis Montenegro, se solicita ajusta para ingreso 15/04.</t>
  </si>
  <si>
    <t>EJECUTIVO/A INTEGRAL FEC</t>
  </si>
  <si>
    <t>Sandra Carolina Ramos Cadena</t>
  </si>
  <si>
    <t>20251201: Crean RQ - En reclutamiento. 20251204 :Se comparten: Niuton - Yesiel - Katherine - Adriana. 20251210: Se solicita informaciòn de avance. 20251216: Sin avance del proceso. 20260105: Se solicita informacion del avance del proceso sin obtener respuesta. 20260107: GH sigue sin dar retroalimentacion del proceso. 20260115: Sin retroalimentacion por parte de JI. (27) 20260122: JI informa que candidatos no avanzan en el proceso. Se inicia reclutamiento. 20260202: Se comparte terna de candidatos: Vivian Caamaño, Liseth Silva, Felix Barrios. A espera de programacion de entrevistas. (4) 20260212: JI solicita avanzar con proceso evaluativo de Vivian Caamaño y piden ver mas candidatos. 20260219: Se comparten nuevos cand Andres Escorcia, Clara Chavez y Rosa Cabrera. 20260226: Sin retroalimentacion del proceso.20260305: sin avance. (7) 20260306: JI solicita avanzar en evaluacion con Andres Escorcia y Clara Chavez. 20260311: Se comparte informe de Andres Escorcia a espera de confirmacion de avance. (1)  20260316: Solicitan envio de nuevos candidatos. 20260318: Se comparte terna Geanbra Moreno, Sandra Ramos y Laurens de la Hoz. A espera de programacion de entrevista. 20260325: JI solicita avanzar a proceso evaluativo con Geanbra Moreno y Sandra Ramos. 20260326: Se comparte a JI informe evaluativo favorable de las candidatas Sandra y Geanbra. A espera de definicion. 20260330: JI solicita inicar EDS con Sandra Carolina Ramos Cadena con FI 15/Abr. 20260331: Se comparte a contratacion candidata Sandra Carolina Ramos Cadena con FI 15/Abr. 20260409: Sandra Carolina Ramos Cadena en apertura de cuenta. 20260414: Se confirma contratacion de Sandra Carolina Ramos Cadena FI 15/Abr.</t>
  </si>
  <si>
    <t>Cooperativa Financiera de Antioquia</t>
  </si>
  <si>
    <t>Luis Fernando Ramirez Peñaranda</t>
  </si>
  <si>
    <t>20251203: Se inicia reclutamiento 202512005: Se solicita agenda con JI 20151210: pendiente de agenda 20251216: se inmediato indica proceso para 18 de Dic. 20251219: Se realiza entrevista en conjunto con la Jefe inmediato de la nacional, no continuo los dos candidatos presentados. se refuerza el perfil. y se solicita espacio para el dia 30 de Diciembre, proceso no favorable 20260102: Se continua con reclutamiento agenda para la segunda semana de enero 20260226: se realiza proceso con 3 candidatos no favorables por parte de JI . Se solicita retroalimentación del proceso se realiza reunión el 30 proceso agendado para el 3 de febrero. De 5 candidatos se da continuidad con 4 candidatos. En proceso de pruebas y documentos, para validar con la gerencia los candidatos el 10 de febrero, se realiza entrevista con lider de th, con fecha del 12 y 13 de febrero, pendiente retroalimentación. 20260216: Se continua con Melba Carolina Bohorquez se envia OC con fecha de ingreso 23 de Febrero. 20260217: candidata desfavorable en ES. SE REINICIA REQ 20260219: Se continua con reclutamiento 20260226: Se agenda entrevista con JI, 3 candidatos no favorables 20260227: Se continua con el reclutamiento, se agenda entrevista para el 10 de marzo. 20260310: Pasan 4 candidatos en entrevista con JI, se da continuidad a entrevista con lider de GH para el 13 de marzo. 20260317: Se retoma proceso anterior del candidato Luis Fernando Ramirez con FI 06 De Abril</t>
  </si>
  <si>
    <t>SKANDIA COLOMBIA</t>
  </si>
  <si>
    <t>Stiven Henao Aguirre</t>
  </si>
  <si>
    <t>20251215: se envia a Reclutamiento.20251216: se envian 3cv a GH Genaro, Carolina y Maria.20251215: GH brinda feedback de candidatos, se activa reclutamiento.20251226: se envian 3cv Wendi, Dainer y Stephania. 20251229: GH solicita evaluar Dainer, Stephania. 20260105: se carga evaluacion en sf. 20260105: se envia O.C con F.I 13 Enero. 20260106: GH solicita hv backup. 20250107: se envian 2cv a GH. 20260109: GH solicta reclutamiento. 20260114: se envian 4cv a GH. 20260122: se realiza seguimiento. 20260123: GH solicita evaluar a 3 candidatos salome, lanny y Judy. 20260229: Se informa que lanny desiste y se evaluo a salome pendiente que defina bloqueo con el sena, yudi no contesta .20260202: se informaa GH que salome continuo con bloqueo en el sena, GH informa que candidata se encuentra en tramite que le brindemos la espera, se logra contacto con Yudi y se agenda entrevista para el 5 de febrero por su disposicion. 20260205: se informa a GH que salome no logro quedar habilitada en pagina del SENA y Yudi no se presento a entrevista, se activa reclutamiento. 20260210: se envian 5cv a GH. 20260212: gh comparte feedback, se activa reclutamiento. 20260223: GH solicita evaluar a referida Mailyn. 20260226: GH solicita enviar O.C. 20260227: se carga evaluacion en SF y se envia O.C con F.I 12 Marzo. 20260312: se corre fecha de ingreso para 25 de marzo porque institución no envio carta de presentacion. 20260318: Se envian 4cv a GH. GH envia 1 referido para evaluacion Stiven Henao. 20260324: se carga evaluacion en sf.20260325: gh solicita enviar o.c se envia con F.I 6 DE abril.</t>
  </si>
  <si>
    <t>Universidad Nacional</t>
  </si>
  <si>
    <t>Merly Yaruth Cruz Blanco</t>
  </si>
  <si>
    <t>20251229: Reclutamiento 20260105: GH informa que es probable que la posicion pase a otro zona, se espera definir esta semana 20260109: GH informa que la posicion se va ocupar con Brenda Arevalo actual Aux de Soporte. 20250115: GH informa que se esta a la espera de los movimientos internos para definir el proceso con la candidata actual 20260123: Gh informa que la vacante no podra ser cubierta con la aux interna, por lo cual solicita activar el proceso 20260126: se activa reclutamiento 20260205: se comparten 7 HV para entrevista el 10 de feb 20260209: se comparten 4 HV de adicionales 20260210: se presentan 8 candidatos y se avanza con Estefania Higuita, Brenda Arevalo y Alexander Silva, se programan pruebas. 20260218: se envia retroalimentación con concepto aprobado debido al retraso en el proceso con las candidatas internas a la hora de realizar las pruebas(2). 20260225: JI solicita complementar la evaluacion con los entrenadores, se programa el espacio con Brenda Arevalo y Alexander Silva paa el 26 de feb (4). 20260226: candidata Brenda Arevalo aprueba proceso mientras que Alexander Silva no aprueba. 20260302 se comparte retroalimentacion, sin embargo, por parte de GH se indica que debido al perfil comercail y la falta de experiencia no se podría considerar. 20260304: según lo anterior se reactiva el proceso 20260311: se comparten 4 HV para entrevista el 12 de mar 20260312: se presentan 4 candidatos y aprueban Jelice Romero y Oscar Hernandez, se programa proceso evaluativo 20260317: se comparte retroalimentacion de Oscar Hernandez, Jelice Romero desiste del proceso 20260318: JI solicita descartar a Oscar Hernandez. 20260319: se comparten 7 HV para entrevista el 25 de mar 20260325: se presentan 3 candidatos, JI solicita continuar con Andres Francisco Caceres, se programa proceso evaluativo 20260330: JI indica que desea continuar la busqueda. 20260401: se comparten 6 HV para entrevista con JI, sin embargo, se encuentra en vacaciones por lo que se programan para el 14 de abr 20260408: se comparten 4 HV adicionales (8). 20260416: se presentan 5 candidatos y aprueban Jesus Reyes, Merly Cruz y Yuleidy Cardenas, se inicia proceso evaluativo 20260421: se comparte retroalimentacion con concepto aprobado de Jesus Reyes y Merly Cruz, no aprobado Yuelidy Cardenas. JI solicita el envío a contratacion de Merly Cruz con fecha de inicio el 4 de may. Se envia a ES 20260423: se recibe concepto favorable en ES y se envia a GH para su continuidad</t>
  </si>
  <si>
    <t>Cotrafa</t>
  </si>
  <si>
    <t>María José Zuluaga Camacho</t>
  </si>
  <si>
    <t>Roberto Bedoya Olivares</t>
  </si>
  <si>
    <t>20251216:Se activo reclutamiento. 20251219: Se enviaron 10 hv para las RQ 15515, 15516, 15517,15518,15519,15520. 20251231: El lider esta en vacaciones por tal razon aun no dan retroalimentacion. 20260115:Aun no se recibe retroalimentacion de las hv enviadas. 20260119:El cliente aun no da retroalimentacion. 20260120: Gh solicita retomar reclutamiento. 20260120: Gh solicita retomar reclutamiento. 20260122: se envian 6 hv para g vacantes. Pte retro por gh. 20260128: gh informa que se programan entrevistas para el 29 Enero. Pte retro. 20260129: GH solicita evaluar a Tatiana, Anguie, Lisethh, Wiley, Ingrid, Sara y Jennifer. Se programan pruebas. 20260204: se envia retro (2 candidatas no pasan veritas, 1 desiste, 3 no aptas entrevista, 1 no pasa prueba servicio), se activa reclutamiento. 20260205: Se envian 5 hv. Pte retro por gh. 20260206: Se envian 3 hv adicional. 20260211: gh envia retro de hv (2 no contestan, 1 desiste, 3 descartados por JI) y se solicita evaluar a Nelsa y Ivonne (reclutamiento) y johana ortega (refer). Se programan pruebas. 20260213: se informa a gh que ivone desiste y Nelsa y Johana no pasan PS. Se envian 3 hv. 20260218: Pte retro por gh. Se envia 2 grupo de 3 hv. Pte retro por gh. 20260223: se envian 3 hv. pte retro por gh. 20260302: gh solicita evaluar a Francisco Javier Candela. Se programan pruebas. 20260303: gh solicita detener proceso con Francisco y evaluar a Maribel Cuartas. Se programan pruebas. 20260609: se informa a gh que Maribel no ha culiminado pruebas. 20260310: candidata termina pruebas. gh solicita avanzar contratacion. 20260312: candidata no supera la validacion pensional. SE REINICIA REQ. Se solicita retro de hv enviadas el 03 Mar. Pte retro por gh. 20260315: Gh solicita evaluar y contratar a Roberto Bedoya (refer). Se programan pruebas. 20260318: Se envia novedad veritas riesgo 3 y ampliacion de entrevista. Pte aval para avanzar a contratacion. 20260324: gh envia aval de veritas. Se envia OC FI 06 Abril.</t>
  </si>
  <si>
    <t>Grupo Emi Falk</t>
  </si>
  <si>
    <t>Validación pensional</t>
  </si>
  <si>
    <t>SUPERNUMERARIO/A</t>
  </si>
  <si>
    <t>Mayra Alejandra Parra Avila</t>
  </si>
  <si>
    <t>20251224: Se inicia reclutamiento. 20251229: En revisión de hojas de vida. 20251230: Con base en retroalimentación de GH candidatos aptos Yasmin Valero, Laura Cagua y Julibeth Vanegas. 20260105: Con base en la información recibida por GH se programa assesment con candidatos aptos para el 6 de Enero. 20260106: Se reprograma el espacio dado que las candidatas presentaron novedades personales, e igualmente se genera nuevo espacio para el 8 de Enero. 20260108: Con base en el espacio de hoy candidatas aptas: Dalis Castelblanco, Geraldine Pineda y Laura Rojas, a la espera de agenda con JI para espacio final. 20260113: Aun a la espera de agenda de JI para último espacio con Dalis, Geraldine y Laura. 20260120: Pendiente agenda. 20260122: A la espera de espacio con JI para evaluar preseleccionadas. 20260127: A la espera de respuesta. 20260129: Aun a la espera de respuesta por parte de GH. 20260130: Con base en información recibida se detiene vacante hasta obtener respuesta por parte del cliente. 20260202: Se retoma proceso, se agenda último espacio con JI para el 4 de Febrero. 20260204: Seleccionada Laura Cagua, sin embargo GH indica querer ver más personas antes de definir. 20260211: A la espera de agenda por parte de GH para entrevistas. 20260213: Se progama espacio para el 18 de Febrero. 20260218: Con base en el espacio de hoy candidatos aptos Angie Duarte y Loraine Ortiz, a la espera de agenda con JI. 20260226: A la espera de agenda con JI. 20260302: Candidatas Angie y Loraine no aptas con JI, se retoma reclutamiento, se genera espacio para el 4 de Marzo. 20260304: Candidatos aptos Johan Acosta y Felipe Caicedo, se solicitan documentos.20260309: Se envía a bases a Felipe Caicedo por ahora por solicitud del cliente, su fecha tentativa de ingreso sería el 25 de Marzo. 20260312: Con base en información recibida por cliente se envía a contratación a Felipe Caicedo con fecha de ingreso del 25 de Marzo. 20260324: candidato desiste del proceso por motivos personales. SE REINICIA REQ. 20260327: En reclutamiento. 20260401: Se genera espacio con GH candidata apta Mayra Parra, a la espera de agenda con JI. 20260406: A la espera de agenda con JI. 20260407: Se genera espacio para el 9 con JI. 20260410: A la espera de retro del espacio con JI. 20260413: Con base en la retro candidata apta Mayra Parra, se solicitan documentos. 20260414: Se envía a estudio de seguridad y contratación a Mayra Parra, con fecha tentativa de ingreso del 27 de Abril.</t>
  </si>
  <si>
    <t>CAJA SOCIAL</t>
  </si>
  <si>
    <t>Martha Patricia Chavez Mendoza</t>
  </si>
  <si>
    <t>20260108: se envian 4 HV para entrevista el 9 de enero. 20260116: Pendiente por disponibilidad de agenda por parte del cliente .20260122: Se programa AS para el 3 de febrero por diponibilidad del cliente . 20260129: Se tiene programado AS el 3 de febrero . 20260205: Se selecciono un candidato pero se retira del proceso. SE REINICIA RQ. 20260212: Se programa AS para el martes 17 de febrero. 20260219: No se realizo AS por visita de la nacional pendiente de disponibilidad del cliente. 20260303: Se realizo AS con 4 candidatos los cuales no superan el proceso evalutaivo. 20260305: Se programa AS para el 10 de marzo . 20260311: Se realizo AS en el cual asistieron 5 personas y continua proceso Martha Chavez. 20260319: La candidata se encuentra en apertura de cuenta. 20260324: La candidata se tiene proyectada para ingreso el 6 de abril por temas laborales. 20260325: La candidata firma contrato</t>
  </si>
  <si>
    <t>KIA</t>
  </si>
  <si>
    <t>FLORENCIA</t>
  </si>
  <si>
    <t>Marlon Javier Gutierrez Cediel</t>
  </si>
  <si>
    <t>20260105:Se activo reclutamiento. 20260115:Se enviaron 3 hv Carlos Toledo, Darcy Oviedo y Jhon Fredy Quiroz. 20260120:Se solicito retroalimentacion. 20260121:El cliente informa que los lideres estan en encuentro comercial, por tal razon no se ha podido programar entrevistas. 20260122:El cliente cito a entrevista para el Martes 27 Ene.(4) 20260127: Darcy Oviedo no cuenta con la experiencia requerida, Carlos Toledo no paso entrevista y Jhon Quiroz desistio del proceso. Se activa nuevamente reclutamiento. 20260128:Se enviaron 3 hv Gloria Ruiz, Yeimi Olave y Yina Claros. 20260202:Se solicito retroalimentacion. 20260203:El cliente cito a entrevista para el Viernes 6.(3) 20260206: Yina Claros y Yeime Olave no pasaron entrevista, Gloria no se presento. Se activa reclutamiento. 20260209: se enviaron 4hv carlos carrillo, Gustavo Laverde, Laura Saldaña y Yuri Bravo. 20260211: El cliente cito a entrevista para el 13 FEB. 20260213: El cliente envio a evaluar a Gustavo y Yuri. 20260218:Marcela no paso prueba integridad y Gustavo se retiro del proceso. Se activa reclutamiento. 20260225: Se enviaron 2 hv carlos y fermin ramon. 20260302: Se solicito retroalimentacion. Se citaron a entrevista para el Jueves 4 de Marzo. (2) 20260203:Se enviaron dos hv mas Jhon Fredy y Etelvina. 20260304:Carlos Carrillo por segunda vez no se presento y los otros 2 candidatos no pasaron entrevista. Se activa reclutamiento. 20260324: Se enviaron 4 hojas Camilo Ramirez, Marlon Gutierrez, Yesito Soto, Yineide Murcia. 20260325:El cliente cito a entrevista para el 26 de Marzo. 20260326:El cliente informa que solo se presento una persona. Se activa nuevamente reclutamiento. 20260406: Se enviaron 3 hv Jairo Florez, Karol Barbosa y Liyamid Tamayo. 20260407: El cliente cito a entrevista para el Viernes 10 de Abril. 20260408: El cliente envio a pruebas a Marlon Gutierrez. 20260414: Se subio informe y el cliente envio a contratar a Marlos. Se envio a contratacion con FI 27 de Abril.</t>
  </si>
  <si>
    <t>Banco Caja Social</t>
  </si>
  <si>
    <t>ENFERMERO(A) AUDITOR MP</t>
  </si>
  <si>
    <t>Yeny Azucena Rodriguez Espinosa</t>
  </si>
  <si>
    <t>20260108: Se activa reclutamiento. 20260113: Se envian hojas de vida de 6 candidatos. 20260114: Candidatos preseleccionados 3 se citan a entrevista con JI 16Ene. 20260116: Candidata seleccionada Monica Andrea Pacanchique. Se solicitan documentos. 20260120: Se agenda prueba midot. 20260122: Candidata no favorable. Se activa reclutamiento. 20260128: Se envian nuevas hojas de vida. 20260202: JI indica citar a entrevista a MARYI DANIELA PINZÓN MATEUS, LUZ DANIELA VILLAMIL GARCIA y HUGO ANDRES ESCOBAR MERCHAN. 20260204: Ala espera de agenda de JI para programar entrevistas. Se recibe referido CRISTINA RODRIGUEZ para incluir en entrevistas. 20260205: GH informa programar entrevistas para la proxima semana con el JI , se reprogama entrevista con el Doctor para el 17 de febrero. (9). 20260218: - Candidatos no se presentaron a entrevista. Se envia candidatos adicionales 20260219: Dan retroalimentacion de los 4 candidatos solicitan agendar con el Doctor 3 candidatos. DERLY JULLIET ROMERO ESCOBAR,VIVIANA MARIA GONZALEZ PINEDA y ANDREA FERNANDA PEREZ para el lunes 23 de Febrero. 20250223: Se solicita retroalimentacion. 20260225: no se presentaron candidatos, continuamos con la busquedad activa. 20260302: Se genera espacio para el 3 de Marzo. 20260303: Con base en el espacio candidatas aptas Derly Romero y Yeny Rodriguez, se solicitan documentos. 20260305: Candidatas aun en documentos, indican dejar al día lo pendiente hoy. 20260306: Se envía a estudio de seguridad a Derly Romero con fecha tentativa de ingreso del 6 de Abril por solicitud de GH. (15) 20260401: Candidata Derly desiste por motivos personales de fuerza mayor, se retoma backup Yeny Rodriguez. 20260408: Se envía a estudio de seguridad y contratación a Yeny Rodriguez, con fecha tentativa de ingreso del 15 de Abril.</t>
  </si>
  <si>
    <t>AXA COLPATRIA</t>
  </si>
  <si>
    <t>ANALISTA NAL MICROCREDITO</t>
  </si>
  <si>
    <t>Diana Milena Salas Vargas</t>
  </si>
  <si>
    <t>20260120: se envia a reclutamiento, se envia para publicacion interna, publica desde el 22 - 26 Enero. 20260123: se envian 3cv a GH. 20260205: se solicita retroalimentacion. 20260211: pte retro por gh. 20260213: gh envia retro y activa reclutamiento con modificacion de la formacion academica. 20260216: Se solicita afinamiento. 20260217: se realiza afinamiento y se activa reclutamiento. 20260224: Se envian 4 hv. Pte retro por gh. 20260302: gh solicita evaluar a candidatos referidos: Diana Salas, Diana Villada y Juan Carlos Diaz. Se programan pruebas. 20260306: Se confirma informe de Diana Salas y Diana Villada y se envia novedad veritas de Juan Diaz. Pte retro por gh. 20260311: Pte retro por gh. 20260313: Gh solicita evaluar a Juan Diego Paz. Se programan pruebas. 20260318: se informa a gh que Juan tiene pendiente completar Veritas. 20260320: Se realiza entrevista y se confirma realizacion de prueba. 20260324: Se confirma informe de Juan Paz. 20260325: gh solicita avanzar contratacion con Diana Salas FI 15 Abril. (7) 20260327: Se envia OC FI 15 Abril.</t>
  </si>
  <si>
    <t>Accenture Ltda</t>
  </si>
  <si>
    <t>Yeinni Maria Bayona Rincon</t>
  </si>
  <si>
    <t>20260114: Se inicia proceso de reclutamiento. 20260116: Se compartieron 4 hojas de vida. 20260127: Pendiente retroalimentacion por parte del cliente. 20260129: Se han compartido 6 HV, pendiente de respuesta del cliente. 20260205: Pendiente retroalimentacion. 20260212: El cliente solicita envio de mas HV, las personas no pasaron AS. 20260219: Reclutamiento. 20260303: Se compartieron 3 hojas de vida para la vacante. 20260312: Pendiente de retroalimentacion. 20260317: El cliente solicita evaluar a la candidata Jeinny Boyana. 20260319: Se le comparte el concepto al cliente y se envia a contratacion la candidata con fecha de ingreso el 6 de abril. 20260324: Se tiene en estudio de seguridad la candidata. 20260401: La candidata firma contrato</t>
  </si>
  <si>
    <t>PRO- AGRONORTE</t>
  </si>
  <si>
    <t>COORDINADOR(A) NAL DE MARCA Y PUBLICIDAD</t>
  </si>
  <si>
    <t>Pedro Luis Osorio Giraldo</t>
  </si>
  <si>
    <t>20260122: Se activa reclutamiento mixto. 20260123: Se envia solicitud de concurso hasta el 30 Enero. 20260127: Se envian 4 hv. Pte retro por gh. 20260202: Se confirma filtro interno. Pte retro por gh. 20260211: pte retro por gh. 20260218: Pte retro por gh. 20260225: Pte retro por gh. 20260226: se detiene mientras gh envia retro del proceso. 20260302: gh envia retro, envia hv para validacion y se activa reclutamiento. 20260305: Se envia 3 hv refer y 3 hv de reclutamiento. Pte retro por gh. 20260319: Pte retro por gh. 20260319: gh solicita evaluar a Pedro Osorio, Cindy Castro y Juan Ordoñez. Se programan pruebas. 20260330: Se confirma informe de canditados. Pte retro por gh. 20260413: gh notifica cambio laboral de Pedro Osorio.</t>
  </si>
  <si>
    <t>Coomeva Medicina Prepagada</t>
  </si>
  <si>
    <t>ENTRENADOR/A REG. ASOCIATIVIDAD</t>
  </si>
  <si>
    <t>Leidy Johana Garcia Rueda</t>
  </si>
  <si>
    <t>20260126: Se inicia reclutamiento, se realiza pieza para inicia el concurso mixto hasta el 02 de Febrero, 20260204 se valida solo se postulan 4 candiadtos internos, se envia matriz, se solicita agenda para la segunda semana de febrero, 20260209: Se envia candidatos externos para la respectiva validacion 20260212: Se solicita retroalimentación 20260217: A la espera de retroalimentación, indican proceso la proxima semana con interrnos y externos. 20260226: Cliente da agenda para realizar assesment 3 de Marzo (12). 20260306: Se valida proceso con gerente coorporativo se agenda entrevista con lider de GH para el 11 de Marzo. (3) 20260311: Se solicita agenda con la nacional de los 3 candidatos para el 19 de Marzo con la nacional. Se reprograma entrevista. (10) 20260325: Se agenda entrevista: 20260327: Pendiente de retroalimentación. (9) 20260409: Se da continuidad con candidata externa LEIDY JOHANA GARCIA. RUEDA se envio OC para FI el 27/04/2026</t>
  </si>
  <si>
    <t>IMEVI S.A.S</t>
  </si>
  <si>
    <t>Valery Rojas Navarrete</t>
  </si>
  <si>
    <t>20260126: se envia a reclutamiento carreras administrativas o financieras.20260127: se envian 3cv a GH.20260130: GH solicita evaluar a Jose luis y keren Gabriela.20260204: se informan novedades al cliente para avanzar. 20260204: se envian 3cv a GH. 20260211: GH solicita evaluar a Miryam Leonela. (4) 20260217: se comparte a GH prueba de integridad para aprobacion y continuar.20260220: GH informa no continuar con Leonenal, no aprobo prueba de integridad, se activa reclutamiento. (3) 20260226: GH solicita evaliuar a Elizabeth quien estaba pendiente de entrevistar. 20260305: se activa reclutamiento, elizabeth fue contratada en otra empresa. 20260309: se envian 3cv a GH. 20260312: GH solicita evaluar 3 candidatas enviadas. 20260320: se entregan informes. 20260324: se envia O.C con F.I 06 Abril. 20260401: estudiante no entrega carta, se corre ingreso 15 abr.</t>
  </si>
  <si>
    <t>Andres Felipe Varela Parra</t>
  </si>
  <si>
    <t>20260129:Crean RQ. 20260211: Se comparten: Saudy - Andres - Jessica. JI informa que entrevistará el 18/feb.(2) 20260219: Piden evaluar a Saudy y Andres. 20260225: Se validan resultados del proceso evaluativo, Andres no supera pruebas y Saudy es descartada por el Líder - Piden nuevo reclutamiento. 20260302: Se comparten: Miguel - Loraine - Esteffania. 20260305: Sin avances de entrevista por parte del JI. (5) 20260312: GH informa que los candidatos desisten y piden validar pruebas del candidato Andres Varela. 20260313: Se comparte registro evaluativo y se avanza con EDS. 20260318: Candidato en EMO. 20260431: GH solicitan detener proceso.020260407: Solicitan activar reclutamiento.20260409: Se comparten: Mary Gomez - Isis Cortes - Nairobis Sabrino- 20260414: JI descarta candidatos sin entrevista y pide que sean de Colmedica. 20260415: Se comparten: Edgardo Russill - Hamilton Leal - Alberto Zabaleta. 20260421: Solicitan activar proceso con Andres y contratar - tambien piden pasar la terna para la RQ 16362. Se confirma contratación del colaborador Andres Felipe varela Parra, con FI. 27/04/2026.</t>
  </si>
  <si>
    <t>MB Crusher</t>
  </si>
  <si>
    <t>Kimberly Justine Wilches Rache</t>
  </si>
  <si>
    <t>20260202: Se activa reclutamiento, se programan entrevistas para el 4 de Febrero. 20260204: Con base en el espacio candidata apta Ingrid Peña, se solicitan documentos. 20260206: Candidata Ingrid aun en documentos e igualmente se genera nuevo espacio para el 11 de Febrero. 20260211: Con base en el espacio de hoy candidata apta Deisy Mendoza, a la espera de espacio con JI. 20260218: A la espera de espacio con JI para las 2 candidatas preseleccionadas. 20260226: A la espera de agenda con JI. (12). 20260302: Con base en espacio con JI ningun candidato es apto por competencias, se retoma reclutamiento, se programa espacio para el 4 de Marzo. 20260305: Con base en el espacio candidatos no aptos por competencias, se genera nuevo espacio para el 10 de Marzo con base en disponibilidad de agenda de GH. 20260310: Se seleccionan a Ana Rios y Kimberly Wilches, a la espera de agenda con JI. 20260312: A la espera de agenda con JI. 20260317: Con base en la informacion recibida se genera espacio con JI para el 18 de Marzo.(4) 20260319: Con base en la informacion recibida candidata apta Kimberly Wilches, se solicitan documentos. 20260321: Se envía a estudio de seguridad y contratación a Kimberly Wilches, con fecha tentativa de ingreso del 6 de Abril.</t>
  </si>
  <si>
    <t>JEFE/A ADMINISTRATIVO Y FINANCIERO</t>
  </si>
  <si>
    <t>Maria Eugenia Ocampo Rivera</t>
  </si>
  <si>
    <t>20260202: El cliente envio a evaluar a Maria Eugenia Ocampo que se encuentra por medio de la temporal. 20260210:Se subio informe y se le informo al cliente. 20260217:Se solicito retroalimentacion. 20260224:Se le volvio a solicitar al cliente la autorizacion y formato de ingreso de la candidata para poderla contratar. 20250225: La candidata aun no envia el formato y tampoco han enviando la autorizacion. y se le volvio a preguntar al cliente. 20260304:Se le pregunto al cliente si se puede detener este proceso. 20260316:El cliente envio a contratar a Maria Eugenia. Se envio con FI 25 de Marzo. 20260318:El cliente informa que la candidata no podra presentarse a examenes. Se cambia FI para el 6 de Abril.</t>
  </si>
  <si>
    <t>Hoteles MS</t>
  </si>
  <si>
    <t>ANALISTA DESARROLLO TALENTO Y LIDERAZGO</t>
  </si>
  <si>
    <t>Adriana Bedoya Mejia</t>
  </si>
  <si>
    <t>20260204: Se solicita afinamiento. 20260206: se envia para publicacion interna sale 10 febrero hasta 12. 20260209: se activa reclutamiento, se realizo afinamiento. 20260210: se filtran candidatos para revision por GH. 20260213: Se envian 5cv de reclutamiento y se confirman candidatos filtrados en SF para revision por GH. 20260218: se realiza seguimiento, lider aun no revisa hv.20260225: se realiza seguimiento y estan en revision por lider.20260306: GH solicita evaluar 6 candidatos.(11) 20260316: se cargan evaluaciones en SF.20260327: GH solicita enviar OC de Adriana Arboleda para ingreso 15 de abril.(3) 20260330: Se envia O.C con F.I 15 abril.</t>
  </si>
  <si>
    <t>Banco W</t>
  </si>
  <si>
    <t>ANALISTA GESTION DEL CAMBIO</t>
  </si>
  <si>
    <t>Alejandra Mendez Cardenas</t>
  </si>
  <si>
    <t>20260205: se solicita afinamiento. 20260206: se envia para publicacion interna sale 10 febrero hasta 12. 20260209: se activa reclutamiento, se realizo afinamiento. 20260212: se filtran candidatos para revision por GH. 20260213: se envian 4cv de reclutamiento y se confirman filtradas cv en SSFF para revision por GH. 20260218: se realiza seguimiento, lider aun no revisa hv. 20260225: se realiza seguimiento y estan en revision por lider. 20260305: GH solicita evaluar 3 candidatos referidos. 20260312: se entregan informes. 20260327: GH solicita enviar OC de Alejandra Mendez, para ingreso 15 de abril. 20260330: se envia O.C con F.I 15 abril.</t>
  </si>
  <si>
    <t>Ingenio Pichici</t>
  </si>
  <si>
    <t>Natalia Andrea Salazar Ahumada</t>
  </si>
  <si>
    <t>20260204: se activa rq y GH envia a evaluar a Katherin Gil. 20260210: se evalua candidata y se carga informe, no aprobo prueba de servicio, se notifica a GH, pendiente de confirmacion si se avanza con candidata. 20260218: se realiza seguimiento. 20260223: se realiza seguimiento, GH informa aun estar pendiente de aprobacion. 20260226: se detiene rq, en proceso aprobacion de UCO por prueba de servicio. 20260227: se activa reclutamiento. 20260304: se envian 3cv a GH. 20260310: GH solicita evaluar Natalia salazar.20260312: Se carga evaluacion en SF. 20260313: GH solicita enviar O.C con F.I 25 Marzo. 20260324: se mueve fecha de ingreso para el 6 de Abril por solicitud de candidata y aprobacion de GH.</t>
  </si>
  <si>
    <t>Coexito</t>
  </si>
  <si>
    <t>Jhon Harvey Belalcazar Ceballos</t>
  </si>
  <si>
    <t>20260205: Se envia a reclutamiento.20260210: se envian 3cv. 20260216: GH solicita reclutamiento. 20260219: se envian 4cv a GH. 20260224: GH informan evaluar candidatos y se les agendara prueba tecnica con gerente para definir. 20260305: GH comparte feedback, se activa reclutamiento. 20260312: GH solicita evaluar dos candidatos referidos. 20260316: se envian 3cv a GH. 20260318: se carga evaluacion. 20260320: GH solicita avanzar en contratacion con Jhon. 20260324: Se envia O.C con F.I 6 Abril.</t>
  </si>
  <si>
    <t>Mi Banco</t>
  </si>
  <si>
    <t>Kely Johana Gomez Arboleda</t>
  </si>
  <si>
    <t>20260205: GH solicita reclutamiento de est. admon para negocios fiduciarios. 20260213: Se envian 3 hv Alder Delgado, Victor Florez y Karen Galviz. 20260220: GH informa que solo se presento Karen, solicita mas reclutamiento. 20260309: se envian 4hv. 20260312: GH solicita evaluar 2 candidatos. 20260319: se entregan informes. 20260320: GH solicita contratar a Kelly Gomez. 20260324: se envia OC con FI 6 abr.</t>
  </si>
  <si>
    <t>Sebastian Zabala Orozco</t>
  </si>
  <si>
    <t>20260205: GH solicita est. admon para sarlaft. 20260213: Se envian 3 hv Heidy Quintero, Leidy Estupiñan y Xiomara Lozano. 20260220: GH informa que ninguno se presento a entrevista. Se envian 2 hv Derly Garcia y Luis Cordoba. 20250226: GH solicita evaluar y contratar a Karen Gaona enviada en la requi 15807. Se informa que la candidata desiste. 20260303:GH informa que no se presentaron, se retoma reclutamiento. 20260309: se envian 4 hv. 20260312: gh solicita evaluar 2 candidatos. 20260319: se entregan informes. 20260320: GH solicita contratar a Sebastian Zabala. 20260324: se envia OC con FI 6 abr.</t>
  </si>
  <si>
    <t>PROMOCION INTERNA</t>
  </si>
  <si>
    <t>Liceth Johana Gurrute Jalvin</t>
  </si>
  <si>
    <t>20260205: gh solicita evaluar a Ligia Castellar y Lina Gonzalez. Se programan pruebas. 20260206: se informa a gh que candidatos no pasan prueba servicio. Se activa reclutamiento. 20260213: se envian 5 hv. 20260217: gh envia retro y modifica el perfil. (auxiliar enfermeria, exp en vacunacion) Se reactiva proceso. 20260219: Se envian 4 hv. pte retro por gh. 20260225: Pte retro por gh. 20260302: gh solicita evaluar a Heidy Zapata. Se programan pruebas. 20260303: se notifica a gh que heidy desiste por salario. Se activa reclutamiento. 20260310: Se envian 4 hv. Pte retro por gh. 20260312: gh soliicta evaluar a Angelica Clavijo, Jimena Giraldo y Vicky Vivas. 20260313: se informa a gh novedad de veritas de Angelica y Jimena. gh solicita avanzar contratacion de Vicky. 20260318: se informa que candidata no cuenta con soporte de estudia, gh solicita activar reclutamiento. 20260324: se envian 7 hv para las 2 vacantes. Pte retro por gh. 20260331:gh solicita evaluar a Karen Liceth Leyton, cuando se contacta, la candidata informa que desiste. Envian hv Liceth Gurrute -practicante- para evaluación. 20260408: se confirma informe y envia OC con FI 15 de abril.</t>
  </si>
  <si>
    <t>Elanis Paola Gomez Perez</t>
  </si>
  <si>
    <t>20260209:Crean RQ (administrativo). 20250212: Se comparten: Michael - Sebastian. 20260219: Candidatos desisten por firmar con otras empresas. 20260220: Se comparten: Elanis - Ziaholve - Keiner. 20260225: Piden evaluar a Ziaholve. 20260303: Se informa que la candidata tiene pte pruebas y se avanza a evaluación con Keiner. 20260304: Se informa que Keiner desiste. 20260305: GH solicita mas candidatos toda vez que Elianis está disponible en etapa productiva a partir de Abril. 20260311: Piden evaluar a Elianis y contratar inicialmente en etapa lectiva. 20260313: Se comparte reporte evaluativo y se avanza con EDS. 20260318: Candidata en EMO - Se comparte resutlado a GH para su aval de avance. 20260319_ Dan aval. 20260326: Se confirma contratación de la colaboradora Elianis Paola Gomez Perez, con FI. 06/04/2026.</t>
  </si>
  <si>
    <t>ANALISTA SELECCION Y CONTRATACION USC</t>
  </si>
  <si>
    <t>Erica Liliana Mozo Forero</t>
  </si>
  <si>
    <t>20250205:Se inicia reclutamiento 20250210: Se realiza entrevista con 7 candidatos favorable 4 candidatas, se aplica pruebas, se solicita entrevista con JI 20260212: Agenda con JI no favorable candidatas, se continua con el reclutamiento 20260219: Se agendo candidatos, no se presentaron, se continua con proceso, 20260225: Se realizo proceso virtual entrevista de manera presencial el 27 de Febrero 20260304: A la espera de entrevista con Jefe nacional, candidata desiste del proceso (3). 20260309: Se continua con el reclutamiento proceso 13 de Marzo. 20260316: Se realiza proceso con 5 candidata se da continuidad con Erica Mozo Pendiente entrevista con Lider (3). 20260320: Con base en el espacio candidata Erica Mozo apta, se solicitan documentos. 20260325: Se envía a estudio de seguridad y contratación a Erica Mozo, con fecha tentativa de ingreso del 6 de Abril.</t>
  </si>
  <si>
    <t>CTIC</t>
  </si>
  <si>
    <t>Karla Valentina Martinez Acuña</t>
  </si>
  <si>
    <t>20260211: Se inicia reclutamiento. 20260226: En revision de hojas de vida, a la espera de agenda de GH para programar entrevistas.20260302: Se genera espacio para el 4 de Marzo con base en disponibilidad de agenda de GH. 20260304: Con base en el espacio candidata apta Karla Martinez, a la espera de agenda con JI presencial. 20260305: Se genera espacio para el 9 de Marzo con JI con base en disponibilidad de agenda. 20260309: Candidata Karla apta, se solicitan documentos. 20260312: Se envía a estudio de seguridad y contratación a Karla Martinez con fecha tentativa de ingreso del 6 de Abril por fechas de prácticas de su institución.</t>
  </si>
  <si>
    <t>AUXILIAR DE FARMACIA</t>
  </si>
  <si>
    <t>Lina Fernanda Cossio Solarte</t>
  </si>
  <si>
    <t>20260211: GH envia a evaluacion candidato Hellen Bustamante.20260217: se carga evaluacion en sf y se informa a cliente que no aprobo prueba de servicio. 20260218: GH notifica cargo ser del back y enviar O.C. 20260219: Se envia O.C con F.I 2 Marzo. 20260227: Hellen no aprobo emo, se activa reclutamiento .20260306: se envian 4cv a GH. 20260311: se activa reclutamiento. 20260316: se envian 5cv a GH. 20260324: GH solicita evaluar a lina cossio quien fue enviada por reclutamiento y a natalia referida. 20260406: se envia OC de Lina Cossio.</t>
  </si>
  <si>
    <t>Farmart IPS</t>
  </si>
  <si>
    <t>Libardo Jose Licona Martinez</t>
  </si>
  <si>
    <t>20260213: se activa reclutamiento 20260218: JI se encuentra en periodo de vacaciones por lo cual el proceso queda en stand by. 20260224: JI solicita realizar entrevistas la semana siguiente, se programa para el 4 de marzo entrevistas (10). 20260302: se comparten 7 HV 20260304: se presentan 6 candidatos y aprueban José Montiel, Carlos Irirarte y Geraldine Zambrano. 20260309: se envia retroalimentacion con concepto favorable y se programa en compañia del entrenador y el Gte el espacio para el 12 de mar (3). 20260312: se presentan los tres candidatos y al final JI indica que no se continua con ninguno de los 3. Se reactiva el reclutamiento 20260318: se comparten 6 HV para entrevista con JI el 24 de mar. 20260324: se presentan 4 candidatos y aprueba Saidith Suarez, se programa proceso evaluativo 20260326: se comparte retroalimentacion con concepto aprobado de la candidata Saidith Suarez y JI indica que no desea continuar con la candidata debido al puntaje obtenido. 20260401: se comparten 7 HV adicionales 20260407: se valida con JI disponibilidad para entrevistas 20260408: se comparten 2 HV adicionales (2). 20260413: se presentan 5 candidatos y aprueban Kristin Lopez y Libardo Licona, se incia proceso evaluativo. 20260416: se comparte retroalimentación con concepto aprobado de los candidatos. 20260417: JI solicita la contratación de Libardo Licona se envia a ES 20260420: se recibe resultado y se envia a GH para contratacion con la temporal</t>
  </si>
  <si>
    <t>Giovanni Abdel Sanchez Rodriguez</t>
  </si>
  <si>
    <t>20260216: Se activa reclutamiento. Se programan entrevistas con JI 19Feb. Proceso no favorable, se continua con reclutamiento con agenda para el 27 de febrero, 20250304: Se realiza proceso con 4 candidatos favorable 1 candidato a la espera de documentos HERICK FRANCK GONZALEZ ROMERO. 20260310: Se genera nuevo espacio para el 11 de Marzo, dado que el candidato Herick Gonzalez pasa a la requi 15796. 20260311: Con base en el espacio de hoy candidato apto Giovani Sanchez, se solicitan documentos. 20260312: Candidato Giovani Sanchez aun en documentos. 20260318: Se envía a estudio de seguridad y contratación a Giovani Sanchez con fecha tentativa de ingreso del 6 de Abril.</t>
  </si>
  <si>
    <t>JFK COOPERATIVA FINANCIERA</t>
  </si>
  <si>
    <t>ANALISTA CUMPLIMIENTO ADMINISTRACION GARANTIAS</t>
  </si>
  <si>
    <t>Harold Gabriel Quintero Torres</t>
  </si>
  <si>
    <t>20260216: pendiente perfil.20260217: se realiza afinamiento de perfil. 20260218: se activa reclutamiento externo y se envia para publicacion interna el jueves 19 hatsta lunes 23.20260305: se envian 3cv a GH.20260309: GH envia 3 referidos para evaluacion. 20260318: Se realiza entrevistas con gh y ese mismo dia gh envia a Jenny Viviana Leon para evaluacion. Se programan pruebas. 20260325: Se confirma informe de Hector, Harold y Ferney. Pte evaluacion de Jenny, se programa entrevista para el 27 Marzo de acuerdo a disponibilidad de gh. 20260327: gh informa no proceder con informe de Jenny, pte definición. 20260406: gh solicita contratar a Harold Quintero. Se envia OC con FI 15 de abril.</t>
  </si>
  <si>
    <t>Hector Fernando Micolta Bedoya</t>
  </si>
  <si>
    <t>20260216: pendiente perfil. 20260217: se realiza afinamiento de perfil. 20260218: se activa reclutamiento externo y se envia para publicacion interna el jueves 19 hasta lunes 23. 20260305: se envian 3hv. 20260312: en evaluacion 4 candidatos de rq 15881 que es misma posicion. 20260326: se cargan evaluaciones en sf y gh solicita evaluar jeny leon, entrevista 27 marzo. 20260401: gh solicita contratar a Hector Micolta. 20260406: se envia OC de Hector Micolta.</t>
  </si>
  <si>
    <t>Juan Sebastian Caicedo Hurtado</t>
  </si>
  <si>
    <t>20260216: pendiente perfil.20260217: se realiza afinamiento de perfil. 20260218: se activa reclutamiento externo y se envia para publicacion interna el jueves 19 hatsta lunes 23. 20260317: se envian 5cv a GH. 20260326: gh solicita evaluar 4 candidatos referidos. 20260406: Gh solicita contratar a Juan Sebastian Caicedo. 20260408: Se envia OC del candidato con FI 15 de abril.</t>
  </si>
  <si>
    <t>Accion del Cauca S.A.S</t>
  </si>
  <si>
    <t>ANALISTA EXPERIENCIA VINCULACION CLIENTES Y PASIVOS</t>
  </si>
  <si>
    <t>Edier Augusto Tapasco Velasco</t>
  </si>
  <si>
    <t>20260216: pendiente perfil. 20260217: se realiza afinamiento de perfil. 20260218: se activa reclutamiento externo y se envia para publicacion interna el jueves 19 hasta lunes 23. 20260318: se envian 6cv a GH.20260327: se realiza seguimiento, pdt respuesta. 20260401: Gh solicita evaluar a Edier Tapasco. 20260406: se realiza entrevista en conjunto con GH. 20260408: se carga informe y Gh confirma que hara CL.</t>
  </si>
  <si>
    <t>ANALISTA FORMALIZADOR VINCULACION CLIENTES Y PASIVOS</t>
  </si>
  <si>
    <t>Jennifer Andrea Valencia Valencia</t>
  </si>
  <si>
    <t>20260216: pendiente perfil.20260217: se realiza afinamiento de perfil. 20260218: se activa reclutamiento externo y se envia para publicacion interna el jueves 19 hasta lunes 23. 20260318: se envian 3cv a GH. 20260327: se realiza seguimiento, pdt respuesta. 20260330: gh solicita evaluar 2 candidatos. 20260406: se realizan entrevistas en conjunto con GH y solicitan contratar a Jennifer Valencia con FI 15 abr. 20260407: se envia OC.</t>
  </si>
  <si>
    <t>Kelly Vanessa Brand Otero</t>
  </si>
  <si>
    <t>20260216: pendiente perfil. 20260217: se realiza afinamiento de perfil. 20260218: se activa reclutamiento externo y se envia para publicacion interna el jueves 19 hasta lunes 23. 20260320: se envian 3cv. 20260327: se realiza seguimiento, pdt respuesta. 20260330: gh solicita evaluar 1 candidato. 20260406: se entrevista en conjunto con GH y se retroalimenta novedad veritas. 20260407: GH informa no continuar proceso con el candidato. 20260408: GH solicita contratar a Kelly Brand, evaluada para la rq 16116. Se envia OC con FI 15 abr.</t>
  </si>
  <si>
    <t>Astrid Eliana Coral Quinayas</t>
  </si>
  <si>
    <t>20260217: GH solicita est. para el area comercial. 20260219: se toma requi para curso cerrado. 20260220: Se envia OC de Isabella Gonzalez con F.I 9 mar. 20260223: GH informa que no continuara con curso cerrado, solicita reclutamiento. 20260309: se envian 4 hv. 20260312: GH solicita evaluar 2 candidatos. 20260319: se entregan informes. 20260320: GH solicita contratar a Astrid Coral. 20260324: se envia OC con FI 6 abr.</t>
  </si>
  <si>
    <t>JEFE/A MORA TEMPRANA</t>
  </si>
  <si>
    <t>Alexander Tamayo Bedoya</t>
  </si>
  <si>
    <t>20260216: pendiente perfil. 20260217: se realiza afinamiento de perfil. 20260218: se activa reclutamiento externo y se envia para publicacion interna el jueves 19 hasta lunes 23. 20260219: UCO informa publicacion sale el martes 24 hasta 26 de febrero. 20260302: se envian 3cv a GH. 20260312: se realiza seguimiento. 20260312: se realiza seguimiento. 20260318: se realiza seguimiento.20260324: GH solicita enviar pruebas 4 candidatos. (12) 20260326: candidatos en assessment.20260327: gh solicita evaluar 3 candidatos alexander, alejandro y adriana. 20260330: se entrevistan y se comparte retroalimentaciion verbal. 20260331: GH solicita contratar a Alexander Tamayo. 20260406: se envia OC con FI 15 abr. 20260410: GH solicita correr ingreso para el 27 abr. 20260414: GH solicita mover ingreso para el 20 abr con aprobacion corp. 20260415: GH mueve ingreso para el 22 abr.</t>
  </si>
  <si>
    <t>Progreser</t>
  </si>
  <si>
    <t>ABOGADO/A REGIONAL GESTION CARTERA JURIDICA</t>
  </si>
  <si>
    <t>Yesenia Paredes Conde</t>
  </si>
  <si>
    <t>20260216: pendiente perfil.20260217: se realiza afinamiento de perfil. 20260218: se activa reclutamiento externo y se envia para publicacion interna el jueves 19 hasta lunes 23. 20260219: UCO informa publicacion sale el martes 24 hasta 26 de febrero. 20260305: se envian 5cv a GH. 20260312: se realiza seguimiento.20260312: GH solciita evaluar 2 candidatos. 20260317: Se envian informes de Yesenia Paredes y Jhon Edwin Mosquera.20260324: GH solicita enviar OC de yesenia.20260325: se envia O.C con F.I 6 de abril.</t>
  </si>
  <si>
    <t>AUXILIAR SOLUCIONES PAGO</t>
  </si>
  <si>
    <t>Jeremy Castaño Tenorio</t>
  </si>
  <si>
    <t>20260216: pendiente perfil.20260217: se realiza afinamiento de perfil. 20260218: se activa reclutamiento externo y se envia para publicacion interna el jueves 19 hatsta lunes 23.20260219: UCO informa publicacion sale el martes 24 hasta 26 de febrero.(4) 20260302: se confirman candidatos de filtro interno.20260311: en revision prueba tecnica por parte del lider(6).20260316: GH solicita iniciar evaluación con 3 candidatos Jeremy, Jhon, Nayely. 20260320: Se carga evaluacion en sf. 20260326: Gh solicita enviar OC de Jhon. (2) 20260327: Se informa a Gh sobre excepcion por perfil academico. 20260409: Se cambia FI dado que no tenemos aun el aval para avanzar con el estudio técnico que tiene el candidato. 20260415: Se envia OC de Jeremy Castaño Tenorio dado que no se avanza con la contratación de John Deere candidato seleccionado inicialmente. cambio autorizado por gh.(3)</t>
  </si>
  <si>
    <t>Coomeva CSS</t>
  </si>
  <si>
    <t>JEFE/A REG MEDICO CEM</t>
  </si>
  <si>
    <t>Lizth Alexandra Valencia Guerrero</t>
  </si>
  <si>
    <t>20260217: Se inicia reclutamiento. 20260225: Se envían hv al cliente, a la espera de retroalimentación. 20260227: A la espera de retroalimentación, continuamos en reclutamiento. 20260303: Con base en la retroalimentacion del cliente candidatos no favorables, se retoma reclutamiento. 20260305: Se envían hojas de vida al cliente. 20260310: Con base en la retroalimentación del cliente candidatos no aptos, se retoma reclutamiento. 20260312: En revision de hojas de vida. 20260317: Se envían hojas de vida al cliente, cliente indica que se entrevistarán el 19 de Marzo. 20260324: Cliente indica que se genera assesment con candidatos aptos para el 26 de Marzo. 20260327: A la espera de retro por parte del cliente. (4) 20260330: Con base en la retro del cliente candidatos aptos Diana Correa, Lizth Valencia y Juan Moscoso, se solicitan documentos para iniciar estudio de seguridad con base en la solicitud del cliente. 20260406: Candidatos aun en documentos. 20260407: Se envía a estudio de seguridad y contratación a Lizth Valencia con fecha tentativa de ingreso del 15 de Abril.</t>
  </si>
  <si>
    <t>COMPENSAR</t>
  </si>
  <si>
    <t>INGENIERO/A PROCESOS LEAN I</t>
  </si>
  <si>
    <t>Carlos Alejandro Acosta Villegas</t>
  </si>
  <si>
    <t>20260218:Se activo reclutamiento y se solicita perfilacion 20260219:El cliente informa que enviara hojas de vida para evaluación por tal razon no es reclutamiento. 20260225:Se solicito informacion sobre el proceso ya que hasta el momento no han enviando candidatos a evaluar. 20260225:Se solicito retroalimentacion y GH informa que los candidatos se encuentran en prueba tecnica. 20260227:El cliente envio a evaluar a Harold Posso, Carlos Acosta, Abel Mosquera, Vanessa Castellanos. 20260304:Se subio informe de Harold y Carlos. Vanessa informo que no puede conectarse a entrevista solo hasta el Viernes y Abel se entrevistara el Jueves 5. 20260305:Se subio informe de Abel y se le informo al cliente. 20260306:El cliente envio a contratar a Carlos Acosta. 20260309:Se envio a contratacion con FI 25 de Marzo. 202603011:Se cambio la FI para el 6 de Abril.</t>
  </si>
  <si>
    <t>Global Exellence Consulting</t>
  </si>
  <si>
    <t>ANALISTA FINANCIERO/A</t>
  </si>
  <si>
    <t>Valentina Millan Rodriguez</t>
  </si>
  <si>
    <t>20260217: Se activa reclutamiento. 20260218: Se envia solicitud publicacion fec max 23 Feb. 20260224: se confirma filtro interno. pte reclutamiento. 20260306: Se envia hojas de vida para filtro por gh. 20260311: gh informa que se citan candidatos para prueba tecnica el 13 Marzo. 20260319: Pte retro por gh. 20260324: gh envia retro, informa que de las hv que filtraron seleccionaron a dos personas, pero nos solicitan el envio de mas hv para completar la terna. Se activa reclutamiento. 20260330: GH solicita evaluar a Valentina Millan, Juan J. Serna y Yuly A. Gómez. Se envían 5 hv de reclutamiento, pte retro. 20260409: se confirma informes, pte retro. 20260413: gh solicita contratar Valentina. Se envia OC con FI 27 de abril.</t>
  </si>
  <si>
    <t>Comercializadora Ecom S.A.S</t>
  </si>
  <si>
    <t>Maria Isabel Lopera Zuluaga</t>
  </si>
  <si>
    <t>20260220: Se envian 4 HV: Kevin Rene Giraldo, Juan David Arango, Ruben Dario Muñoz, Daniela Lopez. 20260226: Se envian otras 2 HV: Leonardo Pedroza, Carlos Augusto Marin. GH informa que se encuentran pendiente de programar entrevista por cierre de mes. 20260304: En proceso de entrevistas iniciales. 20260305: Se solicita continuar con reclutamiento. 20260306: Se envian otras 6 HV: Angela Pinto, Emanuel Rojas, Victor Manuel Vargas, Angela Valencia, Angie Marmolejo, Marcela Diaz. 20260310: Se solicita aplicar pruebas a Emanuel Rojas y Angela Valencia. 20260312: Los dos candidatos pasan pruebas, pendiente programar Assessment. 20260318: Una de las candidatas desiste, se solicita continuar con reclutamiento. 20260319: Se envian 5 HV: Maryi Katerin Narvaez, Astrid Viveros, Daniela Jaramillo, Maria Isabel Lopera Aleyda Otalvaro. 20260326: Se solicita aplicar pruebas a Daniela Jaramillo y Maria Isabel Lopera, assessment programado para el 30 de marzo. 20260330: Se solicita continuar con proceso de evaluación y contratacion con Maria Isabel Lopera con FI 15 de abril. 20260401: Se envia informe, se solicita contratación. 20260410:La candidata firma contrato. *Descontar 11 dias en proceso de seleccion, por demora en programar entrevista con JI, se debe realizar reclutamiento en dos oportunidades más. *Descontar 1 dia en proceso de contratación por demora por parte de la candidata en completar documentos de ingreso.</t>
  </si>
  <si>
    <t>Vardi Autos Usados</t>
  </si>
  <si>
    <t>ANALISTA FORMALIZADOR ADMINISTRACION GARANTIAS</t>
  </si>
  <si>
    <t>Cristian Andres Arboleda Ospina</t>
  </si>
  <si>
    <t>20260216: pendiente perfil.20260217: se realiza afinamiento de perfil. 20260218: se activa reclutamiento externo y se envia para publicacion interna el jueves 19 hatsta lunes 23. 20260219: UCO informa publicacion sale el martes 24 hasta 26 de febrero. 20260311: se envian 1cv para proceso interno de acuerdo a solicitud de lider 20260317: se envian 5cv. 20260326: GH solicita enviar pruebas a candidato cristian arboleda referido. 20260330: Se realiza evaluacuón de Cristian Arboleda y se solicita aval para continuar con el proceso dado que presenta novedad en veritas. 20260406: Gh brinda aval para continuar con el proceso, fecha de ingreso proyectada 15 de abril.</t>
  </si>
  <si>
    <t>Trayectoria</t>
  </si>
  <si>
    <t>Karol Dayana Mosquera Goyes</t>
  </si>
  <si>
    <t>20260220: Se activa reclutamiento . 20260227: Se comparten 2 hojas de vida. 20260304: El cliente solicita avanzar con Santiago Santa 20260309: El candidato se envia a contratacion y si todo sale satisfactorio su ingreso seria el 25 de marzo. 20260319: Pendiente por el aval del EM. 20260324: SE REINICIA RQ, candidato no supera Examen Médico. 20260326: Se tenia una persona en back-up la cual se retoma para proceso evaluativo Karol Mosquera. 20260406: Se envia a contratacion a Karol Mosquera. 20260409: La candidata se encuentra en EM .20260414: La candidata firma contrato</t>
  </si>
  <si>
    <t>Miguel Angel Santana Vargas</t>
  </si>
  <si>
    <t>20260220: Se inicia reclutamiento. 20260226: En revisión de perfiles y contacto con instituciones. 20260305: En reclutamiento y revision de alianzas. 20260312: Con base en la disponibilidad de agenda del cliente se programa espacio para el 16 de Marzo. 20260316: Con base en el espacio de hoy candidatos aptos Paurla Parra, Nicolas Boyacá, Miguel Santana y Yineth Sabogal, se envían pruebas y se solicitan documentos. 20260318: A la espera de agenda para espacio presencial con JI. 20260320: Se genera agenda con JI para el 24 de Marzo. 20260325: Con base en el espacio candidato apto Miguel Santana, se solicitan documentos. 20260327: Candidato en documentos. 20260406: Se envía a estudio de seguridad y contratación a Miguel Santana con fecha de ingreso del 15 de Abril.</t>
  </si>
  <si>
    <t>Heydy Yurani Castillo Buitrago</t>
  </si>
  <si>
    <t>20260220: Se inicia reclutamiento. 20260226: En revision de perfiles y contacto con instituciones. 20260305: En reclutamiento y revision de alianzas. 20260312: Con base en la disponibilidad de agenda del cliente se programa espacio para el 16 de Marzo. 20260316: Con base en el espacio de hoy candidatos aptos Paula Parra, Heydy Castillo, Nicolas Boyacá, Miguel Santana y Yineth Sabogal, se envían pruebas y se solicitan documentos. 20260318: A la espera de agenda para espacio presencial con JI. 20260320: Se genera agenda con JI para el 24 de Marzo. 20260325: Con base en el espacio candidato apto Heydy castillo, se solicitan documentos. 20260327: Candidato en documentos. 20260406: Se envía a estudio de seguridad y contratación a Heydy Castillo con fecha tentativa de ingreso del 15 de Abril.</t>
  </si>
  <si>
    <t>BARRANCABERMEJA</t>
  </si>
  <si>
    <t>Betcy Liliana Padilla Dean</t>
  </si>
  <si>
    <t>20260223: GH solicita iniciar reclutamiento preventivo y de manera confidencial 20250226: se encuentra en reclutamiento 20260305: se comparten 4 HV (Betcy Padilla) a GH 20260306: GH comparte 2 HV 20260309: 1 de las candidatas desiste del proceso 20260313: se comparte la retroalimentacion de la candidata Dayana Graciano y se decide no continuar con su postulacion 20260317: GH solicita la evaluacion de Betcy Padilla. 20260318: se programa PS de la candidata 20260319: se envia retroalimentacion con concepto aprobado de la candidata y GH solicita el envio a contratacion 20260320: se envia OC de Betcy Padilla con fecha de ingreso el 6 de abril</t>
  </si>
  <si>
    <t>Lizeth Katerine Perez Rodriguez</t>
  </si>
  <si>
    <t>20260225: Se activa reclutamiento. 20260303: Se compartieron 2 hojas de vida. 20260305: El cliente solicita avanzar con Valeria Rojas 20260311: Se le compartio al cliente el concepto que no es favorable y el cliente solicita evaluar a una candidata de back -up Lizeth Perez. 20260312: La candidata se encuentra en proceso evaluativo. 20260317: Se le comparte el concepto al cliente pendiente del aval 20260318: El cliente solicita avanzar con la candidata si todo sale bien su ingreso seria el 6 de abril. 20260324: La candidata se encuentra en ES 20260326; La candidata se encuentra en EM . 20260406: La candidata se encuentra pendiente por la carta de presentacion 20260409: La candidata firma contrato</t>
  </si>
  <si>
    <t>Gisela Yurani Zambrano Hernandez</t>
  </si>
  <si>
    <t>20260225:Se activo reclutamiento 20260302:El cliente cito a entrevista a 5 candidatos 3 internos y 2 externos. 20260310:Paso a pruebas una candidata referida Gisela Zambrano. y se enviaron 2 hojas de vida mas Ingrid Garces y Luber Fabian Vidal. 20260311:Gisela no ha terminado pruebas. Se enviaron 2 hojas de vida mas ya que los otros dos candidatos enviados desistieron del proceso. Diana Cruz y Sebastian Novoa. 20260316:Se subio informe de Gisela y se le informo al cliente. El lider entrevistara a la candidata el 17 de Marzo. 20260317:El cliente envio a contratar a Gisella. 20250318: Se envio a contratacion con FI 6 Abril.</t>
  </si>
  <si>
    <t>Colfondos S.A</t>
  </si>
  <si>
    <t>Angie Ludmila Paipilla Polo</t>
  </si>
  <si>
    <t>20260224: Se realiza entrevista con 4 candidatos, favorables en proceso 3, se envia pruebas y documentos 20260225: Se agendan candidatos con lider de TH 20260226: Se recibe retroalimentacion no favorable candidatos. 20260227: continuamos con el reclutamiento 20260305: Proceso con 4 candidatos no favorables. 20260306: Se continua con el reclutamiento agenda para el 10 de Marzo, se entrevistan 8 candidatos con JI se agenda entrevista con lider de GH el 12 de Marzo del proceso se da continuidad con LEIDY CATHERINE pendiente de documentos para enviar OC. 20260319: Se envia candidata con FI 06/04. 20260328: Candidata desiste, se continua con reclutamiento para proceso el: 20260408: Proceso se entrevisto en conjunto con JI 6 candidatos pasaron 3 candidatos para entrevista con Lider de Th 20260409: Se agenda entrevista a; KAREN RODRIGUE, ANGIE PAIPILLA Y KAREN PEÑA. para el 10 De Abril. 20260414: Con base en la retro del cliente candidata apta Angie Paipilla, se solicitan documentos. 20260415: Se envía a estudio de seguridad y contratación a Angie Paipilla, con fecha tentativa del 27 de Abril.</t>
  </si>
  <si>
    <t>Nicolas Bonilla Parra</t>
  </si>
  <si>
    <t>20260225: Se realiza entrevista con 4 candidatos, favorables en proceso 3, se envia pruebas y documentos 20260226: Se agendan candidatos con lider de TH 20260226: Se recibe retroalimentacion de dar continuidad con Yuli Hernanda se envia ES con fecha tentativa el 4 de Marzo candidato no favorable en pruebas, 20260227: continuamos con el reclutamiento. 20260305: Proceso con 4 candidatos no favorables. 20260306: Se continua con el reclutamiento. 20260310: se entrevistan 8 candidatos con JI se agenda entrevista con lider de GH. 20260312: del proceso solo se da continuidad con una persona. 20260313: proceso nuevemente con JI, se presentan 3 candidatos se da continuida con 2 para entrevista con Lider de TH. 20260313: solo pasa un candidato 20260316: Se continua reclutamiento. 20260320: Con bse en el espacio de hoy candidato apto Nicolas Bonilla, se solicitan documentos. 20260325: Se envía a estudio de seguridad y contratación a Nicolas Bonilla, con fecha tentativa de ingreso del 6 de Abril.</t>
  </si>
  <si>
    <t>COLMEDICOS</t>
  </si>
  <si>
    <t>Ana Maria Villa Deulofeut</t>
  </si>
  <si>
    <t>20260225: Crean RQ. 20260303: Piden evaluar a Danilo Pertuz. 202603009: Candidato desiste - se activa reclutamiento. 20260312: En reclutamiento. 20260313: Se comparten: Hiyireth - Daniela y Sadaath. 20260317: Solicitan evaluar a Daniela Cuentas. 20260319: Candidata Daniela desiste. 20260324: Se comparten: Michelle Restrepo - Ana VIlla - Giseth Rubio. 20260325: Solicitan evaluar a Michelle. 20260325: Candidata desiste por esquema salarial. 20260326: Se realiza entrevista junto con Líder a Ana Villa - Solicitan evaluar a la candidata. 20260401: Se comparte registro evaluativo y se avanza con EDS para Ana. 20260409: Candidata en proceso de apertura de cuenta - GH dá aval para avanzar ingreso al 15/Abri. 20260414: Se confirma contratación de la colaboradora Ana Maria Villa Deulofeut, con FI. 14/04/2026.</t>
  </si>
  <si>
    <t>Eliana Marcela Villalba Palacio</t>
  </si>
  <si>
    <t>20260225: Crean RQ. 20260305: En reclutamiento.20260309: Se comparten Winny - Ana - Lina. 20260312: Piden evaluar a Winny y Lina - Se comparte nueva candidata: Elena. 20260313: Se comparte reporte evaluativo - Piden avanzar EDS con Lina en la RQ 15756. 20260318: Piden avanzar EDS con Winny. 20260324: Se comparte registro evaluativo y se avanza con EDS. 20260326: se informa a GH que la candidata desiste del proceso y se consulta por el avance de entrevista para la candidata Elena Torres. 20260431: Solicitan descartar a la candidata y activar reclutamiento. 20260408: Se comparten: Lolita Montalvo - Adriana de la Hoz - Eliana Villalba.20260413: Piden evaluar a Eliana. 20260415: Se comparte registro evaluativo y se avanza con EDS. 20260420: Se confirma contratación de la colaboradora Eliana Marcela Villlalba Palacio, con FI. 27/04/2026.</t>
  </si>
  <si>
    <t>Compañía de Financiamiento Tuya</t>
  </si>
  <si>
    <t>AUXILIAR ASEGURAMIENTO Y MEJORA</t>
  </si>
  <si>
    <t>Maria Tatiana Mejia Garcia</t>
  </si>
  <si>
    <t>20260225: GH solicita concurso mixto. Se envian links para publicacion del 26 al 2 mar. 20260305: se entrega filtro interno y reclutamiento. 20260312: Gh solicita evaluar 3 candidatos. 20260319: se entregan informes de Icker Guisa y Gustavo Gomez, el otro candidato no respondio pruebas ni llamadas. 20260325: GH solicita evaluar a Maria Mejia. 20260401: se carga informe y se envia OC con FI 15 abr.</t>
  </si>
  <si>
    <t>Fiducoomeva (Prestación Servicios)</t>
  </si>
  <si>
    <t>Juan Diego Saavedra Ricaurte</t>
  </si>
  <si>
    <t>20260226: se activa reclutamiento. 20260226: GH comparte 3 cv para programas pruebas. 20260303: GH solicita evaluar 3 candidatos referidos por GH. 20260305: se envian 4cv a GH. 20260309: se cargan evaluaciones en SF. GH solicita enviar O.C de Leidy Orjuela.20260310: se envia O.C con F.I 25 Marzo.20260320: candidata desiste del proceso, gh indica enviar O.C con candidato en backup Juan Saavedra. 20260324: se envia O.C con F.I 6 Abril.</t>
  </si>
  <si>
    <t>Be To Bee</t>
  </si>
  <si>
    <t>ANALISTA RIESGO</t>
  </si>
  <si>
    <t>Santiago Rios Cardona</t>
  </si>
  <si>
    <t>20260226: se activa reclutamiento.20260302: se envia para publiacion interna, sale el 3 hasta 5 de marzo, 20260306: se filtran candidatos internos y no se postula candidatos que cumplan.20260311: se envian 2cv. 20260319: se realiza seguimiento, se activa reclutamiento desde cero, solicitan certificaciones en el perfil de candidatos.20260319: GH envia referido para evaluacion.20260325: se carga evaluacion, GH solicita enviar O.C, se envia con F.I 6 de abril.</t>
  </si>
  <si>
    <t>KPMG</t>
  </si>
  <si>
    <t>Elian Hernandez Morales</t>
  </si>
  <si>
    <t>20260227:Se activo reclutamiento 20260310: Se enviaron 3 estudiantes que estan disponibles a partir de Junio Josue Vargas, Maria Jose Arango y Jeison Pillimue. 20260311:El cliente envio a contratar a Elian Hernandez candidato que se encontraba en proceso con Banco. Se envio con FI 25 de Marzo. 20260319: El aprendiz ingresara con fecha 6 de Abril ya que la carta se debe de corregir.</t>
  </si>
  <si>
    <t>ANFITRION DE SERVICIO CM MP</t>
  </si>
  <si>
    <t>Gabriela Castillo Mojica</t>
  </si>
  <si>
    <t>20260302: Se inicia reclutamiento 202603040:Se realiza proceso con 6 candidata, no favorable. Se afina perfil se agenda espacio nuevamente para el 11 de Marzo. 20260311: Con base en el espacio de hoy ningun candidato es apto por competencias, se agenda espacio para el 16 de Marzo. 20260316: Con base en el espacio de hoy candidatas aptas: Gabriela Castillo, Jennifer Duque y Erika Hernandez, se solicitan documentos. 20260318: Candidatas aun en documentos. 20260321: Se envía a estudio de seguridad y contratación a Gabriela Castillo, con fecha tentativa de ingreso del 6 de Abril.</t>
  </si>
  <si>
    <t>Jose Mario Llorente Machado</t>
  </si>
  <si>
    <t>20260227: se activa reclutamiento 20260311: se comparten 4 HV a GH para tener en cuenta 20260316: Gh solicita evaluar a Jose Llorente, Yesscarlys Morelo y Yulinis Castillo, se programa proceso evaluativo 20260325: se envia retroalimentacion con concepto aprobado de los 3 candidatos y GH solicita contratar a Jose Llorente. 20260326: se envia OC con fecha de ingreso el 15 de abr 20260401: candidato aprueba EMO y ES 20260408: candidato aperturo cuenta y esta listo para contratar 20260410: contratación confirma ingreso de Jose Llorente con fecha de inicio el 15 de abril</t>
  </si>
  <si>
    <t>Alvaro Andres Rios Gonzalez</t>
  </si>
  <si>
    <t>20260303: se activa reclutamiento.20260309: se envian 3cv a GH.20260310: GH solicita evaluar 2 candidatos. 20260316: gh solicita avanzar contratacion con Alvaro Rios. Pte completar documentos para enviar OC. 20260319: Se envia OC FI 06 Abril.</t>
  </si>
  <si>
    <t>Stefani Mosquera Bonilla</t>
  </si>
  <si>
    <t>20260303: se activa reclutamiento. 20260309: se envian 2cv a GH. 20260317: GH solicita evaluar stefani. 20260320: se carga evaluacion, GH solicita enviar O.C de stefani. 20260324: se envia O.C con F.I 6 Abril.</t>
  </si>
  <si>
    <t>Jenny Esmeralda Ramirez Vergel</t>
  </si>
  <si>
    <t>20260302: Se activa reclutamiento. 20260305: Se comparten 2 HV para entrevista. 20260309: se tiene entrevista con dos candidatas pero aprueba solo Leidy Sanchez y JI solicita continuar. 20260311: se envia concepto aprobado de Leidy Sanchez a la espera de confirmacion de JI 20260312: JI solicita el envio a contratacion de Leidy Sanchez. Se envia OC con fecha de ingreso el 25 de mar 20260316: candidata manifiesta que desea conrtinuar con la postulacion a la vacante de Gestor Especializado, por lo cual se suspende su proceso de contratacion 20260324: candidata Leidy Sanchez desea retomar el proceso, se valida con el JI y en comun acuerdo se retoma proceso de contratacion 20260326: candidata Leidy Sanchez se encuentra en EMO, sin embargo, JI solicita no continuar el proceso debido a temas actitudinales que identifico con la candidata. SE REINICIA RQ. 20260331: se comparten 5 HV para entrevistas el 6 de abr. 20260406: se presentan 3 candidatos y aprueban los 3 Jhon Sebastian García. 20260413: JI solicita contratar por temporal a Jhon Sebastian García, al tiempo tiene entrevista con Jenny Esmeralda Ramirez quien viene en proceso desde 27 y se evaluo el 31 de marzo 20260414: JI solicita enviar a contratar a Jenny Ramirez 20260415: se envia OC de Jenny Ramirez con fecha de inicio el 27 de abril 20260421: contratación confirma ingreso de la candidata Jenny Ramirez con fecha de inicio el 27 de abril</t>
  </si>
  <si>
    <t>Seguros WFE</t>
  </si>
  <si>
    <t>Decisión JI</t>
  </si>
  <si>
    <t>Angela Paola Peñaloza Villamil</t>
  </si>
  <si>
    <t>20260302: Se activa reclutamiento. 20260304: Se genera espacio para el 5 de Marzo. 20260305: Con base en el espacio de hoy candidatos aptos Maritza Villegas, Ángela Peñaloza, Carlos Restrepo y Wilfran Mora, a la espera de agenda con JI. 20260310: Se citan candidatos con JI para el 12 de Marzo. 20260312: Con base en el espacio de hoy candidata seleccionada Angela Peñaloza primera opcion y segunda opcion Carlos Restrepo, se solicitan documentos. 20260316: Se envía a Angela Peñaloza a estudio de seguridad y contratación con fecha tentativa de ingreso del 25 de Marzo. 20260324: Con base en novedades presentadas por la candidata se modifica fecha de ingeso para el 6 de Abril.</t>
  </si>
  <si>
    <t>COOPETROL</t>
  </si>
  <si>
    <t>AUXILIAR CREDITO COMERCIAL</t>
  </si>
  <si>
    <t>Lina Fernanda Chois Garcia</t>
  </si>
  <si>
    <t>20260303: Se activa reclutamiento externo. 20260310:Se envio publicacion interna. 20260317:Se confirmo filtro interno y se enviaron 5 hv Juan Sebastian Garcia, Katherine Roa, Alejandra Patiño, Mayra Ramirez, Yenny Narvaez. 20260326: Se solicito retroalimentacion de las hv enviadas y el filtro interno. 20260326: El cliente envio a evaluar a Alejandra Patiño y Lina Chois. 20260331:Alejandra no ha realizado pruebas. Lina ya termino pruebas y fue citada a entrevista. 20260401:Alejandra Patiño informa que no ha podido realizar las pruebas ya que ha esado muy ocupada en su trabajo. 20260408:El cliente envio a contratar a Lina Chois. Se envio con FI 15 de Abril.</t>
  </si>
  <si>
    <t>Coomeva USC</t>
  </si>
  <si>
    <t>Carlos Alfonso Castillo Iturri</t>
  </si>
  <si>
    <t>20260303: se activa reclutamiento.20260309: se envian 2 cv a GH.20260310: GH comparte retro y requiere reclutamiento.20260313: GH envia referido para evaluación a Carlos castillo. 20260316: se envia 1cv a GH.20260319: se carga evaluacion en sf.20260324: GH solicita enviar O.C de carlos.20260325: se envia O.C con F.I 6 Abril.</t>
  </si>
  <si>
    <t>Daihang Katerine Hernandez Lopez</t>
  </si>
  <si>
    <t>20260303: se activa reclutamiento. 20260313: GH envia dos referidas para aplicar pruebas. 20260316: se envian 4cv a GH. 20260317: GH solicita evaluar dahiang katherine y seguimos quedamos atentos a las 4cv enviadas el 16 de Marzo. 20230324: se carga informe en sf. 20260324: GH solicia enviar O.C de Dahiang. 20260325: se envia O.C con F.I 6 Abril. 20260401: candidata no entrega docs, se corre ingreso para el 15 abr.</t>
  </si>
  <si>
    <t>Universidad San Buenaventura</t>
  </si>
  <si>
    <t>Angelica Maria Santos Rodriguez</t>
  </si>
  <si>
    <t>20260303: Se incia reclutamiento se agenda entrevista para el 10 de Marzo, se realiza proceso con 4 personas se seleccionan 2 pendiente entrevista con Lider de TH. 20260312 Entrevista con JI. 20260313: Se envia pruebas y solicitud de documentos. 20260317: Dan continuidad con Angelica Maria Santos Rodriguez con OC con FI 06/04</t>
  </si>
  <si>
    <t>ITC SOLUCIONES TECNOLOGICAS</t>
  </si>
  <si>
    <t>COORDINADOR/A REG. CANAL GESTORES GCGIA</t>
  </si>
  <si>
    <t>Laura Isabel Obando Hernandez</t>
  </si>
  <si>
    <t>20260303: Pendiente por definición de 3 candidatos que se habian presentado con anterioridad el 6 de Marzo agenda con Gerente 20260313 se da continuidad con Laura Obando 2026018: Se envia OC con FI 06/04</t>
  </si>
  <si>
    <t>Expertos Consulting</t>
  </si>
  <si>
    <t>Jhon Sebastian Garcia Escobar</t>
  </si>
  <si>
    <t>20260311: en reclutamiento. 20260313: comparten 9 HV para la vacante en mencion y se programa presentacion de oferta para el 16 de mar. 20260316 se conectan los candidatos y desisten 4 de ellos, finalmente se programa entrevista para el 18 de mar con 4 candidatos que cumplen con el perfil. 20260318: se presentan 2 candidatos y aprueba Cristian Gomez. 20260320: se comparte retroalimentacion con concepto aprobado de Cristina Gomez. 20260325: JI indica que no desea continuar con el candidato, se continua reclutamiento 20260331: se comparten 5 HV para entrevistas el 6 de abr. 20260406: se presentan 3 candidatos y aprueban Juan Sebastian Murillo y Sebastian Garcia. 20260410: candidato Sebastian Murillo no aprueba prueba de servicio. 20260414: JI solicita contratar en esta RQ a Sebastian García quien se evaluo el 8 de abril. 20260415: se envia a ES a Sebastian García 20260420: se recibe respuesta sobre el candidato y se envia a contratacion a GH por temporal</t>
  </si>
  <si>
    <t>AUXILIAR RECLUTAMIENTO</t>
  </si>
  <si>
    <t>Nicolas Gomez Ocampo</t>
  </si>
  <si>
    <t>20260303: se inicia reclutamiento. 20260309: aun no contamos con candidatos, dada la dificultad por salario. 20260319: aprueban incremento salarial a $2.600.000. 20260325: se citan 3 candidatos a assessment el 27 mar. 20260327: se presentaron 2 candidatos, se programan pruebas y el tercer candidato sera entrevistado el 29 mar. 20260329: el candidato desiste. Se programa entrevista con Nicolas Gomez el 31 mar. 20260401: se envia OC de Nicolas con FI 15 abr.</t>
  </si>
  <si>
    <t>Serdan</t>
  </si>
  <si>
    <t>Diana Carolina Holguin Echeverry</t>
  </si>
  <si>
    <t>20260303: Se activa reclutamiento. 20260309: se envian 3cv a GH. 20260312. GH solicita evaluar 3 candidatas enviadas. 20260320: se entregan informes. 20260324: se envia O.C con F.I 06 Abril. 20260401: estudiante no entrega carta, se corre para 15 abr.</t>
  </si>
  <si>
    <t>Martha Lucia Grisales Botero</t>
  </si>
  <si>
    <t>20260225: se tenía reclutamiento y se comparten 3 HV se programa entrevista para el 3 de mar 20260303: se tiene entrevista con dos candidatos y aprueba Jose Zapata 20260306: se comparte retroalimentacion 20260310: JI informa que no se continua con el candidato dado que no tiene buenos conceptos en veritas. 20260312: se continua reclutamiento 20260317: se comparten 2 HV para validacion con JI y GH, a la espera de disponibilidad de agenda. 20260325: se programa entrevistas para el 30 de mar 20260330: se presentan 3 candidatos y aprueba Martha Grisales. 20260407: se comparte retroalimentacion con concepto aprobado y JI solicita continuar con contratacion. Se envia OC de Martha Grisales con fecha de inicio el 15 de abr 20260410: candidata aprueba ES y EMO 20260414: contratación confirma ingreso de la candidata Martha Grisales con fecha de inicio el 15 de abril</t>
  </si>
  <si>
    <t>Cooperativa Confiar</t>
  </si>
  <si>
    <t>Andres Felipe Ardila Gomez</t>
  </si>
  <si>
    <t>20260304: Se activa reclutamiento 20260309: Se compartieron 3 hojas de vida para validacion del cliente. 20260312: Pendiente de retroalimentacion con el cliente. 20260317: El cliente solicita evaluar a Felipe Ardila. 20260324: Se comparte la retroalimentacion al cliente pendiente por respuesta. 20260325: Se envia a contratacion el candidato Andres Felipe Ardila, si todo sale bien su ingreso seria el 6 de abril. 20260326: El candidato se encuentra en ES. 20260331: El candidato firma contrato</t>
  </si>
  <si>
    <t>Agencia Seguros Presente ( Exito)</t>
  </si>
  <si>
    <t>Anlly Jimena Bravo Peña</t>
  </si>
  <si>
    <t>20260304: Se incia reclutamiento. se agenda con JI para el 13 de marzo. 20260313: llegan 6 candidatos, favorable en el proceso solo 1 candidato para entrevista con lider de GH. 20260313: Proceso no favorable. 20260318: Se solicita agenda. 20260324: Se selecciona a Jimena Bravo. 20260325: Se continua proceso con la candidata. Se le indica el proceder de las pruebas y envio de documentos. 20260406: se envia OC para el 27 de Abril</t>
  </si>
  <si>
    <t>Leidy Johanna Pineda Jaramillo</t>
  </si>
  <si>
    <t>20260309: Se envian 7 HV: Harol Muñoz, Monica Andrea Garcia, Bety Yecenia Cardona, Sergio Alzate, Anyela Marcela Cruz, Carolina Jaramillo, Leidy Andrea Samudio. 20260317: Se solicita aplicar pruebas a Carolina Jaramillo y se solicita continuar con reclutamiento. 20260320: Se envian otras 5 HV: Jhon William Gonzalez, Geraldine Cardona, Andres Mona, Jean Carlo Garcia, Leidy Johanna Pineda. 20260325: Se solicita aplicar pruebas a Jhon William Gonzales y Leidy Johanna Pineda, igualmente continuar con reclutamiento. 20260330: Se define continuar con proceso de evaluacion y contratación con Leidy Johanna Pineda con FI 15 abril. 20260331: Se envia informe, se solicita contratación. 20260414: La candidata firma contrato. *Descontar 4 dias en proceso de contratación, se presentaron inconvenientes para realizar apertura de cuenta, por procesos del Banco.</t>
  </si>
  <si>
    <t>Johny Alexander Uribe Molina</t>
  </si>
  <si>
    <t>20260304: se activa reclutamiento 20260306: GH solicita tener en cuenta a Daniela Gallego quien se tuvo en cuenta anteriormente. 20260312: candidata manifiesta que se encuentra en fuera de la ciudad. 20260317: candidata desiste del proceso indicando que lograr las comisiones del cargo es complicado, se continua reclutamiento. 20260318: GH solicita evaluacion de Lina Marcela Arango. 20260319: se envia retraolimentacion con concepto aprobado de la candidata y Gh solicita el envio a contratacion 20260320: se envia OC de Lina Arango con fecha de inicio el 6 de abr. 20260324: candidata desiste del proceso por otra oferta laboral. SE REINICIA RQ. Se comparten 5 (Jhony Uribe) HV para validacion de GH. 20260327: JI solicita evaluar al candidato Jhony Uribe, Deyna Soto y Karen Betancur 20260331: se comparte retroalimentacion de los candidatos y GH solicita enviar a contratar a Jhony Uribe 20260401: se envia OC de Jhony Uribe con fecha de incio el 15 de abr. 20260407: candidato Jhony Uribe aprueba ES y EMO 20260414:contratación confirma ingreso del candidato Jhony Uribe con fecha de inicio el 15 de abril</t>
  </si>
  <si>
    <t>David Josue Lopez Camargo</t>
  </si>
  <si>
    <t>20260311: Solicitan evaluar al candidato referido Manuel Morales. 20260317: Se comparte reporte evaluativo con 2 pruebas pendientes. 20260318: Piden avanzar con EDS - Candidato no envía documentos ni contesta las llamadas. 20260319: Líder solicita descartar y evaluar en esta RQ al referido David Lopez. 20260324: Se comparte registro evaluativo y se avanza con EDS. 20260327: Candidato en EMO. 20260330: Se confirma contratación del colaborador David Josue Lopez Camargo, con FI. 06/04/2026.</t>
  </si>
  <si>
    <t>ENFERMERO(A) CM</t>
  </si>
  <si>
    <t>Margarita Maria Machado Betancourth</t>
  </si>
  <si>
    <t>20260305: Se activa reclutamiento. 20260312: se envian 4 hv. Pte retro por gh. 20260316: gh solicita evaluar a Margarita, Arnold Quintero, Daniela Rosero y Diana Varela. Se programan pruebas. 20260324: gh solicita avanzar contratacion con Margarita. Ese mismo dia se envia OC FI 06 Abril.</t>
  </si>
  <si>
    <t>Clinica Esensa</t>
  </si>
  <si>
    <t>Maria Yuly Vargas Quintero</t>
  </si>
  <si>
    <t>20260305: Gh solicita evaluar a Oscar chamorro, Mara Reyes, Laura Ijaiji y Rodrigo Gil de reclutamiento enviado en la requi 15890. Se programan pruebas. 20260311: gh solicita avanzar contratacion con Oscar chamorro. 20260311: Se envia OC FI 25 MAR. 20260318: se envia novedad de emo. gh solicita cancelar proceso. Se activa reclutamiento. 20260324: Se envian 5 hv. Pte retro por gh. 20260401: gh solicita evaluar a Mario Chavez y Yuly Vargas. 20260408: se confirma informes, gh define continuar con Yuly, se envía OC con FI 15 de abril. 20260414: se modifica FI 27 de abril, ya que no se alcanzó a firmar con fecha inicialmente propuesta por novedad en ES y ocupacionales tardan 3 días.</t>
  </si>
  <si>
    <t>Hospital Universitario del Valle</t>
  </si>
  <si>
    <t>Laura Juliana Ijaji Granada</t>
  </si>
  <si>
    <t>20260305: Gh solicita evaluar a Tito Reyes, Mara Reyes, Laura Ijaiji y Rodrigo Gil de reclutamiento enviado en la requi 15890. Se programan pruebas. 20260311: gh solicita avanzar contratacion con Tito Reyes. 20260312: Se envia OC FI 25 MAR. 20260613: Se envia Novedad de ES. Gh solicita detener proceso. Se activa reclutamiento. 20260320: gh solicita enviar a contratacion a Laura Ijaiji. 20260324: Se envia OC FI 06 Abril.</t>
  </si>
  <si>
    <t>Clinica Colombia</t>
  </si>
  <si>
    <t>Diego Fernando Correa Mazuera</t>
  </si>
  <si>
    <t>20260217: Se activa reclutamiento. 20260223: Se enviaron 3 hv Breiner Ramos, Karen Rivera, Juan David Amezquita. El cliente cito a entrevista para el Miercoles 25. 20260226: Paso a pruebas Breitner Ramos. 20260304:Breitner no ha terminado la prueba, por tal razon no se ha podido subir informe. 20260305: Se subio informe y se le informo al cliente. 20260310:El cliente decidio no continuar con Breitner por resultados en las pruebas. Se activa reclutamiento. 20260320: Se enviaron 4 hojas de vida German Agudelo, Juan Diego Florez, Darleen Campo y Jessica Ramos. 20260324: Se citaron a entrevista para el 25. 20260326: No pasaron entrevista Juan Diego y German. Jessica y Darleen se reprogramaron ya que no pudieron asistir. Se activa reclutamiento. 20260331:Se enviaron 3 hv Jean Paul Cardona, Diego Correa y Carlos Telles. 20260406: El cliente cito a entrevista para el 9 de Abril. 20260410: El cliente envio a pruebas a Diego Correa y Carlos Telles. 20260414: Se subio informe. El cliente envio a contratar a Diego Correa. 20260415: Se envio con FI 27 de Abril</t>
  </si>
  <si>
    <t>Nexa</t>
  </si>
  <si>
    <t>Leonor Sofia Almario Arzuza</t>
  </si>
  <si>
    <t>20260305: Crean RQ. 20260309: Piden evaluar a candidatos Carolina Henao y Katherine Quintana. 20260312: Se comparte registro evaluativo para que GH defina con quien avanzar a EDS. 20260316: GH informa que estarán en otras entrevistas con referidos para definir con quien se avanza. 20260320: Piden evaluar a las candidatas referidas: Cindy Salgado - Leonor Almario (prioridad). 20260325: Se comparte registro evaluativo de la candidata Leonor, con novedad en prueba veritas y se informa que Cindy no culmina el proceso evaluativo. Dan aval para avanzar con Leonor. Se avanza con EDS. 20260327: Candidata en EMO. 20260331: Se confirma contratación de la colaboradora leonor Sofia Almario Arzuza, con FI. 06/04/2026.</t>
  </si>
  <si>
    <t>ANALISTA CARTERA</t>
  </si>
  <si>
    <t>Melissa Ospina Santamaria</t>
  </si>
  <si>
    <t>20260306:El cliente envio a evaluar Melissa Ospina. 20260311:La candidata le faltan 2 pruebas por realizar. 20250313: La candidata termino pruebas y se cito a entrevista para el 16 de Marzo. 20260317: Su subio informe y se le informo al cliente. 20260319: El cliente envio a contratar a la candidata. 20260325:El cliente aun no envia formato de excepcion por estudio para enviar a contratar a la candidata. 20260326:Se volvio a solicitar formato de excepcion. 20260327:Se envio a la candidata a contratacion con FI 15 de Abril.</t>
  </si>
  <si>
    <t>Restaurante Bar Solar</t>
  </si>
  <si>
    <t>Kely Johanna Mejia Uribe</t>
  </si>
  <si>
    <t>20260309: se activa proceso de reclutamiento 20260313: comparten 9 HV para la vacante en mencion y se programa presentacion de oferta para el 16 de mar 20260316: se conectan los candidatos y desisten 4 de ellos, finalmente se programa entrevista para el 18 de mar con 4 candidatos que cumplen con el perfil 20260218: no aprueba candidato que se presenta. 20260319: se envian 2 HV adicionales para entrevista el 20 de mar. 20260320: se presenta la candidata Kely Mejia y aprueba proceso. 20260325: candidata tiene entrevista con Gte y aprueba proceso 20260326: se comparte la retroalimentación de la candidata Kely Mejia con concepto aprobado y se envia OC de Kely Mejia para fecha de ingreso inicialmente el 27 de abril. 20260401: candidata aprueba ES 20260407: candidata aprueba EMO y se envia a apertura de cuenta, se espera aval de la nacional para ingreso el 10 de abril 20260409: corporativo brinda autorización para ingreso de la candidata a partir del 15 de abril 20260414: contratación confirma ingreso de la candidata Kely Mejia con fecha de inicio el 15 de abril</t>
  </si>
  <si>
    <t>Eficacia</t>
  </si>
  <si>
    <t>ITAGUI</t>
  </si>
  <si>
    <t>EJECUTIVO/A COMERCIAL CSS</t>
  </si>
  <si>
    <t>Jesus Daniel Perez Martinez</t>
  </si>
  <si>
    <t>20260306: se activa reclutamiento. 20260309: se comparten 9 HV para entrevista el 10 de marzo. 20260310: se presentan 7 candidatos y aprueban Alejandra Villada, Daniel Perez y Johnatan Yara. 20260311: se programa proceso evaluativo con los candidatos. 20260313: se envia retroalimentacion con concepto aprobado de los 3 candidatos. 20260316: JI solicita el envio a contratacion de Daniel Perez con fecha de inicio el 6 de abr. Se envia OC 20260318: candidato aprueba ES 20260325: candidato Daniel Perez se encuentra en EMO. 20260331: contratación confirma ingreso de Daniel Pérez con inicio el de abril.</t>
  </si>
  <si>
    <t>Emtelco</t>
  </si>
  <si>
    <t>Luis Miguel Garcia Villa</t>
  </si>
  <si>
    <t>20260310: Se activa reclutamiento el 10 a solicitud de GH dado que sera un retiro que se notificara hasta el 9 de marzo.20260318: GH envia referida para evaluacion, Margarita, se envian 4cv a GH para tener backup.20260324: GH solicita evaluar santiago aragon. 20260331: Gh solicita hacer de nuevo seguimiento a los candidatos Margarita y Santiago para insistirles en que realicen las pruebas (4). 20260407: Margarita desiste del proceso (6). 20260408: Se inicia reclutamiento. 20260410: Se inicia evaluación a 2hv enviadas por gh (Wilson Cardona y Luis Garcia). 20260414: se suben informes y gh envia informacon del candidato a contratar, en proceso de contratación Luis Garcia FI 27 de abril.</t>
  </si>
  <si>
    <t>Royal Films</t>
  </si>
  <si>
    <t>Dayana Michelle Ortega Gomez</t>
  </si>
  <si>
    <t>20260307: Se activa reclutamiento. 20260312: Se genera espacio para el 18 de Marzo. 20260318: Con base en el espacio de hoy candidata apta: Estefany Pico, Nicolle Morales y Dayana ortega, a la espera de agenda con JI. 20260320: Se genera espacio con JI para el 24 de Marzo. 20260324: Con base en el espacio de hoy candidata apta Dayana Ortega, se solicitan documentos. 20260327: Candidata aun en documentos. 20260401: Se envía a estudio de seguridad y contratación a Dayana Ortega, con fecha tentativa de ingreso del 15 de Abril.</t>
  </si>
  <si>
    <t>Estefany Pico Mosquera</t>
  </si>
  <si>
    <t>20260307: Se activa reclutamiento. 20260312: Se genera espacio para el 18 de Marzo. 20260318: Con base en el espacio de hoy candidata apta: Estefany Pico, Nicolle Morales y Dayana ortega, a la espera de agenda con JI. 20260320: Se genera espacio con JI para el 24 de Marzo. 20260324: Con base en el espacio de hoy candidata apta Estefany Pico, se solicitan documentos. 20260327: Candidata aun en documentos. 20260401: Se envía a estudio de seguridad y contratación a Estefany Pico, con fecha tentativa de ingreso del 15 de Abril.</t>
  </si>
  <si>
    <t>Isabella Lenis Ospina</t>
  </si>
  <si>
    <t>20260309: Se activo reclutamiento. 20260331: Se enviaron 3 hv Isabella Lenis, Jorge Florez y Julian Quintero. 20260406: El cliente cito a entrevista para el Jueves 9 de Abril. 20260416: El cliente envio a evaluar a Isabella. 20260415: Se subio informe, el cliente envio a contratar a Isabela. Se envio a contratacion con FI 27 de Abril.</t>
  </si>
  <si>
    <t>Delima Marsh</t>
  </si>
  <si>
    <t>Daniela Restrepo Gomez</t>
  </si>
  <si>
    <t>20260309: Se inicia reclutamiento 20260313: Se agenda entrevista con JI Proceso favorable con una persona. 17 de Marzo se realiza segundo proceso queda seleccionada otra candidata el 20260320: Se agenda entrevista con Lider de 20260324: Se envia OC a DANIELA RESTREPO con FI el 6 de abril</t>
  </si>
  <si>
    <t>Agencia De Viajes Travel Y Ticket Axm</t>
  </si>
  <si>
    <t>Milton Fabian Tobon Jimenez</t>
  </si>
  <si>
    <t>20260310:Se envia solicitud de publicación de concurso para que los candidatos se postulen del 12 al 16 de marzo. 20260317: No se postularon candidatos internos: Se envian 5 HV de candidatos externos: Maura Melisa Chavez, Milton Tobon, Lina Marcela Lopez, Sergio Adrian Martin, Natalia Jordan. 20260319: Se solicita aplicar pruebas a Milton Tobon y candidato referido Jaison Manuel Muñoz. 20260320: Se define avanzar a contratación con Milton Tobon. 20260324: Se envia informe, se solicita contratación con FI 6 abril. 20260331:El candidato firma contrato.*Descontar 1 dia en proceso de contratación por demora por parte del candidato en completar documentos.</t>
  </si>
  <si>
    <t>Yecenia Maria Hincapie Marin</t>
  </si>
  <si>
    <t>20260317: se comparten 8 HV para consideracion de GH y JI y confirman sacar espacio de AS para el 25 de mar. 20260325: se presentan 5 candidatos y aprueban 3 de ellos (Yecenia Hincapie, Henry Hernandez y José Marin). 20260326: se programa proceso evaluativo con los candidatos. 20260327: JI solicita programar entrevista con los demas lideres para ver los candidatos. 20260330: se presentan los 3 candidatos y se da continuidad. 20260401: se comparte retroalimentacion con concepto aprobado de los candidatos. 20260406: JI determina continuar con Yecenia Hincapie. 20260407: se envia OC de Yecenia Hincapie para el 27 de abr. 20260410: candidata aprueba ES y corporativo autoriza su ingreso para el 15 de abril. 20260414: contratación confirma ingreso de la candidata Yecenia Hincapie con fecha de inicio el 15 de abril.</t>
  </si>
  <si>
    <t>EJECUTIVO FUERZA MOVIL</t>
  </si>
  <si>
    <t>Lisbeth Karina Ibañez Bayona</t>
  </si>
  <si>
    <t>20260311: Crean RQ.20260316: Se comparten: Aldair - Sharon - Cristian y se propone para evaluación a la aprendiz Lisberh Ibañez, quien está por culminar sus practica . 20260327: Se solicita información de avance. 20260401: Piden evaluar y contratar a la candidata Lisbeth - Se solicitan excepción por formación y experiencia. 20260408: Se avanza con EDS - Comparte excepción. 20260414: Se confirma contratación de la colaboradora Lisbeth Karina Ibañez Bayona, con FI. 15/04/2026.</t>
  </si>
  <si>
    <t>Deiner Herrera Orozco</t>
  </si>
  <si>
    <t>20260311: Se envia solicitud de publicación de concurso para que los candidatos se postulen del 12 al 16 de marzo. 20260318: Teniendo en cuenta que no se ha publicado el concurso por directriz de GH del corporativo se encuentran revisando la forma de publicar esta vacantes, se esta realizando el reclutamiento externo para remitir HV. 20260319: Se envian 7 HV: Luis Felipe Serna, Valery Roman, Maria Camila Gonzalez, Zonia Andrea Guapacha, Monica Liliana Gomez. Yuri Catalina Sanchez. 20260325: Despues de realizar Assessment se define continuar con proceso de contratación con Deiner Orozco, candidato que actualmente se encuentra conratado por temporal y cuenta con proceso de selección vigente. Y evaluar a Sayuri Tatiana Betancur como segunda opción. Se envia orden de contratación del candidato seleccionado para ingreso el 6 de abril. 20260331: El candidato firma contrato.</t>
  </si>
  <si>
    <t>Gabriela Vanegas Castro</t>
  </si>
  <si>
    <t>20260311: Crean RQ. 20260318: Entrevistas SyC aprendices del Sena. 20260320: Se comparte dupla: Daniela Acuña y Shaiel Navarro las cuales seran entrevistadas por JI el 25/Mar. 20260326: Solo se presento a entrevista con JI Shaiel Navarro la cual no paso entrevista. Se retoma reclutamiento. 20260401: Se hace nueva solicitud a instituciones. A espera de respuesta. 20260406: Se comparte terna Zharick Jimenez - Yoenis Barrios - Gabriela Vanegas seran entrevistadas por JI 8/Abr. 20260408: JI solicita avanzar a evaluacion con la aprendiz Gabriela Vanegas Castro. 20260415: Se comparte a EDS a Gabriela Vanegas Castro con FI 27/Abril. 20260421: Se confirma contratacion de Gabriela Vanegas Castro FI: 27/Abr.</t>
  </si>
  <si>
    <t>Miguel Angel Castro Garcia</t>
  </si>
  <si>
    <t>20260312: Se inicia reclutamiento 20260319: Se agenda entrevista con JI. 20260319: Con base en el espacio candidato apto Miguel Castro, se solicitan documentos. 20260325: Se envía a estudio de seguridad y contratación a Miguel Castro, con fecha tentativa de ingreso del 6 de Abril.</t>
  </si>
  <si>
    <t>Fincomercio</t>
  </si>
  <si>
    <t>Viviana Carolina Becerra Mora</t>
  </si>
  <si>
    <t>20260312: Se inicia reclutamiento 20260317: Proceso de entrevista con JI, Se presentan 4 candidatos continuan 1 candidato Viviana Becerra, se solicita documentos. 20260325: Se envía a estudio de seguridad y contratación a Viviana Becerra, con fecha tentativa de ingreso del 6 de Abril.</t>
  </si>
  <si>
    <t>Nathalia Leal Perez</t>
  </si>
  <si>
    <t>20260312: se activa reclutamiento. 20260316: se envian 6cv a GH. 20260326: GH solicita evaluar 2cv Julian y Natalia. Julian no paso prueba veritas. 20260406:Se subio informe de Nathalia Leal y se le informo al cliente. El cliente envio a contratar a la candidata.</t>
  </si>
  <si>
    <t>Universidad del Valle</t>
  </si>
  <si>
    <t>AUXILIAR NEGOCIOS FIDUCIARIOS</t>
  </si>
  <si>
    <t>Jonathan Andres Muñoz Grisales</t>
  </si>
  <si>
    <t>20260313: GH solicita evaluar y contratar a Jonathan Muñoz. 20260319: Se carga informe y se envia OC con FI 6 abr.</t>
  </si>
  <si>
    <t>Fiducoomeva - Job &amp; Talent</t>
  </si>
  <si>
    <t>GESTOR(A) COMERCIO INTERNACIONAL</t>
  </si>
  <si>
    <t>Francisco Javier Carrascal Henao</t>
  </si>
  <si>
    <t>20260312: GH solicita evaluar a Francisco Carrascal. 20260318: Se envia informe y se reporta riesgo 3 en integridad. 20260324: Daniela Garcia GH solicita continuar contratacion simultanea con FI 6 abr. Se envia la OC.</t>
  </si>
  <si>
    <t>30X</t>
  </si>
  <si>
    <t>AUXILIAR ADMISIONES CM MP</t>
  </si>
  <si>
    <t>Omar Eduardo Chaves Gaitan</t>
  </si>
  <si>
    <t>20260313: Se inicia reclutamiento 20260319: Proceso de entrevista con JI. 20260319: Con base en el espacio candidato seleccionado Omar Chavez, se solicitan documentos. 20260325: Se envía a estudio de seguridad y contratación a Omar Chaves con fecha tentativa de ingreso del 6 de Abril.</t>
  </si>
  <si>
    <t>FAMISANAR</t>
  </si>
  <si>
    <t>Jimmy Rolando Osma Torres</t>
  </si>
  <si>
    <t>20260313: Se inicia reclutamiento 20260319: Proceso de entrevista con JI se continua con Jimmy Osma 20260320: Se envia OC con FI 06 De Abril</t>
  </si>
  <si>
    <t>AUXILIAR EQUIPOS BIOMEDICOS</t>
  </si>
  <si>
    <t>Dennis Andrea Sanchez Tamara</t>
  </si>
  <si>
    <t>20260313: Se activa reclutamiento. 20260324: Se envian 2 hv. Pte retro por gh. 20260330: gh solicita evaluar a Dennis Sánchez. 20260407: Se confirma informe a GH y envía OC con FI 15 de abril.</t>
  </si>
  <si>
    <t>Drogueria Kripton</t>
  </si>
  <si>
    <t>Laura Arenas Gallego</t>
  </si>
  <si>
    <t>20260316: GH indica que para esta vacante se hará la promocion de Laura Arenas. 20260317: Gh envia la solicitud formal y se programa proceso evaluativo 20260324: se comparte retroalimentacion a GH aclarando que se requiere excepcion por formacion académica de la chica y GH solicita el envio a contratacion 20260327: se envia OC de Laura Arenas con fecha de inicio el 15 de abr 20260401: candidata aprueba ES y se envia a EMO 20260408: candidata se encuentra lista para contratar 20260414:contratación confirma ingreso de la candidata Laura Arenas con fecha de inicio el 15 de abril</t>
  </si>
  <si>
    <t>Samir David Alegria Roqueme</t>
  </si>
  <si>
    <t>20260316: Se activa reclutamiento. 20260318: Se genera espacio para el día de hoy. 20260318: Con base en el espacio de hoy candidatos aptos: Heidy castillo, miguel santana y samir alegria, a la espera de agenda con JI. 20260320: Se genera espacio con JI para el 24 de Marzo. 20260324: Con base en el espacio de hoy candidato apto samir alegria, se solicitan documentos. 20260327: Candidata aun en documentos. 20260406: Se envía a estudio de seguridad y contratación a Samir Alegria, con fecha tentativa de ingreso del 15 de Abril.</t>
  </si>
  <si>
    <t>Karol Nayibe Ramos Santiago</t>
  </si>
  <si>
    <t>20260317: Se activo reclutamiento. 20260325:Se enviaron 5 hv Karen Gutierrez, Katherin Martinez, Miguel Herrada, Oscar Rincones y Karol Ramos. 20260327: El cliente envio a evaluar a Karol Ramos. 20260404:Se subio informe y se le informo al cliente. 20260406: El cliente envio a contratar a Karol. 20260407: Se envio a contratacion con FI 27 de Abril.</t>
  </si>
  <si>
    <t>Tuya S.a</t>
  </si>
  <si>
    <t>Maria Alejandra Guapache Arenas</t>
  </si>
  <si>
    <t>20260316: Se activa reclutamiento y el cliente envio a evluar a Maria Alejandra Guapache. 20260325:Se subio informe y se le informo al cliente. Se envio a contratacion con FI 6 de Abril.</t>
  </si>
  <si>
    <t>Santiago Javier Rosero Narvaez</t>
  </si>
  <si>
    <t>20260317: Se activo reclutamiento 20260317: Se entrevistaran candidatos referidos el 7 de Abril. 20260327:Se enviaron 2 hojas de vida. Heidy Hernandez y Mauricio Gomez. 20260408: Pasaron entrevista Santiago Rosero y Diego Gomez. 20260415: Se entrevisto a Isabella otra candidata interna. El cliente envio a contratar a Santiago Rosero. Se envio a contratacion con FI 27 de Abril.</t>
  </si>
  <si>
    <t>Coomeva Job &amp; Talent</t>
  </si>
  <si>
    <t>ANALISTA FORMALIZADOR OPERACION CANALES</t>
  </si>
  <si>
    <t>Monica Alvarez Tacha</t>
  </si>
  <si>
    <t>20260318: GH envia referida para evaluar, Monica Alvarez. 20260324: se carga evaluacion en sf. 20260327: GH solicita enviar O.C. 20260330: se envia O.C con F.I 15 Abril.</t>
  </si>
  <si>
    <t>ANALISTA BANCA SEGUROS</t>
  </si>
  <si>
    <t>Gersain Leiton Palacios</t>
  </si>
  <si>
    <t>20260317: Se activa reclutamiento. 20260318: se envian 5cv a GH. 20260326: GH solicita evaluar 3 candidatos. 20260404: Se entrevistan los candidatos y se sube informes (Diego, Gersain y Jorge), a la espera de respuesta de gh. 20260408: Gh solicita avanzar con la contratación de Gersain. OC con FI 27 de abril.</t>
  </si>
  <si>
    <t>Constructora Melendez</t>
  </si>
  <si>
    <t>Kelly Estefania Londoño Morales</t>
  </si>
  <si>
    <t>20260317: se activa reclutamiento 20260319: se envia JI un total de 4 HV 20260320: se comparten 2 HV para entrevista el 24 de mar 20260324: se presentan 5 candidatos y aprueba la candidata Kelly Estefania Londoño quien venia en proceso desde hace desde el 13 de marzo para otra vacante y podría ser tenida en cuenta para este proceso. 20260325: se envia OC de Kelly Londoño con fecha de inicio el 6 de abril 20260328: candidata aprueba ES y EMO 20260401: contratación confirma ingreso de candidata con fecha de inicio el 6 de abril</t>
  </si>
  <si>
    <t>ASESOR/A COMERCIAL</t>
  </si>
  <si>
    <t>Alejandra Rivera Agudelo</t>
  </si>
  <si>
    <t>20260317: GH solicita evaluar y contratar a Alejandra Rivera. 20260325: se envia OC con FI 6 abr.</t>
  </si>
  <si>
    <t>Carlos Andres Zapata Naranjo</t>
  </si>
  <si>
    <t>20260325: GH envia 3 referidos para evaluar. 20260327: Gh solicita enviar pruebas a 2 candidatos adicionales. 20260406: en seguimiento con JI indica avanzar con proceso de contratación de Oscar Daniel Velez y Carlos Zapata con FI 15 de abril.</t>
  </si>
  <si>
    <t>Clinica Nueva Rafael Uribe Uribe</t>
  </si>
  <si>
    <t>Henry Ceballos Gutierrez</t>
  </si>
  <si>
    <t>20260319: El cliente envio a contratar a Sebastian, candidato desistio del proceso. Se activa reclutamiento. 20260325: El candidato Jhon Alexander no paso prueba de integridad. Se activa reclutamiento. 20260331:Se enviaron 3 hojas de vida Carolina Gomez, Diego Gallego y Henry Ceballos. 20260409: Paso a pruebas Henry Ceballos. 20260413: Se subio informe y se le informo al cliente. 20260413: El cliente envio a contratar a Henry. 20260414: Se envio a contratacion con FI 27 de Abril.</t>
  </si>
  <si>
    <t>Siigo</t>
  </si>
  <si>
    <t>Juan David Saenz Patiño</t>
  </si>
  <si>
    <t>20260319: Se realiza contacto y solicitud a las Instituciones. 20260326: Se envian 6 HV 4 disponibles en etapa productiva: Juan David Saenz, Lina Yazmin Giraldo, Mariana Garrido, Diana Paola Morales, y 2 en etapa lectiva hasta 31 de mayo: Johan Sebastian Cuellar, Laura Sofia Rodriguez. 20260407: Se solicita continuar con proceso de evaluación con Juan David Saenz. 20260415: El candidato se demora en completar documentos y pruebas, se envia informe, se solicita contratación con FI 27 de abril. 20260421: El candidato firma contrato.</t>
  </si>
  <si>
    <t>Edwin Smith Leyton Tovar</t>
  </si>
  <si>
    <t>20260319:Se activa reclutamiento. 20260327:El cliente envio a evaluar a Edwin Leiton y Andrea Blanco. 20260406:Se subio informe de Edwin y se le informo al cliente. Andera Blanco nunca realizo pruebas y tampoco fue posible comunicarse con ella. 20260408: El cliente envio a contratar a Edwin. 20260414: Se envio a contratacion con FI 27 de Abril.</t>
  </si>
  <si>
    <t>Lizeth Lorena Ramirez Madrid</t>
  </si>
  <si>
    <t>20260320: Se tenia a una candidata en back-up que se habia enviado para un proceso en la semana del 9 de marzo. Se avanza con ella para ingreso el 6 de abril Lizeth Ramirez 20260326: La candidata se encuentra en EM 20260401: La candidata firma contrato</t>
  </si>
  <si>
    <t>Temporal Accion</t>
  </si>
  <si>
    <t>Andres Felipe Galindo Cruz</t>
  </si>
  <si>
    <t>20260319: Se activa reclutamiento. 20260324: Con base en disponibilidad de agenda se genera espacio con JI para el 27 de Marzo. 20260331: Con base en la retro del cliente candidato apto Andres Galindo, se solicitan documentos. 20260406: Se envía a estudio de seguridad y contratación a Andres Galindo con fecha tentativa de ingreso del 15 de Abril.</t>
  </si>
  <si>
    <t>VICEPRESIDENTE/A COMERCIAL Y MERCADEO</t>
  </si>
  <si>
    <t>David Alejandro Vanegas Rodriguez</t>
  </si>
  <si>
    <t>20260320: GH solicita evaluar y contratar simultaneo a David Vanegas con FI 1 abr. 20260325: se envia OC, pte pruebas. 20260401: se informa a GH que el colaborador no ha realizado pruebas. 20260413: el candidato aun no hace pruebas, se solicita a GH excepcion por evaluacion. 20260420: GH envia excepcion.</t>
  </si>
  <si>
    <t>Coomeva MP</t>
  </si>
  <si>
    <t>Laura Viviana Cano Venegas</t>
  </si>
  <si>
    <t>20260320: Cliente solicita avanzar con un back-up que se tenia, pendiente de la creacion de la rq. 20260324: Se procede a valorar a Laura Cano para la vacante en mencion proceso realizado a inicios de marzo. 20260327: Se procede a enviar a contratacion a la candidata en mencion por decision del cliente. 20260406: La candidata se encuentra en proceso de ES. 20260409: La candidata se encuentra en EM. 20260413: La candidata notifica que se encuentra por fuera de la ciudad, por tal motivo se presenta a los examenes el 16 de abri, ya se notifico al cliente. 20260416: La candidata se presento a em y se envio el aval al cliente. 20260423: La candidata firma contrato</t>
  </si>
  <si>
    <t>Vanessa Karina Alvarez Hernandez</t>
  </si>
  <si>
    <t>20260324: GH solicita evaluar a la candidata Vanessa Alvarez, se inicia proceso evaluativo 20260327: se envia retroalimentacion de la candidata Vanessa Alvarez 20260330: GH solicita continuar a proceso de contratacion. 20260331: Se envia OC de Vanesa Alvarez con fecha de inicio el 15 de abril 20260408: candidata aprueba ES y EMO 20260414: contratación confirma ingreso de la candidata Vanesa Alvarez con fecha de inicio el 15 de abril</t>
  </si>
  <si>
    <t>Juan Esteban Aranzazu Ramos</t>
  </si>
  <si>
    <t>20260325: GH solicita est de carreras admon. 20260409: Se envian 3 hv. 20260410: GH solicita evaluar un candidato. 20260413: se informa que el candidato desiste y se retoma reclutamiento. 20260415: GH solicita contratar a Juan Aranzazu que fue evaluado en la requi 15825. Se envia OC con FI 27 abr.</t>
  </si>
  <si>
    <t>Cindy Paola Moreno Perea</t>
  </si>
  <si>
    <t>20260406:Se activa reclutamiento. 20260407: El cliente envio a contratar a Cindy, candidata evaluada en el proceso pasado. 20260408:Se envio a contratacion con FI 15 de Abril.</t>
  </si>
  <si>
    <t>RRM Ingenieria Construcción</t>
  </si>
  <si>
    <t>Julieth Jhovvana Arias Zarza</t>
  </si>
  <si>
    <t>20260326: Se inicia reclutamiento 20260331: Agenda con JI 20260406: A la espera de retroalimentacion 20260408: Retroalimentación por parte de la JI no favorable de los candidatos presentado nuevo proceso para el 10 de abril. 20260410: Con base en el espacio de hoy candidata apta Julieth Arias, se solicitan documentos. 20260415: Se envía a estudio de seguridad y contratación a Julieth Arias, con fecha tentativa de ingreso del 27 de Abril.</t>
  </si>
  <si>
    <t>SODIMAT</t>
  </si>
  <si>
    <t>Diana Sirley Osorio</t>
  </si>
  <si>
    <t>20260325: se activa reclutamiento 20260331: se comparten 5 HV para entrevistas el 6 de abr. 20260406: se presentan 3 candidatos y aprueban los 3 Diana Osorio. 20260407: se comparte retroalimentacion con concepto aprobado de Diana Osorio. 20260408: JI solicita el envió a contratación se envia OC de Diana Osorio. 20260410: corporativo autoriza su ingreso para el 15 de abril 20260413: candidata aprueba ES y EMO 20260414: contratación confirma ingreso de la candidata Diana Osorio con fecha de inicio el 15 de abril</t>
  </si>
  <si>
    <t>Nexa Bpo</t>
  </si>
  <si>
    <t>Linda Zamara Ramirez Ricaurte</t>
  </si>
  <si>
    <t>20260325: Gh solicita evaluar y contratar a Linda Zamara. Sin embargo se informa a gh que la candidata fue programada a entrevista y no se presento. Pte retro por gh de como avanzar en proceso. 20260326: gh soliicta reprogramar entrevista de Linda Zamara. 20260327: se realiza entrevista. 20260331: Se confirma informe, gh solicita contratación. 20260406: Se envia OC con FI para 15 de abril.</t>
  </si>
  <si>
    <t>Asmet Salud EPS</t>
  </si>
  <si>
    <t>Cindy Rocio Parra Almeida</t>
  </si>
  <si>
    <t>20260327: Se incia reclutamiento, se genera espacio para el 27 de Marzo. 20260327: Con base en el espacio candidato apto:cindy parra, se solicitan documentos. 20260406: Candidato cindy parra aun en documentos, indica dejar los pendientes al día hoy. 20260408: Se envía a estudio de seguridad y contratación a Cindy Parra, con fecha tentativa de ingreso del 15 de Abril.</t>
  </si>
  <si>
    <t>SOLUCIONES INTEGRALES PAG</t>
  </si>
  <si>
    <t>Diego Armando Mora Infante</t>
  </si>
  <si>
    <t>20260327: Se inicia reclutamiento. 20260406: Se genera espacio para el 8 de Abril. 20260408: Con base en el espacio de hoy candidatos aptos: Diego Mora y Laura Caicedo, se solicitan documentos. 20260410: candidatos Diego Mora y Laura caicedo aun en documentos. 20260415: Se envía a estudio de seguridad y contratación a Diego Mora, con fecha tentativa de ingreso del 27 de Abril.</t>
  </si>
  <si>
    <t>SALUD TOTAL EPS</t>
  </si>
  <si>
    <t>Laura Cristina Salazar Galeano</t>
  </si>
  <si>
    <t>20260406: Se inicio proceso el 20 de marzo. Se entrevistaron 7 candidatos. Se avanza con Laura Salazar. Pendiente de la carta de presentacion. 20260408: Se envia a contratacion a la candidata Laura Salazar. 20260409: La candidata se encuentra solicitando la carta de presentacion. 20260421: La candidata firma contrato con fecha de ingreso del 27 de abril</t>
  </si>
  <si>
    <t>ANALISTA COMUNICACIONES</t>
  </si>
  <si>
    <t>Juliana Sanchez Rodriguez</t>
  </si>
  <si>
    <t>20260331: El cliente envio a evaluar y contratar a Juliana Sanchez. 20260408: Se envio a contratacion con FI 15 de Abril.</t>
  </si>
  <si>
    <t>Reinaldo Enrique Fernandez Padilla</t>
  </si>
  <si>
    <t>20260303: Se incia reclutamiento se agenda entrevista para el 10 de Marzo, se realiza proceso con 4 personas se seleccionan 2 pendiente entrevista con Lider de TH 20260312 Entrevista con JI 20260313: Se envia pruebas y solicitud de documentos 20260317: Dan continuidad con Reinaldo Enrique Fernandez Padilla con OC con FI 06/04</t>
  </si>
  <si>
    <t>AUTOGERMANA</t>
  </si>
  <si>
    <t>Katherin Johanna Moreno Valencia</t>
  </si>
  <si>
    <t>20260327: gh envia candidata Katherin Moreno para evaluación. 20260406: se confirma informe, gh solicita contratar. Se envia OC con FI 15 de abril.</t>
  </si>
  <si>
    <t>Seguros Sura</t>
  </si>
  <si>
    <t>Katherine Alvarado Penagos</t>
  </si>
  <si>
    <t>20260325: gh solicita evaluar sin rq a Katherine Alvarado. 20260327: gh crea rq. 20260331: se confirma informe. 20260406: se envia OC con FI 15 de abril 2026.</t>
  </si>
  <si>
    <t>Leidy Marcela Aguirre Villegas</t>
  </si>
  <si>
    <t>20260324: Se envía a evaluar a Leidy Marcela Aguirre sin rq. 20260327: GH envía requi para avanzar proceso con Leidy. 20260331: Se envía OC.</t>
  </si>
  <si>
    <t>Feecoomeva</t>
  </si>
  <si>
    <t>Roena Miranda Pazmiño</t>
  </si>
  <si>
    <t>20260327: gh envia a Roena Miranda para evaluar. 20260406: se confirma informe a gh. 20260408: se envia OC con FI 15 de abril.</t>
  </si>
  <si>
    <t>Tigo SYM - Temporal</t>
  </si>
  <si>
    <t>Sandra Patricia Alegria Sanchez</t>
  </si>
  <si>
    <t>20260330: GH envia a Sandra Alegria para evaluar. 20260401: Gh envia a Carlos Chávez para evaluar, se envian pruebas. 20260406: Carlos desiste. 20260407: se confirma informe, pte confirmación. 20260413: gh confirma contratación Sandra. 20260414: se envía OC con FI 27 de abril.</t>
  </si>
  <si>
    <t>Telefónica Movistar</t>
  </si>
  <si>
    <t>DUITAMA</t>
  </si>
  <si>
    <t>Yeimy Katherine Suescun Lopez</t>
  </si>
  <si>
    <t>20260331: Se activa reclutamiento. 20260406: Con base en la información recibida por GH se realizará un paso de temporal a directo de la candidata Yeimy Suescun, se envía a estudio de seguridad y contratación a Yeimy Suescun, con fecha tentativa de ingreso del 15 de Abril.</t>
  </si>
  <si>
    <t>Daniela Sofia Palomino Belalcazar</t>
  </si>
  <si>
    <t>20260330: GH envia referdia Daniela para evaluar, Manejar proceso CONFIDENCIAL. 20260407: se entrega informe. 20260408: se envia OC con FI 15abr</t>
  </si>
  <si>
    <t>Fanalca</t>
  </si>
  <si>
    <t>John Edinson Ramos Ruiz</t>
  </si>
  <si>
    <t>20260330: se incia proceso, se entrevista a John Ramos y se envia a pruebas. 20260407: se envia OC con FI 15 abr.</t>
  </si>
  <si>
    <t>Juan Camilo Morales Velandia</t>
  </si>
  <si>
    <t>20260330: Se activa reclutamiento, se retoma back de proceso anterior, candidato apto Juan Morales, se solicitan documentos. 20260401: Se envía a estudio de seguridad y contratación a Juan Morales con fecha tentativa de ingreso del 15 de Abril.</t>
  </si>
  <si>
    <t>CLINICA MEDICAL</t>
  </si>
  <si>
    <t>GESTOR/A NEGOCIOS FIDUCIARIOS</t>
  </si>
  <si>
    <t>Dayana Marcela Orobio Flor</t>
  </si>
  <si>
    <t>20260331: Se solicita info a GH por tipo proceso promocion interna. Gh informa que es un concurso solo para Fidu, estaran informando a quien evaluar. 20260420: Gh solicita evaluar 2 candidatos. 20260427: se entregan informes. 20260430: GH informa que se hara CL de Dayana Orobio.</t>
  </si>
  <si>
    <t>QUIBDO</t>
  </si>
  <si>
    <t>Alex Flamor Conto Palacios</t>
  </si>
  <si>
    <t>20260331: GH solicita evaluar a Alex Conto para la vacante en mención 20260406: se comparten 6 HV para la vacante 20260408: se comparte retroalimentación de Alex Conto y GH solicita continuar. Se envia OC con fecha de inicio el 15 de abr 20260413: candidato registra con novedad en ES, se valida con GH para brindar la autorización, candidato aprueba EMO. 20260414: contratación confirma ingreso de la candidata Alex Conto con fecha de inicio el 15 de abril</t>
  </si>
  <si>
    <t>Adeco</t>
  </si>
  <si>
    <t>Karen Alexa Betancur Marin</t>
  </si>
  <si>
    <t>20260401: GH solicita el envio a contratacion de Karen Alexa Betancur quien se encuentra en proceso de evaluacion desde el 25 de mar y fue evaluada el 31 de mar 20260407: se envia OC de la candidata con fecha de inicio el 15 de abr
20260410: candidata aprueba ES y se envia a EMO 20260414: contratación confirma ingreso de la candidata Karen Alexa Betancur con fecha de inicio el 15 de abril</t>
  </si>
  <si>
    <t>Laura Jineth Caicedo Rubiano</t>
  </si>
  <si>
    <t>20260327: Se inicia reclutamiento. 20260406: Se genera espacio para el 8 de Abril. 20260408: Con base en el espacio de hoy candidatos aptos: Diego Mora y Laura Caicedo, se solicitan documentos. 20260410: candidatos Diego Mora y Laura caicedo aun en documentos. 20260415: Se envía a estudio de seguridad y contratación a Laura Caicedo, con fecha tentativa de ingreso del 27 de Abril.</t>
  </si>
  <si>
    <t>GALAFE</t>
  </si>
  <si>
    <t>Jonathan Alexis Yara Rojas</t>
  </si>
  <si>
    <t>20260406: se valida con los candidatos que quedaron en back up del 13 de marzo (Alejandra Gutierrez y Jonathan Yara) los cuales se reclutaron el 9 de marzo 20260407: JI solicita la contratatión de Jonathan Yara y se envia OC para ingreso el 27 de abr 20260410: candidato Jonathan Yara se aprueba ES 20260414: candidato aprueba proceso de EM 20260416: candidato esta listo para ingresar el 27 de abril 20260417: contratación confirma ingreso de la candidata Jonathan Yara con fecha de inicio el 15 de abril</t>
  </si>
  <si>
    <t>Alejandra Mazo Cataño</t>
  </si>
  <si>
    <t>20260323: se activa reclutamiento 20260326: se comparten 5 HV para entrevista con JI 20260327: se presentan 2 candidatos y aprueban Jenny Ramirez y Juan Camilo Medina 20260401: se comparte retroalimentacion de Jenny Ramirez, sin embargo, Gte solicita evaluar a Alejandra Mazo para esta vacante 20260407: se comparte retroalimentacion de Alejandra Mazo con concepto aprobado y Gte solicita el envio a contratación. Se envia OC con fecha de ingreso incialmente el 27 de abr 20260410: candidata aprueba ES y EMO, al tiempo el corporativo autoriza ingreso para el 15 de abril 20260414: contratación confirma ingreso de la candidata Alejandra Mazo con fecha de inicio el 15 de abril</t>
  </si>
  <si>
    <t>Kercy Melani Schussler Renteria</t>
  </si>
  <si>
    <t>20260406: Gh solicita evaluar estudiante. 20260407: Se inicia pruebas de la estudiante y se carga informe. 20260408: Se envia OC con FI del 15 de abril de KERCY SCHUSSLER</t>
  </si>
  <si>
    <t>Silvana Salazar Cruz</t>
  </si>
  <si>
    <t>20260408: Se solicita información a GH. Informan que del concurso interno que estan realizando en la rq 16220 se cubriria tambien esta vacante. 20260420: gh solicita evaluar a 2 candidatos. 20260427: se entregan informes. 20260430: GH informa que se hara CL de Silvana Salazar, el informe fue cargado en la RQ 16220.</t>
  </si>
  <si>
    <t>Nicoll Daniela Barbosa Robles</t>
  </si>
  <si>
    <t>20260318: Se solicita agenda, indican 24 de Marzo. 20260325: Del proceso pasan 4 candidatos. Se continua con evaluacion de los candidatos. 20260409: Se montan informes de los candidatos Jeison Beltran, Jennifer Cifuentes, Sara Gonzalez y Nicole Barbosa. Se agendan con JI para el 14 de Abril Se recibe recibe retroalimentación favorable para enviar a NICOL BARBOSA 20260415: Se envia OC con FI 27 De Abril</t>
  </si>
  <si>
    <t>RAPPIPAY</t>
  </si>
  <si>
    <t>Sara Lineth Gonzalez Garcia</t>
  </si>
  <si>
    <t>20260409: Se incia reclutamiento 20260318: Se solicita agenda, indican 24 de Marzo. 20260325: Del proceso pasan 4 candidatos. Se continua con evaluacion de los candidatos. 20260409: Se montan informes de los candidatos Jeison Beltran, Jennifer Cifuentes, Sara Gonzalez y Nicole Barbosa. Se agendan con JI para el 13 y 14 de Abril Se recibe recibe retroalimentación Favorable para enviar a SARA GONZALEZ 20260415: Se envia OC con FI 27 De Abril</t>
  </si>
  <si>
    <t>CONFIAR</t>
  </si>
  <si>
    <t>20260409: GH solicita reclutamiento de est. comunicacion. 20260415: GH solicita contratar a Paula Zambrano que firmo para Feco. 20260416: se envia OC con FI 27 abr.</t>
  </si>
  <si>
    <t>ANALISTA NAL JURIDICO</t>
  </si>
  <si>
    <t>Juan Jose Florez Recio</t>
  </si>
  <si>
    <t>20260410: Reclutamiento. 20260413: Se inicia proceso de evaluación de candidatos enviados por JI (Angela Diaz, Juan Florez, Lady Rondon y Juliana Gonzalez).20260416: Se realizan entrevistas junto con gh de acuerdo a su disponibilidad y se suben informes para revisión. 20260420: Gh solicita avanzar con proceso de contratación de Juan Florez con Fi 27 de abril. Se envia OC con dicha fecha, gh autoriza el proceso en simultaneo.</t>
  </si>
  <si>
    <t>Ruben Daniel Corredor Gil</t>
  </si>
  <si>
    <t>20260411: Se activa reclutamiento, e igualmente se retoma candidato en back de proceso anterior, candidato Ruben Daniel Corredor, se solicitan documentos. 20260415: Se envía a estudio de seguridad y contratación a Ruben Corredor, con fecha tentativa de ingreso del 27 de Abril.</t>
  </si>
  <si>
    <t>Carlos Andres Telles Cruz</t>
  </si>
  <si>
    <t>20260326: Se activa reclutamiento. 20260331:Se enviaron 3 hv Jean Paul Cardona, Diego Correa y Carlos Telles. 20260406: El cliente cito a entrevista para el 9 de Abril. 20260410: El cliente envio a pruebas a Diego Correa y Carlos Telles. 20260415: El cliente envio a contratar a Carlos Telles. Se envio con FI 27 de Abril.</t>
  </si>
  <si>
    <t>Maria Fernanda Serrano Dominguez</t>
  </si>
  <si>
    <t>20260307: Se activa reclutamiento. 20260312: Se genera espacio para el 18 de Marzo. 20260318: Con base en el espacio de hoy candidata apta: Estefany Pico, Nicolle Morales, Dayana ortega y Maria Fernanda Serrano, a la espera de agenda con JI. 20260320: Se genera espacio con JI para el 24 de Marzo. 20260324: Con base en el espacio de hoy candidata apta Maria Fernanda Serrano, se solicitan documentos. 20260327: Candidata aun en documentos. 20260408: Se envía a estudio de seguridad y contratación a Maria Fernanda Serrano, con fecha tentativa de ingreso del 15 de Abril.</t>
  </si>
  <si>
    <t>AUXILIAR DE ENFERMERIA DOMICILIARIO</t>
  </si>
  <si>
    <t>Karen Del carmen Toledo Morales</t>
  </si>
  <si>
    <t>20260414: Solicitan evaluar a la referida Karen Toledo quien viene por temporal. 20260416: Se informa que la candidata tiene turno de día y no culmina las pruebas. 20260416: Se reporta prueba de servicio no favorable y piden avanzar con proceso de contratación simultáno e informan que daran excepción por la prueba e informe. Se avanza con EDS - EMO. 20260420: GH piden repetir prueba de servicio. Comparten aval EMO y excepción por documentos. 20260421: Se confirma contratación de la colaboradora Karen Del Carmen Toledo Morales, con FI. 25/04/2026.</t>
  </si>
  <si>
    <t>CEM - Temporal</t>
  </si>
  <si>
    <t>Angel Arbey Cruz Peña</t>
  </si>
  <si>
    <t>20260416: Se solicita iniciar proceso de evaluación con Angel Arbey Cruz, asesor integral con el que se va a realizar movimiento interno a partir del 1 de mayo. 20260420: Se aprueba la requisición. 20260421: Se envia informe. Se cierra req</t>
  </si>
  <si>
    <t>PDTE</t>
  </si>
  <si>
    <t>GERENTE BANCA EMPRESARIAL</t>
  </si>
  <si>
    <t>Angela Maria Valencia Acevedo</t>
  </si>
  <si>
    <t>20260413: GH solicita evaluar 10 colaboradores que actualmente son ejecutivo/as banca pyme para el cargo gerente banca empresarial. 20260414: se realiza afinamiento de perfil. 20260422: se entregan informes de evaluacion.</t>
  </si>
  <si>
    <t>Yoan Sebastian Arenas Manrique</t>
  </si>
  <si>
    <t>Marcela Chavez Villamizar</t>
  </si>
  <si>
    <t>Yamileth Morales Sarria</t>
  </si>
  <si>
    <t>Diego Leon Aguirre Alzate</t>
  </si>
  <si>
    <t>Jonathan Camacho Melgarejo</t>
  </si>
  <si>
    <t>Oscar Rubio Castro</t>
  </si>
  <si>
    <t>Fredy Alexander Ayala Betancourth</t>
  </si>
  <si>
    <t>Ana Cecilia Usuga Narvaez</t>
  </si>
  <si>
    <t>GERENTE BANCA EMPRESARIAL SENIOR</t>
  </si>
  <si>
    <t>Julian Enrique Ruiz Romero</t>
  </si>
  <si>
    <t>20260410: GH comparte candidato interno: Julian Ruiz, para evaluar al cargo Gerencial Banca Empresarial.20260413: Candidato en pruebas. 20260417: Candidato en entrevista con SYC. 20260420: Se comparte informe proyectando al candidato según perfil para el cargo Gerente Banca Empresarial Senior.</t>
  </si>
  <si>
    <t>Karen Cecilia Perez Suarez</t>
  </si>
  <si>
    <t>20260410: GH comparte candidata interna: Karen Perez, para evaluar al cargo Gerencial Banca Empresarial.20260413: Candidata en pruebas. 20260416: Candidata en entrevista con SYC. 20260420: Se comparte informe proyectando a la candidata según perfil para el cargo Gerente Banca Empresarial Senior.</t>
  </si>
  <si>
    <t>EJECUTIVO CASH MANAGAMENT</t>
  </si>
  <si>
    <t>Miguel Antonio Malo Bustamante</t>
  </si>
  <si>
    <t>20260410: GH comparte candidato interno: Miguel Malo, para evaluar al cargo Gerencial Banca Empresarial.20260413: Candidato en pruebas. 20260420: Candidato en entrevista con SYC. 20260420: Se comparte informe proyectando al candidato según perfil para el cargo Ejecutivo Cash Managament.</t>
  </si>
  <si>
    <t>Cesar Augusto Vecino Corredor</t>
  </si>
  <si>
    <t>20260413: GH solicita evaluar 8 colaboradores que actualmente son ejecutivo/as banca pyme para el cargo gerente banca empresarial. 20260414: se realiza afinamiento de perfil. 20260422: se entregan informes de evaluacion.</t>
  </si>
  <si>
    <t>Yeni Paola Rojas</t>
  </si>
  <si>
    <t>Smith Salcedo Atehortua</t>
  </si>
  <si>
    <t>Diana Lucia Hernandez Balvin</t>
  </si>
  <si>
    <t>Nestor Giovanny Ariza Villabona</t>
  </si>
  <si>
    <t>Natalia Mesa Castrillon</t>
  </si>
  <si>
    <t>Leidy Carolina Giraldo Castaño</t>
  </si>
  <si>
    <t>Jefferson De Jesús Clavijo Daza</t>
  </si>
  <si>
    <t>Adalgiza Lillen Lopez Fragozo</t>
  </si>
  <si>
    <t>Amina Celis Sanchez</t>
  </si>
  <si>
    <t>Cristian Fabian Cetina Lopez</t>
  </si>
  <si>
    <t>Diana Victoria Gil Vacca</t>
  </si>
  <si>
    <t>Fabian Camilo Sarmiento Ramos</t>
  </si>
  <si>
    <t>Jeison Fabian Orozco Osorio</t>
  </si>
  <si>
    <t>Julio Alberto Bejarano</t>
  </si>
  <si>
    <t>Karoline Guillen Guerrero</t>
  </si>
  <si>
    <t>Sandra Patricia Rodriguez Sanabria</t>
  </si>
  <si>
    <t>Yimmy Alejandro Cancino Quevedo</t>
  </si>
  <si>
    <t>Yosseht Santiago Gomez Rodriguez</t>
  </si>
  <si>
    <t>Eduardo Reinoso Quintero</t>
  </si>
  <si>
    <t>FK_Empresa</t>
  </si>
  <si>
    <t>FUNDACION COOMEVAMedellinMEDELLINFUNDACION COOMEVA</t>
  </si>
  <si>
    <t>CLUB LOS ANDESCaliSANTANDER DE QUILICHAOCLUB LOS ANDES</t>
  </si>
  <si>
    <t>COOMEVACaliDIRECCION NACIONALEYD</t>
  </si>
  <si>
    <t>MPCaliCALIMP</t>
  </si>
  <si>
    <t>BANCOOMEVACaliDIRECCION NACIONALBANCOOMEVA</t>
  </si>
  <si>
    <t>MPBogotaBOGOTAMP</t>
  </si>
  <si>
    <t>MPCaliDIRECCION NACIONALMP</t>
  </si>
  <si>
    <t>COOMEVACaribeBARRANQUILLAGCGIA</t>
  </si>
  <si>
    <t>MPMedellinMEDELLINMP</t>
  </si>
  <si>
    <t>BANCOOMEVABogotaBOGOTABANCOOMEVA</t>
  </si>
  <si>
    <t>COOMEVABogotaBOGOTAGCGIA</t>
  </si>
  <si>
    <t>COOMEVACaliDIRECCION NACIONALBANCOOMEVA USC</t>
  </si>
  <si>
    <t>COOMEVACaliDIRECCION NACIONALUSC</t>
  </si>
  <si>
    <t>COOMEVACaribeRIOHACHAGCGIA</t>
  </si>
  <si>
    <t>MPCaribeSANTA MARTAMP</t>
  </si>
  <si>
    <t>MPCaribeCARTAGENAMP</t>
  </si>
  <si>
    <t>MPCaribeBARRANQUILLAMP</t>
  </si>
  <si>
    <t>COOMEVACaliDIRECCION NACIONALUTTD</t>
  </si>
  <si>
    <t>COOMEVACaliCALIUSC</t>
  </si>
  <si>
    <t>MPEje CafeteroARMENIAMP</t>
  </si>
  <si>
    <t>COOMEVA EXPERIENCIA MEDICABogotaBOGOTACOOMEVA EXPERIENCIA MEDICA</t>
  </si>
  <si>
    <t>COOMEVA EXPERIENCIA MEDICACaliDIRECCION NACIONALCOOMEVA EXPERIENCIA MEDICA</t>
  </si>
  <si>
    <t>COOMEVA EXPERIENCIA MEDICACaliCALICOOMEVA EXPERIENCIA MEDICA</t>
  </si>
  <si>
    <t>COOMEVACaliDIRECCION NACIONALUCO</t>
  </si>
  <si>
    <t>COOMEVAEje CafeteroARMENIAGCGIA</t>
  </si>
  <si>
    <t>COOMEVACaribeVALLEDUPARGCGIA</t>
  </si>
  <si>
    <t>COOMEVACaliCALIGCGIA</t>
  </si>
  <si>
    <t>FUNDACION COOMEVACaliCALIFUNDACION COOMEVA</t>
  </si>
  <si>
    <t>COOMEVAMedellinMEDELLINGCGIA</t>
  </si>
  <si>
    <t>MPEje CafeteroMANIZALESMP</t>
  </si>
  <si>
    <t>BANCOOMEVACaliBUGABANCOOMEVA</t>
  </si>
  <si>
    <t>COOMEVACaliIBAGUEGCGIA</t>
  </si>
  <si>
    <t>MPMedellinBUCARAMANGAMP</t>
  </si>
  <si>
    <t>BANCOOMEVACaliPOPAYANBANCOOMEVA</t>
  </si>
  <si>
    <t>FUNDACION COOMEVACaliPALMIRAFUNDACION COOMEVA</t>
  </si>
  <si>
    <t>CONECTAMOS FINANCIERACaliDIRECCION NACIONALCONECTAMOS FINANCIERA</t>
  </si>
  <si>
    <t>MPMedellinRIONEGROMP</t>
  </si>
  <si>
    <t>FECOOMEVACaliDIRECCION NACIONALFECOOMEVA</t>
  </si>
  <si>
    <t>COOMEVA EXPERIENCIA MEDICAMedellinMEDELLINCOOMEVA EXPERIENCIA MEDICA</t>
  </si>
  <si>
    <t>COOMEVACaribeSINCELEJOGCGIA</t>
  </si>
  <si>
    <t>COOMEVA EXPERIENCIA MEDICACaribeBARRANQUILLACOOMEVA EXPERIENCIA MEDICA</t>
  </si>
  <si>
    <t>FECOOMEVACaliCALIFECOOMEVA</t>
  </si>
  <si>
    <t>COOMEVACaribeCARTAGENAGCGIA</t>
  </si>
  <si>
    <t>BANCOOMEVACaliPALMIRABANCOOMEVA</t>
  </si>
  <si>
    <t>COOMEVACaliPASTOGCGIA</t>
  </si>
  <si>
    <t>BANCOOMEVAMedellinMEDELLINBANCOOMEVA</t>
  </si>
  <si>
    <t>FUNDACION COOMEVACaliDIRECCION NACIONALFUNDACION COOMEVA</t>
  </si>
  <si>
    <t>FIDUCOOMEVACaliDIRECCION NACIONALFIDUCOOMEVA</t>
  </si>
  <si>
    <t>COOMEVAEje CafeteroMANIZALESGCGIA</t>
  </si>
  <si>
    <t>MPMedellinMONTERIAMP</t>
  </si>
  <si>
    <t>COOMEVACaribeBARRANQUILLAUSC</t>
  </si>
  <si>
    <t>COOMEVABogotaVILLAVICENCIOGCGIA</t>
  </si>
  <si>
    <t>COOMEVACaliBUGAGCGIA</t>
  </si>
  <si>
    <t>BANCOOMEVACaliCALIBANCOOMEVA</t>
  </si>
  <si>
    <t>MPCaribeSINCELEJOMP</t>
  </si>
  <si>
    <t>COOMEVAEje CafeteroPEREIRAUCO</t>
  </si>
  <si>
    <t>MPEje CafeteroPEREIRAMP</t>
  </si>
  <si>
    <t>MPCaliBUGAMP</t>
  </si>
  <si>
    <t>COOMEVACaliDIRECCION NACIONALGCGIA</t>
  </si>
  <si>
    <t>BANCOOMEVAMedellinAPARTADOBANCOOMEVA</t>
  </si>
  <si>
    <t>COOMEVAMedellinMONTERIAGCGIA</t>
  </si>
  <si>
    <t>MPCaribeVALLEDUPARMP</t>
  </si>
  <si>
    <t>BANCOOMEVAEje CafeteroMANIZALESBANCOOMEVA</t>
  </si>
  <si>
    <t>BANCOOMEVAEje CafeteroPEREIRABANCOOMEVA</t>
  </si>
  <si>
    <t>BANCOOMEVAEje CafeteroARMENIABANCOOMEVA</t>
  </si>
  <si>
    <t>COOMEVAMedellinBUCARAMANGAGCGIA</t>
  </si>
  <si>
    <t>CORREDORES DE SEGUROSCaliDIRECCION NACIONALCORREDORES DE SEGUROS</t>
  </si>
  <si>
    <t>FUNDACION COOMEVABogotaBOGOTAFUNDACION COOMEVA</t>
  </si>
  <si>
    <t>COOMEVAMedellinENVIGADOGCGIA</t>
  </si>
  <si>
    <t>COOMEVABogotaTUNJAGCGIA</t>
  </si>
  <si>
    <t>BANCOOMEVACaribeRIOHACHABANCOOMEVA</t>
  </si>
  <si>
    <t>BANCOOMEVAMedellinCUCUTABANCOOMEVA</t>
  </si>
  <si>
    <t>MPCaliPALMIRAMP</t>
  </si>
  <si>
    <t>COOMEVAEje CafeteroPEREIRAGCGIA</t>
  </si>
  <si>
    <t>BANCOOMEVACaribeBARRANQUILLABANCOOMEVA</t>
  </si>
  <si>
    <t>BANCOOMEVACaribeSINCELEJOBANCOOMEVA</t>
  </si>
  <si>
    <t>MPCaliTULUAMP</t>
  </si>
  <si>
    <t>BANCOOMEVABogotaYOPALBANCOOMEVA</t>
  </si>
  <si>
    <t>COOMEVAEje CafeteroCARTAGOUCO</t>
  </si>
  <si>
    <t>COOMEVACaribeBARRANQUILLAUCO</t>
  </si>
  <si>
    <t>COOMEVACaribeSANTA MARTAGCGIA</t>
  </si>
  <si>
    <t>BANCOOMEVABogotaVILLAVICENCIOBANCOOMEVA</t>
  </si>
  <si>
    <t>BANCOOMEVACaribeSANTA MARTABANCOOMEVA</t>
  </si>
  <si>
    <t>COOMEVACaliPALMIRAGCGIA</t>
  </si>
  <si>
    <t>COOMEVABogotaBOGOTAUCO</t>
  </si>
  <si>
    <t>COOMEVA EXPERIENCIA MEDICAEje CafeteroPEREIRACOOMEVA EXPERIENCIA MEDICA</t>
  </si>
  <si>
    <t>FIDUCOOMEVACaliCALIFIDUCOOMEVA</t>
  </si>
  <si>
    <t>FUNDACION COOMEVACaribeCARTAGENAFUNDACION COOMEVA</t>
  </si>
  <si>
    <t>FECOOMEVACaribeBARRANQUILLAFECOOMEVA</t>
  </si>
  <si>
    <t>COOMEVAMedellinCUCUTAGCGIA</t>
  </si>
  <si>
    <t>COOMEVACaliFLORENCIAGCGIA</t>
  </si>
  <si>
    <t>MPMedellinCUCUTAMP</t>
  </si>
  <si>
    <t>BANCOOMEVABogotaTUNJABANCOOMEVA</t>
  </si>
  <si>
    <t>CLUB LOS ANDESCaliCALICLUB LOS ANDES</t>
  </si>
  <si>
    <t>COOMEVABogotaBOGOTAUSC</t>
  </si>
  <si>
    <t>BANCOOMEVAMedellinBARRANCABERMEJABANCOOMEVA</t>
  </si>
  <si>
    <t>BANCOOMEVACaliIBAGUEBANCOOMEVA</t>
  </si>
  <si>
    <t>BANCOOMEVAMedellinMONTERIABANCOOMEVA</t>
  </si>
  <si>
    <t>COOMEVAMedellinITAGUIGCGIA</t>
  </si>
  <si>
    <t>COOMEVAEje CafeteroCARTAGOGCGIA</t>
  </si>
  <si>
    <t>BANCOOMEVAMedellinRIONEGROBANCOOMEVA</t>
  </si>
  <si>
    <t>COOMEVABogotaYOPALGCGIA</t>
  </si>
  <si>
    <t>COOMEVAMedellinMEDELLINUSC</t>
  </si>
  <si>
    <t>BANCOOMEVABogotaDUITAMABANCOOMEVA</t>
  </si>
  <si>
    <t>BANCOOMEVAMedellinQUIBDOBANCOOMEVA</t>
  </si>
  <si>
    <t>BANCOOMEVACaribeCARTAGENABANCOOMEVA</t>
  </si>
  <si>
    <t>FK_Cargo</t>
  </si>
  <si>
    <t>SUPERNUMERARIO/ACARGO COMERCIALVACANTE DESDE RECLUTAMIENTO</t>
  </si>
  <si>
    <t>JEFE COMERCIALJEFE/DIRECTOR/GERENTEVACANTE DESDE RECLUTAMIENTO</t>
  </si>
  <si>
    <t>APRENDIZ SENAESTUDIANTE/APRENDIZVACANTE DESDE RECLUTAMIENTO</t>
  </si>
  <si>
    <t>EJECUTIVO/A AFILIACIONCARGO COMERCIALVACANTE DESDE RECLUTAMIENTO</t>
  </si>
  <si>
    <t>ESTUDIANTE EN PRACTICAESTUDIANTE/APRENDIZVACANTE DESDE RECLUTAMIENTO</t>
  </si>
  <si>
    <t>GESTOR/A COOPERATIVO ESPECIALIZADOCARGO COMERCIALEMPRESA ENVIA EL CANDIDATO</t>
  </si>
  <si>
    <t>AUXILIAR ENFERMERIASALUD/ASISTENCIALVACANTE DESDE RECLUTAMIENTO</t>
  </si>
  <si>
    <t>AUXILIAR DIGITALIZACIÓNAUXILIAR/OPERATIVOCONCURSO MIXTO</t>
  </si>
  <si>
    <t>INGENIERO/A GESTIÓN DE LA INFORMACIÓNANALISTA/PROFESIONAL/COORDINADORCONCURSO INTERNO</t>
  </si>
  <si>
    <t>ANALISTA SERVICIOS GESTION HUMANAANALISTA/PROFESIONAL/COORDINADORCONCURSO INTERNO</t>
  </si>
  <si>
    <t>INGENIERO/A RPAANALISTA/PROFESIONAL/COORDINADORVACANTE DESDE RECLUTAMIENTO</t>
  </si>
  <si>
    <t>AUXILIAR DIGITALIZACIÓNAUXILIAR/OPERATIVOVACANTE DESDE RECLUTAMIENTO</t>
  </si>
  <si>
    <t>ESTUDIANTE EN PRACTICAESTUDIANTE/APRENDIZEMPRESA ENVIA EL CANDIDATO</t>
  </si>
  <si>
    <t>NUTRICIONISTA CENTRAL CEMSALUD/ASISTENCIALVACANTE DESDE RECLUTAMIENTO</t>
  </si>
  <si>
    <t>ANALISTA NAL MERCADEOANALISTA/PROFESIONAL/COORDINADORCONCURSO MIXTO</t>
  </si>
  <si>
    <t>ANALISTA NAL MERCADEOANALISTA/PROFESIONAL/COORDINADORCONCURSO INTERNO</t>
  </si>
  <si>
    <t>ENFERMERO(A) CMSALUD/ASISTENCIALVACANTE DESDE RECLUTAMIENTO</t>
  </si>
  <si>
    <t>ANALISTA OPERACIONES CREDITO Y CARTERAANALISTA/PROFESIONAL/COORDINADORVACANTE DESDE RECLUTAMIENTO</t>
  </si>
  <si>
    <t>EJECUTIVO(A) AFILIACION SAOCARGO COMERCIALVACANTE DESDE RECLUTAMIENTO</t>
  </si>
  <si>
    <t>AUXILIAR COMPRASAUXILIAR/OPERATIVOEMPRESA ENVIA EL CANDIDATO</t>
  </si>
  <si>
    <t>AUXILIAR NAL CENTRAL ASISTENCIALSALUD/ASISTENCIALVACANTE DESDE RECLUTAMIENTO</t>
  </si>
  <si>
    <t>AUXILIAR ADMISIONESAUXILIAR/OPERATIVOVACANTE DESDE RECLUTAMIENTO</t>
  </si>
  <si>
    <t>EJECUTIVO(A) SERVICIO AL CLIENTEAUXILIAR/OPERATIVOCONCURSO MIXTO</t>
  </si>
  <si>
    <t>AUXILIAR TALENTO y LIDERAZGOAUXILIAR/OPERATIVOCONCURSO INTERNO</t>
  </si>
  <si>
    <t>ANALISTA NAL MERCADEOANALISTA/PROFESIONAL/COORDINADOREMPRESA ENVIA EL CANDIDATO</t>
  </si>
  <si>
    <t>ASESOR/A INTEGRALCARGO COMERCIALVACANTE DESDE RECLUTAMIENTO</t>
  </si>
  <si>
    <t>AUXILIAR REG SERV DESARROLLO EMPAUXILIAR/OPERATIVOCONCURSO INTERNO</t>
  </si>
  <si>
    <t>EJECUTIVO/A ATENCION INTEGRALAUXILIAR/OPERATIVOVACANTE DESDE RECLUTAMIENTO</t>
  </si>
  <si>
    <t>EJECUTIVO/A AFILIACION CEM MPCARGO COMERCIALVACANTE DESDE RECLUTAMIENTO</t>
  </si>
  <si>
    <t>AUXILIAR NAL CENTRAL ASISTENCIALSALUD/ASISTENCIALEMPRESA ENVIA EL CANDIDATO</t>
  </si>
  <si>
    <t>COORDINADOR REG. CANAL DE GESTORESCARGO COMERCIALCONCURSO MIXTO</t>
  </si>
  <si>
    <t>GESTOR/A OPERACIONESANALISTA/PROFESIONAL/COORDINADORCONCURSO MIXTO</t>
  </si>
  <si>
    <t>NEGOCIADOR/AANALISTA/PROFESIONAL/COORDINADOREMPRESA ENVIA EL CANDIDATO</t>
  </si>
  <si>
    <t>TÉCNICO/A SEGURIDAD Y SALUD EN EL TRABAJOAUXILIAR/OPERATIVOVACANTE DESDE RECLUTAMIENTO</t>
  </si>
  <si>
    <t>AUDITOR/AANALISTA/PROFESIONAL/COORDINADORSOLO CONTRATACION</t>
  </si>
  <si>
    <t>ASESOR/A VENTASCARGO COMERCIALEMPRESA ENVIA EL CANDIDATO</t>
  </si>
  <si>
    <t>ASESOR/A EN LOGISTICAAUXILIAR/OPERATIVOVACANTE DESDE RECLUTAMIENTO</t>
  </si>
  <si>
    <t>ANALISTA MTTO CUENTASANALISTA/PROFESIONAL/COORDINADOREMPRESA ENVIA EL CANDIDATO</t>
  </si>
  <si>
    <t>ASESOR/A INTEGRALCARGO COMERCIALEMPRESA ENVIA EL CANDIDATO</t>
  </si>
  <si>
    <t>INGENIERO/A TREN SOLUCIONES IANALISTA/PROFESIONAL/COORDINADOREMPRESA ENVIA EL CANDIDATO</t>
  </si>
  <si>
    <t>EJECUTIVO/A ATENCION INTEGRALAUXILIAR/OPERATIVOEMPRESA ENVIA EL CANDIDATO</t>
  </si>
  <si>
    <t>AUXILIAR ADMISIONESAUXILIAR/OPERATIVOEMPRESA ENVIA EL CANDIDATO</t>
  </si>
  <si>
    <t>AUXILIAR IMAGENES DIAGNOSTICASSALUD/ASISTENCIALEMPRESA ENVIA EL CANDIDATO</t>
  </si>
  <si>
    <t>AUXILIAR ENFERMERIASALUD/ASISTENCIALEMPRESA ENVIA EL CANDIDATO</t>
  </si>
  <si>
    <t>AUXILIAR MAESTRASAUXILIAR/OPERATIVOEMPRESA ENVIA EL CANDIDATO</t>
  </si>
  <si>
    <t>ANALISTA REG MICROCREDITO ADMINISTRATIVOANALISTA/PROFESIONAL/COORDINADOREMPRESA ENVIA EL CANDIDATO</t>
  </si>
  <si>
    <t>DIRECTOR/A COMERCIAL Y MERCADEOJEFE/DIRECTOR/GERENTEEMPRESA ENVIA EL CANDIDATO</t>
  </si>
  <si>
    <t>COORDINADOR/A MERCADEOANALISTA/PROFESIONAL/COORDINADOREMPRESA ENVIA EL CANDIDATO</t>
  </si>
  <si>
    <t>JEFE/A TECNOLOGIAJEFE/DIRECTOR/GERENTEEMPRESA ENVIA EL CANDIDATO</t>
  </si>
  <si>
    <t>GESTOR/A OPERACIONESANALISTA/PROFESIONAL/COORDINADOREMPRESA ENVIA EL CANDIDATO</t>
  </si>
  <si>
    <t>COORDINADOR DE VENTAS MPCARGO COMERCIALVACANTE DESDE RECLUTAMIENTO</t>
  </si>
  <si>
    <t>ANALISTA SERVICIO Y EXPERIENCIAANALISTA/PROFESIONAL/COORDINADOREMPRESA ENVIA EL CANDIDATO</t>
  </si>
  <si>
    <t>AUXILIAR SALUDAUXILIAR/OPERATIVOEMPRESA ENVIA EL CANDIDATO</t>
  </si>
  <si>
    <t>ADMINISTRADOR/A CONDOMINIOANALISTA/PROFESIONAL/COORDINADOREMPRESA ENVIA EL CANDIDATO</t>
  </si>
  <si>
    <t>OPERADOR/A CEMSALUD/ASISTENCIALVACANTE DESDE RECLUTAMIENTO</t>
  </si>
  <si>
    <t>GESTOR/A COOPERATIVOCARGO COMERCIALVACANTE DESDE RECLUTAMIENTO</t>
  </si>
  <si>
    <t>AUXILIAR TRANSPORTE ASISTENCIALSALUD/ASISTENCIALVACANTE DESDE RECLUTAMIENTO</t>
  </si>
  <si>
    <t>ANALISTA RIESGO CREDITOANALISTA/PROFESIONAL/COORDINADORCONCURSO MIXTO</t>
  </si>
  <si>
    <t>EJECUTIVO/A NEGOCIOSCARGO COMERCIALVACANTE DESDE RECLUTAMIENTO</t>
  </si>
  <si>
    <t>EJECUTIVO DE NEGOCIOSCARGO COMERCIALVACANTE DESDE RECLUTAMIENTO</t>
  </si>
  <si>
    <t>ANALISTA GESTION INFORMACIONANALISTA/PROFESIONAL/COORDINADOREMPRESA ENVIA EL CANDIDATO</t>
  </si>
  <si>
    <t>GESTOR/A COOPERATIVO ESPECIALIZADOCARGO COMERCIALVACANTE DESDE RECLUTAMIENTO</t>
  </si>
  <si>
    <t>ANALISTA ARQUITECTURA EMPRESARIALANALISTA/PROFESIONAL/COORDINADORVACANTE DESDE RECLUTAMIENTO</t>
  </si>
  <si>
    <t>AUXILIAR REGIONAL COMERCIAL GCGIAAUXILIAR/OPERATIVOVACANTE DESDE RECLUTAMIENTO</t>
  </si>
  <si>
    <t>ASESOR/A SERVICIOSCARGO COMERCIALEMPRESA ENVIA EL CANDIDATO</t>
  </si>
  <si>
    <t>EJECUTIVO/A AFILIACION B2B CEM MPCARGO COMERCIALVACANTE DESDE RECLUTAMIENTO</t>
  </si>
  <si>
    <t>ANALISTA MERCADEOANALISTA/PROFESIONAL/COORDINADORVACANTE DESDE RECLUTAMIENTO</t>
  </si>
  <si>
    <t>AUXILIAR CREDITOAUXILIAR/OPERATIVOEMPRESA ENVIA EL CANDIDATO</t>
  </si>
  <si>
    <t>AUDITOR/A FINANCIEROANALISTA/PROFESIONAL/COORDINADOREMPRESA ENVIA EL CANDIDATO</t>
  </si>
  <si>
    <t>EJECUTIVO/A COMERCIAL SECTORIALCARGO COMERCIALVACANTE DESDE RECLUTAMIENTO</t>
  </si>
  <si>
    <t>EJECUTIVO/A AFILIACIONCARGO COMERCIALEMPRESA ENVIA EL CANDIDATO</t>
  </si>
  <si>
    <t>AUXILIAR DE ENFERMERIA DOMICILIARIOSALUD/ASISTENCIALVACANTE DESDE RECLUTAMIENTO</t>
  </si>
  <si>
    <t>AUXILIAR OPERACIONES FPVAUXILIAR/OPERATIVOCONCURSO MIXTO</t>
  </si>
  <si>
    <t>TRADER JUNIORANALISTA/PROFESIONAL/COORDINADORVACANTE DESDE RECLUTAMIENTO</t>
  </si>
  <si>
    <t>MEDICO/A GENERALCARGO MEDICOVACANTE DESDE RECLUTAMIENTO</t>
  </si>
  <si>
    <t>EJECUTIVO/A COMERCIALCARGO COMERCIALVACANTE DESDE RECLUTAMIENTO</t>
  </si>
  <si>
    <t>AUXILIAR ZONAL DE SOPORTE COMERCIAL GCCAUXILIAR/OPERATIVOVACANTE DESDE RECLUTAMIENTO</t>
  </si>
  <si>
    <t>EJECUTIVO/A COMERCIALCARGO COMERCIALEMPRESA ENVIA EL CANDIDATO</t>
  </si>
  <si>
    <t>EJECUTIVO/A BANCA PYMECARGO COMERCIALEMPRESA ENVIA EL CANDIDATO</t>
  </si>
  <si>
    <t>ANALISTA NAL SERVICIO Y EXPERIENCIAANALISTA/PROFESIONAL/COORDINADOREMPRESA ENVIA EL CANDIDATO</t>
  </si>
  <si>
    <t>SUPERNUMERARIO/ACARGO COMERCIALEMPRESA ENVIA EL CANDIDATO</t>
  </si>
  <si>
    <t>ANALISTA GESTION CONTABLEANALISTA/PROFESIONAL/COORDINADOREMPRESA ENVIA EL CANDIDATO</t>
  </si>
  <si>
    <t>AUXILIAR CONTABILIDADAUXILIAR/OPERATIVOEMPRESA ENVIA EL CANDIDATO</t>
  </si>
  <si>
    <t>APRENDIZ SENAESTUDIANTE/APRENDIZEMPRESA ENVIA EL CANDIDATO</t>
  </si>
  <si>
    <t>JEFE/A VENTAS MPJEFE/DIRECTOR/GERENTEEMPRESA ENVIA EL CANDIDATO</t>
  </si>
  <si>
    <t>EJECUTIVO/A AFILIACION CEM MPCARGO COMERCIALEMPRESA ENVIA EL CANDIDATO</t>
  </si>
  <si>
    <t>ASESOR/A VENTASCARGO COMERCIALVACANTE DESDE RECLUTAMIENTO</t>
  </si>
  <si>
    <t>EJECUTIVO/A FUERZA MOVIL BCOCARGO COMERCIALVACANTE DESDE RECLUTAMIENTO</t>
  </si>
  <si>
    <t>TERAPEUTA DOMICILARIO CEMSALUD/ASISTENCIALEMPRESA ENVIA EL CANDIDATO</t>
  </si>
  <si>
    <t>EJECUTIVO/A COMERCIALCARGO COMERCIALPROMOCION INTERNA</t>
  </si>
  <si>
    <t>AUXILIAR NAL OTORGAMIENTO AMPAROSAUXILIAR/OPERATIVOEMPRESA ENVIA EL CANDIDATO</t>
  </si>
  <si>
    <t>TERAPEUTA DOMICILARIO CEMSALUD/ASISTENCIALVACANTE DESDE RECLUTAMIENTO</t>
  </si>
  <si>
    <t>JEFE/A REG. BIENESTARJEFE/DIRECTOR/GERENTECONCURSO MIXTO</t>
  </si>
  <si>
    <t>COORDINADOR/A NAL SERVICIO Y EXPERIENCIAANALISTA/PROFESIONAL/COORDINADOREMPRESA ENVIA EL CANDIDATO</t>
  </si>
  <si>
    <t>GERENTE OFICINA BCOCARGO COMERCIALVACANTE DESDE RECLUTAMIENTO</t>
  </si>
  <si>
    <t>AUXILIAR ADMINISTRATIVAAUXILIAR/OPERATIVOEMPRESA ENVIA EL CANDIDATO</t>
  </si>
  <si>
    <t>EJECUTIVO/A AFILIACION B2B CEM MPCARGO COMERCIALEMPRESA ENVIA EL CANDIDATO</t>
  </si>
  <si>
    <t>ABOGADO/AANALISTA/PROFESIONAL/COORDINADOREMPRESA ENVIA EL CANDIDATO</t>
  </si>
  <si>
    <t>AUXILIAR SARLAFTAUXILIAR/OPERATIVOEMPRESA ENVIA EL CANDIDATO</t>
  </si>
  <si>
    <t>GESTOR/A COLABORADORESANALISTA/PROFESIONAL/COORDINADORSOLO CONTRATACION</t>
  </si>
  <si>
    <t>EJECUTIVO(A) SERVICIO AL PRESTADOR MPANALISTA/PROFESIONAL/COORDINADOREMPRESA ENVIA EL CANDIDATO</t>
  </si>
  <si>
    <t>DIRECTOR(A) NAL ABASTECIMIENTOJEFE/DIRECTOR/GERENTESOLO CONTRATACION</t>
  </si>
  <si>
    <t>ANALISTA REG MICROCREDITOCARGO COMERCIALVACANTE DESDE RECLUTAMIENTO</t>
  </si>
  <si>
    <t>EJECUTIVO/A COMERCIAL VINCULACIONCARGO COMERCIALVACANTE DESDE RECLUTAMIENTO</t>
  </si>
  <si>
    <t>GERENTE ZONALCARGO COMERCIALSOLO CONTRATACION</t>
  </si>
  <si>
    <t>EJECUTIVO/A PROFUNDIZACIONCARGO COMERCIALVACANTE DESDE RECLUTAMIENTO</t>
  </si>
  <si>
    <t>OPERADOR/A CEMSALUD/ASISTENCIALEMPRESA ENVIA EL CANDIDATO</t>
  </si>
  <si>
    <t>ANALISTA NAL COMERCIALANALISTA/PROFESIONAL/COORDINADORCONCURSO MIXTO</t>
  </si>
  <si>
    <t>EJECUTIVO/A FIDELIZACIÓNCARGO COMERCIALVACANTE DESDE RECLUTAMIENTO</t>
  </si>
  <si>
    <t>ANALISTA NAL RETENCIONANALISTA/PROFESIONAL/COORDINADORCONCURSO INTERNO</t>
  </si>
  <si>
    <t>GESTOR/A COOPERATIVOCARGO COMERCIALPROMOCION INTERNA</t>
  </si>
  <si>
    <t>ANALISTA NAL COMERCIAL/ASESOR/A INTEGRALANALISTA/PROFESIONAL/COORDINADORPROMOCION INTERNA</t>
  </si>
  <si>
    <t>GESTOR(A) EXCELENCIA CLINICA CM MPANALISTA/PROFESIONAL/COORDINADORVACANTE DESDE RECLUTAMIENTO</t>
  </si>
  <si>
    <t>SUPERNUMERARIO/ACARGO COMERCIALPROMOCION INTERNA</t>
  </si>
  <si>
    <t>EJECUTIVO/A COMERCIAL SECTORIALCARGO COMERCIALSOLO CONTRATACION</t>
  </si>
  <si>
    <t>TECNOLOGO(A) RADIOLOGIASALUD/ASISTENCIALEMPRESA ENVIA EL CANDIDATO</t>
  </si>
  <si>
    <t>GERENTE OFICINA BCOCARGO COMERCIALEMPRESA ENVIA EL CANDIDATO</t>
  </si>
  <si>
    <t>AUXILIAR TRANSPORTE ASISTENCIALSALUD/ASISTENCIALEMPRESA ENVIA EL CANDIDATO</t>
  </si>
  <si>
    <t>TECNICO/A MANTENIMIENTOAUXILIAR/OPERATIVOVACANTE DESDE RECLUTAMIENTO</t>
  </si>
  <si>
    <t>MEDICO(A) FONOSALUDCARGO MEDICOVACANTE DESDE RECLUTAMIENTO</t>
  </si>
  <si>
    <t>ANALISTA CONTABLEANALISTA/PROFESIONAL/COORDINADOREMPRESA ENVIA EL CANDIDATO</t>
  </si>
  <si>
    <t>ASESOR/A SERVICIOSCARGO COMERCIALVACANTE DESDE RECLUTAMIENTO</t>
  </si>
  <si>
    <t>COORDINADOR/A PROYECTOS INFRAESTRUCTURAANALISTA/PROFESIONAL/COORDINADORVACANTE DESDE RECLUTAMIENTO</t>
  </si>
  <si>
    <t>NUTRICIONISTA DOMICILARIO CEMSALUD/ASISTENCIALVACANTE DESDE RECLUTAMIENTO</t>
  </si>
  <si>
    <t>ASESOR/A INTEGRALCARGO COMERCIALSOLO CONTRATACION</t>
  </si>
  <si>
    <t>OFICIAL CUMPLIMIENTO SUPLENTEANALISTA/PROFESIONAL/COORDINADORCONCURSO MIXTO</t>
  </si>
  <si>
    <t>EJECUTIVO/A ATENCION INTEGRALCARGO COMERCIALEMPRESA ENVIA EL CANDIDATO</t>
  </si>
  <si>
    <t>ANALISTA NACIONAL ADMINISTRATIVO Y FINANCIEROANALISTA/PROFESIONAL/COORDINADORCONCURSO MIXTO</t>
  </si>
  <si>
    <t>ANALISTA CONTROL CONTABLEANALISTA/PROFESIONAL/COORDINADOREMPRESA ENVIA EL CANDIDATO</t>
  </si>
  <si>
    <t>INGENIERO/A OPERACIONES TIANALISTA/PROFESIONAL/COORDINADOREMPRESA ENVIA EL CANDIDATO</t>
  </si>
  <si>
    <t>EJECUTIVO/A COMERCIAL VINCULACIONCARGO COMERCIALEMPRESA ENVIA EL CANDIDATO</t>
  </si>
  <si>
    <t>ASISTENTE NAL GESTION Y SEGUIMIENTOANALISTA/PROFESIONAL/COORDINADORCONCURSO MIXTO</t>
  </si>
  <si>
    <t>EJECUTIVO/A COMERCIAL SECTORIALCARGO COMERCIALPROMOCION INTERNA</t>
  </si>
  <si>
    <t>EJECUTIVO/A PROFUNDIZACIONCARGO COMERCIALEMPRESA ENVIA EL CANDIDATO</t>
  </si>
  <si>
    <t>GESTOR/A COOPERATIVO ESPECIALIZADOCARGO COMERCIALCONCURSO MIXTO</t>
  </si>
  <si>
    <t>ANALISTA FORMALIZADOR CASH MANAGEMENTANALISTA/PROFESIONAL/COORDINADORPROMOCION INTERNA</t>
  </si>
  <si>
    <t>ANALISTA CUMPLIMIENTO CASH MANAGEMENTANALISTA/PROFESIONAL/COORDINADORPROMOCION INTERNA</t>
  </si>
  <si>
    <t>ANALISTA FORMALIZADOR ACTIVOANALISTA/PROFESIONAL/COORDINADOREMPRESA ENVIA EL CANDIDATO</t>
  </si>
  <si>
    <t>ANALISTA EXPERIENCIA CASH MANAGEMENTANALISTA/PROFESIONAL/COORDINADOREMPRESA ENVIA EL CANDIDATO</t>
  </si>
  <si>
    <t>ANALISTA FORMALIZADOR REDES Y COMPENSACIONANALISTA/PROFESIONAL/COORDINADOREMPRESA ENVIA EL CANDIDATO</t>
  </si>
  <si>
    <t>ANALISTA FORMALIZADOR ADMINISTRACION ACTIVOANALISTA/PROFESIONAL/COORDINADOREMPRESA ENVIA EL CANDIDATO</t>
  </si>
  <si>
    <t>ANALISTA CUMPLIMIENTO VINCULACION CLIENTES Y PASIVOSANALISTA/PROFESIONAL/COORDINADORPROMOCION INTERNA</t>
  </si>
  <si>
    <t>ANALISTA CUMPLIMIENTO TRANSACCIONAL E INVERSIONESANALISTA/PROFESIONAL/COORDINADOREMPRESA ENVIA EL CANDIDATO</t>
  </si>
  <si>
    <t>ANALISTA REG PRODUCTOCARGO COMERCIALPROMOCION INTERNA</t>
  </si>
  <si>
    <t>ANALISTA REG MICROCREDITOCARGO COMERCIALEMPRESA ENVIA EL CANDIDATO</t>
  </si>
  <si>
    <t>MEDICO GESTION CLINICA NEG INTER MPCARGO MEDICOVACANTE DESDE RECLUTAMIENTO</t>
  </si>
  <si>
    <t>AUXILIAR COMERCIALAUXILIAR/OPERATIVOSOLO CONTRATACION</t>
  </si>
  <si>
    <t>AUDITOR(A) MEDICO MPANALISTA/PROFESIONAL/COORDINADORVACANTE DESDE RECLUTAMIENTO</t>
  </si>
  <si>
    <t>MEDICO/A TELEASISTENCIACARGO MEDICOEMPRESA ENVIA EL CANDIDATO</t>
  </si>
  <si>
    <t>AUXILIAR ADMINISTRATIVO/AAUXILIAR/OPERATIVOEMPRESA ENVIA EL CANDIDATO</t>
  </si>
  <si>
    <t>LIDER GESTIÓN INFORMACIÓNANALISTA/PROFESIONAL/COORDINADOREMPRESA ENVIA EL CANDIDATO</t>
  </si>
  <si>
    <t>LIDER DE OPERACIONES ASOCIATIVIDADANALISTA/PROFESIONAL/COORDINADOREMPRESA ENVIA EL CANDIDATO</t>
  </si>
  <si>
    <t>AUXILIAR REG PRODUCTO GCCAUXILIAR/OPERATIVOEMPRESA ENVIA EL CANDIDATO</t>
  </si>
  <si>
    <t>AUXILIAR COMPRASAUXILIAR/OPERATIVOVACANTE DESDE RECLUTAMIENTO</t>
  </si>
  <si>
    <t>AUXILIAR DE ADMISIONES CM MPAUXILIAR/OPERATIVOVACANTE DESDE RECLUTAMIENTO</t>
  </si>
  <si>
    <t>AUXILIAR SELECCION Y CONTRATACIONAUXILIAR/OPERATIVOVACANTE DESDE RECLUTAMIENTO</t>
  </si>
  <si>
    <t>ANALISTA SELECCIÓNANALISTA/PROFESIONAL/COORDINADORVACANTE DESDE RECLUTAMIENTO</t>
  </si>
  <si>
    <t>REGENTE DIRECTOR/A TECNICO/A SERVICIOAUXILIAR/OPERATIVOEMPRESA ENVIA EL CANDIDATO</t>
  </si>
  <si>
    <t>GESTOR/A COMERCIALCARGO COMERCIALPROMOCION INTERNA</t>
  </si>
  <si>
    <t>DIRECTOR/A CORPORATIVO DE ABASTECIMIENTO Y SERVICIOS INTEREMPRJEFE/DIRECTOR/GERENTESOLO CONTRATACION</t>
  </si>
  <si>
    <t>ENTRENADOR/A DESARROLLO COMERCIALANALISTA/PROFESIONAL/COORDINADORSOLO CONTRATACION</t>
  </si>
  <si>
    <t>COORDINADOR/A COMERCIAL MEDIOS DE PAGOCARGO COMERCIALEMPRESA ENVIA EL CANDIDATO</t>
  </si>
  <si>
    <t>COORDINADOR/A COMERCIAL CANALESCARGO COMERCIALEMPRESA ENVIA EL CANDIDATO</t>
  </si>
  <si>
    <t>ANFITRIONAUXILIAR/OPERATIVOVACANTE DESDE RECLUTAMIENTO</t>
  </si>
  <si>
    <t>EJECUTIVO/A INTEGRAL FECCARGO COMERCIALVACANTE DESDE RECLUTAMIENTO</t>
  </si>
  <si>
    <t>ENFERMERO(A) AUDITOR MPANALISTA/PROFESIONAL/COORDINADORVACANTE DESDE RECLUTAMIENTO</t>
  </si>
  <si>
    <t>ANALISTA NAL MICROCREDITOCARGO COMERCIALEMPRESA ENVIA EL CANDIDATO</t>
  </si>
  <si>
    <t>COORDINADOR(A) NAL DE MARCA Y PUBLICIDADANALISTA/PROFESIONAL/COORDINADORCONCURSO INTERNO</t>
  </si>
  <si>
    <t>ENTRENADOR/A REG. ASOCIATIVIDADANALISTA/PROFESIONAL/COORDINADORCONCURSO MIXTO</t>
  </si>
  <si>
    <t>JEFE/A ADMINISTRATIVO Y FINANCIEROJEFE/DIRECTOR/GERENTEEMPRESA ENVIA EL CANDIDATO</t>
  </si>
  <si>
    <t>ANALISTA DESARROLLO TALENTO Y LIDERAZGOANALISTA/PROFESIONAL/COORDINADORCONCURSO MIXTO</t>
  </si>
  <si>
    <t>ANALISTA GESTION DEL CAMBIOANALISTA/PROFESIONAL/COORDINADOREMPRESA ENVIA EL CANDIDATO</t>
  </si>
  <si>
    <t>AUXILIAR ADMISIONESAUXILIAR/OPERATIVOPROMOCION INTERNA</t>
  </si>
  <si>
    <t>ANALISTA SELECCION Y CONTRATACION USCANALISTA/PROFESIONAL/COORDINADORVACANTE DESDE RECLUTAMIENTO</t>
  </si>
  <si>
    <t>AUXILIAR DE FARMACIASALUD/ASISTENCIALVACANTE DESDE RECLUTAMIENTO</t>
  </si>
  <si>
    <t>ANALISTA CUMPLIMIENTO ADMINISTRACION GARANTIASANALISTA/PROFESIONAL/COORDINADOREMPRESA ENVIA EL CANDIDATO</t>
  </si>
  <si>
    <t>ANALISTA CUMPLIMIENTO ADMINISTRACION GARANTIASANALISTA/PROFESIONAL/COORDINADORCONCURSO MIXTO</t>
  </si>
  <si>
    <t>ANALISTA EXPERIENCIA VINCULACION CLIENTES Y PASIVOSANALISTA/PROFESIONAL/COORDINADORCONCURSO MIXTO</t>
  </si>
  <si>
    <t>ANALISTA FORMALIZADOR VINCULACION CLIENTES Y PASIVOSANALISTA/PROFESIONAL/COORDINADORCONCURSO MIXTO</t>
  </si>
  <si>
    <t>JEFE/A MORA TEMPRANAJEFE/DIRECTOR/GERENTECONCURSO MIXTO</t>
  </si>
  <si>
    <t>ABOGADO/A REGIONAL GESTION CARTERA JURIDICAANALISTA/PROFESIONAL/COORDINADORCONCURSO MIXTO</t>
  </si>
  <si>
    <t>AUXILIAR SOLUCIONES PAGOAUXILIAR/OPERATIVOCONCURSO INTERNO</t>
  </si>
  <si>
    <t>JEFE/A REG MEDICO CEMJEFE/DIRECTOR/GERENTEVACANTE DESDE RECLUTAMIENTO</t>
  </si>
  <si>
    <t>INGENIERO/A PROCESOS LEAN IANALISTA/PROFESIONAL/COORDINADOREMPRESA ENVIA EL CANDIDATO</t>
  </si>
  <si>
    <t>ANALISTA FINANCIERO/AANALISTA/PROFESIONAL/COORDINADORCONCURSO MIXTO</t>
  </si>
  <si>
    <t>ANALISTA FORMALIZADOR ADMINISTRACION GARANTIASANALISTA/PROFESIONAL/COORDINADOREMPRESA ENVIA EL CANDIDATO</t>
  </si>
  <si>
    <t>AUXILIAR ASEGURAMIENTO Y MEJORAAUXILIAR/OPERATIVOCONCURSO MIXTO</t>
  </si>
  <si>
    <t>ANALISTA RIESGOANALISTA/PROFESIONAL/COORDINADOREMPRESA ENVIA EL CANDIDATO</t>
  </si>
  <si>
    <t>ANFITRION DE SERVICIO CM MPAUXILIAR/OPERATIVOVACANTE DESDE RECLUTAMIENTO</t>
  </si>
  <si>
    <t>AUXILIAR CREDITO COMERCIALAUXILIAR/OPERATIVOCONCURSO MIXTO</t>
  </si>
  <si>
    <t>COORDINADOR/A REG. CANAL GESTORES GCGIACARGO COMERCIALVACANTE DESDE RECLUTAMIENTO</t>
  </si>
  <si>
    <t>AUXILIAR RECLUTAMIENTOAUXILIAR/OPERATIVOVACANTE DESDE RECLUTAMIENTO</t>
  </si>
  <si>
    <t>TECNOLOGO(A) RADIOLOGIASALUD/ASISTENCIALVACANTE DESDE RECLUTAMIENTO</t>
  </si>
  <si>
    <t>ANALISTA CARTERAANALISTA/PROFESIONAL/COORDINADOREMPRESA ENVIA EL CANDIDATO</t>
  </si>
  <si>
    <t>EJECUTIVO/A COMERCIAL CSSCARGO COMERCIALVACANTE DESDE RECLUTAMIENTO</t>
  </si>
  <si>
    <t>ASESOR/A INTEGRALCARGO COMERCIALCONCURSO MIXTO</t>
  </si>
  <si>
    <t>EJECUTIVO FUERZA MOVILCARGO COMERCIALVACANTE DESDE RECLUTAMIENTO</t>
  </si>
  <si>
    <t>GESTOR/A COOPERATIVOCARGO COMERCIALCONCURSO MIXTO</t>
  </si>
  <si>
    <t>AUXILIAR NEGOCIOS FIDUCIARIOSAUXILIAR/OPERATIVOPROMOCION INTERNA</t>
  </si>
  <si>
    <t>GESTOR(A) COMERCIO INTERNACIONALANALISTA/PROFESIONAL/COORDINADOREMPRESA ENVIA EL CANDIDATO</t>
  </si>
  <si>
    <t>AUXILIAR ADMISIONES CM MPSALUD/ASISTENCIALVACANTE DESDE RECLUTAMIENTO</t>
  </si>
  <si>
    <t>AUXILIAR EQUIPOS BIOMEDICOSAUXILIAR/OPERATIVOVACANTE DESDE RECLUTAMIENTO</t>
  </si>
  <si>
    <t>ASESOR/A EN LOGISTICAAUXILIAR/OPERATIVOCONCURSO INTERNO</t>
  </si>
  <si>
    <t>ANALISTA FORMALIZADOR OPERACION CANALESANALISTA/PROFESIONAL/COORDINADOREMPRESA ENVIA EL CANDIDATO</t>
  </si>
  <si>
    <t>ANALISTA BANCA SEGUROSANALISTA/PROFESIONAL/COORDINADORVACANTE DESDE RECLUTAMIENTO</t>
  </si>
  <si>
    <t>ASESOR/A COMERCIALCARGO COMERCIALPROMOCION INTERNA</t>
  </si>
  <si>
    <t>VICEPRESIDENTE/A COMERCIAL Y MERCADEOJEFE/DIRECTOR/GERENTESOLO CONTRATACION</t>
  </si>
  <si>
    <t>COORDINADOR/A PROYECTOS INFRAESTRUCTURAANALISTA/PROFESIONAL/COORDINADOREMPRESA ENVIA EL CANDIDATO</t>
  </si>
  <si>
    <t>ANALISTA COMUNICACIONESANALISTA/PROFESIONAL/COORDINADORPROMOCION INTERNA</t>
  </si>
  <si>
    <t>EJECUTIVO/A AFILIACIONCARGO COMERCIALPROMOCION INTERNA</t>
  </si>
  <si>
    <t>GESTOR/A NEGOCIOS FIDUCIARIOSANALISTA/PROFESIONAL/COORDINADORCONCURSO INTERNO</t>
  </si>
  <si>
    <t>ESTUDIANTE EN PRACTICAESTUDIANTE/APRENDIZSOLO CONTRATACION</t>
  </si>
  <si>
    <t>ANALISTA NAL JURIDICOANALISTA/PROFESIONAL/COORDINADOREMPRESA ENVIA EL CANDIDATO</t>
  </si>
  <si>
    <t>AUXILIAR DE ENFERMERIA DOMICILIARIOSALUD/ASISTENCIALEMPRESA ENVIA EL CANDIDATO</t>
  </si>
  <si>
    <t>GERENTE BANCA EMPRESARIALCARGO COMERCIALPROMOCION INTERNA</t>
  </si>
  <si>
    <t>GERENTE BANCA EMPRESARIAL SENIORCARGO COMERCIALPROMOCION INTERNA</t>
  </si>
  <si>
    <t>EJECUTIVO CASH MANAGAMENTCARGO COMERCIALPROMOCION INTERNA</t>
  </si>
  <si>
    <t>Fredy Alej</t>
  </si>
  <si>
    <t>Susan Berm</t>
  </si>
  <si>
    <t xml:space="preserve">Alba Lucy </t>
  </si>
  <si>
    <t>Carolina C</t>
  </si>
  <si>
    <t>Andrea Kat</t>
  </si>
  <si>
    <t>Sheylin Fl</t>
  </si>
  <si>
    <t>Francy Gir</t>
  </si>
  <si>
    <t>Paola Andr</t>
  </si>
  <si>
    <t>Norma Elen</t>
  </si>
  <si>
    <t>Natalia Ar</t>
  </si>
  <si>
    <t xml:space="preserve">Francisco </t>
  </si>
  <si>
    <t>Johana Fue</t>
  </si>
  <si>
    <t xml:space="preserve">Katherine </t>
  </si>
  <si>
    <t>María José</t>
  </si>
  <si>
    <t>FK_Psicologo</t>
  </si>
  <si>
    <t>PK_Empresa</t>
  </si>
  <si>
    <t>PK_Cargo</t>
  </si>
  <si>
    <t>PK_Psicologo</t>
  </si>
  <si>
    <t>FK_Fuente</t>
  </si>
  <si>
    <t>PK_Fuente</t>
  </si>
  <si>
    <t>ComputrabajoCooperativa Afroamericano</t>
  </si>
  <si>
    <t>ComputrabajoGI Group (INSSA)</t>
  </si>
  <si>
    <t>Bolsa de empleo Ins. EducativaNA</t>
  </si>
  <si>
    <t>Bolsa de empleo Ins. EducativaN/A</t>
  </si>
  <si>
    <t>Bolsa de empleo Ins. EducativaNo aplica</t>
  </si>
  <si>
    <t>ComputrabajoColmédica</t>
  </si>
  <si>
    <t>Referido clienteBancoomeva</t>
  </si>
  <si>
    <t>ComputrabajoMETROSALUD</t>
  </si>
  <si>
    <t>ComputrabajoSin experiencia</t>
  </si>
  <si>
    <t>Referido clienteMenzies Aviación Colombia</t>
  </si>
  <si>
    <t>Busqueda directaN/A</t>
  </si>
  <si>
    <t>MagnetoCLARO MOVIL</t>
  </si>
  <si>
    <t>ComputrabajoSeguros Bolivar</t>
  </si>
  <si>
    <t>Movimiento InternoCoomeva Cooperativa</t>
  </si>
  <si>
    <t>Movimiento InternoCoomeva UCO</t>
  </si>
  <si>
    <t>ComputrabajoCONSTRUCTORA BOLIVAR</t>
  </si>
  <si>
    <t>ComputrabajoCoworking</t>
  </si>
  <si>
    <t>Referido clienteNo aplica</t>
  </si>
  <si>
    <t>ComputrabajoAmerican School Way</t>
  </si>
  <si>
    <t>ComputrabajoCompensar</t>
  </si>
  <si>
    <t>ComputrabajoCABLES SUPERIORES COLOMBIA S.A.S</t>
  </si>
  <si>
    <t>Movimiento InternoCoomeva</t>
  </si>
  <si>
    <t>ComputrabajoHOSPITAL DIVINO NIÑO GUADALAJARA DE BUGA</t>
  </si>
  <si>
    <t>ComputrabajoCooperativa multisoluciones</t>
  </si>
  <si>
    <t>ComputrabajoFundación de la Mujer</t>
  </si>
  <si>
    <t>ComputrabajoCentro comercial Unico</t>
  </si>
  <si>
    <t>ComputrabajoClinica Occidente</t>
  </si>
  <si>
    <t>ComputrabajoPLUSPREVENGO</t>
  </si>
  <si>
    <t>ComputrabajoBanco BBVA</t>
  </si>
  <si>
    <t>Referido clienteN/A</t>
  </si>
  <si>
    <t>Movimiento InternoCoomeva GCGIA</t>
  </si>
  <si>
    <t>ComputrabajoHOMI</t>
  </si>
  <si>
    <t>ComputrabajoBanco Union</t>
  </si>
  <si>
    <t>Referido clienteCRUE E.S.E CENTRO</t>
  </si>
  <si>
    <t>ComputrabajoSeguralia</t>
  </si>
  <si>
    <t>ComputrabajoMedplus</t>
  </si>
  <si>
    <t>Otras redesSeguros Bolivar</t>
  </si>
  <si>
    <t>ComputrabajoProinsa</t>
  </si>
  <si>
    <t>Referido clienteBancoomeva- Accion Plus</t>
  </si>
  <si>
    <t>Busqueda directaEMI</t>
  </si>
  <si>
    <t>ComputrabajoEmermedica</t>
  </si>
  <si>
    <t>ComputrabajoAdistec Colombia</t>
  </si>
  <si>
    <t>ComputrabajoSalud Total</t>
  </si>
  <si>
    <t>ComputrabajoSIES SALUD</t>
  </si>
  <si>
    <t>ComputrabajoDACA TECNOLOGÍ</t>
  </si>
  <si>
    <t>ComputrabajoGRUPO RECORDAR</t>
  </si>
  <si>
    <t>ComputrabajoPROTECCION</t>
  </si>
  <si>
    <t>Referido clienteCorficolombiana</t>
  </si>
  <si>
    <t>Referido clienteKATA SOFTWARE</t>
  </si>
  <si>
    <t>Referido clienteASMET SALUD</t>
  </si>
  <si>
    <t>ComputrabajoPOSTOBON SA</t>
  </si>
  <si>
    <t>Referido clienteCOOSEGURIDAD</t>
  </si>
  <si>
    <t>Referido clienteANGIOGRAFIA DE OCCIDENTE</t>
  </si>
  <si>
    <t>ComputrabajoIPS HORISOES</t>
  </si>
  <si>
    <t>ComputrabajoHOSPITAL UNIVERSITARIO DEL VALLE</t>
  </si>
  <si>
    <t>Referido clienteKAFURY Y ZULUAGA SAS</t>
  </si>
  <si>
    <t>Referido clienteFundación Valle del Lili</t>
  </si>
  <si>
    <t>ComputrabajoClínica Imbanaco</t>
  </si>
  <si>
    <t>Referido clienteIDC Hematoncólogos</t>
  </si>
  <si>
    <t>Referido clienteHospital San Roque</t>
  </si>
  <si>
    <t>Referido clienteClínica Colombia</t>
  </si>
  <si>
    <t>ComputrabajoPLASTIKOS CIRIJANOS</t>
  </si>
  <si>
    <t>ComputrabajoBanco Finandina</t>
  </si>
  <si>
    <t>Referido clienteFundación coomeva</t>
  </si>
  <si>
    <t>Movimiento InternoUCO</t>
  </si>
  <si>
    <t>Busqueda directaSura</t>
  </si>
  <si>
    <t>Movimiento InternoCEM</t>
  </si>
  <si>
    <t>Referido clienteRPM Nevada</t>
  </si>
  <si>
    <t>Bolsa de empleo Ins. EducativaSin experiencia</t>
  </si>
  <si>
    <t>Busqueda directaGrupo EMI</t>
  </si>
  <si>
    <t>MagnetoSeguros Bolivar</t>
  </si>
  <si>
    <t>ComputrabajoGrupo EMI</t>
  </si>
  <si>
    <t>LinkedinSURA EPS</t>
  </si>
  <si>
    <t>LinkedinMagno Chocolates</t>
  </si>
  <si>
    <t>Busqueda directaSkandia</t>
  </si>
  <si>
    <t>MagnetoClinicos IPS</t>
  </si>
  <si>
    <t>ComputrabajoSanitas</t>
  </si>
  <si>
    <t>Busqueda directaContrasandia</t>
  </si>
  <si>
    <t>Ferias UniversitariasN/A</t>
  </si>
  <si>
    <t>ComputrabajoEMI</t>
  </si>
  <si>
    <t>ComputrabajoMEDICINA PREPAGADA/TEMPORAL</t>
  </si>
  <si>
    <t>ComputrabajoCovinoc</t>
  </si>
  <si>
    <t>MagnetoBANCO ITAU</t>
  </si>
  <si>
    <t>ComputrabajoBanco Contactar</t>
  </si>
  <si>
    <t>Ferias UniversitariasCENTRO DE CONTACTO- COOMEVA</t>
  </si>
  <si>
    <t>ComputrabajoEQUIDAD SEGUROS</t>
  </si>
  <si>
    <t>ComputrabajoKeralty</t>
  </si>
  <si>
    <t>Otras redesNovaventa</t>
  </si>
  <si>
    <t>Busqueda directaCoorserpark s.a.s</t>
  </si>
  <si>
    <t>ComputrabajoDavivienda</t>
  </si>
  <si>
    <t>ComputrabajoUNIALQUILERES</t>
  </si>
  <si>
    <t>Busqueda directaSeguros Bolivar</t>
  </si>
  <si>
    <t>Referido clienteCoofisan</t>
  </si>
  <si>
    <t>Referido clienteUSC COOMEVA</t>
  </si>
  <si>
    <t>ComputrabajoColfondos</t>
  </si>
  <si>
    <t>ComputrabajoColmedica Medicina Prepagada</t>
  </si>
  <si>
    <t>Referido clienteGrupo Effi</t>
  </si>
  <si>
    <t>ComputrabajoEnfermeros de tu mano</t>
  </si>
  <si>
    <t>ComputrabajoN/A</t>
  </si>
  <si>
    <t>Referido clienteSYNLAB</t>
  </si>
  <si>
    <t>Movimiento InternoFiducoomeva</t>
  </si>
  <si>
    <t>LinkedinCARVAL</t>
  </si>
  <si>
    <t>Busqueda directaBancamia</t>
  </si>
  <si>
    <t>LinkedinHospital General del Sur</t>
  </si>
  <si>
    <t>Otras redesMartidoll S.A.S</t>
  </si>
  <si>
    <t>ComputrabajoRed de urgencias de la costa pacífica</t>
  </si>
  <si>
    <t>Movimiento InternoJob &amp; Talent Coomeva</t>
  </si>
  <si>
    <t>LinkedinHospital San Rafale</t>
  </si>
  <si>
    <t>ComputrabajoFalabella</t>
  </si>
  <si>
    <t>Referido clienteNación Runner</t>
  </si>
  <si>
    <t>Referido clienteMetropolitan Cleaning Services</t>
  </si>
  <si>
    <t>Referido clienteBancolombia</t>
  </si>
  <si>
    <t>ComputrabajoMedical Solution</t>
  </si>
  <si>
    <t>Busqueda directaBold</t>
  </si>
  <si>
    <t>Busqueda directaAress</t>
  </si>
  <si>
    <t>Referido clienteCEM</t>
  </si>
  <si>
    <t>ComputrabajoColmedicos</t>
  </si>
  <si>
    <t>MagnetoSOLUCIONES COMERCIALES</t>
  </si>
  <si>
    <t>Busqueda directaBomberos Envigado</t>
  </si>
  <si>
    <t>Otras redesClinica de la policia</t>
  </si>
  <si>
    <t>Referido clienteCoomeva</t>
  </si>
  <si>
    <t>Referido clienteAMCOR RIGID PACKAGING</t>
  </si>
  <si>
    <t>WhatsappCLINICA TRAUMANORTE S.A.</t>
  </si>
  <si>
    <t>ComputrabajoHospital San Vicente Fundacion</t>
  </si>
  <si>
    <t>ComputrabajoEps Sanitas</t>
  </si>
  <si>
    <t>Referido clienteLicores la Cariñosa</t>
  </si>
  <si>
    <t>Referido clienteCHUBB SEGUROS COLOMBIA S.A.</t>
  </si>
  <si>
    <t>Referido clienteSalud Total</t>
  </si>
  <si>
    <t>Referido clienteONG CRECER EN FAMILIA</t>
  </si>
  <si>
    <t>MagnetoBanco BBVA</t>
  </si>
  <si>
    <t>Referido clienteColmedica Medicina Prepagada</t>
  </si>
  <si>
    <t>ComputrabajoBanco Av Villas</t>
  </si>
  <si>
    <t>ComputrabajoMi banco</t>
  </si>
  <si>
    <t>Movimiento InternoBanco Union</t>
  </si>
  <si>
    <t>MagnetoClinica Comfamiliar</t>
  </si>
  <si>
    <t>Referido clienteCoomeva Experiencia Medica</t>
  </si>
  <si>
    <t>Referido clienteElite Nutrition SAS</t>
  </si>
  <si>
    <t>ComputrabajoGiros y Finanzas</t>
  </si>
  <si>
    <t>MagnetoEmermedica</t>
  </si>
  <si>
    <t>WhatsappEje Paliativos</t>
  </si>
  <si>
    <t>ComputrabajoEscuela de trabajo San Jose</t>
  </si>
  <si>
    <t>ComputrabajoBanco Popular</t>
  </si>
  <si>
    <t>Referido clienteFundación de la Mujer</t>
  </si>
  <si>
    <t>Movimiento InternoBancoomeva</t>
  </si>
  <si>
    <t>WhatsappCCF COMFAMILAR DEL ATLANTICO</t>
  </si>
  <si>
    <t>Referido clienteEFICACIA</t>
  </si>
  <si>
    <t>Busqueda directaMetlife</t>
  </si>
  <si>
    <t>Otras redesEmermedica</t>
  </si>
  <si>
    <t>MagnetoBanco Popular</t>
  </si>
  <si>
    <t>ComputrabajoSEGUROS SURA</t>
  </si>
  <si>
    <t>MagnetoBanco Finandina</t>
  </si>
  <si>
    <t>MagnetoDavivienda</t>
  </si>
  <si>
    <t>Busqueda directaBanco Popular</t>
  </si>
  <si>
    <t>Referido clienteCarvajal Tecnólogia</t>
  </si>
  <si>
    <t>Referido clienteMP</t>
  </si>
  <si>
    <t>Referido clienteNueva EPS</t>
  </si>
  <si>
    <t>Referido clienteDYM LIMPIEZA SAS</t>
  </si>
  <si>
    <t>ComputrabajoMetlife</t>
  </si>
  <si>
    <t>Referido clienteCELSIA INTERNET S.A.S.</t>
  </si>
  <si>
    <t>Busqueda directaJob talent</t>
  </si>
  <si>
    <t>Busqueda directaServicios Funebres San Pedro</t>
  </si>
  <si>
    <t>Busqueda directaHimed Solutions</t>
  </si>
  <si>
    <t>ComputrabajoClínica nueva el lago</t>
  </si>
  <si>
    <t>ComputrabajoBomberos de Envigado</t>
  </si>
  <si>
    <t>ComputrabajoBold</t>
  </si>
  <si>
    <t>MagnetoWTW</t>
  </si>
  <si>
    <t>ComputrabajoSMIL</t>
  </si>
  <si>
    <t>MagnetoNeuromedica</t>
  </si>
  <si>
    <t>ComputrabajoKonecta</t>
  </si>
  <si>
    <t>ComputrabajoBanco de Occidente</t>
  </si>
  <si>
    <t>Movimiento InternoMP</t>
  </si>
  <si>
    <t>ComputrabajoBomberos Envigado</t>
  </si>
  <si>
    <t>ComputrabajoIntegral Proyectos Hidruhituango</t>
  </si>
  <si>
    <t>Busqueda directaCooperativa Financiera de Antioquía</t>
  </si>
  <si>
    <t>Busqueda directaAlianza Valores</t>
  </si>
  <si>
    <t>ComputrabajoPISOS Y ENCHAPES RYL</t>
  </si>
  <si>
    <t>Busqueda directaBanco Falabella</t>
  </si>
  <si>
    <t>ComputrabajoFunerarias y Camposanto Metropolitana</t>
  </si>
  <si>
    <t>ComputrabajoComfandi</t>
  </si>
  <si>
    <t>Referido clienteFortuna exotic</t>
  </si>
  <si>
    <t>Busqueda directaVincuservi</t>
  </si>
  <si>
    <t>Otras redesWTW</t>
  </si>
  <si>
    <t>Referido clienteCedima</t>
  </si>
  <si>
    <t>Referido clienteBBVA</t>
  </si>
  <si>
    <t>Referido clienteGRUPO E.M.S</t>
  </si>
  <si>
    <t>ComputrabajoAgregados y Mezcals Cachibi</t>
  </si>
  <si>
    <t>ComputrabajoProeendo</t>
  </si>
  <si>
    <t>ComputrabajoClínica Colombia</t>
  </si>
  <si>
    <t>LinkedinFondo para la reparacion de las victimas</t>
  </si>
  <si>
    <t>ComputrabajoHospital Departamental Tomas Uribe Uribe</t>
  </si>
  <si>
    <t>Busqueda directaBanco BBVA</t>
  </si>
  <si>
    <t>Busqueda directaSalud Total</t>
  </si>
  <si>
    <t>MagnetoBBVA</t>
  </si>
  <si>
    <t>MagnetoCOLSANITAS</t>
  </si>
  <si>
    <t>Referido clienteVAG Arquitectura e Ingeniería</t>
  </si>
  <si>
    <t>Busqueda directaSanitas</t>
  </si>
  <si>
    <t>Busqueda directaAxa Colpatria</t>
  </si>
  <si>
    <t>LinkedinViva IPS Estadio</t>
  </si>
  <si>
    <t>ComputrabajoBanco Falabella</t>
  </si>
  <si>
    <t>Busqueda directaIndependiente</t>
  </si>
  <si>
    <t>Referido clienteCentro Comercial Mónaco Plaza</t>
  </si>
  <si>
    <t>Referido clienteCP Brokers</t>
  </si>
  <si>
    <t>ComputrabajoTunave</t>
  </si>
  <si>
    <t>ComputrabajoProsegur Alarms</t>
  </si>
  <si>
    <t>Referido clienteColmédica</t>
  </si>
  <si>
    <t>Referido clienteASMET SALUD EPS</t>
  </si>
  <si>
    <t>Referido clienteMedplus</t>
  </si>
  <si>
    <t>Referido clienteUniversidad Santiago de Cali</t>
  </si>
  <si>
    <t>Movimiento InternoJob&amp;Talent (Bancoomeva)</t>
  </si>
  <si>
    <t>Otras redesMegalinea Banco Bogotá</t>
  </si>
  <si>
    <t>Referido clienteGTC Corporation</t>
  </si>
  <si>
    <t>Referido clienteSura</t>
  </si>
  <si>
    <t>Busqueda booleanaMetlife</t>
  </si>
  <si>
    <t>ComputrabajoScotiabank</t>
  </si>
  <si>
    <t>MagnetoSura</t>
  </si>
  <si>
    <t>Referido clienteMOVISTAR</t>
  </si>
  <si>
    <t>Referido clienteUnidad de Respuesta en Salud</t>
  </si>
  <si>
    <t>Referido clienteAyudas Diagnósticas Sura</t>
  </si>
  <si>
    <t>MagnetoViajes Éxito</t>
  </si>
  <si>
    <t>Busqueda directaTigo</t>
  </si>
  <si>
    <t>ComputrabajoAuren Auditores</t>
  </si>
  <si>
    <t>Referido clienteFSCR INGENIERÍA S.A.S</t>
  </si>
  <si>
    <t>WhatsappMetlife</t>
  </si>
  <si>
    <t>Referido clienteCoopserp</t>
  </si>
  <si>
    <t>ComputrabajoNexa BPO</t>
  </si>
  <si>
    <t>Busqueda directaGESTION Y CONSULTORIA GROUP JY SAS</t>
  </si>
  <si>
    <t>Referido clienteBanco Union</t>
  </si>
  <si>
    <t>Referido clienteFinding</t>
  </si>
  <si>
    <t>LinkedinBancolombia</t>
  </si>
  <si>
    <t>Referido clienteHeinsohn</t>
  </si>
  <si>
    <t>Referido clienteConstructora Marval</t>
  </si>
  <si>
    <t>Referido clienteWTW</t>
  </si>
  <si>
    <t>Referido clienteNexa BPO</t>
  </si>
  <si>
    <t>Referido clienteGlobal Seguros de Vida</t>
  </si>
  <si>
    <t>LinkedinSan Vicentre CES</t>
  </si>
  <si>
    <t>MagnetoBancolombia</t>
  </si>
  <si>
    <t>Busqueda directaBanco Agrario</t>
  </si>
  <si>
    <t>Referido clienteAmbulancias Santa Rita</t>
  </si>
  <si>
    <t>Referido clienteEMI</t>
  </si>
  <si>
    <t>Busqueda directaNexa BPO</t>
  </si>
  <si>
    <t>Referido clienteCentro Comercial Chipichape</t>
  </si>
  <si>
    <t>ComputrabajoAGM salud</t>
  </si>
  <si>
    <t>Busqueda directaCAFAM</t>
  </si>
  <si>
    <t>Referido clienteClinica Rey David</t>
  </si>
  <si>
    <t>Busqueda directaGRUPO RECORDAR</t>
  </si>
  <si>
    <t>ComputrabajoFamisanar</t>
  </si>
  <si>
    <t>Otras bolsas de empleoN/A</t>
  </si>
  <si>
    <t>Busqueda booleanaNOVUMED SALUD S.A.S.</t>
  </si>
  <si>
    <t>Referido clienteSERVIAMBULANCIAS DE PACIFICO</t>
  </si>
  <si>
    <t>ComputrabajoDulex Home</t>
  </si>
  <si>
    <t>Otras bolsas de empleoSatarem</t>
  </si>
  <si>
    <t>Busqueda directaAllers Group</t>
  </si>
  <si>
    <t>WhatsappClínica Nuestra Señora de los Remedios</t>
  </si>
  <si>
    <t>LinkedinSIGGO</t>
  </si>
  <si>
    <t>Referido clienteBanco Mundo Mujer</t>
  </si>
  <si>
    <t>Otras bolsas de empleoSuper Carnes</t>
  </si>
  <si>
    <t>Referido clienteBomba Foods</t>
  </si>
  <si>
    <t>ComputrabajoMac Center</t>
  </si>
  <si>
    <t>ComputrabajoRefax Colombia</t>
  </si>
  <si>
    <t>ComputrabajoCooperativa Financiera de Antioquia</t>
  </si>
  <si>
    <t>Busqueda directaSKANDIA COLOMBIA</t>
  </si>
  <si>
    <t>Referido clienteUniversidad Nacional</t>
  </si>
  <si>
    <t>ComputrabajoCotrafa</t>
  </si>
  <si>
    <t>Referido clienteGrupo Emi Falk</t>
  </si>
  <si>
    <t>Busqueda directaCAJA SOCIAL</t>
  </si>
  <si>
    <t>WhatsappKIA</t>
  </si>
  <si>
    <t>ComputrabajoBanco Caja Social</t>
  </si>
  <si>
    <t>Busqueda directaAXA COLPATRIA</t>
  </si>
  <si>
    <t>Referido clienteAccenture Ltda</t>
  </si>
  <si>
    <t>ComputrabajoPRO- AGRONORTE</t>
  </si>
  <si>
    <t>Movimiento InternoCoomeva Medicina Prepagada</t>
  </si>
  <si>
    <t>Busqueda directaIMEVI S.A.S</t>
  </si>
  <si>
    <t>Busqueda booleanaMB Crusher</t>
  </si>
  <si>
    <t>Busqueda directaDavivienda</t>
  </si>
  <si>
    <t>Referido clienteHoteles MS</t>
  </si>
  <si>
    <t>Busqueda directaBanco W</t>
  </si>
  <si>
    <t>Referido clienteIngenio Pichici</t>
  </si>
  <si>
    <t>ComputrabajoCoexito</t>
  </si>
  <si>
    <t>Referido clienteMi Banco</t>
  </si>
  <si>
    <t>Ferias laboralesCTIC</t>
  </si>
  <si>
    <t>ComputrabajoFarmart IPS</t>
  </si>
  <si>
    <t>MagnetoBanco Av Villas</t>
  </si>
  <si>
    <t>Busqueda directaJFK COOPERATIVA FINANCIERA</t>
  </si>
  <si>
    <t>Referido clienteBanco de Occidente</t>
  </si>
  <si>
    <t>Referido clienteAccion del Cauca S.A.S</t>
  </si>
  <si>
    <t>Busqueda directaBancolombia</t>
  </si>
  <si>
    <t>Busqueda directaBanco de Occidente</t>
  </si>
  <si>
    <t>ComputrabajoProgreser</t>
  </si>
  <si>
    <t>MagnetoBanco W</t>
  </si>
  <si>
    <t>Movimiento InternoCoomeva CSS</t>
  </si>
  <si>
    <t>Busqueda directaCOMPENSAR</t>
  </si>
  <si>
    <t>Referido clienteGlobal Exellence Consulting</t>
  </si>
  <si>
    <t>Referido clienteComercializadora Ecom S.A.S</t>
  </si>
  <si>
    <t>MagnetoVardi Autos Usados</t>
  </si>
  <si>
    <t>Referido clienteTrayectoria</t>
  </si>
  <si>
    <t>ComputrabajoBanco Agrario</t>
  </si>
  <si>
    <t>Referido clienteColfondos S.A</t>
  </si>
  <si>
    <t>Busqueda directaCOLMEDICOS</t>
  </si>
  <si>
    <t>LinkedinBanco de Occidente</t>
  </si>
  <si>
    <t>MagnetoCompañía de Financiamiento Tuya</t>
  </si>
  <si>
    <t>Referido clienteFiducoomeva (Prestación Servicios)</t>
  </si>
  <si>
    <t>Referido clienteBe To Bee</t>
  </si>
  <si>
    <t>Referido clienteKPMG</t>
  </si>
  <si>
    <t>Busqueda directaCOLSANITAS</t>
  </si>
  <si>
    <t>ComputrabajoSeguros WFE</t>
  </si>
  <si>
    <t>Busqueda directaCOOPETROL</t>
  </si>
  <si>
    <t>Movimiento InternoCoomeva USC</t>
  </si>
  <si>
    <t>Referido clienteUniversidad San Buenaventura</t>
  </si>
  <si>
    <t>Busqueda directaITC SOLUCIONES TECNOLOGICAS</t>
  </si>
  <si>
    <t>Referido clienteExpertos Consulting</t>
  </si>
  <si>
    <t>Busqueda directaSerdan</t>
  </si>
  <si>
    <t>ComputrabajoCooperativa Confiar</t>
  </si>
  <si>
    <t>LinkedinAgencia Seguros Presente ( Exito)</t>
  </si>
  <si>
    <t>Referido clienteBANCO ITAU</t>
  </si>
  <si>
    <t>Busqueda directaMedplus</t>
  </si>
  <si>
    <t>Ferias laboralesBanco Agrario</t>
  </si>
  <si>
    <t>Busqueda directaClinica Esensa</t>
  </si>
  <si>
    <t>ComputrabajoHospital Universitario del Valle</t>
  </si>
  <si>
    <t>Busqueda directaClinica Colombia</t>
  </si>
  <si>
    <t>Busqueda directaNexa</t>
  </si>
  <si>
    <t>Referido clienteBanco Av Villas</t>
  </si>
  <si>
    <t>Referido clienteRestaurante Bar Solar</t>
  </si>
  <si>
    <t>ComputrabajoEficacia</t>
  </si>
  <si>
    <t>ComputrabajoEmtelco</t>
  </si>
  <si>
    <t>Referido clienteRoyal Films</t>
  </si>
  <si>
    <t>ComputrabajoDelima Marsh</t>
  </si>
  <si>
    <t>Busqueda directaAgencia De Viajes Travel Y Ticket Axm</t>
  </si>
  <si>
    <t>ComputrabajoSura</t>
  </si>
  <si>
    <t>Busqueda directaBancoomeva</t>
  </si>
  <si>
    <t>Busqueda directaFincomercio</t>
  </si>
  <si>
    <t>ComputrabajoUniversidad del Valle</t>
  </si>
  <si>
    <t>Movimiento InternoFiducoomeva - Job &amp; Talent</t>
  </si>
  <si>
    <t>Referido cliente30X</t>
  </si>
  <si>
    <t>Busqueda directaFAMISANAR</t>
  </si>
  <si>
    <t>ComputrabajoDrogueria Kripton</t>
  </si>
  <si>
    <t>ComputrabajoTuya S.a</t>
  </si>
  <si>
    <t>Referido clienteEmermedica</t>
  </si>
  <si>
    <t>Movimiento InternoCoomeva Job &amp; Talent</t>
  </si>
  <si>
    <t>ComputrabajoConstructora Melendez</t>
  </si>
  <si>
    <t>Referido clienteClinica Nueva Rafael Uribe Uribe</t>
  </si>
  <si>
    <t>ComputrabajoSiigo</t>
  </si>
  <si>
    <t>ComputrabajoTemporal Accion</t>
  </si>
  <si>
    <t>Movimiento InternoCoomeva MP</t>
  </si>
  <si>
    <t>Referido clienteRRM Ingenieria Construcción</t>
  </si>
  <si>
    <t>Busqueda directaSODIMAT</t>
  </si>
  <si>
    <t>MagnetoNexa Bpo</t>
  </si>
  <si>
    <t>Referido clienteAsmet Salud EPS</t>
  </si>
  <si>
    <t>Busqueda directaSOLUCIONES INTEGRALES PAG</t>
  </si>
  <si>
    <t>Busqueda directaSALUD TOTAL EPS</t>
  </si>
  <si>
    <t>Busqueda directaAUTOGERMANA</t>
  </si>
  <si>
    <t>Referido clienteSeguros Sura</t>
  </si>
  <si>
    <t>Referido clienteCoomeva Cooperativa</t>
  </si>
  <si>
    <t>Movimiento InternoFeecoomeva</t>
  </si>
  <si>
    <t>Referido clienteTigo SYM - Temporal</t>
  </si>
  <si>
    <t>Referido clienteTelefónica Movistar</t>
  </si>
  <si>
    <t>Busqueda directaBBVA</t>
  </si>
  <si>
    <t>Referido clienteFanalca</t>
  </si>
  <si>
    <t>Busqueda directaCLINICA MEDICAL</t>
  </si>
  <si>
    <t>Referido clienteAdeco</t>
  </si>
  <si>
    <t>ComputrabajoNexa Bpo</t>
  </si>
  <si>
    <t>Busqueda directaGALAFE</t>
  </si>
  <si>
    <t>Referido clienteBanco Agrario</t>
  </si>
  <si>
    <t>Busqueda directaRAPPIPAY</t>
  </si>
  <si>
    <t>Busqueda directaCONFIAR</t>
  </si>
  <si>
    <t>Referido clienteCOLSANITAS</t>
  </si>
  <si>
    <t>Referido clienteCEM - Temporal</t>
  </si>
  <si>
    <t>PK_Calendario</t>
  </si>
  <si>
    <t>FK_Calendario</t>
  </si>
  <si>
    <t>45909457970000-00-0046027460270000-00-000000-00-000000-00-000000-00-000000-00-000000-00-000000-00-0046031460374603746048460481</t>
  </si>
  <si>
    <t>45953458470000-00-0045968459680000-00-000000-00-000000-00-000000-00-000000-00-000000-00-000000-00-0046010460364603646042460441</t>
  </si>
  <si>
    <t>45972458730000-00-0045996460060000-00-000000-00-000000-00-000000-00-000000-00-000000-00-000000-00-0046030460304603146043460441</t>
  </si>
  <si>
    <t>45986459870000-00-0045987459870000-00-000000-00-000000-00-000000-00-000000-00-000000-00-000000-00-0046009460104601046024460271</t>
  </si>
  <si>
    <t>45891458910000-00-0045894459190000-00-000000-00-000000-00-000000-00-000000-00-000000-00-000000-00-0045919460014600146042460441</t>
  </si>
  <si>
    <t>45939459110000-00-0046013460130000-00-000000-00-000000-00-000000-00-000000-00-000000-00-000000-00-0046031460354603546043460441</t>
  </si>
  <si>
    <t>45986459790000-00-0045994459940000-00-000000-00-000000-00-000000-00-000000-00-000000-00-000000-00-0046009460094600946031460351</t>
  </si>
  <si>
    <t>45994459180000-00-0045996460070000-00-000000-00-000000-00-000000-00-000000-00-000000-00-000000-00-0046013460134601346024460271</t>
  </si>
  <si>
    <t>45958459790000-00-000000-00-000000-00-000000-00-000000-00-000000-00-000000-00-000000-00-000000-00-000000-00-0045986460034600646024460271</t>
  </si>
  <si>
    <t>45957459310000-00-0045959459590000-00-000000-00-000000-00-000000-00-000000-00-000000-00-000000-00-0045995460034600346013460271</t>
  </si>
  <si>
    <t>45966459330000-00-0045997459970000-00-000000-00-000000-00-000000-00-000000-00-000000-00-000000-00-0046027460274602746045460481</t>
  </si>
  <si>
    <t>45936459360000-00-0045989459890000-00-000000-00-000000-00-000000-00-000000-00-000000-00-000000-00-0045985459854601346024460271</t>
  </si>
  <si>
    <t>45966459440000-00-0045968459800000-00-0045968459790000-00-000000-00-000000-00-000000-00-0045994460084600946027460271</t>
  </si>
  <si>
    <t>45946459460000-00-0046017459710000-00-000000-00-000000-00-000000-00-000000-00-000000-00-000000-00-0046027460364603646042460441</t>
  </si>
  <si>
    <t>45945459450000-00-0045993459930000-00-000000-00-000000-00-000000-00-000000-00-000000-00-000000-00-0046013460134601346038460441</t>
  </si>
  <si>
    <t>45946459460000-00-0046007460070000-00-000000-00-000000-00-000000-00-000000-00-000000-00-000000-00-0046027460274602746031460351</t>
  </si>
  <si>
    <t>45946459460000-00-0045966459710000-00-000000-00-000000-00-000000-00-000000-00-000000-00-000000-00-0046031460354603546044460451</t>
  </si>
  <si>
    <t>45951459510000-00-0046000460000000-00-000000-00-000000-00-000000-00-000000-00-000000-00-000000-00-0046009460094600946022460271</t>
  </si>
  <si>
    <t>45973459530000-00-0045986459860000-00-000000-00-000000-00-000000-00-000000-00-000000-00-000000-00-0046003460034600346010460271</t>
  </si>
  <si>
    <t>45967459610000-00-000000-00-000000-00-000000-00-0045968459800000-00-000000-00-000000-00-000000-00-0046013460274602846045460451</t>
  </si>
  <si>
    <t>45957459570000-00-000000-00-000000-00-000000-00-0045958459680000-00-000000-00-000000-00-004601046017460244602746031460351</t>
  </si>
  <si>
    <t>45936460190000-00-0045939459940000-00-000000-00-000000-00-000000-00-000000-00-000000-00-000000-00-0046001460074601346024460271</t>
  </si>
  <si>
    <t>45960459600000-00-0045972459810000-00-000000-00-000000-00-000000-00-000000-00-000000-00-000000-00-0045988459924600746041460441</t>
  </si>
  <si>
    <t>45965459650000-00-0045968459740000-00-000000-00-000000-00-000000-00-000000-00-000000-00-000000-00-0046007460084600946045460451</t>
  </si>
  <si>
    <t>45965459650000-00-000000-00-000000-00-000000-00-000000-00-000000-00-000000-00-000000-00-000000-00-000000-00-0045985459894599246024460271</t>
  </si>
  <si>
    <t>45966459660000-00-0045971459740000-00-000000-00-000000-00-000000-00-000000-00-000000-00-000000-00-0045987459894598946002460271</t>
  </si>
  <si>
    <t>45968459680000-00-0045987459870000-00-000000-00-000000-00-000000-00-000000-00-000000-00-000000-00-0045992459924599346024460271</t>
  </si>
  <si>
    <t>45992459700000-00-0045995460064597346002459790000-00-000000-00-000000-00-000000-00-0046010460104601346024460271</t>
  </si>
  <si>
    <t>45986459700000-00-000000-00-000000-00-000000-00-000000-00-000000-00-000000-00-000000-00-000000-00-000000-00-0046000460024600946024460271</t>
  </si>
  <si>
    <t>45973459730000-00-0045979459930000-00-000000-00-000000-00-000000-00-000000-00-000000-00-000000-00-0046001460034600746024460271</t>
  </si>
  <si>
    <t>45988459750000-00-0045994459940000-00-000000-00-000000-00-000000-00-000000-00-000000-00-000000-00-0046020460214602446044460451</t>
  </si>
  <si>
    <t>45975459750000-00-0045980460010000-00-000000-00-000000-00-000000-00-000000-00-000000-00-000000-00-0046009460064600946021460271</t>
  </si>
  <si>
    <t>45988459930000-00-0045996459960000-00-000000-00-000000-00-000000-00-000000-00-000000-00-000000-00-0046003460034601346024460271</t>
  </si>
  <si>
    <t>45993459940000-00-000000-00-000000-00-000000-00-000000-00-000000-00-000000-00-000000-00-000000-00-000000-00-0046000460024600746024460271</t>
  </si>
  <si>
    <t>45979459790000-00-000000-00-000000-00-000000-00-000000-00-000000-00-000000-00-000000-00-000000-00-000000-00-0046001460024600246022460271</t>
  </si>
  <si>
    <t>45979459790000-00-0046014460140000-00-000000-00-000000-00-000000-00-000000-00-000000-00-000000-00-0046027460274602746042460441</t>
  </si>
  <si>
    <t>46003460030000-00-0046009460090000-00-000000-00-000000-00-000000-00-000000-00-000000-00-000000-00-0046031460314603446043460441</t>
  </si>
  <si>
    <t>45980459790000-00-0045985459930000-00-000000-00-000000-00-000000-00-000000-00-000000-00-000000-00-0046000460004600746024460271</t>
  </si>
  <si>
    <t>45980459800000-00-0045985459850000-00-000000-00-000000-00-000000-00-000000-00-000000-00-000000-00-0045992459924599346017460271</t>
  </si>
  <si>
    <t>45980459800000-00-0045987460000000-00-000000-00-000000-00-000000-00-000000-00-000000-00-000000-00-0046002460004600346017460271</t>
  </si>
  <si>
    <t>45985459820000-00-0045994460020000-00-000000-00-000000-00-000000-00-000000-00-000000-00-000000-00-0046009460094601346024460271</t>
  </si>
  <si>
    <t>45995459830000-00-0046000460240000-00-0046002459790000-00-000000-00-000000-00-000000-00-0046029460294602946044460451</t>
  </si>
  <si>
    <t>45985459850000-00-000000-00-000000-00-000000-00-0045985456690000-00-000000-00-000000-00-004599546010460074601346024460271</t>
  </si>
  <si>
    <t>45986459860000-00-0045996459960000-00-000000-00-000000-00-000000-00-000000-00-000000-00-000000-00-0046006460064600646022460271</t>
  </si>
  <si>
    <t>45986459860000-00-000000-00-000000-00-000000-00-000000-00-000000-00-000000-00-000000-00-000000-00-000000-00-0046010460104601346024460271</t>
  </si>
  <si>
    <t>45988459870000-00-0045994459940000-00-000000-00-000000-00-000000-00-000000-00-000000-00-000000-00-0046034460354603646044460451</t>
  </si>
  <si>
    <t>45987459870000-00-0045993459940000-00-000000-00-000000-00-000000-00-000000-00-000000-00-000000-00-0046008460084600946024460271</t>
  </si>
  <si>
    <t>46029459880000-00-0045989459890000-00-000000-00-000000-00-000000-00-000000-00-000000-00-000000-00-0046031460314603146043460441</t>
  </si>
  <si>
    <t>45989459890000-00-000000-00-000000-00-000000-00-0045993460010000-00-000000-00-000000-00-004601746027460294603046037460441</t>
  </si>
  <si>
    <t>45989459890000-00-0046002460020000-00-000000-00-000000-00-000000-00-000000-00-000000-00-000000-00-0046009460094600946031460351</t>
  </si>
  <si>
    <t>45989459890000-00-0046001460010000-00-000000-00-000000-00-000000-00-000000-00-000000-00-000000-00-0046006460064600746024460271</t>
  </si>
  <si>
    <t>45987459920000-00-000000-00-000000-00-000000-00-000000-00-000000-00-000000-00-000000-00-000000-00-000000-00-0045993459934599346017460271</t>
  </si>
  <si>
    <t>45992459920000-00-0046003460030000-00-000000-00-000000-00-000000-00-000000-00-000000-00-000000-00-0046028460310000-00-0046031460311</t>
  </si>
  <si>
    <t>45996459930000-00-0046008460150000-00-0046000460070000-00-000000-00-000000-00-000000-00-0046036460424604246045460451</t>
  </si>
  <si>
    <t>45993459930000-00-0046009460090000-00-000000-00-000000-00-000000-00-000000-00-000000-00-000000-00-0046009460094602746031460351</t>
  </si>
  <si>
    <t>46010459930000-00-0046017460170000-00-000000-00-000000-00-000000-00-000000-00-000000-00-000000-00-0046027460274602746031460351</t>
  </si>
  <si>
    <t>45996459960000-00-000000-00-000000-00-000000-00-000000-00-000000-00-000000-00-000000-00-000000-00-000000-00-0046009460104601046022460271</t>
  </si>
  <si>
    <t>45994459940000-00-0045996460010000-00-000000-00-000000-00-000000-00-000000-00-000000-00-000000-00-0046009460084600946021460271</t>
  </si>
  <si>
    <t>45996459950000-00-0046007460280000-00-000000-00-000000-00-000000-00-000000-00-000000-00-000000-00-0046030460304603146043460441</t>
  </si>
  <si>
    <t>46006460000000-00-0046009460130000-00-000000-00-000000-00-000000-00-000000-00-000000-00-000000-00-0046027460294602946044460441</t>
  </si>
  <si>
    <t>45996459960000-00-000000-00-000000-00-000000-00-000000-00-000000-00-000000-00-000000-00-000000-00-000000-00-000000-00-000000-00-004600746024460271</t>
  </si>
  <si>
    <t>45996459960000-00-000000-00-000000-00-000000-00-000000-00-000000-00-000000-00-000000-00-000000-00-000000-00-0046007460074600846045460481</t>
  </si>
  <si>
    <t>45994460000000-00-0045996459990000-00-000000-00-000000-00-000000-00-000000-00-000000-00-000000-00-0046001460134601346024460271</t>
  </si>
  <si>
    <t>46000460000000-00-0046002460020000-00-000000-00-000000-00-000000-00-000000-00-000000-00-000000-00-0046007460074600846021460271</t>
  </si>
  <si>
    <t>46000460000000-00-0046007460070000-00-000000-00-000000-00-000000-00-000000-00-000000-00-000000-00-0046008460094600946024460271</t>
  </si>
  <si>
    <t>46000460000000-00-0046014460140000-00-000000-00-000000-00-000000-00-000000-00-000000-00-000000-00-0046017460174601746031460351</t>
  </si>
  <si>
    <t>45978460010000-00-0045988459880000-00-000000-00-000000-00-000000-00-000000-00-000000-00-000000-00-0046007460074600746024460271</t>
  </si>
  <si>
    <t>46001460010000-00-0046006460060000-00-000000-00-000000-00-000000-00-000000-00-000000-00-000000-00-0046009460094600946024460271</t>
  </si>
  <si>
    <t>46001460010000-00-0046006460060000-00-000000-00-000000-00-000000-00-000000-00-000000-00-000000-00-0046027460274602746031460351</t>
  </si>
  <si>
    <t>46001460010000-00-0046006460060000-00-000000-00-000000-00-000000-00-000000-00-000000-00-000000-00-0046009460094600946031460351</t>
  </si>
  <si>
    <t>45996459730000-00-0046000460000000-00-000000-00-000000-00-000000-00-000000-00-000000-00-000000-00-0046010460104601046017460271</t>
  </si>
  <si>
    <t>45996459730000-00-0046000460000000-00-000000-00-000000-00-000000-00-000000-00-000000-00-000000-00-0046010460104601046024460271</t>
  </si>
  <si>
    <t>46002460020000-00-000000-00-000000-00-000000-00-000000-00-000000-00-000000-00-000000-00-000000-00-000000-00-0046008460134601346044460451</t>
  </si>
  <si>
    <t>46000460030000-00-0046007460070000-00-000000-00-000000-00-000000-00-000000-00-000000-00-000000-00-0046010460104601046031460351</t>
  </si>
  <si>
    <t>46006460060000-00-0046031460310000-00-000000-00-000000-00-000000-00-000000-00-000000-00-000000-00-0046036460364603646043460441</t>
  </si>
  <si>
    <t>46015460060000-00-0046013460130000-00-000000-00-000000-00-000000-00-000000-00-000000-00-000000-00-0046027460284602846044460451</t>
  </si>
  <si>
    <t>46006460060000-00-000000-00-000000-00-000000-00-000000-00-000000-00-000000-00-000000-00-000000-00-000000-00-0046009460104601346024460271</t>
  </si>
  <si>
    <t>45992460070000-00-0046007460070000-00-000000-00-000000-00-000000-00-000000-00-000000-00-000000-00-0046009460094600946024460271</t>
  </si>
  <si>
    <t>46007460070000-00-000000-00-000000-00-000000-00-000000-00-000000-00-000000-00-000000-00-000000-00-000000-00-0046013460134601346024460271</t>
  </si>
  <si>
    <t>46010460150000-00-0046013460130000-00-000000-00-000000-00-000000-00-000000-00-000000-00-000000-00-0045959460274602746031460351</t>
  </si>
  <si>
    <t>46008460070000-00-000000-00-000000-00-000000-00-000000-00-000000-00-000000-00-000000-00-000000-00-000000-00-0046013460134601346031460351</t>
  </si>
  <si>
    <t>46001460080000-00-0046008460080000-00-000000-00-000000-00-000000-00-000000-00-000000-00-000000-00-0046009460094600946031460351</t>
  </si>
  <si>
    <t>46001460080000-00-000000-00-000000-00-000000-00-000000-00-000000-00-000000-00-000000-00-000000-00-000000-00-0046009460094601346024460271</t>
  </si>
  <si>
    <t>45995460080000-00-0046000460020000-00-000000-00-000000-00-000000-00-000000-00-000000-00-000000-00-0046009460094601346024460271</t>
  </si>
  <si>
    <t>46008460080000-00-000000-00-000000-00-000000-00-000000-00-000000-00-000000-00-000000-00-000000-00-000000-00-0046010460104601346024460271</t>
  </si>
  <si>
    <t>46003460080000-00-000000-00-000000-00-000000-00-000000-00-000000-00-000000-00-000000-00-000000-00-000000-00-0046009460104601046027460271</t>
  </si>
  <si>
    <t>45995460080000-00-0046001460030000-00-000000-00-000000-00-000000-00-000000-00-000000-00-000000-00-0046009460104601046027460271</t>
  </si>
  <si>
    <t>46003460080000-00-000000-00-000000-00-000000-00-000000-00-000000-00-000000-00-000000-00-000000-00-000000-00-0046014460144601446030460351</t>
  </si>
  <si>
    <t>46010460080000-00-0046014460200000-00-000000-00-000000-00-000000-00-000000-00-000000-00-000000-00-0046027460274602746031460351</t>
  </si>
  <si>
    <t>45992459920000-00-0045993459930000-00-000000-00-000000-00-000000-00-000000-00-000000-00-000000-00-0046010460134601346024460271</t>
  </si>
  <si>
    <t>46009460090000-00-0046010460130000-00-000000-00-000000-00-000000-00-000000-00-000000-00-000000-00-0046021460304603146042460441</t>
  </si>
  <si>
    <t>46013460130000-00-0046021460210000-00-000000-00-000000-00-000000-00-000000-00-000000-00-000000-00-0046034460344603446044460451</t>
  </si>
  <si>
    <t>46021460130000-00-000000-00-000000-00-000000-00-000000-00-000000-00-000000-00-000000-00-000000-00-000000-00-0046030460354603546044460451</t>
  </si>
  <si>
    <t>46017460170000-00-000000-00-000000-00-000000-00-000000-00-000000-00-000000-00-000000-00-000000-00-000000-00-0046035460354603646042460441</t>
  </si>
  <si>
    <t>46014460210000-00-000000-00-000000-00-000000-00-000000-00-000000-00-000000-00-000000-00-000000-00-000000-00-0046020460204601546024460241</t>
  </si>
  <si>
    <t>45992460210000-00-0045996459960000-00-000000-00-000000-00-000000-00-000000-00-000000-00-000000-00-0046013460204602146031460351</t>
  </si>
  <si>
    <t>46021460210000-00-000000-00-000000-00-000000-00-000000-00-000000-00-000000-00-000000-00-000000-00-000000-00-0046027460274602746035460361</t>
  </si>
  <si>
    <t>46024460240000-00-000000-00-000000-00-000000-00-000000-00-000000-00-000000-00-000000-00-000000-00-000000-00-0046030460304603046043460441</t>
  </si>
  <si>
    <t>46030460300000-00-000000-00-000000-00-000000-00-000000-00-000000-00-000000-00-000000-00-000000-00-000000-00-0046035460354603646041460411</t>
  </si>
  <si>
    <t>45980459800000-00-0046049460490000-00-000000-00-000000-00-000000-00-000000-00-000000-00-000000-00-0046049460574606446073460762</t>
  </si>
  <si>
    <t>46051458930000-00-0046058460580000-00-000000-00-000000-00-000000-00-000000-00-000000-00-000000-00-0046063460634606346073460762</t>
  </si>
  <si>
    <t>45897458970000-00-0046055460550000-00-000000-00-000000-00-000000-00-000000-00-000000-00-000000-00-0046063460644606446073460762</t>
  </si>
  <si>
    <t>45977458060000-00-0045988459960000-00-000000-00-000000-00-000000-00-000000-00-000000-00-000000-00-0046001460014601746055460652</t>
  </si>
  <si>
    <t>45947459380000-00-0045952459634593845939459440000-00-000000-00-000000-00-004596745974460414604846052460552</t>
  </si>
  <si>
    <t>46029459440000-00-0046038460420000-00-000000-00-000000-00-000000-00-000000-00-000000-00-000000-00-0046048460484604846052460552</t>
  </si>
  <si>
    <t>45944459440000-00-0046014460140000-00-000000-00-000000-00-000000-00-000000-00-000000-00-000000-00-0046044460444604446052460552</t>
  </si>
  <si>
    <t>45992459450000-00-0046037460380000-00-000000-00-000000-00-000000-00-000000-00-000000-00-000000-00-0046044460564605746064460652</t>
  </si>
  <si>
    <t>45993459460000-00-0046009460090000-00-000000-00-000000-00-000000-00-000000-00-000000-00-000000-00-0046013460134601346059460652</t>
  </si>
  <si>
    <t>46020459570000-00-000000-00-000000-00-000000-00-000000-00-000000-00-000000-00-000000-00-000000-00-000000-00-0046029460454604846051460552</t>
  </si>
  <si>
    <t>46010459650000-00-0046062460620000-00-000000-00-000000-00-000000-00-000000-00-000000-00-000000-00-0046065460664606946073460762</t>
  </si>
  <si>
    <t>46037459650000-00-0046038460380000-00-000000-00-000000-00-000000-00-000000-00-000000-00-000000-00-0046045460454604846052460552</t>
  </si>
  <si>
    <t>46007459790000-00-0046028460280000-00-000000-00-000000-00-000000-00-000000-00-000000-00-000000-00-0046028460284606946073460762</t>
  </si>
  <si>
    <t>46013459720000-00-0046020460200000-00-000000-00-000000-00-000000-00-000000-00-000000-00-000000-00-0046029460384603846071460762</t>
  </si>
  <si>
    <t>45992459730000-00-0045993460370000-00-000000-00-000000-00-000000-00-000000-00-000000-00-000000-00-0046048460494605046063460652</t>
  </si>
  <si>
    <t>45973459730000-00-0045975460410000-00-000000-00-000000-00-000000-00-000000-00-000000-00-000000-00-0046045460454604546052460552</t>
  </si>
  <si>
    <t>45993459740000-00-0046002460170000-00-000000-00-000000-00-000000-00-000000-00-000000-00-000000-00-0046027460274602846041460552</t>
  </si>
  <si>
    <t>46003459790000-00-0046013460210000-00-000000-00-000000-00-000000-00-000000-00-000000-00-000000-00-0046028460364603646049460552</t>
  </si>
  <si>
    <t>45981459790000-00-0045985460310000-00-000000-00-000000-00-000000-00-000000-00-000000-00-000000-00-0046037460384603846052460552</t>
  </si>
  <si>
    <t>45982459820000-00-0046059460620000-00-000000-00-000000-00-000000-00-000000-00-000000-00-000000-00-0046062460624606346071460762</t>
  </si>
  <si>
    <t>45996459810000-00-0046008460090000-00-000000-00-000000-00-000000-00-000000-00-000000-00-000000-00-0046015460154604846052460552</t>
  </si>
  <si>
    <t>45972459720000-00-0046009460090000-00-000000-00-000000-00-000000-00-000000-00-000000-00-000000-00-0046041460494604946058460762</t>
  </si>
  <si>
    <t>46043459850000-00-000000-00-000000-00-000000-00-000000-00-000000-00-000000-00-000000-00-000000-00-000000-00-0046045460454604846058460652</t>
  </si>
  <si>
    <t>45986459860000-00-0045994460060000-00-000000-00-000000-00-000000-00-000000-00-000000-00-000000-00-0046015460314603146051460552</t>
  </si>
  <si>
    <t>45986459860000-00-0046006460440000-00-000000-00-000000-00-000000-00-000000-00-000000-00-000000-00-0046050460514605246062460652</t>
  </si>
  <si>
    <t>45986459860000-00-0046013460130000-00-000000-00-000000-00-000000-00-000000-00-000000-00-000000-00-0046030460384603846048460552</t>
  </si>
  <si>
    <t>45986459860000-00-0045994460410000-00-000000-00-000000-00-000000-00-000000-00-000000-00-000000-00-0046037460414604146050460552</t>
  </si>
  <si>
    <t>45986459860000-00-0045990460060000-00-000000-00-000000-00-000000-00-000000-00-000000-00-000000-00-0046010460364603746050460552</t>
  </si>
  <si>
    <t>46010459920000-00-0046041460410000-00-000000-00-000000-00-000000-00-000000-00-000000-00-000000-00-0046058460584605846066460762</t>
  </si>
  <si>
    <t>45988459880000-00-0045992460140000-00-000000-00-000000-00-000000-00-000000-00-000000-00-000000-00-0046027460274602946045460552</t>
  </si>
  <si>
    <t>45993459930000-00-0046041460410000-00-000000-00-000000-00-000000-00-000000-00-000000-00-000000-00-0046058460584606346072460762</t>
  </si>
  <si>
    <t>46000460000000-00-0046007460280000-00-000000-00-000000-00-000000-00-000000-00-000000-00-000000-00-0046041460574605846063460652</t>
  </si>
  <si>
    <t>46000460000000-00-0046037460450000-00-000000-00-000000-00-000000-00-000000-00-000000-00-000000-00-0046051460514605546064460652</t>
  </si>
  <si>
    <t>46024460000000-00-0046030460300000-00-000000-00-000000-00-000000-00-000000-00-000000-00-000000-00-0046044460444604446062460622</t>
  </si>
  <si>
    <t>46058460000000-00-0046063460630000-00-000000-00-000000-00-000000-00-000000-00-000000-00-000000-00-0046070460704607046073460762</t>
  </si>
  <si>
    <t>46044460010000-00-0046068460680000-00-000000-00-000000-00-000000-00-000000-00-000000-00-000000-00-0046069460694606946073460762</t>
  </si>
  <si>
    <t>46001460010000-00-0046010460370000-00-000000-00-000000-00-000000-00-000000-00-000000-00-000000-00-0046041460414604146055460552</t>
  </si>
  <si>
    <t>46003460030000-00-0046042460420000-00-000000-00-000000-00-000000-00-000000-00-000000-00-000000-00-0046066460664606646072460762</t>
  </si>
  <si>
    <t>46003460030000-00-0046035460350000-00-000000-00-000000-00-000000-00-000000-00-000000-00-000000-00-0046051460524605246065460652</t>
  </si>
  <si>
    <t>46006460060000-00-0046048460570000-00-000000-00-000000-00-000000-00-000000-00-000000-00-000000-00-0046062460644606546070460762</t>
  </si>
  <si>
    <t>46007460060000-00-0046009460380000-00-000000-00-000000-00-000000-00-000000-00-000000-00-000000-00-0046044460454604846052460552</t>
  </si>
  <si>
    <t>46006460060000-00-0046044460500000-00-000000-00-000000-00-000000-00-000000-00-000000-00-000000-00-0046057460594606446070460762</t>
  </si>
  <si>
    <t>46057460060000-00-000000-00-000000-00-000000-00-000000-00-000000-00-000000-00-000000-00-000000-00-000000-00-0046062460644606546072460762</t>
  </si>
  <si>
    <t>46029460060000-00-0046062460380000-00-000000-00-000000-00-000000-00-000000-00-000000-00-000000-00-0046038460484604846052460552</t>
  </si>
  <si>
    <t>46051460070000-00-000000-00-000000-00-000000-00-000000-00-000000-00-000000-00-000000-00-000000-00-000000-00-0046042460644606546070460762</t>
  </si>
  <si>
    <t>46007460070000-00-000000-00-000000-00-000000-00-000000-00-000000-00-000000-00-000000-00-000000-00-000000-00-0046013460454604846051460552</t>
  </si>
  <si>
    <t>46037460070000-00-0046051460520000-00-000000-00-000000-00-000000-00-000000-00-000000-00-000000-00-0046062460634606446073460762</t>
  </si>
  <si>
    <t>46008460070000-00-0046027460270000-00-000000-00-000000-00-000000-00-000000-00-000000-00-000000-00-0046043460484604846055460562</t>
  </si>
  <si>
    <t>46007460070000-00-0046059460640000-00-000000-00-000000-00-000000-00-000000-00-000000-00-000000-00-0046072460714607146073460762</t>
  </si>
  <si>
    <t>46059460070000-00-000000-00-000000-00-000000-00-000000-00-000000-00-000000-00-000000-00-000000-00-000000-00-0046072460714607146073460762</t>
  </si>
  <si>
    <t>46008460080000-00-0046027460270000-00-000000-00-000000-00-000000-00-000000-00-000000-00-000000-00-0046030460304604446050460552</t>
  </si>
  <si>
    <t>46008460080000-00-0046037460430000-00-000000-00-000000-00-000000-00-000000-00-000000-00-000000-00-0046050460644606546070460762</t>
  </si>
  <si>
    <t>46008460080000-00-0046015460380000-00-000000-00-000000-00-000000-00-000000-00-000000-00-000000-00-0046045460494604946052460552</t>
  </si>
  <si>
    <t>46059460080000-00-000000-00-000000-00-000000-00-000000-00-000000-00-000000-00-000000-00-000000-00-000000-00-0046065460654606946073460762</t>
  </si>
  <si>
    <t>46008460080000-00-0046062460620000-00-000000-00-000000-00-000000-00-000000-00-000000-00-000000-00-0046069460694606946073460762</t>
  </si>
  <si>
    <t>46013460090000-00-0046024460424601346014460244604246048460484605046057460584605946064460652</t>
  </si>
  <si>
    <t>46038460090000-00-0046050460500000-00-000000-00-000000-00-000000-00-000000-00-000000-00-000000-00-0046058460584605846063460652</t>
  </si>
  <si>
    <t>46009460094600946013460440000-00-000000-00-000000-00-000000-00-000000-00-000000-00-000000-00-0046050460564605746064460652</t>
  </si>
  <si>
    <t>46049460100000-00-0046056460560000-00-000000-00-000000-00-000000-00-000000-00-000000-00-000000-00-0046058460584605846064460652</t>
  </si>
  <si>
    <t>46051460100000-00-0046062460620000-00-000000-00-000000-00-000000-00-000000-00-000000-00-000000-00-0046069460694606946073460762</t>
  </si>
  <si>
    <t>46036460130000-00-0046051460510000-00-000000-00-000000-00-000000-00-000000-00-000000-00-000000-00-0046069460694606946073460762</t>
  </si>
  <si>
    <t>46048460130000-00-0046051460510000-00-000000-00-000000-00-000000-00-000000-00-000000-00-000000-00-0046065460654606546071460762</t>
  </si>
  <si>
    <t>46014460140000-00-0046027460510000-00-000000-00-000000-00-000000-00-000000-00-000000-00-000000-00-0046052460524605946071460762</t>
  </si>
  <si>
    <t>46049460150000-00-0046051460510000-00-000000-00-000000-00-000000-00-000000-00-000000-00-000000-00-0046059460594605946072460762</t>
  </si>
  <si>
    <t>46017460170000-00-0046052460520000-00-000000-00-000000-00-000000-00-000000-00-000000-00-000000-00-0046059460594606246064460652</t>
  </si>
  <si>
    <t>46017460170000-00-0046027460300000-00-000000-00-000000-00-000000-00-000000-00-000000-00-000000-00-0046036460454604846052460552</t>
  </si>
  <si>
    <t>46017460170000-00-0046049460490000-00-000000-00-000000-00-000000-00-000000-00-000000-00-000000-00-0046057460574605746076460762</t>
  </si>
  <si>
    <t>46020460200000-00-0046028460280000-00-000000-00-000000-00-000000-00-000000-00-000000-00-000000-00-0046038460514605146073460762</t>
  </si>
  <si>
    <t>46013460200000-00-0046029460290000-00-000000-00-000000-00-000000-00-000000-00-000000-00-000000-00-0046024460244604946055460552</t>
  </si>
  <si>
    <t>46050460200000-00-000000-00-000000-00-000000-00-000000-00-000000-00-000000-00-000000-00-000000-00-000000-00-0046056460564606246072460762</t>
  </si>
  <si>
    <t>46021460200000-00-000000-00-000000-00-000000-00-000000-00-000000-00-000000-00-000000-00-000000-00-000000-00-0046028460294602946065460762</t>
  </si>
  <si>
    <t>46051460210000-00-000000-00-000000-00-000000-00-000000-00-000000-00-000000-00-000000-00-000000-00-000000-00-0046056460564605746065460762</t>
  </si>
  <si>
    <t>46021460210000-00-0046051460510000-00-000000-00-000000-00-000000-00-000000-00-000000-00-000000-00-0046058460654606546072460762</t>
  </si>
  <si>
    <t>46021460210000-00-0046042460420000-00-000000-00-000000-00-000000-00-000000-00-000000-00-000000-00-0046043460434604446049460552</t>
  </si>
  <si>
    <t>46021460210000-00-0046044460440000-00-000000-00-000000-00-000000-00-000000-00-000000-00-000000-00-0046050460584605846073460762</t>
  </si>
  <si>
    <t>46027460220000-00-0046027460350000-00-000000-00-000000-00-000000-00-000000-00-000000-00-000000-00-0046041460414604246052460552</t>
  </si>
  <si>
    <t>46027460220000-00-0046037460480000-00-000000-00-000000-00-000000-00-000000-00-000000-00-000000-00-0046049460494604946052460552</t>
  </si>
  <si>
    <t>46048460240000-00-000000-00-000000-00-000000-00-000000-00-000000-00-000000-00-000000-00-000000-00-000000-00-0046052460554605546063460652</t>
  </si>
  <si>
    <t>46026460260000-00-0046035460350000-00-000000-00-000000-00-000000-00-000000-00-000000-00-000000-00-0046044460444604546055460552</t>
  </si>
  <si>
    <t>46062460270000-00-000000-00-000000-00-000000-00-000000-00-000000-00-000000-00-000000-00-000000-00-000000-00-0046066460660000-00-0046066460662</t>
  </si>
  <si>
    <t>46027460270000-00-0046037460380000-00-000000-00-000000-00-000000-00-000000-00-000000-00-000000-00-0046041460414604146049460552</t>
  </si>
  <si>
    <t>46027460270000-00-0046030460300000-00-000000-00-000000-00-000000-00-000000-00-000000-00-000000-00-0046044460494605046058460652</t>
  </si>
  <si>
    <t>46027460270000-00-0046043460490000-00-000000-00-000000-00-000000-00-000000-00-000000-00-000000-00-0046052460524605246058460652</t>
  </si>
  <si>
    <t>46027460270000-00-0046038460380000-00-000000-00-000000-00-000000-00-000000-00-000000-00-000000-00-0046042460434604446052460552</t>
  </si>
  <si>
    <t>46027460270000-00-0046030460300000-00-000000-00-000000-00-000000-00-000000-00-000000-00-000000-00-0046038460384604246059460652</t>
  </si>
  <si>
    <t>46028460280000-00-000000-00-000000-00-000000-00-000000-00-000000-00-000000-00-000000-00-000000-00-000000-00-0046037460374603846049460552</t>
  </si>
  <si>
    <t>46063460280000-00-000000-00-000000-00-000000-00-000000-00-000000-00-000000-00-000000-00-000000-00-000000-00-0046069460704607046073460762</t>
  </si>
  <si>
    <t>46029460290000-00-0046042460420000-00-000000-00-000000-00-000000-00-000000-00-000000-00-000000-00-0046065460714607146073460762</t>
  </si>
  <si>
    <t>46024460240000-00-0046029460290000-00-000000-00-000000-00-000000-00-000000-00-000000-00-000000-00-0046044460514605146072460762</t>
  </si>
  <si>
    <t>46029460290000-00-0046037460370000-00-000000-00-000000-00-000000-00-000000-00-000000-00-000000-00-0046057460574605846063460652</t>
  </si>
  <si>
    <t>46031460290000-00-000000-00-000000-00-000000-00-000000-00-000000-00-000000-00-000000-00-000000-00-000000-00-0046037460444604446050460552</t>
  </si>
  <si>
    <t>46030460290000-00-0046042460450000-00-000000-00-000000-00-000000-00-000000-00-000000-00-000000-00-0046051460554605846064460762</t>
  </si>
  <si>
    <t>46030460290000-00-0046037460450000-00-000000-00-000000-00-000000-00-000000-00-000000-00-000000-00-0046051460554605846065460762</t>
  </si>
  <si>
    <t>46030460290000-00-0046037460450000-00-000000-00-000000-00-000000-00-000000-00-000000-00-000000-00-0046051460554605846064460762</t>
  </si>
  <si>
    <t>46030460300000-00-000000-00-000000-00-000000-00-000000-00-000000-00-000000-00-000000-00-000000-00-000000-00-0046042460434604546051460552</t>
  </si>
  <si>
    <t>46050460300000-00-000000-00-000000-00-000000-00-000000-00-000000-00-000000-00-000000-00-000000-00-000000-00-0046058460584605746059460652</t>
  </si>
  <si>
    <t>46050460310000-00-000000-00-000000-00-000000-00-000000-00-000000-00-000000-00-000000-00-000000-00-000000-00-0046059460594605946064460652</t>
  </si>
  <si>
    <t>46036460360000-00-0046045460480000-00-000000-00-000000-00-000000-00-000000-00-000000-00-000000-00-0046049460494604946052460552</t>
  </si>
  <si>
    <t>46037460360000-00-0046042460440000-00-000000-00-000000-00-000000-00-000000-00-000000-00-000000-00-0046055460574605846071460762</t>
  </si>
  <si>
    <t>46050460380000-00-000000-00-000000-00-000000-00-000000-00-000000-00-000000-00-000000-00-000000-00-000000-00-0046056460564605646071460762</t>
  </si>
  <si>
    <t>46038460380000-00-0046041460410000-00-000000-00-000000-00-000000-00-000000-00-000000-00-000000-00-0046049460494604946055460552</t>
  </si>
  <si>
    <t>46038460380000-00-000000-00-000000-00-000000-00-000000-00-000000-00-000000-00-000000-00-000000-00-000000-00-0046044460504605046052460552</t>
  </si>
  <si>
    <t>46041460410000-00-0046042460420000-00-000000-00-000000-00-000000-00-000000-00-000000-00-000000-00-0046045460584605846063460632</t>
  </si>
  <si>
    <t>46038460410000-00-0046042460420000-00-000000-00-000000-00-000000-00-000000-00-000000-00-000000-00-0046042460574606446073460762</t>
  </si>
  <si>
    <t>46042460420000-00-000000-00-000000-00-000000-00-000000-00-000000-00-000000-00-000000-00-000000-00-000000-00-0046050460504605146065460652</t>
  </si>
  <si>
    <t>46035460420000-00-0046044460450000-00-000000-00-000000-00-000000-00-000000-00-000000-00-000000-00-0046052460644606446070460762</t>
  </si>
  <si>
    <t>46042460420000-00-0046043460430000-00-000000-00-000000-00-000000-00-000000-00-000000-00-000000-00-0046045460654606546073460762</t>
  </si>
  <si>
    <t>46042460420000-00-0046044460480000-00-000000-00-000000-00-000000-00-000000-00-000000-00-000000-00-0046050460514605246062460652</t>
  </si>
  <si>
    <t>46044460420000-00-000000-00-000000-00-000000-00-000000-00-000000-00-000000-00-000000-00-000000-00-000000-00-0046049460494604946052460552</t>
  </si>
  <si>
    <t>46043460420000-00-0046055460580000-00-000000-00-000000-00-000000-00-000000-00-000000-00-000000-00-0046058460584605846071460762</t>
  </si>
  <si>
    <t>46043460430000-00-0046057460570000-00-000000-00-000000-00-000000-00-000000-00-000000-00-000000-00-0046071460714606946073460762</t>
  </si>
  <si>
    <t>46043460430000-00-0046062460620000-00-000000-00-000000-00-000000-00-000000-00-000000-00-000000-00-0046065460664606646073460762</t>
  </si>
  <si>
    <t>46044460430000-00-000000-00-000000-00-000000-00-000000-00-000000-00-000000-00-000000-00-000000-00-000000-00-0046052460524605246058460652</t>
  </si>
  <si>
    <t>46043460430000-00-000000-00-000000-00-000000-00-000000-00-000000-00-000000-00-000000-00-000000-00-000000-00-0046052460524605646063460652</t>
  </si>
  <si>
    <t>46035460430000-00-0046044460450000-00-000000-00-000000-00-000000-00-000000-00-000000-00-000000-00-0046048460484604846052460552</t>
  </si>
  <si>
    <t>46044460430000-00-000000-00-000000-00-000000-00-000000-00-000000-00-000000-00-000000-00-000000-00-000000-00-0046048460484604846055460552</t>
  </si>
  <si>
    <t>46044460440000-00-0046048460480000-00-000000-00-000000-00-000000-00-000000-00-000000-00-000000-00-0046049460514605146064460642</t>
  </si>
  <si>
    <t>46001460440000-00-0046003460030000-00-000000-00-000000-00-000000-00-000000-00-000000-00-000000-00-0046037460484604846055460552</t>
  </si>
  <si>
    <t>46044460440000-00-0046049460490000-00-000000-00-000000-00-000000-00-000000-00-000000-00-000000-00-0046056460634606446076460762</t>
  </si>
  <si>
    <t>46045460450000-00-000000-00-000000-00-000000-00-000000-00-000000-00-000000-00-000000-00-000000-00-000000-00-0046050460504605046065460652</t>
  </si>
  <si>
    <t>46048460470000-00-000000-00-000000-00-000000-00-000000-00-000000-00-000000-00-000000-00-000000-00-000000-00-0046052460524605546064460652</t>
  </si>
  <si>
    <t>46048460480000-00-004605246052460484604846058460590000-00-000000-00-004606446057460654606546072460762</t>
  </si>
  <si>
    <t>46049460480000-00-000000-00-000000-00-000000-00-000000-00-000000-00-000000-00-000000-00-000000-00-000000-00-0046051460524605246071460762</t>
  </si>
  <si>
    <t>45940460440000-00-0045944459440000-00-000000-00-000000-00-000000-00-000000-00-000000-00-000000-00-0045946460484604946076460762</t>
  </si>
  <si>
    <t>46048460480000-00-0046062460620000-00-000000-00-000000-00-000000-00-000000-00-000000-00-000000-00-0046069460694606946073460762</t>
  </si>
  <si>
    <t>46038460490000-00-0046041460410000-00-000000-00-000000-00-000000-00-000000-00-000000-00-000000-00-0046051460554605546063460632</t>
  </si>
  <si>
    <t>46050460490000-00-000000-00-000000-00-000000-00-000000-00-000000-00-000000-00-000000-00-000000-00-000000-00-0046055460554605546063460652</t>
  </si>
  <si>
    <t>46050460500000-00-0046058460580000-00-000000-00-000000-00-000000-00-000000-00-000000-00-000000-00-0046066460694606946073460762</t>
  </si>
  <si>
    <t>46050460500000-00-0046052460520000-00-000000-00-000000-00-000000-00-000000-00-000000-00-000000-00-0046057460574605746064460652</t>
  </si>
  <si>
    <t>46001460510000-00-0046024460240000-00-000000-00-000000-00-000000-00-000000-00-000000-00-000000-00-0046042460504605046065460652</t>
  </si>
  <si>
    <t>46052460520000-00-0046056460630000-00-000000-00-000000-00-000000-00-000000-00-000000-00-000000-00-0046069460694606946073460762</t>
  </si>
  <si>
    <t>46052460520000-00-0046062460620000-00-000000-00-000000-00-000000-00-000000-00-000000-00-000000-00-0046069460694606946073460762</t>
  </si>
  <si>
    <t>46055460560000-00-000000-00-000000-00-000000-00-000000-00-000000-00-000000-00-000000-00-000000-00-000000-00-0046063460644606546070460762</t>
  </si>
  <si>
    <t>46056460560000-00-0046062460620000-00-000000-00-000000-00-000000-00-000000-00-000000-00-000000-00-0046069460694606946073460762</t>
  </si>
  <si>
    <t>46057460570000-00-000000-00-000000-00-000000-00-000000-00-000000-00-000000-00-000000-00-000000-00-000000-00-0046069460694606946073460762</t>
  </si>
  <si>
    <t>46058460580000-00-000000-00-000000-00-000000-00-000000-00-000000-00-000000-00-000000-00-000000-00-000000-00-0046066460664606646073460762</t>
  </si>
  <si>
    <t>46057460570000-00-000000-00-000000-00-000000-00-000000-00-000000-00-000000-00-000000-00-000000-00-000000-00-0046059460594605946064460652</t>
  </si>
  <si>
    <t>46058460580000-00-0046062460620000-00-000000-00-000000-00-000000-00-000000-00-000000-00-000000-00-0046066460664606646073460762</t>
  </si>
  <si>
    <t>46058460580000-00-0046068460680000-00-000000-00-000000-00-000000-00-000000-00-000000-00-000000-00-0046066460664606646072460762</t>
  </si>
  <si>
    <t>46062460620000-00-000000-00-000000-00-000000-00-000000-00-000000-00-000000-00-000000-00-000000-00-000000-00-0046062460634606446073460762</t>
  </si>
  <si>
    <t>46063460630000-00-000000-00-000000-00-000000-00-000000-00-000000-00-000000-00-000000-00-000000-00-000000-00-0046065460664606646072460762</t>
  </si>
  <si>
    <t>46063460630000-00-000000-00-000000-00-000000-00-000000-00-000000-00-000000-00-000000-00-000000-00-000000-00-0046066460664606946072460762</t>
  </si>
  <si>
    <t>46063460630000-00-000000-00-000000-00-000000-00-000000-00-000000-00-000000-00-000000-00-000000-00-000000-00-0046064460644606346064460652</t>
  </si>
  <si>
    <t>46063460630000-00-000000-00-000000-00-000000-00-000000-00-000000-00-000000-00-000000-00-000000-00-000000-00-0046066460664606646073460762</t>
  </si>
  <si>
    <t>46064460640000-00-0046068460680000-00-000000-00-000000-00-000000-00-000000-00-000000-00-000000-00-0046069460694606946073460762</t>
  </si>
  <si>
    <t>46058460640000-00-000000-00-000000-00-000000-00-000000-00-000000-00-000000-00-000000-00-000000-00-000000-00-000000-00-00460584605846064460652</t>
  </si>
  <si>
    <t>46064460640000-00-000000-00-000000-00-000000-00-000000-00-000000-00-000000-00-000000-00-000000-00-000000-00-0046069460694606946073460762</t>
  </si>
  <si>
    <t>46055460660000-00-0046059460590000-00-000000-00-000000-00-000000-00-000000-00-000000-00-000000-00-0046066460660000-00-0046076460762</t>
  </si>
  <si>
    <t>46055460760000-00-0046059460590000-00-000000-00-000000-00-000000-00-000000-00-000000-00-000000-00-0046066460660000-00-0046076460762</t>
  </si>
  <si>
    <t>45986459860000-00-0045992460450000-00-000000-00-000000-00-000000-00-000000-00-000000-00-000000-00-0046049460504605246063460652</t>
  </si>
  <si>
    <t>46048458810000-00-0046048460480000-00-000000-00-000000-00-000000-00-000000-00-000000-00-000000-00-0046073460734607346087460903</t>
  </si>
  <si>
    <t>46043459790000-00-0046049460490000-00-000000-00-000000-00-000000-00-000000-00-000000-00-000000-00-0046050460654606546101461063</t>
  </si>
  <si>
    <t>45912459120000-00-0045917459170000-00-000000-00-000000-00-000000-00-000000-00-000000-00-000000-00-0046073460734607346087460903</t>
  </si>
  <si>
    <t>46065459110000-00-0046066460660000-00-000000-00-000000-00-000000-00-000000-00-000000-00-000000-00-0046073460734607346080460833</t>
  </si>
  <si>
    <t>46051459790000-00-0046056460560000-00-000000-00-000000-00-000000-00-000000-00-000000-00-000000-00-0046065460904609046092460933</t>
  </si>
  <si>
    <t>46078459400000-00-0046080460800000-00-000000-00-000000-00-000000-00-000000-00-000000-00-000000-00-0046086460904609146106461063</t>
  </si>
  <si>
    <t>46036459440000-00-0046048460480000-00-000000-00-000000-00-000000-00-000000-00-000000-00-000000-00-0046073460734607346087460903</t>
  </si>
  <si>
    <t>45946459460000-00-0045966459710000-00-000000-00-000000-00-000000-00-000000-00-000000-00-000000-00-0046073460734607346087460903</t>
  </si>
  <si>
    <t>46049459470000-00-0046066460660000-00-000000-00-000000-00-000000-00-000000-00-000000-00-000000-00-0046073460734607346080460833</t>
  </si>
  <si>
    <t>45989459470000-00-0046066460660000-00-000000-00-000000-00-000000-00-000000-00-000000-00-000000-00-0046074460744607446086460933</t>
  </si>
  <si>
    <t>46077459520000-00-0046081460810000-00-000000-00-000000-00-000000-00-000000-00-000000-00-000000-00-0046086460874609046100461003</t>
  </si>
  <si>
    <t>45966459660000-00-000000-00-000000-00-000000-00-000000-00-000000-00-000000-00-000000-00-000000-00-000000-00-000000-00-000000-00-004607846084460853</t>
  </si>
  <si>
    <t>46048459650000-00-0046059460650000-00-000000-00-000000-00-000000-00-000000-00-000000-00-000000-00-0046073460734607646080460833</t>
  </si>
  <si>
    <t>46048459670000-00-000000-00-000000-00-000000-00-000000-00-000000-00-000000-00-000000-00-000000-00-000000-00-0046052460714607246080460833</t>
  </si>
  <si>
    <t>45974459740000-00-0045986460064597445975459850000-00-000000-00-000000-00-004602446029460504605246079460833</t>
  </si>
  <si>
    <t>45980459800000-00-0046065460650000-00-000000-00-000000-00-000000-00-000000-00-000000-00-000000-00-0046073460734607346080460833</t>
  </si>
  <si>
    <t>46064459800000-00-0046069460690000-00-000000-00-000000-00-000000-00-000000-00-000000-00-000000-00-0046072460724607246080460833</t>
  </si>
  <si>
    <t>46020459890000-00-0046066460660000-00-000000-00-000000-00-000000-00-000000-00-000000-00-000000-00-0046071460714607246083460833</t>
  </si>
  <si>
    <t>45994459940000-00-0046056460560000-00-000000-00-000000-00-000000-00-000000-00-000000-00-000000-00-0046076460764607846084460853</t>
  </si>
  <si>
    <t>45993460150000-00-0046071460710000-00-000000-00-000000-00-000000-00-000000-00-000000-00-000000-00-0046083460834608346091460933</t>
  </si>
  <si>
    <t>46000460000000-00-0046007460710000-00-000000-00-000000-00-000000-00-000000-00-000000-00-000000-00-0046073460734607346080460833</t>
  </si>
  <si>
    <t>46002460020000-00-0046050460500000-00-000000-00-000000-00-000000-00-000000-00-000000-00-000000-00-0046071460764607746083460833</t>
  </si>
  <si>
    <t>46003460030000-00-0046059460590000-00-000000-00-000000-00-000000-00-000000-00-000000-00-000000-00-0046072460724607346083460833</t>
  </si>
  <si>
    <t>46021460060000-00-0046058460580000-00-000000-00-000000-00-000000-00-000000-00-000000-00-000000-00-0046073460734607346087460903</t>
  </si>
  <si>
    <t>46055460060000-00-000000-00-000000-00-000000-00-000000-00-000000-00-000000-00-000000-00-000000-00-000000-00-0046297460714608746101461063</t>
  </si>
  <si>
    <t>46008460080000-00-0046015460200000-00-000000-00-000000-00-000000-00-000000-00-000000-00-000000-00-0046063460664606646080460833</t>
  </si>
  <si>
    <t>46008460080000-00-0046014460150000-00-000000-00-000000-00-000000-00-000000-00-000000-00-000000-00-0046071460714607146080460833</t>
  </si>
  <si>
    <t>46092460070000-00-000000-00-000000-00-000000-00-000000-00-000000-00-000000-00-000000-00-000000-00-000000-00-0046097460974609746105461063</t>
  </si>
  <si>
    <t>46008460070000-00-0046048460490000-00-000000-00-000000-00-000000-00-000000-00-000000-00-000000-00-0046073460734607346080460833</t>
  </si>
  <si>
    <t>46010460090000-00-0046017460630000-00-000000-00-000000-00-000000-00-000000-00-000000-00-000000-00-0046070460704607346080460833</t>
  </si>
  <si>
    <t>46015460150000-00-0046057460570000-00-000000-00-000000-00-000000-00-000000-00-000000-00-000000-00-0046072460734607346080460833</t>
  </si>
  <si>
    <t>46044460090000-00-0046048460480000-00-000000-00-000000-00-000000-00-000000-00-000000-00-000000-00-0046073460734607346087460903</t>
  </si>
  <si>
    <t>46009460090000-00-0046058460580000-00-000000-00-000000-00-000000-00-000000-00-000000-00-000000-00-0046073460734607346087460903</t>
  </si>
  <si>
    <t>46036460100000-00-000000-00-000000-00-000000-00-000000-00-000000-00-000000-00-000000-00-000000-00-000000-00-0046041460770000-00-0046112461123</t>
  </si>
  <si>
    <t>46083460130000-00-000000-00-000000-00-000000-00-000000-00-000000-00-000000-00-000000-00-000000-00-000000-00-0046087460900000-00-0046090460903</t>
  </si>
  <si>
    <t>46013460130000-00-0046083460840000-00-000000-00-000000-00-000000-00-000000-00-000000-00-000000-00-0046091460914609746101461063</t>
  </si>
  <si>
    <t>46077460140000-00-000000-00-000000-00-000000-00-000000-00-000000-00-000000-00-000000-00-000000-00-000000-00-0046083460864608646098461063</t>
  </si>
  <si>
    <t>46015460150000-00-0046027460280000-00-000000-00-000000-00-000000-00-000000-00-000000-00-000000-00-0046059460774607846091460933</t>
  </si>
  <si>
    <t>46021460210000-00-0046059460590000-00-000000-00-000000-00-000000-00-000000-00-000000-00-000000-00-0046087460964609646106461063</t>
  </si>
  <si>
    <t>46064460860000-00-000000-00-000000-00-000000-00-000000-00-000000-00-000000-00-000000-00-000000-00-000000-00-0046066460660000-00-0046083460833</t>
  </si>
  <si>
    <t>46027460270000-00-0046030460550000-00-000000-00-000000-00-000000-00-000000-00-000000-00-000000-00-000000-00-00460554605646076460833</t>
  </si>
  <si>
    <t>46057460300000-00-0046086460860000-00-000000-00-000000-00-000000-00-000000-00-000000-00-000000-00-0046097460974609746101461063</t>
  </si>
  <si>
    <t>46030460300000-00-000000-00-000000-00-000000-00-000000-00-000000-00-000000-00-000000-00-000000-00-000000-00-0046091460914609246101461063</t>
  </si>
  <si>
    <t>46030460300000-00-0046057460570000-00-000000-00-000000-00-000000-00-000000-00-000000-00-000000-00-0046072460734607346080460833</t>
  </si>
  <si>
    <t>46030460300000-00-0046058460580000-00-000000-00-000000-00-000000-00-000000-00-000000-00-000000-00-0046077460774607746080460833</t>
  </si>
  <si>
    <t>46035460350000-00-000000-00-000000-00-000000-00-000000-00-000000-00-000000-00-000000-00-000000-00-000000-00-0046076460764607646086460933</t>
  </si>
  <si>
    <t>46091460380000-00-000000-00-000000-00-000000-00-000000-00-000000-00-000000-00-000000-00-000000-00-000000-00-0046094460944609446101461063</t>
  </si>
  <si>
    <t>46041460410000-00-0046051460520000-00-000000-00-000000-00-000000-00-000000-00-000000-00-000000-00-0046072460724607246080460833</t>
  </si>
  <si>
    <t>46042460420000-00-0046044460440000-00-000000-00-000000-00-000000-00-000000-00-000000-00-000000-00-0046071460724607346087460903</t>
  </si>
  <si>
    <t>46041460420000-00-000000-00-000000-00-000000-00-000000-00-000000-00-000000-00-000000-00-000000-00-000000-00-0046073460734607346083460833</t>
  </si>
  <si>
    <t>46042460420000-00-0046083460830000-00-000000-00-000000-00-000000-00-000000-00-000000-00-000000-00-0046087460874608746101461063</t>
  </si>
  <si>
    <t>46043460430000-00-0046055460660000-00-000000-00-000000-00-000000-00-000000-00-000000-00-000000-00-0046070460704607346080460833</t>
  </si>
  <si>
    <t>46044460440000-00-0046059460590000-00-000000-00-000000-00-000000-00-000000-00-000000-00-000000-00-0046065460654606546080460833</t>
  </si>
  <si>
    <t>46056460440000-00-0046059460690000-00-000000-00-000000-00-000000-00-000000-00-000000-00-000000-00-0046073460734607346080460833</t>
  </si>
  <si>
    <t>46044460440000-00-0046058460580000-00-000000-00-000000-00-000000-00-000000-00-000000-00-000000-00-0046071460764607746083460833</t>
  </si>
  <si>
    <t>46085460450000-00-000000-00-000000-00-000000-00-000000-00-000000-00-000000-00-000000-00-000000-00-000000-00-0046090460914609246100461063</t>
  </si>
  <si>
    <t>46045460450000-00-0046049460490000-00-000000-00-000000-00-000000-00-000000-00-000000-00-000000-00-0046071460724607346087460903</t>
  </si>
  <si>
    <t>46078460450000-00-0046080460850000-00-000000-00-000000-00-000000-00-000000-00-000000-00-000000-00-0046091460914609446101461063</t>
  </si>
  <si>
    <t>46045460450000-00-0046048460480000-00-000000-00-000000-00-000000-00-000000-00-000000-00-000000-00-0046073460734607346087460903</t>
  </si>
  <si>
    <t>46048460480000-00-0046058460690000-00-000000-00-000000-00-000000-00-000000-00-000000-00-000000-00-0046077460784608046091460933</t>
  </si>
  <si>
    <t>46048460480000-00-0046058460580000-00-000000-00-000000-00-000000-00-000000-00-000000-00-000000-00-0046078460784607946093460933</t>
  </si>
  <si>
    <t>46078460480000-00-0046091460930000-00-000000-00-000000-00-000000-00-000000-00-000000-00-000000-00-0046094460944609446101461063</t>
  </si>
  <si>
    <t>46048460480000-00-000000-00-000000-00-000000-00-000000-00-000000-00-000000-00-000000-00-000000-00-000000-00-0046077460710000-00-0046077460833</t>
  </si>
  <si>
    <t>46065460480000-00-0046071460710000-00-000000-00-000000-00-000000-00-000000-00-000000-00-000000-00-0046086460864608646092460933</t>
  </si>
  <si>
    <t>46049460490000-00-0046052460580000-00-000000-00-000000-00-000000-00-000000-00-000000-00-000000-00-0046072460734607646079460833</t>
  </si>
  <si>
    <t>46049460490000-00-000000-00-000000-00-000000-00-000000-00-000000-00-000000-00-000000-00-000000-00-000000-00-0046073460734607346080460833</t>
  </si>
  <si>
    <t>46049460490000-00-0046051460510000-00-000000-00-000000-00-000000-00-000000-00-000000-00-000000-00-0046066460664606946078460833</t>
  </si>
  <si>
    <t>46050460500000-00-0046091460910000-00-000000-00-000000-00-000000-00-000000-00-000000-00-000000-00-0046094460944609446101461063</t>
  </si>
  <si>
    <t>46051460510000-00-0046055460550000-00-000000-00-000000-00-000000-00-000000-00-000000-00-000000-00-0046078460794607946090460933</t>
  </si>
  <si>
    <t>46050460500000-00-0046059460590000-00-000000-00-000000-00-000000-00-000000-00-000000-00-000000-00-0046079460844608546092460933</t>
  </si>
  <si>
    <t>46055460520000-00-0046078460780000-00-000000-00-000000-00-000000-00-000000-00-000000-00-000000-00-0046086460864608646092460933</t>
  </si>
  <si>
    <t>46055460520000-00-0046078460780000-00-000000-00-000000-00-000000-00-000000-00-000000-00-000000-00-0046093460934609746101461063</t>
  </si>
  <si>
    <t>46055460550000-00-0046057460640000-00-000000-00-000000-00-000000-00-000000-00-000000-00-000000-00-0046085460854608546091460933</t>
  </si>
  <si>
    <t>46055460550000-00-0046087460870000-00-000000-00-000000-00-000000-00-000000-00-000000-00-000000-00-0046094460944609446101461063</t>
  </si>
  <si>
    <t>46055460550000-00-0046057460570000-00-000000-00-000000-00-000000-00-000000-00-000000-00-000000-00-0046064460714607646080460833</t>
  </si>
  <si>
    <t>46055460550000-00-000000-00-000000-00-000000-00-000000-00-000000-00-000000-00-000000-00-000000-00-000000-00-000000-00-00460554605646083460833</t>
  </si>
  <si>
    <t>46056460550000-00-0046065460784605846059460650000-00-000000-00-000000-00-004607846093460934609446100461063</t>
  </si>
  <si>
    <t>46064460550000-00-000000-00-000000-00-000000-00-000000-00-000000-00-000000-00-000000-00-000000-00-000000-00-0046076460764607646080460833</t>
  </si>
  <si>
    <t>46055460550000-00-000000-00-000000-00-000000-00-000000-00-000000-00-000000-00-000000-00-000000-00-000000-00-0046076460764607646080460833</t>
  </si>
  <si>
    <t>46056460560000-00-000000-00-000000-00-000000-00-000000-00-000000-00-000000-00-000000-00-000000-00-000000-00-0046063460654606546073460833</t>
  </si>
  <si>
    <t>46056460560000-00-0046084460840000-00-000000-00-000000-00-000000-00-000000-00-000000-00-000000-00-0046091460914609146100461003</t>
  </si>
  <si>
    <t>46085460570000-00-0046090460900000-00-000000-00-000000-00-000000-00-000000-00-000000-00-000000-00-0046097460974609746101461063</t>
  </si>
  <si>
    <t>46058460580000-00-000000-00-000000-00-000000-00-000000-00-000000-00-000000-00-000000-00-000000-00-000000-00-0046069460694606946079460833</t>
  </si>
  <si>
    <t>46057460570000-00-0046063460730000-00-000000-00-000000-00-000000-00-000000-00-000000-00-000000-00-0046076460764607646080460833</t>
  </si>
  <si>
    <t>46065460540000-00-000000-00-000000-00-000000-00-000000-00-000000-00-000000-00-000000-00-000000-00-000000-00-0046079460804608046091460933</t>
  </si>
  <si>
    <t>46079460580000-00-000000-00-000000-00-000000-00-000000-00-000000-00-000000-00-000000-00-000000-00-000000-00-0046086460864608646092460933</t>
  </si>
  <si>
    <t>46057460570000-00-0046069460790000-00-0046058460694608446086460864607846087460944609746101461063</t>
  </si>
  <si>
    <t>46058460580000-00-0046063460630000-00-000000-00-000000-00-000000-00-000000-00-000000-00-000000-00-0046071460764607746083460833</t>
  </si>
  <si>
    <t>46059460590000-00-000000-00-000000-00-000000-00-000000-00-000000-00-000000-00-000000-00-000000-00-000000-00-0046076460784607946087460933</t>
  </si>
  <si>
    <t>46062460620000-00-000000-00-000000-00-000000-00-000000-00-000000-00-000000-00-000000-00-000000-00-000000-00-0046076460764607646080460833</t>
  </si>
  <si>
    <t>46062460620000-00-0046069460780000-00-000000-00-000000-00-000000-00-000000-00-000000-00-000000-00-0046085460904609046098461063</t>
  </si>
  <si>
    <t>46062460650000-00-0046064460730000-00-000000-00-000000-00-000000-00-000000-00-000000-00-000000-00-0046076460764607646080460833</t>
  </si>
  <si>
    <t>46062460620000-00-000000-00-000000-00-000000-00-000000-00-000000-00-000000-00-000000-00-000000-00-000000-00-0046070460714607146079460833</t>
  </si>
  <si>
    <t>46063460630000-00-000000-00-000000-00-000000-00-000000-00-000000-00-000000-00-000000-00-000000-00-000000-00-0046069460714607246080460833</t>
  </si>
  <si>
    <t>46063460630000-00-0046064460640000-00-000000-00-000000-00-000000-00-000000-00-000000-00-000000-00-0046073460734607346087460903</t>
  </si>
  <si>
    <t>46065460640000-00-000000-00-000000-00-000000-00-000000-00-000000-00-000000-00-000000-00-000000-00-000000-00-0046073460774607746080460833</t>
  </si>
  <si>
    <t>46064460640000-00-0046071460720000-00-000000-00-000000-00-000000-00-000000-00-000000-00-000000-00-0046078460784608546099461063</t>
  </si>
  <si>
    <t>46064460630000-00-0046071461000000-00-000000-00-000000-00-000000-00-000000-00-000000-00-000000-00-0046083460854608546098461063</t>
  </si>
  <si>
    <t>46063460630000-00-0046073460730000-00-000000-00-000000-00-000000-00-000000-00-000000-00-000000-00-0046077460774607746080460833</t>
  </si>
  <si>
    <t>46063460630000-00-0046078460780000-00-000000-00-000000-00-000000-00-000000-00-000000-00-000000-00-0046083460844608646092460933</t>
  </si>
  <si>
    <t>46063460630000-00-0046066460660000-00-000000-00-000000-00-000000-00-000000-00-000000-00-000000-00-0046071460724607246083460833</t>
  </si>
  <si>
    <t>46063460630000-00-000000-00-000000-00-000000-00-000000-00-000000-00-000000-00-000000-00-000000-00-000000-00-0046071460724607246080460833</t>
  </si>
  <si>
    <t>46063460630000-00-000000-00-000000-00-000000-00-000000-00-000000-00-000000-00-000000-00-000000-00-000000-00-0046073460734607646080460833</t>
  </si>
  <si>
    <t>46063460630000-00-000000-00-000000-00-000000-00-000000-00-000000-00-000000-00-000000-00-000000-00-000000-00-0046080460804608046092460933</t>
  </si>
  <si>
    <t>46064460640000-00-000000-00-000000-00-000000-00-000000-00-000000-00-000000-00-000000-00-000000-00-000000-00-0046076460764607646080460833</t>
  </si>
  <si>
    <t>46073460650000-00-0046086460860000-00-000000-00-000000-00-000000-00-000000-00-000000-00-000000-00-0046094460944609446106461063</t>
  </si>
  <si>
    <t>46065460650000-00-000000-00-000000-00-000000-00-000000-00-000000-00-000000-00-000000-00-000000-00-000000-00-0046076460764607746091460933</t>
  </si>
  <si>
    <t>46065460650000-00-000000-00-000000-00-000000-00-000000-00-000000-00-000000-00-000000-00-000000-00-000000-00-0046077460774607746086460933</t>
  </si>
  <si>
    <t>46065460650000-00-000000-00-000000-00-000000-00-000000-00-000000-00-000000-00-000000-00-000000-00-000000-00-0046087460904609146100461063</t>
  </si>
  <si>
    <t>46065460650000-00-0046070460930000-00-000000-00-000000-00-000000-00-000000-00-000000-00-000000-00-0046094460934609446101461063</t>
  </si>
  <si>
    <t>46065460650000-00-0046073460804606646069460770000-00-000000-00-000000-00-004607946090460924609246099461063</t>
  </si>
  <si>
    <t>46066460660000-00-0046100461000000-00-000000-00-000000-00-000000-00-000000-00-000000-00-000000-00-0046083460870000-00-00460870000-00-003</t>
  </si>
  <si>
    <t>46090460720000-00-000000-00-000000-00-000000-00-000000-00-000000-00-000000-00-000000-00-000000-00-000000-00-0046094460944609446100461063</t>
  </si>
  <si>
    <t>46069460690000-00-0046078460930000-00-0046070460780000-00-000000-00-000000-00-000000-00-0046094460944609446100461063</t>
  </si>
  <si>
    <t>46069460690000-00-000000-00-000000-00-000000-00-000000-00-000000-00-000000-00-000000-00-000000-00-000000-00-0046076460764607646080460833</t>
  </si>
  <si>
    <t>46069460690000-00-000000-00-000000-00-000000-00-000000-00-000000-00-000000-00-000000-00-000000-00-000000-00-0046099460990000-00-0046107461073</t>
  </si>
  <si>
    <t>46069460690000-00-000000-00-000000-00-000000-00-000000-00-000000-00-000000-00-000000-00-000000-00-000000-00-0046097460970000-00-0046108461083</t>
  </si>
  <si>
    <t>46069460690000-00-0046071460710000-00-000000-00-000000-00-000000-00-000000-00-000000-00-000000-00-0046071460794609146097461063</t>
  </si>
  <si>
    <t>46070460700000-00-0046073460730000-00-000000-00-000000-00-000000-00-000000-00-000000-00-000000-00-0046084460844608446097461063</t>
  </si>
  <si>
    <t>46070460700000-00-0046079460790000-00-000000-00-000000-00-000000-00-000000-00-000000-00-000000-00-0046094460944609446101461063</t>
  </si>
  <si>
    <t>46070460700000-00-0046079460790000-00-000000-00-000000-00-000000-00-000000-00-000000-00-000000-00-0046086460864608646092460933</t>
  </si>
  <si>
    <t>46070460700000-00-000000-00-000000-00-000000-00-000000-00-000000-00-000000-00-000000-00-000000-00-000000-00-0046071460714607246080460833</t>
  </si>
  <si>
    <t>46070460700000-00-000000-00-000000-00-000000-00-000000-00-000000-00-000000-00-000000-00-000000-00-000000-00-0046077460784607946085460933</t>
  </si>
  <si>
    <t>46071460710000-00-0046073460730000-00-000000-00-000000-00-000000-00-000000-00-000000-00-000000-00-0046085460854608546091460933</t>
  </si>
  <si>
    <t>46070460700000-00-000000-00-000000-00-000000-00-000000-00-000000-00-000000-00-000000-00-000000-00-000000-00-0046077460784607946090460933</t>
  </si>
  <si>
    <t>46071460710000-00-000000-00-000000-00-000000-00-000000-00-000000-00-000000-00-000000-00-000000-00-000000-00-0046077460784607946091460933</t>
  </si>
  <si>
    <t>46071460710000-00-000000-00-000000-00-000000-00-000000-00-000000-00-000000-00-000000-00-000000-00-000000-00-0046077460770000-00-0046083460833</t>
  </si>
  <si>
    <t>46071460710000-00-000000-00-000000-00-000000-00-000000-00-000000-00-000000-00-000000-00-000000-00-000000-00-0046086460934609446105461063</t>
  </si>
  <si>
    <t>46071460710000-00-0046072460720000-00-000000-00-000000-00-000000-00-000000-00-000000-00-000000-00-0046084460860000-00-00460860000-00-003</t>
  </si>
  <si>
    <t>46058460710000-00-0046063460630000-00-000000-00-000000-00-000000-00-000000-00-000000-00-000000-00-0046071460764607746083460833</t>
  </si>
  <si>
    <t>46071460710000-00-0046083460830000-00-000000-00-000000-00-000000-00-000000-00-000000-00-000000-00-0046090460924609446106461063</t>
  </si>
  <si>
    <t>46071460710000-00-0046078460780000-00-000000-00-000000-00-000000-00-000000-00-000000-00-000000-00-0046090460924609446106461063</t>
  </si>
  <si>
    <t>46045460710000-00-0046057460570000-00-000000-00-000000-00-000000-00-000000-00-000000-00-000000-00-0046078460850000-00-00460850000-00-003</t>
  </si>
  <si>
    <t>46078460710000-00-0046080460860000-00-000000-00-000000-00-000000-00-000000-00-000000-00-000000-00-0046092460934609746101461063</t>
  </si>
  <si>
    <t>46072460720000-00-000000-00-000000-00-000000-00-000000-00-000000-00-000000-00-000000-00-000000-00-000000-00-0046078460794608046091460933</t>
  </si>
  <si>
    <t>46072460720000-00-0046097460970000-00-000000-00-000000-00-000000-00-000000-00-000000-00-000000-00-0046111461120000-00-00461120000-00-003</t>
  </si>
  <si>
    <t>46072460720000-00-0046084460840000-00-000000-00-000000-00-000000-00-000000-00-000000-00-000000-00-0046090460914609246100461003</t>
  </si>
  <si>
    <t>46073460720000-00-000000-00-000000-00-000000-00-000000-00-000000-00-000000-00-000000-00-000000-00-000000-00-0046085460854608546092460933</t>
  </si>
  <si>
    <t>46073460730000-00-000000-00-000000-00-000000-00-000000-00-000000-00-000000-00-000000-00-000000-00-000000-00-0046076460764607646080460833</t>
  </si>
  <si>
    <t>46073460730000-00-000000-00-000000-00-000000-00-000000-00-000000-00-000000-00-000000-00-000000-00-000000-00-0046078460784608546091460933</t>
  </si>
  <si>
    <t>46065460730000-00-0046066460700000-00-000000-00-000000-00-000000-00-000000-00-000000-00-000000-00-0046073460734607346079460833</t>
  </si>
  <si>
    <t>46073460730000-00-000000-00-000000-00-000000-00-000000-00-000000-00-000000-00-000000-00-000000-00-000000-00-0046093460934609346101461063</t>
  </si>
  <si>
    <t>46064460760000-00-0046066460660000-00-000000-00-000000-00-000000-00-000000-00-000000-00-000000-00-0046076460764607946086460933</t>
  </si>
  <si>
    <t>46076460760000-00-0046079460840000-00-000000-00-000000-00-000000-00-000000-00-000000-00-000000-00-0046091460874609146099461063</t>
  </si>
  <si>
    <t>46076460760000-00-0046086460860000-00-000000-00-000000-00-000000-00-000000-00-000000-00-000000-00-0046093460944609446101461063</t>
  </si>
  <si>
    <t>46076460760000-00-0046079460930000-00-000000-00-000000-00-000000-00-000000-00-000000-00-000000-00-0046094460934609446101461063</t>
  </si>
  <si>
    <t>46076460760000-00-000000-00-000000-00-000000-00-000000-00-000000-00-000000-00-000000-00-000000-00-000000-00-0046094460944609446101461063</t>
  </si>
  <si>
    <t>46076460760000-00-000000-00-000000-00-000000-00-000000-00-000000-00-000000-00-000000-00-000000-00-000000-00-0046084460844608546092460933</t>
  </si>
  <si>
    <t>46077460770000-00-000000-00-000000-00-000000-00-000000-00-000000-00-000000-00-000000-00-000000-00-000000-00-0046092460924609246101461063</t>
  </si>
  <si>
    <t>46077460770000-00-000000-00-000000-00-000000-00-000000-00-000000-00-000000-00-000000-00-000000-00-000000-00-000000-00-00460804608046091460933</t>
  </si>
  <si>
    <t>46071460770000-00-0046078460780000-00-000000-00-000000-00-000000-00-000000-00-000000-00-000000-00-0046079460794607946084460853</t>
  </si>
  <si>
    <t>46071460770000-00-0046077460770000-00-000000-00-000000-00-000000-00-000000-00-000000-00-000000-00-0046079460794607946084460853</t>
  </si>
  <si>
    <t>46078460780000-00-000000-00-000000-00-000000-00-000000-00-000000-00-000000-00-000000-00-000000-00-000000-00-0046087460904609446100461063</t>
  </si>
  <si>
    <t>46066460800000-00-000000-00-000000-00-000000-00-000000-00-000000-00-000000-00-000000-00-000000-00-000000-00-0046076460804608046091460933</t>
  </si>
  <si>
    <t>46078460780000-00-0046085460850000-00-000000-00-000000-00-000000-00-000000-00-000000-00-000000-00-0046092460924609246098461063</t>
  </si>
  <si>
    <t>46069460780000-00-0046078460780000-00-000000-00-000000-00-000000-00-000000-00-000000-00-000000-00-0046086460864608646092460933</t>
  </si>
  <si>
    <t>46079460790000-00-000000-00-000000-00-000000-00-000000-00-000000-00-000000-00-000000-00-000000-00-000000-00-0046091460924609246101461063</t>
  </si>
  <si>
    <t>46085460790000-00-000000-00-000000-00-000000-00-000000-00-000000-00-000000-00-000000-00-000000-00-000000-00-0046093460930000-00-0046097460973</t>
  </si>
  <si>
    <t>46055460800000-00-0046062460620000-00-000000-00-000000-00-000000-00-000000-00-000000-00-000000-00-0046078460784607846084460853</t>
  </si>
  <si>
    <t>46080460800000-00-0046090460900000-00-000000-00-000000-00-000000-00-000000-00-000000-00-000000-00-0046097460974609746101461063</t>
  </si>
  <si>
    <t>46080460800000-00-000000-00-000000-00-000000-00-000000-00-000000-00-000000-00-000000-00-000000-00-000000-00-0046086460864608646093460933</t>
  </si>
  <si>
    <t>46079460800000-00-000000-00-000000-00-000000-00-000000-00-000000-00-000000-00-000000-00-000000-00-000000-00-0046085460854608546092460933</t>
  </si>
  <si>
    <t>46079460800000-00-000000-00-000000-00-000000-00-000000-00-000000-00-000000-00-000000-00-000000-00-000000-00-0046085460854608546091460933</t>
  </si>
  <si>
    <t>46063460830000-00-0046071460710000-00-000000-00-000000-00-000000-00-000000-00-000000-00-000000-00-0046079460794607946085460933</t>
  </si>
  <si>
    <t>46083460830000-00-0046086460860000-00-000000-00-000000-00-000000-00-000000-00-000000-00-000000-00-0046094460944609446100461063</t>
  </si>
  <si>
    <t>46084460840000-00-0046085460850000-00-000000-00-000000-00-000000-00-000000-00-000000-00-000000-00-0046092460924609746101461063</t>
  </si>
  <si>
    <t>46083460830000-00-000000-00-000000-00-000000-00-000000-00-000000-00-000000-00-000000-00-000000-00-000000-00-0046087460904609146098461063</t>
  </si>
  <si>
    <t>46083460830000-00-000000-00-000000-00-000000-00-000000-00-000000-00-000000-00-000000-00-000000-00-000000-00-0046090460904609146101461063</t>
  </si>
  <si>
    <t>46083460830000-00-000000-00-000000-00-000000-00-000000-00-000000-00-000000-00-000000-00-000000-00-000000-00-0046094460944609446101461063</t>
  </si>
  <si>
    <t>46084460840000-00-0046086460860000-00-000000-00-000000-00-000000-00-000000-00-000000-00-000000-00-0046093460934609346100461063</t>
  </si>
  <si>
    <t>46084460840000-00-0046090460900000-00-000000-00-000000-00-000000-00-000000-00-000000-00-000000-00-0046094460944609446100461063</t>
  </si>
  <si>
    <t>46069460840000-00-0046071460710000-00-000000-00-000000-00-000000-00-000000-00-000000-00-000000-00-0046086460864608646090460933</t>
  </si>
  <si>
    <t>46084460840000-00-0046085460850000-00-000000-00-000000-00-000000-00-000000-00-000000-00-000000-00-0046093460934609346098460993</t>
  </si>
  <si>
    <t>46084460840000-00-000000-00-000000-00-000000-00-000000-00-000000-00-000000-00-000000-00-000000-00-000000-00-0046086460864608646092460933</t>
  </si>
  <si>
    <t>46086460910000-00-0046091460910000-00-000000-00-000000-00-000000-00-000000-00-000000-00-000000-00-0046093460944609446100461063</t>
  </si>
  <si>
    <t>46086460860000-00-000000-00-000000-00-000000-00-000000-00-000000-00-000000-00-000000-00-000000-00-000000-00-0046091460914609146100461063</t>
  </si>
  <si>
    <t>46073460870000-00-0046076460760000-00-000000-00-000000-00-000000-00-000000-00-000000-00-000000-00-0046084460860000-00-00460860000-00-003</t>
  </si>
  <si>
    <t>46087460870000-00-0046090460900000-00-000000-00-000000-00-000000-00-000000-00-000000-00-000000-00-0046093460934609346100461063</t>
  </si>
  <si>
    <t>46090460900000-00-000000-00-000000-00-000000-00-000000-00-000000-00-000000-00-000000-00-000000-00-000000-00-0046107461070000-00-0046107461073</t>
  </si>
  <si>
    <t>46092460920000-00-000000-00-000000-00-000000-00-000000-00-000000-00-000000-00-000000-00-000000-00-000000-00-000000-00-00460924609246094460973</t>
  </si>
  <si>
    <t>46093460930000-00-000000-00-000000-00-000000-00-000000-00-000000-00-000000-00-000000-00-000000-00-000000-00-000000-00-00460934609746100461063</t>
  </si>
  <si>
    <t>46097460950000-00-000000-00-000000-00-000000-00-000000-00-000000-00-000000-00-000000-00-000000-00-000000-00-0046101461110000-00-0046111461113</t>
  </si>
  <si>
    <t>46097460970000-00-000000-00-000000-00-000000-00-000000-00-000000-00-000000-00-000000-00-000000-00-000000-00-0046101461110000-00-0046111461113</t>
  </si>
  <si>
    <t>46082460970000-00-0046097460970000-00-000000-00-000000-00-000000-00-000000-00-000000-00-000000-00-0046107461080000-00-0046108461083</t>
  </si>
  <si>
    <t>46029458110000-00-0046097460970000-00-000000-00-000000-00-000000-00-000000-00-000000-00-000000-00-0046099461004610046111461184</t>
  </si>
  <si>
    <t>46087458480000-00-0046092460920000-00-000000-00-000000-00-000000-00-000000-00-000000-00-000000-00-0046100461084610846126461274</t>
  </si>
  <si>
    <t>46099459790000-00-0046108461080000-00-000000-00-000000-00-000000-00-000000-00-000000-00-000000-00-0046112461124612046127461274</t>
  </si>
  <si>
    <t>46094459410000-00-0046097460970000-00-000000-00-000000-00-000000-00-000000-00-000000-00-000000-00-0046106461074611246125461274</t>
  </si>
  <si>
    <t>46098459860000-00-0046099461010000-00-000000-00-000000-00-000000-00-000000-00-000000-00-000000-00-0046105461054610646126461274</t>
  </si>
  <si>
    <t>45992459920000-00-0046099460990000-00-000000-00-000000-00-000000-00-000000-00-000000-00-000000-00-0046107461114611146126461274</t>
  </si>
  <si>
    <t>46070459930000-00-0046092460920000-00-000000-00-000000-00-000000-00-000000-00-000000-00-000000-00-0046099460994609946108461184</t>
  </si>
  <si>
    <t>46099460030000-00-000000-00-000000-00-000000-00-000000-00-000000-00-000000-00-000000-00-000000-00-000000-00-0046105461064610646112461184</t>
  </si>
  <si>
    <t>46045460060000-00-0046113461130000-00-000000-00-000000-00-000000-00-000000-00-000000-00-000000-00-0046135461350000-00-00461350000-00-004</t>
  </si>
  <si>
    <t>46093460070000-00-000000-00-000000-00-000000-00-000000-00-000000-00-000000-00-000000-00-000000-00-000000-00-0046101461054610546112461184</t>
  </si>
  <si>
    <t>46105460140000-00-0046113461130000-00-000000-00-000000-00-000000-00-000000-00-000000-00-000000-00-0046125461254612646133461394</t>
  </si>
  <si>
    <t>46058460210000-00-0046090460900000-00-000000-00-000000-00-000000-00-000000-00-000000-00-000000-00-0046093460934609346106461184</t>
  </si>
  <si>
    <t>46027460240000-00-0046105461060000-00-000000-00-000000-00-000000-00-000000-00-000000-00-000000-00-0046126461264612646133461394</t>
  </si>
  <si>
    <t>46078460290000-00-0046120461200000-00-000000-00-000000-00-000000-00-000000-00-000000-00-000000-00-0046120461204612046126461274</t>
  </si>
  <si>
    <t>46083460310000-00-000000-00-000000-00-000000-00-000000-00-000000-00-000000-00-000000-00-000000-00-000000-00-0046087461064610846125461274</t>
  </si>
  <si>
    <t>46036460360000-00-0046086460860000-00-000000-00-000000-00-000000-00-000000-00-000000-00-000000-00-0046100461004610046113461184</t>
  </si>
  <si>
    <t>46100460430000-00-000000-00-000000-00-000000-00-000000-00-000000-00-000000-00-000000-00-000000-00-000000-00-0046111461250000-00-0046125461254</t>
  </si>
  <si>
    <t>46044460440000-00-0046107461070000-00-000000-00-000000-00-000000-00-000000-00-000000-00-000000-00-0046122461224612246134461394</t>
  </si>
  <si>
    <t>46048460450000-00-0046090460930000-00-000000-00-000000-00-000000-00-000000-00-000000-00-000000-00-0046101461054610546119461274</t>
  </si>
  <si>
    <t>46051460510000-00-0046064460640000-00-000000-00-000000-00-000000-00-000000-00-000000-00-000000-00-0046094460944609446136461394</t>
  </si>
  <si>
    <t>46055460550000-00-0046086460910000-00-000000-00-000000-00-000000-00-000000-00-000000-00-000000-00-0046100461004610246112461184</t>
  </si>
  <si>
    <t>46055460550000-00-000000-00-000000-00-000000-00-000000-00-000000-00-000000-00-000000-00-000000-00-000000-00-0046063460974609746113461184</t>
  </si>
  <si>
    <t>46057460564606246066460664605846063460650000-00-000000-00-000000-00-004608746097461084611146126461274</t>
  </si>
  <si>
    <t>46086460560000-00-000000-00-000000-00-000000-00-000000-00-000000-00-000000-00-000000-00-000000-00-000000-00-0046094461084611146126461274</t>
  </si>
  <si>
    <t>46056460560000-00-0046085460910000-00-000000-00-000000-00-000000-00-000000-00-000000-00-000000-00-0046093460944609446112461184</t>
  </si>
  <si>
    <t>46093460570000-00-000000-00-000000-00-000000-00-000000-00-000000-00-000000-00-000000-00-000000-00-000000-00-0046099461014610546113461184</t>
  </si>
  <si>
    <t>46058460580000-00-0046090460930000-00-000000-00-000000-00-000000-00-000000-00-000000-00-000000-00-0046100461014610546113461184</t>
  </si>
  <si>
    <t>46079460580000-00-0046090460930000-00-000000-00-000000-00-000000-00-000000-00-000000-00-000000-00-0046100461014610546113461184</t>
  </si>
  <si>
    <t>46112460580000-00-000000-00-000000-00-000000-00-000000-00-000000-00-000000-00-000000-00-000000-00-000000-00-0046120461204612046126461274</t>
  </si>
  <si>
    <t>46062460620000-00-0046073460730000-00-000000-00-000000-00-000000-00-000000-00-000000-00-000000-00-0046094460944609446107461184</t>
  </si>
  <si>
    <t>46063460630000-00-0046090460970000-00-000000-00-000000-00-000000-00-000000-00-000000-00-000000-00-0046097461014610646113461184</t>
  </si>
  <si>
    <t>46064460650000-00-0046083460850000-00-000000-00-000000-00-000000-00-000000-00-000000-00-000000-00-0046086460904609346113461184</t>
  </si>
  <si>
    <t>46080460640000-00-0046087460870000-00-000000-00-000000-00-000000-00-000000-00-000000-00-000000-00-0046111461184611846126461274</t>
  </si>
  <si>
    <t>46066460660000-00-0046113461130000-00-000000-00-000000-00-000000-00-000000-00-000000-00-000000-00-0046128461290000-00-00461320000-00-004</t>
  </si>
  <si>
    <t>46066460660000-00-0046091460920000-00-000000-00-000000-00-000000-00-000000-00-000000-00-000000-00-0046092460924609946112461184</t>
  </si>
  <si>
    <t>46090460690000-00-000000-00-000000-00-000000-00-000000-00-000000-00-000000-00-000000-00-000000-00-000000-00-0046106461184611846126461274</t>
  </si>
  <si>
    <t>46071460690000-00-0046086460864607146072460790000-00-000000-00-000000-00-004609346107461134611846126461274</t>
  </si>
  <si>
    <t>46107460690000-00-000000-00-000000-00-000000-00-000000-00-000000-00-000000-00-000000-00-000000-00-000000-00-0046113461184612046126461274</t>
  </si>
  <si>
    <t>46071460690000-00-0046099461134607146072460780000-00-000000-00-000000-00-004611346120461200000-00-0046120461204</t>
  </si>
  <si>
    <t>46071460690000-00-0046099461114607146072460780000-00-000000-00-000000-00-004611146119461194611946126461274</t>
  </si>
  <si>
    <t>46071460690000-00-0046101461114607146072460780000-00-000000-00-000000-00-004611146120461204612046126461274</t>
  </si>
  <si>
    <t>46069460690000-00-0046090460930000-00-000000-00-000000-00-000000-00-000000-00-000000-00-000000-00-0046100461014610546113461184</t>
  </si>
  <si>
    <t>46071460690000-00-0046083461054607146077460830000-00-000000-00-000000-00-004610846118461184611846128461344</t>
  </si>
  <si>
    <t>46071460690000-00-0046086460864607146072460860000-00-000000-00-000000-00-004609346098461054610646112461184</t>
  </si>
  <si>
    <t>46071460690000-00-000000-00-000000-00-004607146077460830000-00-000000-00-000000-00-004609746101461274612746139461394</t>
  </si>
  <si>
    <t>46069460690000-00-0046098461110000-00-000000-00-000000-00-000000-00-000000-00-000000-00-000000-00-0046111461114611946125461274</t>
  </si>
  <si>
    <t>46070460700000-00-000000-00-000000-00-000000-00-000000-00-000000-00-000000-00-000000-00-000000-00-000000-00-0046085460874609046101461184</t>
  </si>
  <si>
    <t>46070460700000-00-0046087460870000-00-000000-00-004607746094460940000-00-004610546121461254612546133461394</t>
  </si>
  <si>
    <t>46070460700000-00-0046073460910000-00-000000-00-000000-00-000000-00-000000-00-000000-00-000000-00-0046113461134611346122461274</t>
  </si>
  <si>
    <t>46107460710000-00-000000-00-000000-00-000000-00-000000-00-000000-00-000000-00-000000-00-000000-00-000000-00-0046111461184611846126461274</t>
  </si>
  <si>
    <t>46105460710000-00-0046107461070000-00-000000-00-000000-00-000000-00-000000-00-000000-00-000000-00-0046111461184611846126461274</t>
  </si>
  <si>
    <t>46072460720000-00-0046093460970000-00-000000-00-000000-00-000000-00-000000-00-000000-00-000000-00-0046097461064611846126461274</t>
  </si>
  <si>
    <t>46076460760000-00-0046086460860000-00-000000-00-000000-00-000000-00-000000-00-000000-00-000000-00-0046100461004610146118461184</t>
  </si>
  <si>
    <t>46077460770000-00-0046084460840000-00-000000-00-000000-00-000000-00-000000-00-000000-00-000000-00-0046098460994609946121461274</t>
  </si>
  <si>
    <t>46091460780000-00-000000-00-000000-00-000000-00-000000-00-000000-00-000000-00-000000-00-000000-00-000000-00-0046097460984609946111461184</t>
  </si>
  <si>
    <t>46109460770000-00-0046120461260000-00-000000-00-000000-00-000000-00-000000-00-000000-00-000000-00-0046126461264612746133461394</t>
  </si>
  <si>
    <t>46077460770000-00-0046097461010000-00-000000-00-000000-00-000000-00-000000-00-000000-00-000000-00-0046101461014610646112461184</t>
  </si>
  <si>
    <t>46090460780000-00-0046105461050000-00-000000-00-000000-00-000000-00-000000-00-000000-00-000000-00-0046113461134611346126461274</t>
  </si>
  <si>
    <t>46107460780000-00-0046120461200000-00-000000-00-000000-00-000000-00-000000-00-000000-00-000000-00-0046127461274612746132461394</t>
  </si>
  <si>
    <t>46078460780000-00-0046086460860000-00-0046078460860000-00-000000-00-000000-00-004609346106461134611346122461274</t>
  </si>
  <si>
    <t>46084460790000-00-000000-00-000000-00-000000-00-000000-00-000000-00-000000-00-000000-00-000000-00-000000-00-0046090461014610546111461184</t>
  </si>
  <si>
    <t>46100460790000-00-000000-00-000000-00-000000-00-000000-00-000000-00-000000-00-000000-00-000000-00-000000-00-0046106461064610646113461184</t>
  </si>
  <si>
    <t>46085460800000-00-000000-00-000000-00-000000-00-000000-00-000000-00-000000-00-000000-00-000000-00-000000-00-0046092460924609246111461184</t>
  </si>
  <si>
    <t>46080460800000-00-0046092460970000-00-000000-00-000000-00-000000-00-000000-00-000000-00-000000-00-0046097460974610246112461184</t>
  </si>
  <si>
    <t>46080460800000-00-0046092460920000-00-000000-00-000000-00-000000-00-000000-00-000000-00-000000-00-0046106461064610746127461274</t>
  </si>
  <si>
    <t>46083460830000-00-0046090460910000-00-000000-00-000000-00-000000-00-000000-00-000000-00-000000-00-0046097460974610046112461184</t>
  </si>
  <si>
    <t>46083460830000-00-0046090460980000-00-000000-00-000000-00-000000-00-000000-00-000000-00-000000-00-0046101461014610546113461184</t>
  </si>
  <si>
    <t>46107460830000-00-0046108461080000-00-000000-00-000000-00-000000-00-000000-00-000000-00-000000-00-0046112461274612746139461394</t>
  </si>
  <si>
    <t>46083460830000-00-0046085460860000-00-000000-00-000000-00-000000-00-000000-00-000000-00-000000-00-0046091460934609746113461184</t>
  </si>
  <si>
    <t>46084460830000-00-0046098460980000-00-0046091460970000-00-000000-00-000000-00-000000-00-0046120461204612046126461274</t>
  </si>
  <si>
    <t>46094460830000-00-000000-00-000000-00-000000-00-000000-00-000000-00-000000-00-000000-00-000000-00-000000-00-0046100461054610646113461184</t>
  </si>
  <si>
    <t>46098460830000-00-000000-00-000000-00-000000-00-000000-00-000000-00-000000-00-000000-00-000000-00-000000-00-0046104461054610646125461274</t>
  </si>
  <si>
    <t>46083460830000-00-0046091460910000-00-000000-00-000000-00-000000-00-000000-00-000000-00-000000-00-0046097460974609746106461184</t>
  </si>
  <si>
    <t>46083460830000-00-0046094460940000-00-000000-00-000000-00-000000-00-000000-00-000000-00-000000-00-0046099461054610546111461184</t>
  </si>
  <si>
    <t>46084460840000-00-0046112461120000-00-000000-00-000000-00-000000-00-000000-00-000000-00-000000-00-0046120461320000-00-00461320000-00-004</t>
  </si>
  <si>
    <t>46084460840000-00-0046106461060000-00-000000-00-000000-00-000000-00-000000-00-000000-00-000000-00-0046113461134611346126461274</t>
  </si>
  <si>
    <t>46084460840000-00-0046090460930000-00-000000-00-000000-00-000000-00-000000-00-000000-00-000000-00-0046101461054610546120461274</t>
  </si>
  <si>
    <t>46085460850000-00-0046098460980000-00-000000-00-000000-00-000000-00-000000-00-000000-00-000000-00-0046119461194611946127461274</t>
  </si>
  <si>
    <t>46085460850000-00-0046090460900000-00-000000-00-000000-00-000000-00-000000-00-000000-00-000000-00-0046105461054610546112461184</t>
  </si>
  <si>
    <t>46085460850000-00-0046121461210000-00-000000-00-000000-00-000000-00-000000-00-000000-00-000000-00-0046127461274612746133461394</t>
  </si>
  <si>
    <t>46085460850000-00-0046090461060000-00-000000-00-000000-00-000000-00-000000-00-000000-00-000000-00-0046112461124611246126461274</t>
  </si>
  <si>
    <t>46101460850000-00-0046105461050000-00-000000-00-000000-00-000000-00-000000-00-000000-00-000000-00-0046112461124611346127461274</t>
  </si>
  <si>
    <t>46092460920000-00-000000-00-000000-00-000000-00-000000-00-000000-00-000000-00-000000-00-000000-00-000000-00-0046105461054610546111461184</t>
  </si>
  <si>
    <t>46086460860000-00-0046093460970000-00-000000-00-000000-00-000000-00-000000-00-000000-00-000000-00-0046101461054610546113461184</t>
  </si>
  <si>
    <t>46099460860000-00-0046105461130000-00-000000-00-000000-00-000000-00-000000-00-000000-00-000000-00-0046120461204612046132461394</t>
  </si>
  <si>
    <t>46076460860000-00-0046080460860000-00-000000-00-000000-00-000000-00-000000-00-000000-00-000000-00-0046092461014610546113461184</t>
  </si>
  <si>
    <t>46070460860000-00-0046112461180000-00-000000-00-000000-00-000000-00-000000-00-000000-00-000000-00-0046126461264612746133461394</t>
  </si>
  <si>
    <t>46086460860000-00-000000-00-000000-00-000000-00-000000-00-000000-00-000000-00-000000-00-000000-00-000000-00-0046106461064610646112461184</t>
  </si>
  <si>
    <t>46087460870000-00-000000-00-000000-00-000000-00-000000-00-000000-00-000000-00-000000-00-000000-00-000000-00-0046098461004610846126461274</t>
  </si>
  <si>
    <t>46087460870000-00-0046100461000000-00-000000-00-000000-00-000000-00-000000-00-000000-00-000000-00-0046107461074610746127461274</t>
  </si>
  <si>
    <t>46087460870000-00-0046090460900000-00-000000-00-000000-00-000000-00-000000-00-000000-00-000000-00-0046094460974609746118461184</t>
  </si>
  <si>
    <t>46120460870000-00-000000-00-000000-00-000000-00-000000-00-000000-00-000000-00-000000-00-000000-00-000000-00-0046126461264612646133461394</t>
  </si>
  <si>
    <t>46088460880000-00-0046093460990000-00-000000-00-000000-00-000000-00-000000-00-000000-00-000000-00-0046099461054611346126461274</t>
  </si>
  <si>
    <t>46090460900000-00-0046112461120000-00-000000-00-000000-00-000000-00-000000-00-000000-00-000000-00-0046127461274612746134461394</t>
  </si>
  <si>
    <t>46090460900000-00-0046097460970000-00-000000-00-000000-00-000000-00-000000-00-000000-00-000000-00-0046106461064610646112461184</t>
  </si>
  <si>
    <t>46091460910000-00-0046098461004609146093460980000-00-000000-00-000000-00-000000-00-0046105461054610546112461184</t>
  </si>
  <si>
    <t>46091460910000-00-0046098460980000-00-000000-00-000000-00-000000-00-000000-00-000000-00-000000-00-0046113461184611946127461274</t>
  </si>
  <si>
    <t>46092460920000-00-0046097460970000-00-000000-00-000000-00-000000-00-000000-00-000000-00-000000-00-0046120461204612046126461274</t>
  </si>
  <si>
    <t>46092460920000-00-0046100461064609246093461000000-00-000000-00-000000-00-000000-00-0046106461064610646112461184</t>
  </si>
  <si>
    <t>46092460920000-00-0046118461180000-00-000000-00-000000-00-000000-00-000000-00-000000-00-000000-00-0046127461274612746133461394</t>
  </si>
  <si>
    <t>46092460920000-00-0046093461000000-00-000000-00-000000-00-000000-00-000000-00-000000-00-000000-00-0046105461054610646113461184</t>
  </si>
  <si>
    <t>46092460920000-00-0046098460980000-00-000000-00-000000-00-000000-00-000000-00-000000-00-000000-00-0046105461054610646113461184</t>
  </si>
  <si>
    <t>46093460930000-00-0046097461070000-00-000000-00-000000-00-000000-00-000000-00-000000-00-000000-00-0046118461184611846126461274</t>
  </si>
  <si>
    <t>46093460930000-00-000000-00-000000-00-000000-00-000000-00-000000-00-000000-00-000000-00-000000-00-000000-00-0046100461004610046111461184</t>
  </si>
  <si>
    <t>46093460930000-00-000000-00-000000-00-000000-00-000000-00-000000-00-000000-00-000000-00-000000-00-000000-00-0046099461054610546108461184</t>
  </si>
  <si>
    <t>46093460930000-00-0046094461000000-00-000000-00-000000-00-000000-00-000000-00-000000-00-000000-00-0046100461004610546112461184</t>
  </si>
  <si>
    <t>46093460930000-00-0046101461010000-00-000000-00-000000-00-000000-00-000000-00-000000-00-000000-00-0046106461064610646113461184</t>
  </si>
  <si>
    <t>46094460930000-00-0046105461110000-00-000000-00-000000-00-000000-00-000000-00-000000-00-000000-00-0046119461194611946126461274</t>
  </si>
  <si>
    <t>46093460930000-00-000000-00-000000-00-000000-00-000000-00-000000-00-000000-00-000000-00-000000-00-000000-00-0046105461054610846127461274</t>
  </si>
  <si>
    <t>46097460970000-00-0046099460990000-00-000000-00-000000-00-000000-00-000000-00-000000-00-000000-00-0046099461054611846126461274</t>
  </si>
  <si>
    <t>46098460970000-00-0046106461060000-00-000000-00-000000-00-000000-00-000000-00-000000-00-000000-00-0046116461184611946132461394</t>
  </si>
  <si>
    <t>46097460970000-00-000000-00-000000-00-000000-00-000000-00-000000-00-000000-00-000000-00-000000-00-000000-00-0046106461064610646112461184</t>
  </si>
  <si>
    <t>46120461290000-00-000000-00-000000-00-000000-00-000000-00-000000-00-000000-00-000000-00-000000-00-000000-00-0046127461274612746134461394</t>
  </si>
  <si>
    <t>46099460970000-00-000000-00-000000-00-000000-00-000000-00-000000-00-000000-00-000000-00-000000-00-000000-00-0046105461084611146126461274</t>
  </si>
  <si>
    <t>46098460970000-00-0046099461000000-00-000000-00-000000-00-000000-00-000000-00-000000-00-000000-00-0046116461204612046127461394</t>
  </si>
  <si>
    <t>46091460980000-00-0046094460940000-00-000000-00-000000-00-000000-00-000000-00-000000-00-000000-00-0046106461064610646118461184</t>
  </si>
  <si>
    <t>46098460980000-00-000000-00-000000-00-000000-00-000000-00-000000-00-000000-00-000000-00-000000-00-000000-00-0046106461064610646113461184</t>
  </si>
  <si>
    <t>46108460980000-00-000000-00-000000-00-000000-00-000000-00-000000-00-000000-00-000000-00-000000-00-000000-00-0046118461184611846126461274</t>
  </si>
  <si>
    <t>46100460980000-00-0046112461120000-00-000000-00-000000-00-000000-00-000000-00-000000-00-000000-00-0046125461254612646132461394</t>
  </si>
  <si>
    <t>46099460990000-00-0046107461190000-00-000000-00-000000-00-000000-00-000000-00-000000-00-000000-00-0046127461274612746133461394</t>
  </si>
  <si>
    <t>46108461000000-00-000000-00-000000-00-000000-00-000000-00-000000-00-000000-00-000000-00-000000-00-000000-00-0046118461204612646133461394</t>
  </si>
  <si>
    <t>46090461000000-00-0046101461010000-00-000000-00-000000-00-000000-00-000000-00-000000-00-000000-00-0046104461044610446113461184</t>
  </si>
  <si>
    <t>46100461000000-00-0046105461120000-00-000000-00-000000-00-000000-00-000000-00-000000-00-000000-00-0046112461124611846126461274</t>
  </si>
  <si>
    <t>46101461010000-00-000000-00-000000-00-000000-00-000000-00-000000-00-000000-00-000000-00-000000-00-000000-00-000000-00-00461014610646113461134</t>
  </si>
  <si>
    <t>46100461050000-00-0046105461050000-00-000000-00-000000-00-000000-00-000000-00-000000-00-000000-00-0046108461084610846135461394</t>
  </si>
  <si>
    <t>46105461050000-00-000000-00-000000-00-000000-00-000000-00-000000-00-000000-00-000000-00-000000-00-000000-00-0046111461114611246127461274</t>
  </si>
  <si>
    <t>46106461050000-00-0046121461220000-00-000000-00-000000-00-000000-00-000000-00-000000-00-000000-00-0046127461274612746134461394</t>
  </si>
  <si>
    <t>46111461060000-00-000000-00-000000-00-000000-00-000000-00-000000-00-000000-00-000000-00-000000-00-000000-00-0046119461194612046126461274</t>
  </si>
  <si>
    <t>46106461060000-00-0046120461220000-00-000000-00-000000-00-000000-00-000000-00-000000-00-000000-00-0046122461224612746133461394</t>
  </si>
  <si>
    <t>46106461060000-00-0046112461120000-00-000000-00-000000-00-000000-00-000000-00-000000-00-000000-00-0046119461204612046127461274</t>
  </si>
  <si>
    <t>46106461060000-00-000000-00-000000-00-000000-00-000000-00-000000-00-000000-00-000000-00-000000-00-000000-00-0046112461124611846126461274</t>
  </si>
  <si>
    <t>46106461060000-00-0046111461110000-00-000000-00-000000-00-000000-00-000000-00-000000-00-000000-00-0046120461204612046126461274</t>
  </si>
  <si>
    <t>46106461060000-00-0046118461200000-00-000000-00-000000-00-000000-00-000000-00-000000-00-000000-00-0046126461264612746133461394</t>
  </si>
  <si>
    <t>46101461080000-00-0046105461050000-00-000000-00-000000-00-000000-00-000000-00-000000-00-000000-00-0046108461204612046133461394</t>
  </si>
  <si>
    <t>46108461080000-00-000000-00-000000-00-000000-00-000000-00-000000-00-000000-00-000000-00-000000-00-000000-00-0046120461204612046126461274</t>
  </si>
  <si>
    <t>46083461080000-00-0046094460940000-00-000000-00-000000-00-000000-00-000000-00-000000-00-000000-00-0046106461064610646112461184</t>
  </si>
  <si>
    <t>46108461080000-00-000000-00-000000-00-000000-00-000000-00-000000-00-000000-00-000000-00-000000-00-000000-00-0046118461184611846126461274</t>
  </si>
  <si>
    <t>46106461080000-00-000000-00-000000-00-000000-00-000000-00-000000-00-000000-00-000000-00-000000-00-000000-00-0046112461184611846126461274</t>
  </si>
  <si>
    <t>46105461080000-00-000000-00-000000-00-000000-00-000000-00-000000-00-000000-00-000000-00-000000-00-000000-00-0046111461114611246127461274</t>
  </si>
  <si>
    <t>46108461080000-00-000000-00-000000-00-000000-00-000000-00-000000-00-000000-00-000000-00-000000-00-000000-00-0046118461194612046126461274</t>
  </si>
  <si>
    <t>46111461080000-00-000000-00-000000-00-000000-00-000000-00-000000-00-000000-00-000000-00-000000-00-000000-00-0046119461254612646133461394</t>
  </si>
  <si>
    <t>46111461120000-00-0046118461180000-00-000000-00-000000-00-000000-00-000000-00-000000-00-000000-00-0046118461184611846126461274</t>
  </si>
  <si>
    <t>46111461110000-00-000000-00-000000-00-000000-00-000000-00-000000-00-000000-00-000000-00-000000-00-000000-00-0046119461194612046126461274</t>
  </si>
  <si>
    <t>46106461110000-00-0046108461080000-00-000000-00-000000-00-000000-00-000000-00-000000-00-000000-00-0046119461194611946126461274</t>
  </si>
  <si>
    <t>46111461110000-00-0046119461190000-00-000000-00-000000-00-000000-00-000000-00-000000-00-000000-00-0046119461194611946125461274</t>
  </si>
  <si>
    <t>46120461190000-00-000000-00-000000-00-000000-00-000000-00-000000-00-000000-00-000000-00-000000-00-000000-00-0046139461420000-00-0046142461424</t>
  </si>
  <si>
    <t>46112461120000-00-0046118461180000-00-000000-00-000000-00-000000-00-000000-00-000000-00-000000-00-0046120461204612046127461274</t>
  </si>
  <si>
    <t>46101461130000-00-0046106461060000-00-000000-00-000000-00-000000-00-000000-00-000000-00-000000-00-0046112461134611946127461274</t>
  </si>
  <si>
    <t>46108461180000-00-0046122461220000-00-000000-00-000000-00-000000-00-000000-00-000000-00-000000-00-0046127461274612746133461394</t>
  </si>
  <si>
    <t>46090461180000-00-0046094460940000-00-000000-00-000000-00-000000-00-000000-00-000000-00-000000-00-0046119461194611946139461394</t>
  </si>
  <si>
    <t>46104461180000-00-0046107461070000-00-000000-00-000000-00-000000-00-000000-00-000000-00-000000-00-0046119461194611946127461274</t>
  </si>
  <si>
    <t>46118461180000-00-000000-00-000000-00-000000-00-000000-00-000000-00-000000-00-000000-00-000000-00-000000-00-0046119461194612046126461274</t>
  </si>
  <si>
    <t>46099461200000-00-0046106461060000-00-000000-00-000000-00-000000-00-000000-00-000000-00-000000-00-0046126461264612646134461394</t>
  </si>
  <si>
    <t>46099461200000-00-0046106461060000-00-000000-00-000000-00-000000-00-000000-00-000000-00-000000-00-0046126461264612646133461394</t>
  </si>
  <si>
    <t>46127461200000-00-000000-00-000000-00-000000-00-000000-00-000000-00-000000-00-000000-00-000000-00-000000-00-000000-00-00461274612846135461394</t>
  </si>
  <si>
    <t>46125461210000-00-000000-00-000000-00-000000-00-000000-00-000000-00-000000-00-000000-00-000000-00-000000-00-0046128461324613246133461394</t>
  </si>
  <si>
    <t>46118461230000-00-0046123461230000-00-000000-00-000000-00-000000-00-000000-00-000000-00-000000-00-0046127461274612746133461394</t>
  </si>
  <si>
    <t>46107461250000-00-0046112461120000-00-000000-00-000000-00-000000-00-000000-00-000000-00-000000-00-0046127461274612746134461394</t>
  </si>
  <si>
    <t>46088461260000-00-0046099460990000-00-000000-00-000000-00-000000-00-000000-00-000000-00-000000-00-0046119461194612046127461274</t>
  </si>
  <si>
    <t>46126461260000-00-000000-00-000000-00-000000-00-000000-00-000000-00-000000-00-000000-00-000000-00-000000-00-0046132461324612846136461394</t>
  </si>
  <si>
    <t>46128461320000-00-000000-00-000000-00-000000-00-000000-00-000000-00-000000-00-000000-00-000000-00-000000-00-0046133461330000-00-0046133461434</t>
  </si>
  <si>
    <t>46125461250000-00-000000-00-000000-00-000000-00-000000-00-000000-00-000000-00-000000-00-000000-00-000000-00-0046134461340000-00-0046134461344</t>
  </si>
  <si>
    <t>46122461220000-00-000000-00-000000-00-000000-00-000000-00-000000-00-000000-00-000000-00-000000-00-000000-00-0046132461320000-00-0046132461324</t>
  </si>
  <si>
    <t>46125461250000-00-000000-00-000000-00-000000-00-000000-00-000000-00-000000-00-000000-00-000000-00-000000-00-0046139461390000-00-0046139461394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</si>
</sst>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d/mm/yyyy;@"/>
    <numFmt numFmtId="165" formatCode="d/mm/yyyy;@"/>
  </numFmts>
  <fonts count="24" x14ac:knownFonts="1">
    <font>
      <sz val="11"/>
      <color theme="1"/>
      <name val="Aptos Narrow"/>
      <family val="2"/>
      <scheme val="minor"/>
    </font>
    <font>
      <sz val="10"/>
      <color indexed="13"/>
      <name val="Arial"/>
      <family val="2"/>
    </font>
    <font>
      <sz val="8"/>
      <name val="Aptos Narrow"/>
      <family val="2"/>
      <scheme val="minor"/>
    </font>
    <font>
      <sz val="11"/>
      <color theme="0"/>
      <name val="Calibri"/>
      <family val="2"/>
    </font>
    <font>
      <sz val="11"/>
      <color theme="1"/>
      <name val="Calibri"/>
      <family val="2"/>
    </font>
    <font>
      <sz val="10"/>
      <color indexed="8"/>
      <name val="Arial"/>
      <family val="2"/>
    </font>
    <font>
      <sz val="11"/>
      <color rgb="FF000000"/>
      <name val="Calibri"/>
      <family val="2"/>
    </font>
    <font>
      <sz val="11"/>
      <name val="Calibri"/>
      <family val="2"/>
    </font>
    <font>
      <sz val="11"/>
      <color rgb="FF242424"/>
      <name val="Calibri"/>
      <family val="2"/>
    </font>
    <font>
      <sz val="11"/>
      <color rgb="FF006100"/>
      <name val="Aptos Narrow"/>
      <family val="2"/>
      <scheme val="minor"/>
    </font>
    <font>
      <sz val="11"/>
      <color rgb="FFFFFFFF"/>
      <name val="Calibri"/>
      <family val="2"/>
    </font>
    <font>
      <sz val="11"/>
      <color theme="0"/>
      <name val="Calibri"/>
      <family val="2"/>
    </font>
    <font>
      <sz val="11"/>
      <color indexed="8"/>
      <name val="Calibri"/>
      <family val="2"/>
      <charset val="1"/>
    </font>
    <font>
      <sz val="11"/>
      <color theme="1"/>
      <name val="Calibri"/>
      <family val="2"/>
    </font>
    <font>
      <sz val="11"/>
      <color rgb="FF000000"/>
      <name val="Calibri"/>
      <family val="2"/>
    </font>
    <font>
      <sz val="11"/>
      <color rgb="FF000000"/>
      <name val="Calibri"/>
      <family val="2"/>
    </font>
    <font>
      <sz val="11"/>
      <name val="Calibri"/>
      <family val="2"/>
    </font>
    <font>
      <sz val="11"/>
      <color theme="1"/>
      <name val="Aptos Narrow"/>
      <family val="2"/>
      <scheme val="minor"/>
    </font>
    <font>
      <sz val="11"/>
      <color rgb="FF9C5700"/>
      <name val="Aptos Narrow"/>
      <family val="2"/>
      <scheme val="minor"/>
    </font>
    <font>
      <sz val="11"/>
      <color rgb="FFFFFFFF"/>
      <name val="Calibri"/>
      <family val="2"/>
    </font>
    <font>
      <sz val="11"/>
      <color theme="0"/>
      <name val="Aptos Narrow"/>
      <family val="2"/>
      <scheme val="minor"/>
    </font>
    <font>
      <b/>
      <sz val="11"/>
      <color rgb="FF006100"/>
      <name val="Aptos Narrow"/>
      <family val="2"/>
      <scheme val="minor"/>
    </font>
    <font>
      <sz val="11"/>
      <color rgb="FF000000"/>
      <name val="Calibri"/>
    </font>
    <font>
      <sz val="11"/>
      <name val="Calibri"/>
    </font>
  </fonts>
  <fills count="18">
    <fill>
      <patternFill patternType="none"/>
    </fill>
    <fill>
      <patternFill patternType="gray125"/>
    </fill>
    <fill>
      <patternFill patternType="solid">
        <fgColor theme="6"/>
        <bgColor indexed="64"/>
      </patternFill>
    </fill>
    <fill>
      <patternFill patternType="solid">
        <fgColor indexed="8"/>
        <bgColor indexed="64"/>
      </patternFill>
    </fill>
    <fill>
      <patternFill patternType="solid">
        <fgColor rgb="FFFFFFFF"/>
        <bgColor rgb="FF000000"/>
      </patternFill>
    </fill>
    <fill>
      <patternFill patternType="solid">
        <fgColor rgb="FF1E90FF"/>
        <bgColor indexed="64"/>
      </patternFill>
    </fill>
    <fill>
      <patternFill patternType="solid">
        <fgColor rgb="FF228B22"/>
        <bgColor indexed="64"/>
      </patternFill>
    </fill>
    <fill>
      <patternFill patternType="solid">
        <fgColor rgb="FF2E8B57"/>
        <bgColor indexed="64"/>
      </patternFill>
    </fill>
    <fill>
      <patternFill patternType="solid">
        <fgColor rgb="FF9ACD32"/>
        <bgColor indexed="64"/>
      </patternFill>
    </fill>
    <fill>
      <patternFill patternType="solid">
        <fgColor theme="0"/>
        <bgColor indexed="64"/>
      </patternFill>
    </fill>
    <fill>
      <patternFill patternType="solid">
        <fgColor rgb="FFC6EFCE"/>
      </patternFill>
    </fill>
    <fill>
      <patternFill patternType="solid">
        <fgColor rgb="FF92D050"/>
        <bgColor indexed="64"/>
      </patternFill>
    </fill>
    <fill>
      <patternFill patternType="solid">
        <fgColor theme="9" tint="-0.249977111117893"/>
        <bgColor indexed="64"/>
      </patternFill>
    </fill>
    <fill>
      <patternFill patternType="solid">
        <fgColor rgb="FFFFEB9C"/>
      </patternFill>
    </fill>
    <fill>
      <patternFill patternType="solid">
        <fgColor rgb="FF7030A0"/>
        <bgColor indexed="64"/>
      </patternFill>
    </fill>
    <fill>
      <patternFill patternType="solid">
        <fgColor rgb="FF00B050"/>
        <bgColor indexed="64"/>
      </patternFill>
    </fill>
    <fill>
      <patternFill patternType="solid">
        <fgColor theme="1"/>
        <bgColor indexed="64"/>
      </patternFill>
    </fill>
    <fill>
      <patternFill patternType="solid">
        <fgColor theme="0" tint="-0.14999847407452621"/>
        <bgColor theme="0" tint="-0.14999847407452621"/>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theme="1"/>
      </bottom>
      <diagonal/>
    </border>
    <border>
      <left/>
      <right/>
      <top style="thin">
        <color indexed="64"/>
      </top>
      <bottom style="thin">
        <color theme="1"/>
      </bottom>
      <diagonal/>
    </border>
    <border>
      <left/>
      <right/>
      <top style="thin">
        <color theme="1"/>
      </top>
      <bottom style="thin">
        <color theme="1"/>
      </bottom>
      <diagonal/>
    </border>
    <border>
      <left style="thin">
        <color indexed="64"/>
      </left>
      <right style="thin">
        <color indexed="64"/>
      </right>
      <top style="thin">
        <color theme="1"/>
      </top>
      <bottom style="thin">
        <color theme="1"/>
      </bottom>
      <diagonal/>
    </border>
    <border>
      <left/>
      <right/>
      <top style="thin">
        <color theme="1"/>
      </top>
      <bottom/>
      <diagonal/>
    </border>
  </borders>
  <cellStyleXfs count="11">
    <xf numFmtId="0" fontId="0" fillId="0" borderId="0"/>
    <xf numFmtId="0" fontId="1" fillId="3" borderId="1" applyNumberFormat="0" applyProtection="0">
      <alignment horizontal="left" vertical="center"/>
    </xf>
    <xf numFmtId="0" fontId="1" fillId="0" borderId="0">
      <alignment vertical="center"/>
    </xf>
    <xf numFmtId="0" fontId="5" fillId="5" borderId="1" applyNumberFormat="0" applyProtection="0">
      <alignment horizontal="left" vertical="center"/>
    </xf>
    <xf numFmtId="0" fontId="5" fillId="6" borderId="1" applyNumberFormat="0" applyProtection="0">
      <alignment horizontal="left" vertical="center"/>
    </xf>
    <xf numFmtId="0" fontId="5" fillId="7" borderId="1" applyNumberFormat="0" applyProtection="0">
      <alignment horizontal="left" vertical="center"/>
    </xf>
    <xf numFmtId="0" fontId="5" fillId="8" borderId="1" applyNumberFormat="0" applyProtection="0">
      <alignment horizontal="left" vertical="center"/>
    </xf>
    <xf numFmtId="0" fontId="9" fillId="10" borderId="0" applyNumberFormat="0" applyBorder="0" applyAlignment="0" applyProtection="0"/>
    <xf numFmtId="0" fontId="12" fillId="0" borderId="0"/>
    <xf numFmtId="44" fontId="17" fillId="0" borderId="0" applyFont="0" applyFill="0" applyBorder="0" applyAlignment="0" applyProtection="0"/>
    <xf numFmtId="0" fontId="18" fillId="13" borderId="0" applyNumberFormat="0" applyBorder="0" applyAlignment="0" applyProtection="0"/>
  </cellStyleXfs>
  <cellXfs count="455">
    <xf numFmtId="0" fontId="0" fillId="0" borderId="0" xfId="0"/>
    <xf numFmtId="0" fontId="4" fillId="0" borderId="1" xfId="0" applyFont="1" applyBorder="1" applyAlignment="1">
      <alignment horizontal="center" vertical="center"/>
    </xf>
    <xf numFmtId="0" fontId="7" fillId="0" borderId="1" xfId="0" applyFont="1" applyBorder="1" applyAlignment="1">
      <alignment horizontal="center"/>
    </xf>
    <xf numFmtId="0" fontId="6" fillId="0" borderId="1" xfId="0" applyFont="1" applyBorder="1" applyAlignment="1">
      <alignment horizontal="center"/>
    </xf>
    <xf numFmtId="0" fontId="4" fillId="0" borderId="0" xfId="0" applyFont="1" applyAlignment="1">
      <alignment vertical="top" wrapText="1"/>
    </xf>
    <xf numFmtId="14" fontId="4" fillId="0" borderId="0" xfId="0" applyNumberFormat="1" applyFont="1" applyAlignment="1">
      <alignment horizontal="center"/>
    </xf>
    <xf numFmtId="14" fontId="4" fillId="0" borderId="0" xfId="0" applyNumberFormat="1" applyFont="1" applyAlignment="1">
      <alignment horizontal="center" vertical="center"/>
    </xf>
    <xf numFmtId="0" fontId="4" fillId="0" borderId="0" xfId="0" applyFont="1" applyAlignment="1">
      <alignment horizontal="center" vertical="top"/>
    </xf>
    <xf numFmtId="0" fontId="4" fillId="0" borderId="0" xfId="0" applyFont="1" applyAlignment="1">
      <alignment horizontal="center" vertical="center"/>
    </xf>
    <xf numFmtId="0" fontId="4" fillId="0" borderId="0" xfId="0" applyFont="1" applyAlignment="1">
      <alignment horizontal="left" vertical="top"/>
    </xf>
    <xf numFmtId="164" fontId="4" fillId="0" borderId="0" xfId="0" applyNumberFormat="1" applyFont="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0" fontId="4" fillId="0" borderId="1" xfId="0" applyFont="1" applyBorder="1" applyAlignment="1">
      <alignment horizontal="left" wrapText="1"/>
    </xf>
    <xf numFmtId="14" fontId="4" fillId="0" borderId="1" xfId="0" applyNumberFormat="1" applyFont="1" applyBorder="1" applyAlignment="1">
      <alignment horizontal="center"/>
    </xf>
    <xf numFmtId="14" fontId="4" fillId="0" borderId="1" xfId="0" applyNumberFormat="1" applyFont="1" applyBorder="1" applyAlignment="1">
      <alignment horizontal="center" vertical="center"/>
    </xf>
    <xf numFmtId="0" fontId="4" fillId="0" borderId="1" xfId="0" applyFont="1" applyBorder="1" applyAlignment="1">
      <alignment horizontal="center"/>
    </xf>
    <xf numFmtId="0" fontId="6" fillId="0" borderId="1" xfId="0" applyFont="1" applyBorder="1" applyAlignment="1">
      <alignment horizontal="center" wrapText="1"/>
    </xf>
    <xf numFmtId="9" fontId="6" fillId="0" borderId="1" xfId="0" applyNumberFormat="1" applyFont="1" applyBorder="1" applyAlignment="1">
      <alignment horizontal="center" vertical="center"/>
    </xf>
    <xf numFmtId="0" fontId="4" fillId="4" borderId="1" xfId="0" applyFont="1" applyFill="1" applyBorder="1" applyAlignment="1">
      <alignment horizontal="left" vertical="top" wrapText="1"/>
    </xf>
    <xf numFmtId="0" fontId="7" fillId="0" borderId="1" xfId="0" applyFont="1" applyBorder="1" applyAlignment="1">
      <alignment horizontal="center" vertical="center"/>
    </xf>
    <xf numFmtId="0" fontId="4" fillId="4" borderId="1" xfId="0" applyFont="1" applyFill="1" applyBorder="1" applyAlignment="1">
      <alignment horizontal="left" vertical="top"/>
    </xf>
    <xf numFmtId="0" fontId="4" fillId="0" borderId="1" xfId="0" applyFont="1" applyBorder="1" applyAlignment="1">
      <alignment horizontal="left"/>
    </xf>
    <xf numFmtId="1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top"/>
    </xf>
    <xf numFmtId="0" fontId="4" fillId="4" borderId="1" xfId="0" applyFont="1" applyFill="1" applyBorder="1" applyAlignment="1">
      <alignment horizontal="center" vertical="center"/>
    </xf>
    <xf numFmtId="0" fontId="4" fillId="0" borderId="1" xfId="0" applyFont="1" applyBorder="1" applyAlignment="1">
      <alignment horizontal="left" vertical="top"/>
    </xf>
    <xf numFmtId="14" fontId="6" fillId="0" borderId="1" xfId="0" applyNumberFormat="1" applyFont="1" applyBorder="1" applyAlignment="1">
      <alignment horizontal="center" vertical="center"/>
    </xf>
    <xf numFmtId="0" fontId="6" fillId="0" borderId="1" xfId="0" applyFont="1" applyBorder="1" applyAlignment="1">
      <alignment wrapText="1"/>
    </xf>
    <xf numFmtId="14" fontId="6" fillId="0" borderId="1" xfId="0" applyNumberFormat="1" applyFont="1" applyBorder="1" applyAlignment="1">
      <alignment horizontal="center"/>
    </xf>
    <xf numFmtId="0" fontId="6" fillId="4" borderId="1" xfId="0" applyFont="1" applyFill="1" applyBorder="1" applyAlignment="1">
      <alignment horizontal="center"/>
    </xf>
    <xf numFmtId="0" fontId="6" fillId="4" borderId="1" xfId="0" applyFont="1" applyFill="1" applyBorder="1"/>
    <xf numFmtId="0" fontId="6" fillId="0" borderId="1" xfId="0" applyFont="1" applyBorder="1" applyAlignment="1">
      <alignment horizontal="center" vertical="center"/>
    </xf>
    <xf numFmtId="0" fontId="6" fillId="4" borderId="1" xfId="0" applyFont="1" applyFill="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wrapText="1"/>
    </xf>
    <xf numFmtId="14" fontId="6" fillId="0" borderId="1" xfId="0" applyNumberFormat="1" applyFont="1" applyBorder="1" applyAlignment="1">
      <alignment horizontal="center" vertical="center" wrapText="1"/>
    </xf>
    <xf numFmtId="14" fontId="6" fillId="4" borderId="1" xfId="0" applyNumberFormat="1" applyFont="1" applyFill="1" applyBorder="1" applyAlignment="1">
      <alignment horizontal="center" vertical="center"/>
    </xf>
    <xf numFmtId="0" fontId="6" fillId="0" borderId="1" xfId="0" applyFont="1" applyBorder="1"/>
    <xf numFmtId="14" fontId="6" fillId="4" borderId="1" xfId="0" applyNumberFormat="1" applyFont="1" applyFill="1" applyBorder="1" applyAlignment="1">
      <alignment horizontal="center" vertical="center" wrapText="1"/>
    </xf>
    <xf numFmtId="165" fontId="6" fillId="0" borderId="1" xfId="0" applyNumberFormat="1" applyFont="1" applyBorder="1" applyAlignment="1">
      <alignment horizontal="center"/>
    </xf>
    <xf numFmtId="0" fontId="7" fillId="0" borderId="1" xfId="0" applyFont="1" applyBorder="1"/>
    <xf numFmtId="14" fontId="7" fillId="0" borderId="1" xfId="0" applyNumberFormat="1" applyFont="1" applyBorder="1" applyAlignment="1">
      <alignment horizontal="center"/>
    </xf>
    <xf numFmtId="0" fontId="6" fillId="0" borderId="1" xfId="0" applyFont="1" applyBorder="1" applyAlignment="1">
      <alignment horizontal="left" vertical="top"/>
    </xf>
    <xf numFmtId="0" fontId="7" fillId="0" borderId="1" xfId="0" applyFont="1" applyBorder="1" applyAlignment="1">
      <alignment horizontal="left" vertical="top"/>
    </xf>
    <xf numFmtId="0" fontId="6" fillId="4" borderId="1" xfId="0" applyFont="1" applyFill="1" applyBorder="1" applyAlignment="1">
      <alignment horizontal="left" vertical="top"/>
    </xf>
    <xf numFmtId="0" fontId="6" fillId="0" borderId="1" xfId="0" applyFont="1" applyBorder="1" applyAlignment="1">
      <alignment horizontal="left" wrapText="1"/>
    </xf>
    <xf numFmtId="0" fontId="4" fillId="0" borderId="1" xfId="0" applyFont="1" applyBorder="1" applyAlignment="1">
      <alignment horizontal="left" vertical="top" wrapText="1"/>
    </xf>
    <xf numFmtId="0" fontId="7" fillId="4" borderId="1" xfId="0" applyFont="1" applyFill="1" applyBorder="1" applyAlignment="1">
      <alignment horizontal="left" vertical="top"/>
    </xf>
    <xf numFmtId="0" fontId="8" fillId="0" borderId="1" xfId="0" applyFont="1" applyBorder="1" applyAlignment="1">
      <alignment horizontal="left" vertical="top" wrapText="1"/>
    </xf>
    <xf numFmtId="0" fontId="6" fillId="4" borderId="1" xfId="0" applyFont="1" applyFill="1" applyBorder="1" applyAlignment="1">
      <alignment horizontal="left" vertical="top" wrapText="1"/>
    </xf>
    <xf numFmtId="14" fontId="7" fillId="0" borderId="1" xfId="0" applyNumberFormat="1" applyFont="1" applyBorder="1" applyAlignment="1">
      <alignment horizontal="center" vertical="center"/>
    </xf>
    <xf numFmtId="0" fontId="9" fillId="10" borderId="1" xfId="7" applyBorder="1" applyAlignment="1">
      <alignment horizontal="center"/>
    </xf>
    <xf numFmtId="1" fontId="9" fillId="10" borderId="1" xfId="7" applyNumberFormat="1" applyBorder="1" applyAlignment="1">
      <alignment horizontal="center"/>
    </xf>
    <xf numFmtId="0" fontId="9" fillId="10" borderId="1" xfId="7" applyBorder="1" applyAlignment="1">
      <alignment horizontal="center" wrapText="1"/>
    </xf>
    <xf numFmtId="1" fontId="9" fillId="10" borderId="1" xfId="7" applyNumberFormat="1" applyBorder="1" applyAlignment="1">
      <alignment horizontal="center" vertical="top"/>
    </xf>
    <xf numFmtId="1" fontId="9" fillId="10" borderId="1" xfId="7" applyNumberFormat="1" applyBorder="1" applyAlignment="1">
      <alignment horizontal="center" wrapText="1"/>
    </xf>
    <xf numFmtId="0" fontId="9" fillId="10" borderId="1" xfId="7" applyBorder="1" applyAlignment="1">
      <alignment horizontal="center" vertical="top"/>
    </xf>
    <xf numFmtId="0" fontId="6" fillId="0" borderId="1" xfId="0" applyFont="1" applyBorder="1" applyAlignment="1">
      <alignment vertical="top" wrapText="1"/>
    </xf>
    <xf numFmtId="0" fontId="10"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164" fontId="0" fillId="0" borderId="0" xfId="0" applyNumberFormat="1"/>
    <xf numFmtId="0" fontId="12" fillId="0" borderId="0" xfId="8"/>
    <xf numFmtId="0" fontId="7" fillId="0" borderId="4" xfId="0" applyFont="1" applyBorder="1" applyAlignment="1">
      <alignment horizontal="center" vertical="top"/>
    </xf>
    <xf numFmtId="0" fontId="7" fillId="0" borderId="4" xfId="0" applyFont="1" applyBorder="1" applyAlignment="1">
      <alignment horizontal="center" vertical="center"/>
    </xf>
    <xf numFmtId="1" fontId="6" fillId="0" borderId="1" xfId="0" applyNumberFormat="1" applyFont="1" applyBorder="1" applyAlignment="1">
      <alignment horizontal="center" vertical="center"/>
    </xf>
    <xf numFmtId="1" fontId="4" fillId="0" borderId="4" xfId="0" applyNumberFormat="1" applyFont="1" applyBorder="1" applyAlignment="1">
      <alignment horizontal="center"/>
    </xf>
    <xf numFmtId="0" fontId="4" fillId="0" borderId="1" xfId="0" applyFont="1" applyBorder="1" applyAlignment="1">
      <alignment vertical="top" wrapText="1"/>
    </xf>
    <xf numFmtId="14" fontId="13" fillId="0" borderId="1" xfId="0" applyNumberFormat="1" applyFont="1" applyBorder="1" applyAlignment="1">
      <alignment horizontal="center" vertical="center"/>
    </xf>
    <xf numFmtId="0" fontId="7" fillId="0" borderId="7" xfId="0" applyFont="1" applyBorder="1" applyAlignment="1">
      <alignment horizontal="center" vertical="top"/>
    </xf>
    <xf numFmtId="0" fontId="7" fillId="0" borderId="7" xfId="0" applyFont="1" applyBorder="1" applyAlignment="1">
      <alignment horizontal="center" vertical="center"/>
    </xf>
    <xf numFmtId="14" fontId="14" fillId="0" borderId="1" xfId="0" applyNumberFormat="1" applyFont="1" applyBorder="1" applyAlignment="1">
      <alignment horizontal="center"/>
    </xf>
    <xf numFmtId="0" fontId="7" fillId="9" borderId="1" xfId="0" applyFont="1" applyFill="1" applyBorder="1" applyAlignment="1">
      <alignment horizontal="center" vertical="top"/>
    </xf>
    <xf numFmtId="1" fontId="4" fillId="0" borderId="1" xfId="0" applyNumberFormat="1" applyFont="1" applyBorder="1" applyAlignment="1">
      <alignment horizontal="center"/>
    </xf>
    <xf numFmtId="0" fontId="4" fillId="0" borderId="2" xfId="0" applyFont="1" applyBorder="1" applyAlignment="1">
      <alignment horizontal="left" vertical="top"/>
    </xf>
    <xf numFmtId="0" fontId="4" fillId="0" borderId="4" xfId="0" applyFont="1" applyBorder="1" applyAlignment="1">
      <alignment horizontal="left" vertical="top"/>
    </xf>
    <xf numFmtId="0" fontId="7" fillId="0" borderId="1" xfId="0" applyFont="1" applyBorder="1" applyAlignment="1">
      <alignment horizontal="center" vertical="top"/>
    </xf>
    <xf numFmtId="0" fontId="6" fillId="0" borderId="2" xfId="0" applyFont="1" applyBorder="1" applyAlignment="1">
      <alignment horizontal="center"/>
    </xf>
    <xf numFmtId="1" fontId="4" fillId="0" borderId="7" xfId="0" applyNumberFormat="1" applyFont="1" applyBorder="1" applyAlignment="1">
      <alignment horizontal="center"/>
    </xf>
    <xf numFmtId="0" fontId="4" fillId="0" borderId="2" xfId="0" applyFont="1" applyBorder="1" applyAlignment="1">
      <alignmen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center"/>
    </xf>
    <xf numFmtId="0" fontId="6" fillId="0" borderId="1" xfId="0" applyFont="1" applyBorder="1" applyAlignment="1">
      <alignment horizontal="left" vertical="center"/>
    </xf>
    <xf numFmtId="0" fontId="7" fillId="4" borderId="1" xfId="0" applyFont="1" applyFill="1" applyBorder="1" applyAlignment="1">
      <alignment vertical="center" wrapText="1"/>
    </xf>
    <xf numFmtId="9" fontId="6" fillId="0" borderId="1" xfId="0" applyNumberFormat="1" applyFont="1" applyBorder="1" applyAlignment="1">
      <alignment horizontal="left" vertical="center"/>
    </xf>
    <xf numFmtId="0" fontId="6" fillId="0" borderId="1" xfId="0" applyFont="1" applyBorder="1" applyAlignment="1">
      <alignment horizontal="left"/>
    </xf>
    <xf numFmtId="0" fontId="14" fillId="0" borderId="1" xfId="0" applyFont="1" applyBorder="1" applyAlignment="1">
      <alignment horizontal="center"/>
    </xf>
    <xf numFmtId="0" fontId="6" fillId="0" borderId="7" xfId="0" applyFont="1" applyBorder="1" applyAlignment="1">
      <alignment horizontal="center"/>
    </xf>
    <xf numFmtId="0" fontId="7" fillId="4" borderId="7" xfId="0" applyFont="1" applyFill="1" applyBorder="1" applyAlignment="1">
      <alignment vertical="center" wrapText="1"/>
    </xf>
    <xf numFmtId="0" fontId="4" fillId="0" borderId="7" xfId="0" applyFont="1" applyBorder="1" applyAlignment="1">
      <alignment vertical="top" wrapText="1"/>
    </xf>
    <xf numFmtId="9" fontId="6" fillId="0" borderId="7" xfId="0" applyNumberFormat="1" applyFont="1" applyBorder="1" applyAlignment="1">
      <alignment horizontal="left" vertical="center"/>
    </xf>
    <xf numFmtId="0" fontId="6" fillId="9" borderId="1" xfId="0" applyFont="1" applyFill="1" applyBorder="1" applyAlignment="1">
      <alignment horizontal="center"/>
    </xf>
    <xf numFmtId="14" fontId="6" fillId="9" borderId="1" xfId="0" applyNumberFormat="1" applyFont="1" applyFill="1" applyBorder="1" applyAlignment="1">
      <alignment horizontal="center" wrapText="1"/>
    </xf>
    <xf numFmtId="1" fontId="9" fillId="10" borderId="1" xfId="7" applyNumberFormat="1" applyBorder="1" applyAlignment="1">
      <alignment horizontal="center" vertical="center"/>
    </xf>
    <xf numFmtId="0" fontId="6" fillId="0" borderId="4" xfId="0" applyFont="1" applyBorder="1" applyAlignment="1">
      <alignment horizontal="center"/>
    </xf>
    <xf numFmtId="0" fontId="6" fillId="0" borderId="4" xfId="0" applyFont="1" applyBorder="1" applyAlignment="1">
      <alignment horizontal="left" vertical="top" wrapText="1"/>
    </xf>
    <xf numFmtId="9" fontId="6" fillId="0" borderId="4" xfId="0" applyNumberFormat="1" applyFont="1" applyBorder="1" applyAlignment="1">
      <alignment horizontal="left" vertical="center"/>
    </xf>
    <xf numFmtId="0" fontId="6" fillId="0" borderId="4" xfId="0" applyFont="1" applyBorder="1" applyAlignment="1">
      <alignment horizontal="center" vertical="center"/>
    </xf>
    <xf numFmtId="0" fontId="7" fillId="0" borderId="2" xfId="0" applyFont="1" applyBorder="1" applyAlignment="1">
      <alignment horizontal="center" vertical="center"/>
    </xf>
    <xf numFmtId="0" fontId="7" fillId="9" borderId="2" xfId="0" applyFont="1" applyFill="1" applyBorder="1" applyAlignment="1">
      <alignment horizontal="center" vertical="top"/>
    </xf>
    <xf numFmtId="1" fontId="4" fillId="0" borderId="2" xfId="0" applyNumberFormat="1" applyFont="1" applyBorder="1" applyAlignment="1">
      <alignment horizontal="center"/>
    </xf>
    <xf numFmtId="0" fontId="4" fillId="0" borderId="7" xfId="0" applyFont="1" applyBorder="1" applyAlignment="1">
      <alignment horizontal="center" vertical="center"/>
    </xf>
    <xf numFmtId="14" fontId="7" fillId="4" borderId="1" xfId="0" applyNumberFormat="1" applyFont="1" applyFill="1" applyBorder="1" applyAlignment="1">
      <alignment horizontal="center"/>
    </xf>
    <xf numFmtId="9" fontId="6" fillId="0" borderId="4" xfId="0" applyNumberFormat="1" applyFont="1" applyBorder="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vertical="center"/>
    </xf>
    <xf numFmtId="14" fontId="4" fillId="0" borderId="1" xfId="0" applyNumberFormat="1" applyFont="1" applyBorder="1" applyAlignment="1">
      <alignment vertical="top" wrapText="1"/>
    </xf>
    <xf numFmtId="0" fontId="7" fillId="0" borderId="1" xfId="0" applyFont="1" applyBorder="1" applyAlignment="1">
      <alignment vertical="center" wrapText="1"/>
    </xf>
    <xf numFmtId="0" fontId="6" fillId="0" borderId="7" xfId="0" applyFont="1" applyBorder="1" applyAlignment="1">
      <alignment horizontal="center" vertical="center"/>
    </xf>
    <xf numFmtId="0" fontId="7" fillId="0" borderId="1" xfId="0" applyFont="1" applyBorder="1" applyAlignment="1">
      <alignment horizontal="left"/>
    </xf>
    <xf numFmtId="0" fontId="7" fillId="0" borderId="4" xfId="0" applyFont="1" applyBorder="1"/>
    <xf numFmtId="0" fontId="16" fillId="9" borderId="1" xfId="0" applyFont="1" applyFill="1" applyBorder="1" applyAlignment="1">
      <alignment horizontal="center" vertical="top"/>
    </xf>
    <xf numFmtId="0" fontId="4" fillId="0" borderId="1" xfId="0" applyFont="1" applyBorder="1" applyAlignment="1">
      <alignment horizontal="left" vertical="center"/>
    </xf>
    <xf numFmtId="0" fontId="7" fillId="0" borderId="2" xfId="0" applyFont="1" applyBorder="1"/>
    <xf numFmtId="164" fontId="4" fillId="0" borderId="1" xfId="0" applyNumberFormat="1" applyFont="1" applyBorder="1" applyAlignment="1">
      <alignment horizontal="center" vertical="center"/>
    </xf>
    <xf numFmtId="0" fontId="6" fillId="0" borderId="7" xfId="0" applyFont="1" applyBorder="1" applyAlignment="1">
      <alignment horizontal="left" vertical="top"/>
    </xf>
    <xf numFmtId="0" fontId="6" fillId="0" borderId="7" xfId="0" applyFont="1" applyBorder="1" applyAlignment="1">
      <alignment horizontal="left" vertical="center"/>
    </xf>
    <xf numFmtId="0" fontId="7" fillId="4" borderId="1" xfId="0" applyFont="1" applyFill="1" applyBorder="1" applyAlignment="1">
      <alignment horizontal="left" vertical="top" wrapText="1"/>
    </xf>
    <xf numFmtId="0" fontId="7" fillId="4" borderId="1" xfId="0" applyFont="1" applyFill="1" applyBorder="1" applyAlignment="1">
      <alignment horizontal="center" vertical="center" wrapText="1"/>
    </xf>
    <xf numFmtId="0" fontId="4" fillId="0" borderId="7" xfId="0" applyFont="1" applyBorder="1" applyAlignment="1">
      <alignment horizontal="left" vertical="center"/>
    </xf>
    <xf numFmtId="1" fontId="7" fillId="9" borderId="1" xfId="0" applyNumberFormat="1" applyFont="1" applyFill="1" applyBorder="1" applyAlignment="1">
      <alignment horizontal="center" vertical="top"/>
    </xf>
    <xf numFmtId="0" fontId="16" fillId="0" borderId="1" xfId="0" applyFont="1" applyBorder="1" applyAlignment="1">
      <alignment horizontal="center" vertical="top"/>
    </xf>
    <xf numFmtId="1" fontId="6" fillId="0" borderId="1" xfId="9" applyNumberFormat="1" applyFont="1" applyBorder="1" applyAlignment="1">
      <alignment horizontal="center" vertical="center"/>
    </xf>
    <xf numFmtId="0" fontId="6" fillId="0" borderId="2" xfId="0" applyFont="1" applyBorder="1" applyAlignment="1">
      <alignment horizontal="center" wrapText="1"/>
    </xf>
    <xf numFmtId="14" fontId="4" fillId="0" borderId="2" xfId="0" applyNumberFormat="1" applyFont="1" applyBorder="1" applyAlignment="1">
      <alignment horizontal="center" vertical="center"/>
    </xf>
    <xf numFmtId="14" fontId="4" fillId="0" borderId="2" xfId="0" applyNumberFormat="1" applyFont="1" applyBorder="1" applyAlignment="1">
      <alignment horizontal="center"/>
    </xf>
    <xf numFmtId="0" fontId="4" fillId="0" borderId="2" xfId="0" applyFont="1" applyBorder="1" applyAlignment="1">
      <alignment horizontal="center"/>
    </xf>
    <xf numFmtId="0" fontId="6" fillId="0" borderId="7" xfId="0" applyFont="1" applyBorder="1" applyAlignment="1">
      <alignment horizontal="left"/>
    </xf>
    <xf numFmtId="14" fontId="6" fillId="0" borderId="7" xfId="0" applyNumberFormat="1" applyFont="1" applyBorder="1" applyAlignment="1">
      <alignment horizontal="center"/>
    </xf>
    <xf numFmtId="14" fontId="6" fillId="0" borderId="7" xfId="0" applyNumberFormat="1" applyFont="1" applyBorder="1" applyAlignment="1">
      <alignment horizontal="center" vertical="center"/>
    </xf>
    <xf numFmtId="0" fontId="6" fillId="0" borderId="7" xfId="0" applyFont="1" applyBorder="1" applyAlignment="1">
      <alignment horizontal="left" vertical="top" wrapText="1"/>
    </xf>
    <xf numFmtId="0" fontId="7" fillId="0" borderId="7" xfId="0" applyFont="1" applyBorder="1" applyAlignment="1">
      <alignment horizontal="center"/>
    </xf>
    <xf numFmtId="14" fontId="4" fillId="0" borderId="7" xfId="0" applyNumberFormat="1" applyFont="1" applyBorder="1" applyAlignment="1">
      <alignment horizontal="center" vertical="center"/>
    </xf>
    <xf numFmtId="164" fontId="7" fillId="0" borderId="7" xfId="1" applyNumberFormat="1" applyFont="1" applyFill="1" applyBorder="1" applyAlignment="1">
      <alignment horizontal="center" vertical="center"/>
    </xf>
    <xf numFmtId="14" fontId="4" fillId="0" borderId="4" xfId="0" applyNumberFormat="1" applyFont="1" applyBorder="1" applyAlignment="1">
      <alignment horizontal="center" vertical="center"/>
    </xf>
    <xf numFmtId="0" fontId="7" fillId="0" borderId="4" xfId="0" applyFont="1" applyBorder="1" applyAlignment="1">
      <alignment horizontal="center"/>
    </xf>
    <xf numFmtId="14" fontId="6" fillId="0" borderId="4" xfId="0" applyNumberFormat="1" applyFont="1" applyBorder="1" applyAlignment="1">
      <alignment horizontal="center"/>
    </xf>
    <xf numFmtId="164" fontId="7" fillId="0" borderId="4" xfId="1" applyNumberFormat="1" applyFont="1" applyFill="1" applyBorder="1" applyAlignment="1">
      <alignment horizontal="center" vertical="center"/>
    </xf>
    <xf numFmtId="164" fontId="7" fillId="0" borderId="1" xfId="1" applyNumberFormat="1" applyFont="1" applyFill="1" applyAlignment="1">
      <alignment horizontal="center" vertical="center"/>
    </xf>
    <xf numFmtId="9" fontId="14" fillId="0" borderId="1" xfId="0" applyNumberFormat="1" applyFont="1" applyBorder="1" applyAlignment="1">
      <alignment horizontal="left" vertical="center"/>
    </xf>
    <xf numFmtId="164" fontId="6"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4" borderId="1" xfId="0" applyFont="1" applyFill="1" applyBorder="1" applyAlignment="1">
      <alignment horizontal="left" vertical="center" wrapText="1"/>
    </xf>
    <xf numFmtId="0" fontId="7" fillId="4" borderId="1" xfId="0" applyFont="1" applyFill="1" applyBorder="1" applyAlignment="1">
      <alignment horizontal="left" vertical="center"/>
    </xf>
    <xf numFmtId="0" fontId="7" fillId="0" borderId="1" xfId="0" applyFont="1" applyBorder="1" applyAlignment="1">
      <alignment horizontal="left" vertical="top" wrapText="1"/>
    </xf>
    <xf numFmtId="164" fontId="7" fillId="0" borderId="1" xfId="0" applyNumberFormat="1" applyFont="1" applyBorder="1" applyAlignment="1">
      <alignment horizontal="center" vertical="center"/>
    </xf>
    <xf numFmtId="14" fontId="7" fillId="4" borderId="1" xfId="0" applyNumberFormat="1" applyFont="1" applyFill="1" applyBorder="1" applyAlignment="1">
      <alignment horizontal="center" vertical="center"/>
    </xf>
    <xf numFmtId="0" fontId="9" fillId="10" borderId="1" xfId="7" applyBorder="1" applyAlignment="1">
      <alignment horizontal="center" vertical="center"/>
    </xf>
    <xf numFmtId="0" fontId="14" fillId="0" borderId="1" xfId="0" applyFont="1" applyBorder="1" applyAlignment="1">
      <alignment horizontal="center" wrapText="1"/>
    </xf>
    <xf numFmtId="0" fontId="7" fillId="4" borderId="1" xfId="0" applyFont="1" applyFill="1" applyBorder="1" applyAlignment="1">
      <alignment horizontal="center"/>
    </xf>
    <xf numFmtId="0" fontId="7" fillId="4" borderId="1" xfId="0" applyFont="1" applyFill="1" applyBorder="1" applyAlignment="1">
      <alignment horizontal="left"/>
    </xf>
    <xf numFmtId="164" fontId="7" fillId="0" borderId="1" xfId="0" applyNumberFormat="1" applyFont="1" applyBorder="1" applyAlignment="1">
      <alignment horizontal="center"/>
    </xf>
    <xf numFmtId="14" fontId="6" fillId="9" borderId="1" xfId="0" applyNumberFormat="1" applyFont="1" applyFill="1" applyBorder="1" applyAlignment="1">
      <alignment horizontal="center" vertical="center"/>
    </xf>
    <xf numFmtId="164" fontId="6" fillId="0" borderId="1" xfId="0" applyNumberFormat="1" applyFont="1" applyBorder="1" applyAlignment="1">
      <alignment horizontal="center"/>
    </xf>
    <xf numFmtId="0" fontId="14" fillId="0" borderId="1" xfId="0" applyFont="1" applyBorder="1" applyAlignment="1">
      <alignment horizontal="left"/>
    </xf>
    <xf numFmtId="1" fontId="9" fillId="10" borderId="1" xfId="7" applyNumberFormat="1" applyBorder="1" applyAlignment="1">
      <alignment horizontal="center" vertical="center" wrapText="1"/>
    </xf>
    <xf numFmtId="164" fontId="14" fillId="0" borderId="1" xfId="0" applyNumberFormat="1" applyFont="1" applyBorder="1" applyAlignment="1">
      <alignment horizontal="center" vertical="center"/>
    </xf>
    <xf numFmtId="0" fontId="6" fillId="4" borderId="1" xfId="0" applyFont="1" applyFill="1" applyBorder="1" applyAlignment="1">
      <alignment horizontal="left"/>
    </xf>
    <xf numFmtId="164" fontId="6" fillId="0" borderId="1" xfId="0" applyNumberFormat="1" applyFont="1" applyBorder="1" applyAlignment="1">
      <alignment horizontal="center" vertical="center" wrapText="1"/>
    </xf>
    <xf numFmtId="164" fontId="6" fillId="9" borderId="1" xfId="0" applyNumberFormat="1" applyFont="1" applyFill="1" applyBorder="1" applyAlignment="1">
      <alignment horizontal="center" vertical="center"/>
    </xf>
    <xf numFmtId="0" fontId="0" fillId="0" borderId="1" xfId="0" applyBorder="1" applyAlignment="1">
      <alignment horizontal="left"/>
    </xf>
    <xf numFmtId="1" fontId="4" fillId="9" borderId="1" xfId="0" applyNumberFormat="1" applyFont="1" applyFill="1" applyBorder="1" applyAlignment="1">
      <alignment horizontal="center"/>
    </xf>
    <xf numFmtId="0" fontId="16" fillId="0" borderId="1" xfId="0" applyFont="1" applyBorder="1" applyAlignment="1">
      <alignment horizontal="center" vertical="center"/>
    </xf>
    <xf numFmtId="164" fontId="4" fillId="0" borderId="1" xfId="0" applyNumberFormat="1" applyFont="1" applyBorder="1" applyAlignment="1">
      <alignment horizontal="center"/>
    </xf>
    <xf numFmtId="164" fontId="13" fillId="0" borderId="1" xfId="0" applyNumberFormat="1" applyFont="1" applyBorder="1" applyAlignment="1">
      <alignment horizontal="center"/>
    </xf>
    <xf numFmtId="0" fontId="16" fillId="0" borderId="1" xfId="0" applyFont="1" applyBorder="1" applyAlignment="1">
      <alignment horizontal="center"/>
    </xf>
    <xf numFmtId="0" fontId="14" fillId="0" borderId="1" xfId="0" applyFont="1" applyBorder="1" applyAlignment="1">
      <alignment horizontal="center" vertical="center"/>
    </xf>
    <xf numFmtId="0" fontId="4" fillId="0" borderId="1" xfId="0" applyFont="1" applyBorder="1" applyAlignment="1">
      <alignment vertical="top"/>
    </xf>
    <xf numFmtId="0" fontId="7" fillId="4" borderId="1" xfId="0" applyFont="1" applyFill="1" applyBorder="1" applyAlignment="1">
      <alignment vertical="top" wrapText="1"/>
    </xf>
    <xf numFmtId="0" fontId="6" fillId="0" borderId="1" xfId="0" applyFont="1" applyBorder="1" applyAlignment="1">
      <alignment vertical="top"/>
    </xf>
    <xf numFmtId="1" fontId="9" fillId="10" borderId="4" xfId="7" applyNumberFormat="1" applyBorder="1" applyAlignment="1">
      <alignment horizontal="center"/>
    </xf>
    <xf numFmtId="0" fontId="7" fillId="4" borderId="4" xfId="0" applyFont="1" applyFill="1" applyBorder="1" applyAlignment="1">
      <alignment horizontal="left"/>
    </xf>
    <xf numFmtId="164" fontId="6" fillId="0" borderId="4" xfId="0" applyNumberFormat="1" applyFont="1" applyBorder="1" applyAlignment="1">
      <alignment horizontal="center" vertical="center"/>
    </xf>
    <xf numFmtId="0" fontId="6" fillId="0" borderId="4" xfId="0" applyFont="1" applyBorder="1" applyAlignment="1">
      <alignment horizontal="center" wrapText="1"/>
    </xf>
    <xf numFmtId="0" fontId="7" fillId="0" borderId="4" xfId="0" applyFont="1" applyBorder="1" applyAlignment="1">
      <alignment horizontal="left" vertical="center"/>
    </xf>
    <xf numFmtId="0" fontId="7" fillId="0" borderId="4" xfId="0" applyFont="1" applyBorder="1" applyAlignment="1">
      <alignment horizontal="left"/>
    </xf>
    <xf numFmtId="14" fontId="6" fillId="0" borderId="4" xfId="0" applyNumberFormat="1" applyFont="1" applyBorder="1" applyAlignment="1">
      <alignment horizontal="center" vertical="center"/>
    </xf>
    <xf numFmtId="0" fontId="4" fillId="0" borderId="1" xfId="0" applyFont="1" applyBorder="1" applyAlignment="1">
      <alignment horizontal="left" vertical="center" wrapText="1"/>
    </xf>
    <xf numFmtId="14" fontId="4" fillId="9" borderId="1" xfId="0" applyNumberFormat="1" applyFont="1" applyFill="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horizontal="left"/>
    </xf>
    <xf numFmtId="14" fontId="4" fillId="0" borderId="1" xfId="0" applyNumberFormat="1" applyFont="1" applyBorder="1" applyAlignment="1">
      <alignment horizontal="left" vertical="top" wrapText="1"/>
    </xf>
    <xf numFmtId="0" fontId="6" fillId="0" borderId="4" xfId="0" applyFont="1" applyBorder="1" applyAlignment="1">
      <alignment horizontal="left"/>
    </xf>
    <xf numFmtId="0" fontId="6" fillId="0" borderId="4" xfId="0" applyFont="1" applyBorder="1" applyAlignment="1">
      <alignment horizontal="left" wrapText="1"/>
    </xf>
    <xf numFmtId="0" fontId="4" fillId="0" borderId="4" xfId="0" applyFont="1" applyBorder="1" applyAlignment="1">
      <alignment horizontal="left" vertical="center"/>
    </xf>
    <xf numFmtId="0" fontId="6" fillId="0" borderId="4" xfId="0" applyFont="1" applyBorder="1" applyAlignment="1">
      <alignment horizontal="left" vertical="center" wrapText="1"/>
    </xf>
    <xf numFmtId="0" fontId="7"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9" borderId="1" xfId="0" applyFont="1" applyFill="1" applyBorder="1" applyAlignment="1">
      <alignment horizontal="left" vertical="top"/>
    </xf>
    <xf numFmtId="0" fontId="4" fillId="9" borderId="1" xfId="0" applyFont="1" applyFill="1" applyBorder="1" applyAlignment="1">
      <alignment horizontal="left" vertical="center"/>
    </xf>
    <xf numFmtId="0" fontId="6" fillId="9" borderId="1" xfId="0" applyFont="1" applyFill="1" applyBorder="1" applyAlignment="1">
      <alignment horizontal="left"/>
    </xf>
    <xf numFmtId="0" fontId="6" fillId="9" borderId="1" xfId="0" applyFont="1" applyFill="1" applyBorder="1" applyAlignment="1">
      <alignment horizontal="center" vertical="center"/>
    </xf>
    <xf numFmtId="14" fontId="4" fillId="9" borderId="1" xfId="0" applyNumberFormat="1" applyFont="1" applyFill="1" applyBorder="1" applyAlignment="1">
      <alignment horizontal="left" vertical="top" wrapText="1"/>
    </xf>
    <xf numFmtId="14" fontId="14" fillId="0" borderId="1" xfId="0" applyNumberFormat="1" applyFont="1" applyBorder="1" applyAlignment="1">
      <alignment horizontal="center" vertical="center"/>
    </xf>
    <xf numFmtId="0" fontId="6" fillId="0" borderId="4" xfId="0" applyFont="1" applyBorder="1" applyAlignment="1">
      <alignment horizontal="left" vertical="center"/>
    </xf>
    <xf numFmtId="164" fontId="4" fillId="0" borderId="4" xfId="0" applyNumberFormat="1" applyFont="1" applyBorder="1" applyAlignment="1">
      <alignment horizontal="center" vertical="center"/>
    </xf>
    <xf numFmtId="14" fontId="4" fillId="9" borderId="4" xfId="0" applyNumberFormat="1" applyFont="1" applyFill="1" applyBorder="1" applyAlignment="1">
      <alignment horizontal="center" vertical="center"/>
    </xf>
    <xf numFmtId="0" fontId="6" fillId="4" borderId="4" xfId="0" applyFont="1" applyFill="1" applyBorder="1" applyAlignment="1">
      <alignment horizontal="left"/>
    </xf>
    <xf numFmtId="49" fontId="4" fillId="0" borderId="1" xfId="0" applyNumberFormat="1" applyFont="1" applyBorder="1" applyAlignment="1">
      <alignment horizontal="left" vertical="center"/>
    </xf>
    <xf numFmtId="0" fontId="6" fillId="0" borderId="1" xfId="0" applyFont="1" applyBorder="1" applyAlignment="1">
      <alignment horizontal="left" vertical="center" wrapText="1"/>
    </xf>
    <xf numFmtId="1" fontId="9" fillId="10" borderId="4" xfId="7" applyNumberFormat="1" applyBorder="1" applyAlignment="1">
      <alignment horizontal="center" vertical="center"/>
    </xf>
    <xf numFmtId="0" fontId="7" fillId="0" borderId="4" xfId="0" applyFont="1" applyBorder="1" applyAlignment="1">
      <alignment horizontal="left" vertical="center" wrapText="1"/>
    </xf>
    <xf numFmtId="1" fontId="9" fillId="10" borderId="2" xfId="7" applyNumberFormat="1" applyBorder="1" applyAlignment="1">
      <alignment horizontal="center"/>
    </xf>
    <xf numFmtId="0" fontId="6" fillId="4" borderId="2" xfId="0" applyFont="1" applyFill="1" applyBorder="1" applyAlignment="1">
      <alignment horizontal="left"/>
    </xf>
    <xf numFmtId="0" fontId="6" fillId="4" borderId="1" xfId="0" applyFont="1" applyFill="1" applyBorder="1" applyAlignment="1">
      <alignment horizontal="left" wrapText="1"/>
    </xf>
    <xf numFmtId="1" fontId="9" fillId="10" borderId="2" xfId="7" applyNumberFormat="1" applyBorder="1" applyAlignment="1">
      <alignment horizontal="center" wrapText="1"/>
    </xf>
    <xf numFmtId="0" fontId="4" fillId="0" borderId="2" xfId="0" applyFont="1" applyBorder="1" applyAlignment="1">
      <alignment horizontal="left"/>
    </xf>
    <xf numFmtId="14" fontId="16" fillId="0" borderId="1" xfId="0" applyNumberFormat="1" applyFont="1" applyBorder="1" applyAlignment="1">
      <alignment horizontal="center" vertical="center"/>
    </xf>
    <xf numFmtId="14" fontId="14" fillId="0" borderId="4" xfId="0" applyNumberFormat="1" applyFont="1" applyBorder="1" applyAlignment="1">
      <alignment horizontal="center" vertical="center"/>
    </xf>
    <xf numFmtId="0" fontId="16" fillId="0" borderId="4" xfId="0" applyFont="1" applyBorder="1" applyAlignment="1">
      <alignment horizontal="left"/>
    </xf>
    <xf numFmtId="0" fontId="14" fillId="0" borderId="4" xfId="0" applyFont="1" applyBorder="1" applyAlignment="1">
      <alignment horizontal="center" vertical="center"/>
    </xf>
    <xf numFmtId="0" fontId="16" fillId="0" borderId="4" xfId="0" applyFont="1" applyBorder="1"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left" vertical="center"/>
    </xf>
    <xf numFmtId="0" fontId="16" fillId="0" borderId="1" xfId="0" applyFont="1" applyBorder="1" applyAlignment="1">
      <alignment horizontal="left"/>
    </xf>
    <xf numFmtId="0" fontId="13" fillId="0" borderId="1" xfId="0" applyFont="1" applyBorder="1" applyAlignment="1">
      <alignment horizontal="left" vertical="center" wrapText="1"/>
    </xf>
    <xf numFmtId="0" fontId="16" fillId="0" borderId="1" xfId="0" applyFont="1" applyBorder="1" applyAlignment="1">
      <alignment horizontal="left" vertical="center" wrapText="1"/>
    </xf>
    <xf numFmtId="1" fontId="9" fillId="10" borderId="7" xfId="7" applyNumberFormat="1" applyBorder="1" applyAlignment="1">
      <alignment horizontal="center"/>
    </xf>
    <xf numFmtId="0" fontId="7" fillId="4" borderId="7" xfId="0" applyFont="1" applyFill="1" applyBorder="1" applyAlignment="1">
      <alignment horizontal="left"/>
    </xf>
    <xf numFmtId="164" fontId="6" fillId="0" borderId="7" xfId="0" applyNumberFormat="1" applyFont="1" applyBorder="1" applyAlignment="1">
      <alignment horizontal="center" vertical="center"/>
    </xf>
    <xf numFmtId="0" fontId="6" fillId="4" borderId="7" xfId="0" applyFont="1" applyFill="1" applyBorder="1" applyAlignment="1">
      <alignment horizontal="left"/>
    </xf>
    <xf numFmtId="14" fontId="14" fillId="0" borderId="7" xfId="0" applyNumberFormat="1" applyFont="1" applyBorder="1" applyAlignment="1">
      <alignment horizontal="center"/>
    </xf>
    <xf numFmtId="0" fontId="7" fillId="4" borderId="7" xfId="0" applyFont="1" applyFill="1" applyBorder="1" applyAlignment="1">
      <alignment horizontal="left" vertical="center" wrapText="1"/>
    </xf>
    <xf numFmtId="0" fontId="9" fillId="10" borderId="4" xfId="7" applyBorder="1" applyAlignment="1">
      <alignment horizontal="center"/>
    </xf>
    <xf numFmtId="0" fontId="7" fillId="4" borderId="4" xfId="0" applyFont="1" applyFill="1" applyBorder="1" applyAlignment="1">
      <alignment horizontal="left" vertical="center" wrapText="1"/>
    </xf>
    <xf numFmtId="0" fontId="9" fillId="10" borderId="7" xfId="7" applyBorder="1" applyAlignment="1">
      <alignment horizontal="center"/>
    </xf>
    <xf numFmtId="14" fontId="6" fillId="0" borderId="4" xfId="0" applyNumberFormat="1" applyFont="1" applyBorder="1" applyAlignment="1">
      <alignment horizontal="center" vertical="center" wrapText="1"/>
    </xf>
    <xf numFmtId="0" fontId="7" fillId="4" borderId="4" xfId="0" applyFont="1" applyFill="1" applyBorder="1" applyAlignment="1">
      <alignment horizontal="center"/>
    </xf>
    <xf numFmtId="14" fontId="7" fillId="4" borderId="4" xfId="0" applyNumberFormat="1" applyFont="1" applyFill="1" applyBorder="1" applyAlignment="1">
      <alignment horizontal="center"/>
    </xf>
    <xf numFmtId="0" fontId="8" fillId="4" borderId="1" xfId="0" applyFont="1" applyFill="1" applyBorder="1" applyAlignment="1">
      <alignment horizontal="left" vertical="center"/>
    </xf>
    <xf numFmtId="0" fontId="16" fillId="0" borderId="1" xfId="0" applyFont="1" applyBorder="1" applyAlignment="1">
      <alignment horizontal="left" vertical="center"/>
    </xf>
    <xf numFmtId="14" fontId="4" fillId="0" borderId="1" xfId="0" applyNumberFormat="1" applyFont="1" applyBorder="1" applyAlignment="1">
      <alignment horizontal="left"/>
    </xf>
    <xf numFmtId="0" fontId="4" fillId="4" borderId="1" xfId="0" applyFont="1" applyFill="1" applyBorder="1" applyAlignment="1">
      <alignment horizontal="left" vertical="center"/>
    </xf>
    <xf numFmtId="14" fontId="4" fillId="0" borderId="1" xfId="0" applyNumberFormat="1" applyFont="1" applyBorder="1" applyAlignment="1">
      <alignment horizontal="left" vertical="center"/>
    </xf>
    <xf numFmtId="0" fontId="8" fillId="4" borderId="7" xfId="0" applyFont="1" applyFill="1" applyBorder="1" applyAlignment="1">
      <alignment horizontal="left" vertical="center"/>
    </xf>
    <xf numFmtId="0" fontId="4" fillId="0" borderId="0" xfId="0" applyFont="1" applyAlignment="1">
      <alignment horizontal="left" vertical="center"/>
    </xf>
    <xf numFmtId="14" fontId="4" fillId="0" borderId="1" xfId="0" applyNumberFormat="1" applyFont="1" applyBorder="1" applyAlignment="1">
      <alignment horizontal="left" vertical="top"/>
    </xf>
    <xf numFmtId="49" fontId="7" fillId="0" borderId="1" xfId="1" applyNumberFormat="1" applyFont="1" applyFill="1">
      <alignment horizontal="left" vertical="center"/>
    </xf>
    <xf numFmtId="49" fontId="7" fillId="0" borderId="4" xfId="1" applyNumberFormat="1" applyFont="1" applyFill="1" applyBorder="1">
      <alignment horizontal="left" vertical="center"/>
    </xf>
    <xf numFmtId="0" fontId="7" fillId="0" borderId="1" xfId="0" applyFont="1" applyBorder="1" applyAlignment="1">
      <alignment horizontal="left" wrapText="1"/>
    </xf>
    <xf numFmtId="0" fontId="4" fillId="4" borderId="2" xfId="0" applyFont="1" applyFill="1" applyBorder="1" applyAlignment="1">
      <alignment horizontal="left" vertical="top" wrapText="1"/>
    </xf>
    <xf numFmtId="0" fontId="6" fillId="0" borderId="2" xfId="0" applyFont="1" applyBorder="1"/>
    <xf numFmtId="0" fontId="6" fillId="0" borderId="4" xfId="0" applyFont="1" applyBorder="1" applyAlignment="1">
      <alignment wrapText="1"/>
    </xf>
    <xf numFmtId="164" fontId="16" fillId="0" borderId="1" xfId="1" applyNumberFormat="1" applyFont="1" applyFill="1" applyAlignment="1">
      <alignment horizontal="center" vertical="center"/>
    </xf>
    <xf numFmtId="0" fontId="4" fillId="4" borderId="2" xfId="0" applyFont="1" applyFill="1" applyBorder="1" applyAlignment="1">
      <alignment horizontal="left" vertical="top"/>
    </xf>
    <xf numFmtId="14" fontId="7" fillId="4" borderId="7" xfId="0" applyNumberFormat="1" applyFont="1" applyFill="1" applyBorder="1" applyAlignment="1">
      <alignment horizontal="center"/>
    </xf>
    <xf numFmtId="49" fontId="7" fillId="0" borderId="1" xfId="1" applyNumberFormat="1" applyFont="1" applyFill="1" applyAlignment="1">
      <alignment vertical="center"/>
    </xf>
    <xf numFmtId="0" fontId="15" fillId="0" borderId="1" xfId="0" applyFont="1" applyBorder="1" applyAlignment="1">
      <alignment horizontal="left"/>
    </xf>
    <xf numFmtId="49" fontId="4" fillId="0" borderId="1" xfId="1" applyNumberFormat="1" applyFont="1" applyFill="1" applyAlignment="1">
      <alignment horizontal="center" vertical="center"/>
    </xf>
    <xf numFmtId="0" fontId="0" fillId="0" borderId="1" xfId="0" applyBorder="1"/>
    <xf numFmtId="0" fontId="16" fillId="4" borderId="1" xfId="0" applyFont="1" applyFill="1" applyBorder="1" applyAlignment="1">
      <alignment horizontal="left" vertical="center" wrapText="1"/>
    </xf>
    <xf numFmtId="0" fontId="14" fillId="0" borderId="1" xfId="0" applyFont="1" applyBorder="1" applyAlignment="1">
      <alignment wrapText="1"/>
    </xf>
    <xf numFmtId="0" fontId="14" fillId="0" borderId="1" xfId="0" applyFont="1" applyBorder="1" applyAlignment="1">
      <alignment horizontal="left" wrapText="1"/>
    </xf>
    <xf numFmtId="0" fontId="16" fillId="0" borderId="1" xfId="0" applyFont="1" applyBorder="1" applyAlignment="1">
      <alignment horizontal="left" wrapText="1"/>
    </xf>
    <xf numFmtId="0" fontId="14" fillId="0" borderId="1" xfId="0" applyFont="1" applyBorder="1" applyAlignment="1">
      <alignment horizontal="center" vertical="center" wrapText="1"/>
    </xf>
    <xf numFmtId="14" fontId="14" fillId="0" borderId="1" xfId="0" applyNumberFormat="1" applyFont="1" applyBorder="1" applyAlignment="1">
      <alignment horizontal="center" vertical="center" wrapText="1"/>
    </xf>
    <xf numFmtId="0" fontId="14" fillId="0" borderId="4" xfId="0" applyFont="1" applyBorder="1" applyAlignment="1">
      <alignment horizontal="left"/>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wrapText="1"/>
    </xf>
    <xf numFmtId="164" fontId="7" fillId="9" borderId="1" xfId="1" applyNumberFormat="1" applyFont="1" applyFill="1" applyAlignment="1">
      <alignment horizontal="center" vertical="center"/>
    </xf>
    <xf numFmtId="0" fontId="7" fillId="4" borderId="7" xfId="0" applyFont="1" applyFill="1" applyBorder="1" applyAlignment="1">
      <alignment horizontal="center"/>
    </xf>
    <xf numFmtId="0" fontId="4" fillId="9" borderId="1" xfId="0" applyFont="1" applyFill="1" applyBorder="1" applyAlignment="1">
      <alignment horizontal="center" vertical="center"/>
    </xf>
    <xf numFmtId="0" fontId="5" fillId="8" borderId="1" xfId="6" applyAlignment="1">
      <alignment horizontal="center" vertical="center" wrapText="1"/>
    </xf>
    <xf numFmtId="0" fontId="10" fillId="14" borderId="1" xfId="0" applyFont="1" applyFill="1" applyBorder="1" applyAlignment="1">
      <alignment horizontal="center" vertical="center" wrapText="1"/>
    </xf>
    <xf numFmtId="14" fontId="3" fillId="14" borderId="1" xfId="0" applyNumberFormat="1" applyFont="1" applyFill="1" applyBorder="1" applyAlignment="1">
      <alignment horizontal="center" vertical="center" wrapText="1"/>
    </xf>
    <xf numFmtId="0" fontId="9" fillId="10" borderId="1" xfId="7" applyBorder="1" applyAlignment="1">
      <alignment horizontal="center" vertical="center" wrapText="1"/>
    </xf>
    <xf numFmtId="14" fontId="9" fillId="10" borderId="1" xfId="7" applyNumberFormat="1" applyBorder="1" applyAlignment="1">
      <alignment horizontal="center" vertical="center" wrapText="1"/>
    </xf>
    <xf numFmtId="0" fontId="7" fillId="0" borderId="6" xfId="0" applyFont="1" applyBorder="1" applyAlignment="1">
      <alignment horizontal="center" vertical="top"/>
    </xf>
    <xf numFmtId="0" fontId="7" fillId="0" borderId="8" xfId="0" applyFont="1" applyBorder="1" applyAlignment="1">
      <alignment horizontal="center" vertical="top"/>
    </xf>
    <xf numFmtId="0" fontId="7" fillId="0" borderId="5" xfId="0" applyFont="1" applyBorder="1" applyAlignment="1">
      <alignment horizontal="center" vertical="top"/>
    </xf>
    <xf numFmtId="0" fontId="7" fillId="0" borderId="3" xfId="0" applyFont="1" applyBorder="1" applyAlignment="1">
      <alignment horizontal="center" vertical="top"/>
    </xf>
    <xf numFmtId="0" fontId="18" fillId="13" borderId="1" xfId="10" applyBorder="1" applyAlignment="1">
      <alignment horizontal="center" vertical="center" wrapText="1"/>
    </xf>
    <xf numFmtId="14" fontId="18" fillId="13" borderId="1" xfId="10" applyNumberFormat="1" applyBorder="1" applyAlignment="1">
      <alignment horizontal="center" vertical="center" wrapText="1"/>
    </xf>
    <xf numFmtId="14" fontId="4" fillId="0" borderId="2" xfId="0" applyNumberFormat="1" applyFont="1" applyBorder="1" applyAlignment="1">
      <alignment horizontal="center" vertical="center" wrapText="1"/>
    </xf>
    <xf numFmtId="14" fontId="4" fillId="4" borderId="2" xfId="0" applyNumberFormat="1" applyFont="1" applyFill="1" applyBorder="1" applyAlignment="1">
      <alignment horizontal="center" vertical="center" wrapText="1"/>
    </xf>
    <xf numFmtId="49" fontId="4" fillId="0" borderId="4" xfId="1" applyNumberFormat="1" applyFont="1" applyFill="1" applyBorder="1">
      <alignment horizontal="left" vertical="center"/>
    </xf>
    <xf numFmtId="0" fontId="6" fillId="0" borderId="4" xfId="0" applyFont="1" applyBorder="1" applyAlignment="1">
      <alignment vertical="top"/>
    </xf>
    <xf numFmtId="0" fontId="14" fillId="0" borderId="4" xfId="0" applyFont="1" applyBorder="1" applyAlignment="1">
      <alignment wrapText="1"/>
    </xf>
    <xf numFmtId="0" fontId="14" fillId="0" borderId="4" xfId="0" applyFont="1" applyBorder="1" applyAlignment="1">
      <alignment horizontal="left" wrapText="1"/>
    </xf>
    <xf numFmtId="0" fontId="16" fillId="0" borderId="4" xfId="0" applyFont="1" applyBorder="1" applyAlignment="1">
      <alignment horizontal="left" wrapText="1"/>
    </xf>
    <xf numFmtId="0" fontId="14" fillId="0" borderId="4" xfId="0" applyFont="1" applyBorder="1" applyAlignment="1">
      <alignment horizontal="center" wrapText="1"/>
    </xf>
    <xf numFmtId="0" fontId="14" fillId="0" borderId="4" xfId="0" applyFont="1" applyBorder="1" applyAlignment="1">
      <alignment horizontal="center" vertical="center" wrapText="1"/>
    </xf>
    <xf numFmtId="14" fontId="14" fillId="0" borderId="4" xfId="0" applyNumberFormat="1" applyFont="1" applyBorder="1" applyAlignment="1">
      <alignment horizontal="center" vertical="center" wrapText="1"/>
    </xf>
    <xf numFmtId="9" fontId="6" fillId="0" borderId="1" xfId="0" applyNumberFormat="1" applyFont="1" applyBorder="1" applyAlignment="1">
      <alignment horizontal="left" vertical="center" wrapText="1"/>
    </xf>
    <xf numFmtId="0" fontId="6" fillId="0" borderId="2" xfId="0" applyFont="1" applyBorder="1" applyAlignment="1">
      <alignment horizontal="left" vertical="center"/>
    </xf>
    <xf numFmtId="0" fontId="7" fillId="4" borderId="2" xfId="0" applyFont="1" applyFill="1" applyBorder="1" applyAlignment="1">
      <alignment horizontal="left"/>
    </xf>
    <xf numFmtId="0" fontId="7" fillId="0" borderId="2" xfId="0" applyFont="1" applyBorder="1" applyAlignment="1">
      <alignment horizontal="left" vertical="center"/>
    </xf>
    <xf numFmtId="0" fontId="6" fillId="0" borderId="2" xfId="0" applyFont="1" applyBorder="1" applyAlignment="1">
      <alignment horizontal="left"/>
    </xf>
    <xf numFmtId="0" fontId="7" fillId="0" borderId="2" xfId="0" applyFont="1" applyBorder="1" applyAlignment="1">
      <alignment horizontal="left"/>
    </xf>
    <xf numFmtId="0" fontId="4" fillId="0" borderId="2" xfId="0" applyFont="1" applyBorder="1" applyAlignment="1">
      <alignment vertical="top"/>
    </xf>
    <xf numFmtId="0" fontId="0" fillId="10" borderId="5" xfId="7" applyFont="1" applyBorder="1" applyAlignment="1">
      <alignment horizontal="center" wrapText="1"/>
    </xf>
    <xf numFmtId="1" fontId="0" fillId="10" borderId="5" xfId="7" applyNumberFormat="1" applyFont="1" applyBorder="1" applyAlignment="1">
      <alignment horizontal="center"/>
    </xf>
    <xf numFmtId="0" fontId="0" fillId="10" borderId="5" xfId="7" applyFont="1" applyBorder="1" applyAlignment="1">
      <alignment horizontal="center"/>
    </xf>
    <xf numFmtId="1" fontId="0" fillId="10" borderId="5" xfId="7" applyNumberFormat="1" applyFont="1" applyBorder="1" applyAlignment="1">
      <alignment horizontal="center" wrapText="1"/>
    </xf>
    <xf numFmtId="1" fontId="0" fillId="10" borderId="8" xfId="7" applyNumberFormat="1" applyFont="1" applyBorder="1" applyAlignment="1">
      <alignment horizontal="center"/>
    </xf>
    <xf numFmtId="1" fontId="0" fillId="10" borderId="5" xfId="7" applyNumberFormat="1" applyFont="1" applyBorder="1" applyAlignment="1">
      <alignment horizontal="center" vertical="top"/>
    </xf>
    <xf numFmtId="0" fontId="0" fillId="10" borderId="5" xfId="7" applyFont="1" applyBorder="1" applyAlignment="1">
      <alignment horizontal="center" vertical="top"/>
    </xf>
    <xf numFmtId="1" fontId="0" fillId="10" borderId="8" xfId="7" applyNumberFormat="1" applyFont="1" applyBorder="1" applyAlignment="1">
      <alignment horizontal="center" wrapText="1"/>
    </xf>
    <xf numFmtId="1" fontId="0" fillId="10" borderId="5" xfId="7" applyNumberFormat="1" applyFont="1" applyBorder="1" applyAlignment="1">
      <alignment horizontal="center" vertical="center"/>
    </xf>
    <xf numFmtId="1" fontId="0" fillId="10" borderId="6" xfId="7" applyNumberFormat="1" applyFont="1" applyBorder="1" applyAlignment="1">
      <alignment horizontal="center"/>
    </xf>
    <xf numFmtId="0" fontId="0" fillId="10" borderId="5" xfId="7" applyFont="1" applyBorder="1" applyAlignment="1">
      <alignment horizontal="center" vertical="center"/>
    </xf>
    <xf numFmtId="1" fontId="0" fillId="10" borderId="5" xfId="7" applyNumberFormat="1" applyFont="1" applyBorder="1" applyAlignment="1">
      <alignment horizontal="center" vertical="center" wrapText="1"/>
    </xf>
    <xf numFmtId="1" fontId="0" fillId="10" borderId="3" xfId="7" applyNumberFormat="1" applyFont="1" applyBorder="1" applyAlignment="1">
      <alignment horizontal="center" vertical="center"/>
    </xf>
    <xf numFmtId="0" fontId="0" fillId="10" borderId="6" xfId="7" applyFont="1" applyBorder="1" applyAlignment="1">
      <alignment horizontal="center"/>
    </xf>
    <xf numFmtId="0" fontId="0" fillId="10" borderId="3" xfId="7" applyFont="1" applyBorder="1" applyAlignment="1">
      <alignment horizontal="center"/>
    </xf>
    <xf numFmtId="1" fontId="0" fillId="10" borderId="3" xfId="7" applyNumberFormat="1" applyFont="1" applyBorder="1" applyAlignment="1">
      <alignment horizontal="center"/>
    </xf>
    <xf numFmtId="0" fontId="6" fillId="0" borderId="9" xfId="0" applyFont="1" applyBorder="1" applyAlignment="1">
      <alignment horizontal="left" vertical="top"/>
    </xf>
    <xf numFmtId="0" fontId="4" fillId="0" borderId="9" xfId="0" applyFont="1" applyBorder="1" applyAlignment="1">
      <alignment horizontal="left" vertical="top"/>
    </xf>
    <xf numFmtId="0" fontId="7" fillId="0" borderId="9" xfId="0" applyFont="1" applyBorder="1" applyAlignment="1">
      <alignment horizontal="left" vertical="top"/>
    </xf>
    <xf numFmtId="0" fontId="6" fillId="4" borderId="9" xfId="0" applyFont="1" applyFill="1" applyBorder="1" applyAlignment="1">
      <alignment horizontal="left" vertical="top"/>
    </xf>
    <xf numFmtId="0" fontId="4" fillId="0" borderId="10" xfId="0" applyFont="1" applyBorder="1" applyAlignment="1">
      <alignment horizontal="left" vertical="top"/>
    </xf>
    <xf numFmtId="0" fontId="4" fillId="4" borderId="9" xfId="0" applyFont="1" applyFill="1" applyBorder="1" applyAlignment="1">
      <alignment horizontal="left" vertical="top"/>
    </xf>
    <xf numFmtId="0" fontId="4" fillId="0" borderId="9" xfId="0" applyFont="1" applyBorder="1" applyAlignment="1">
      <alignment horizontal="center" vertical="center"/>
    </xf>
    <xf numFmtId="0" fontId="6" fillId="0" borderId="9" xfId="0" applyFont="1" applyBorder="1" applyAlignment="1">
      <alignment horizontal="center"/>
    </xf>
    <xf numFmtId="0" fontId="7" fillId="0" borderId="9" xfId="0" applyFont="1" applyBorder="1"/>
    <xf numFmtId="0" fontId="6" fillId="0" borderId="9" xfId="0" applyFont="1" applyBorder="1" applyAlignment="1">
      <alignment horizontal="center" vertical="center"/>
    </xf>
    <xf numFmtId="0" fontId="4" fillId="0" borderId="11" xfId="0" applyFont="1" applyBorder="1" applyAlignment="1">
      <alignment horizontal="center" vertical="center"/>
    </xf>
    <xf numFmtId="0" fontId="6" fillId="0" borderId="9" xfId="0" applyFont="1" applyBorder="1" applyAlignment="1">
      <alignment horizontal="left"/>
    </xf>
    <xf numFmtId="0" fontId="7" fillId="0" borderId="9" xfId="0" applyFont="1" applyBorder="1" applyAlignment="1">
      <alignment horizontal="left"/>
    </xf>
    <xf numFmtId="0" fontId="4" fillId="0" borderId="9" xfId="0" applyFont="1" applyBorder="1" applyAlignment="1">
      <alignment horizontal="left" vertical="center"/>
    </xf>
    <xf numFmtId="0" fontId="7" fillId="4" borderId="9" xfId="0" applyFont="1" applyFill="1" applyBorder="1" applyAlignment="1">
      <alignment horizontal="left"/>
    </xf>
    <xf numFmtId="0" fontId="6" fillId="0" borderId="9" xfId="0" applyFont="1" applyBorder="1" applyAlignment="1">
      <alignment horizontal="left" vertical="center"/>
    </xf>
    <xf numFmtId="0" fontId="4" fillId="0" borderId="12" xfId="0" applyFont="1" applyBorder="1" applyAlignment="1">
      <alignment horizontal="left" vertical="center"/>
    </xf>
    <xf numFmtId="0" fontId="7" fillId="4" borderId="11" xfId="0" applyFont="1" applyFill="1" applyBorder="1" applyAlignment="1">
      <alignment horizontal="left"/>
    </xf>
    <xf numFmtId="0" fontId="7" fillId="4" borderId="12" xfId="0" applyFont="1" applyFill="1" applyBorder="1" applyAlignment="1">
      <alignment horizontal="left"/>
    </xf>
    <xf numFmtId="0" fontId="7" fillId="0" borderId="9" xfId="0" applyFont="1" applyBorder="1" applyAlignment="1">
      <alignment horizontal="center"/>
    </xf>
    <xf numFmtId="0" fontId="4" fillId="0" borderId="12" xfId="0" applyFont="1" applyBorder="1" applyAlignment="1">
      <alignment horizontal="center" vertical="center"/>
    </xf>
    <xf numFmtId="0" fontId="6" fillId="0" borderId="12" xfId="0" applyFont="1" applyBorder="1" applyAlignment="1">
      <alignment horizontal="left"/>
    </xf>
    <xf numFmtId="0" fontId="3" fillId="16" borderId="3" xfId="0" applyFont="1" applyFill="1" applyBorder="1" applyAlignment="1">
      <alignment horizontal="center" vertical="center" wrapText="1"/>
    </xf>
    <xf numFmtId="14" fontId="3" fillId="15" borderId="4" xfId="0" applyNumberFormat="1" applyFont="1" applyFill="1" applyBorder="1" applyAlignment="1">
      <alignment horizontal="center" vertical="center" wrapText="1"/>
    </xf>
    <xf numFmtId="0" fontId="3" fillId="15" borderId="4" xfId="0" applyFont="1" applyFill="1" applyBorder="1" applyAlignment="1">
      <alignment horizontal="center" vertical="center" wrapText="1"/>
    </xf>
    <xf numFmtId="0" fontId="3" fillId="2" borderId="4" xfId="0" applyFont="1" applyFill="1" applyBorder="1" applyAlignment="1">
      <alignment horizontal="center" vertical="center"/>
    </xf>
    <xf numFmtId="0" fontId="5" fillId="8" borderId="4" xfId="6" applyBorder="1" applyAlignment="1">
      <alignment horizontal="center" vertical="center" wrapText="1"/>
    </xf>
    <xf numFmtId="0" fontId="3" fillId="2" borderId="4" xfId="0" applyFont="1" applyFill="1" applyBorder="1" applyAlignment="1">
      <alignment horizontal="center" vertical="center" wrapText="1"/>
    </xf>
    <xf numFmtId="14" fontId="3" fillId="14" borderId="4" xfId="0" applyNumberFormat="1"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0" fontId="5" fillId="15" borderId="4" xfId="6" applyFill="1" applyBorder="1" applyAlignment="1">
      <alignment horizontal="center" vertical="center" wrapText="1"/>
    </xf>
    <xf numFmtId="164" fontId="3" fillId="15" borderId="4" xfId="0" applyNumberFormat="1" applyFont="1" applyFill="1" applyBorder="1" applyAlignment="1">
      <alignment horizontal="center" vertical="center" wrapText="1"/>
    </xf>
    <xf numFmtId="0" fontId="10" fillId="14" borderId="4" xfId="0" applyFont="1" applyFill="1" applyBorder="1" applyAlignment="1">
      <alignment horizontal="center" vertical="center" wrapText="1"/>
    </xf>
    <xf numFmtId="0" fontId="9" fillId="10" borderId="4" xfId="7" applyBorder="1" applyAlignment="1">
      <alignment horizontal="center" vertical="center" wrapText="1"/>
    </xf>
    <xf numFmtId="0" fontId="10" fillId="11" borderId="4" xfId="0" applyFont="1" applyFill="1" applyBorder="1" applyAlignment="1">
      <alignment horizontal="center" vertical="center" wrapText="1"/>
    </xf>
    <xf numFmtId="0" fontId="18" fillId="13" borderId="4" xfId="10" applyBorder="1" applyAlignment="1">
      <alignment horizontal="center" vertical="center" wrapText="1"/>
    </xf>
    <xf numFmtId="0" fontId="3" fillId="2" borderId="12" xfId="0" applyFont="1" applyFill="1" applyBorder="1" applyAlignment="1">
      <alignment horizontal="center" vertical="center" wrapText="1"/>
    </xf>
    <xf numFmtId="1" fontId="0" fillId="10" borderId="8" xfId="7" applyNumberFormat="1" applyFont="1" applyBorder="1" applyAlignment="1">
      <alignment horizontal="center" vertical="center"/>
    </xf>
    <xf numFmtId="0" fontId="14" fillId="0" borderId="2" xfId="0" applyFont="1" applyBorder="1" applyAlignment="1">
      <alignment horizontal="center" wrapText="1"/>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0" fontId="16" fillId="0" borderId="2" xfId="0" applyFont="1" applyBorder="1" applyAlignment="1">
      <alignment horizontal="center" vertical="center"/>
    </xf>
    <xf numFmtId="0" fontId="14" fillId="0" borderId="2" xfId="0" applyFont="1" applyBorder="1" applyAlignment="1">
      <alignment wrapText="1"/>
    </xf>
    <xf numFmtId="9" fontId="6" fillId="0" borderId="2" xfId="0" applyNumberFormat="1" applyFont="1" applyBorder="1" applyAlignment="1">
      <alignment horizontal="center" vertical="center"/>
    </xf>
    <xf numFmtId="0" fontId="7" fillId="0" borderId="2" xfId="0" applyFont="1" applyBorder="1" applyAlignment="1">
      <alignment horizontal="center" vertical="top"/>
    </xf>
    <xf numFmtId="0" fontId="14" fillId="0" borderId="2" xfId="0" applyFont="1" applyBorder="1" applyAlignment="1">
      <alignment horizontal="left"/>
    </xf>
    <xf numFmtId="0" fontId="6" fillId="0" borderId="10" xfId="0" applyFont="1" applyBorder="1" applyAlignment="1">
      <alignment horizontal="left"/>
    </xf>
    <xf numFmtId="0" fontId="6" fillId="0" borderId="5" xfId="0" applyFont="1" applyBorder="1" applyAlignment="1">
      <alignment horizontal="left" wrapText="1"/>
    </xf>
    <xf numFmtId="0" fontId="6" fillId="0" borderId="9" xfId="0" applyFont="1" applyBorder="1" applyAlignment="1">
      <alignment horizontal="left" wrapText="1"/>
    </xf>
    <xf numFmtId="0" fontId="4" fillId="0" borderId="9" xfId="0" applyFont="1" applyBorder="1" applyAlignment="1">
      <alignment horizontal="left" wrapText="1"/>
    </xf>
    <xf numFmtId="0" fontId="6" fillId="0" borderId="9" xfId="0" applyFont="1" applyBorder="1"/>
    <xf numFmtId="0" fontId="4" fillId="4" borderId="9" xfId="0" applyFont="1" applyFill="1" applyBorder="1" applyAlignment="1">
      <alignment horizontal="left" vertical="top" wrapText="1"/>
    </xf>
    <xf numFmtId="0" fontId="6" fillId="0" borderId="9" xfId="0" applyFont="1" applyBorder="1" applyAlignment="1">
      <alignment wrapText="1"/>
    </xf>
    <xf numFmtId="0" fontId="6" fillId="0" borderId="10" xfId="0" applyFont="1" applyBorder="1" applyAlignment="1">
      <alignment horizontal="left" vertical="center"/>
    </xf>
    <xf numFmtId="0" fontId="7" fillId="4" borderId="10" xfId="0" applyFont="1" applyFill="1" applyBorder="1" applyAlignment="1">
      <alignment horizontal="left"/>
    </xf>
    <xf numFmtId="0" fontId="6" fillId="4" borderId="9" xfId="0" applyFont="1" applyFill="1" applyBorder="1" applyAlignment="1">
      <alignment horizontal="left"/>
    </xf>
    <xf numFmtId="0" fontId="7" fillId="4" borderId="9" xfId="0" applyFont="1" applyFill="1" applyBorder="1" applyAlignment="1">
      <alignment horizontal="left"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6" fillId="0" borderId="8" xfId="0" applyFont="1" applyBorder="1" applyAlignment="1">
      <alignment horizontal="left" wrapText="1"/>
    </xf>
    <xf numFmtId="0" fontId="14" fillId="0" borderId="2" xfId="0" applyFont="1" applyBorder="1" applyAlignment="1">
      <alignment horizontal="left" vertical="center"/>
    </xf>
    <xf numFmtId="0" fontId="16" fillId="0" borderId="2" xfId="0" applyFont="1" applyBorder="1" applyAlignment="1">
      <alignment horizontal="left" vertical="center"/>
    </xf>
    <xf numFmtId="0" fontId="4" fillId="0" borderId="2" xfId="0" applyFont="1" applyBorder="1" applyAlignment="1">
      <alignment horizontal="left" vertical="center"/>
    </xf>
    <xf numFmtId="0" fontId="14" fillId="0" borderId="10" xfId="0" applyFont="1" applyBorder="1" applyAlignment="1">
      <alignment horizontal="left" vertical="center"/>
    </xf>
    <xf numFmtId="0" fontId="6" fillId="0" borderId="5" xfId="0" applyFont="1" applyBorder="1" applyAlignment="1">
      <alignment horizontal="left"/>
    </xf>
    <xf numFmtId="0" fontId="4" fillId="0" borderId="9" xfId="0" applyFont="1" applyBorder="1" applyAlignment="1">
      <alignment horizontal="left"/>
    </xf>
    <xf numFmtId="0" fontId="7" fillId="0" borderId="9" xfId="0" applyFont="1" applyBorder="1" applyAlignment="1">
      <alignment horizontal="left" vertical="center"/>
    </xf>
    <xf numFmtId="0" fontId="6" fillId="4" borderId="10" xfId="0" applyFont="1" applyFill="1" applyBorder="1" applyAlignment="1">
      <alignment horizontal="left"/>
    </xf>
    <xf numFmtId="0" fontId="7" fillId="0" borderId="10" xfId="0" applyFont="1" applyBorder="1" applyAlignment="1">
      <alignment horizontal="left"/>
    </xf>
    <xf numFmtId="0" fontId="3" fillId="2" borderId="3" xfId="0" applyFont="1" applyFill="1" applyBorder="1" applyAlignment="1">
      <alignment horizontal="center" vertical="center"/>
    </xf>
    <xf numFmtId="0" fontId="3" fillId="2" borderId="12" xfId="0" applyFont="1" applyFill="1" applyBorder="1" applyAlignment="1">
      <alignment horizontal="center" vertical="center"/>
    </xf>
    <xf numFmtId="0" fontId="6" fillId="0" borderId="8" xfId="0" applyFont="1" applyBorder="1" applyAlignment="1">
      <alignment horizontal="left"/>
    </xf>
    <xf numFmtId="0" fontId="4" fillId="0" borderId="10" xfId="0" applyFont="1" applyBorder="1" applyAlignment="1">
      <alignment horizontal="left" vertical="center"/>
    </xf>
    <xf numFmtId="0" fontId="6" fillId="0" borderId="9" xfId="0" applyFont="1" applyBorder="1" applyAlignment="1">
      <alignment horizontal="left" vertical="center" wrapText="1"/>
    </xf>
    <xf numFmtId="0" fontId="4" fillId="0" borderId="5" xfId="0" applyFont="1" applyBorder="1" applyAlignment="1">
      <alignment vertical="top"/>
    </xf>
    <xf numFmtId="0" fontId="4" fillId="0" borderId="9" xfId="0" applyFont="1" applyBorder="1" applyAlignment="1">
      <alignment vertical="top" wrapText="1"/>
    </xf>
    <xf numFmtId="0" fontId="4" fillId="0" borderId="9" xfId="0" applyFont="1" applyBorder="1" applyAlignment="1">
      <alignment horizontal="left" vertical="top" wrapText="1"/>
    </xf>
    <xf numFmtId="9" fontId="6" fillId="0" borderId="9" xfId="0" applyNumberFormat="1" applyFont="1" applyBorder="1" applyAlignment="1">
      <alignment horizontal="left" vertical="center"/>
    </xf>
    <xf numFmtId="9" fontId="6" fillId="0" borderId="10" xfId="0" applyNumberFormat="1" applyFont="1" applyBorder="1" applyAlignment="1">
      <alignment horizontal="left" vertical="center"/>
    </xf>
    <xf numFmtId="0" fontId="15" fillId="0" borderId="9" xfId="0" applyFont="1" applyBorder="1" applyAlignment="1">
      <alignment horizontal="left"/>
    </xf>
    <xf numFmtId="0" fontId="0" fillId="0" borderId="9" xfId="0" applyBorder="1" applyAlignment="1">
      <alignment horizontal="left"/>
    </xf>
    <xf numFmtId="0" fontId="7" fillId="0" borderId="11" xfId="0" applyFont="1" applyBorder="1" applyAlignment="1">
      <alignment horizontal="left" vertical="center"/>
    </xf>
    <xf numFmtId="0" fontId="0" fillId="0" borderId="9" xfId="0" applyBorder="1"/>
    <xf numFmtId="9" fontId="6" fillId="0" borderId="9" xfId="0" applyNumberFormat="1" applyFont="1" applyBorder="1" applyAlignment="1">
      <alignment horizontal="left" vertical="center" wrapText="1"/>
    </xf>
    <xf numFmtId="9" fontId="6" fillId="0" borderId="12" xfId="0" applyNumberFormat="1" applyFont="1" applyBorder="1" applyAlignment="1">
      <alignment horizontal="left" vertical="center"/>
    </xf>
    <xf numFmtId="9" fontId="6" fillId="0" borderId="11" xfId="0" applyNumberFormat="1" applyFont="1" applyBorder="1" applyAlignment="1">
      <alignment horizontal="left" vertical="center"/>
    </xf>
    <xf numFmtId="9" fontId="14" fillId="0" borderId="9" xfId="0" applyNumberFormat="1" applyFont="1" applyBorder="1" applyAlignment="1">
      <alignment horizontal="left" vertical="center"/>
    </xf>
    <xf numFmtId="0" fontId="19" fillId="11" borderId="3" xfId="0" applyFont="1" applyFill="1" applyBorder="1" applyAlignment="1">
      <alignment horizontal="center" vertical="center"/>
    </xf>
    <xf numFmtId="0" fontId="10" fillId="11" borderId="4" xfId="0" applyFont="1" applyFill="1" applyBorder="1" applyAlignment="1">
      <alignment horizontal="center" vertical="center"/>
    </xf>
    <xf numFmtId="0" fontId="11" fillId="12" borderId="12" xfId="0" applyFont="1" applyFill="1" applyBorder="1" applyAlignment="1">
      <alignment horizontal="center" vertical="center" wrapText="1"/>
    </xf>
    <xf numFmtId="0" fontId="4" fillId="0" borderId="8" xfId="0" applyFont="1" applyBorder="1" applyAlignment="1">
      <alignment vertical="top"/>
    </xf>
    <xf numFmtId="14" fontId="20" fillId="15" borderId="4" xfId="10" applyNumberFormat="1" applyFont="1" applyFill="1" applyBorder="1" applyAlignment="1">
      <alignment horizontal="center" vertical="center" wrapText="1"/>
    </xf>
    <xf numFmtId="14" fontId="20" fillId="15" borderId="4" xfId="7" applyNumberFormat="1" applyFont="1" applyFill="1" applyBorder="1" applyAlignment="1">
      <alignment horizontal="center" vertical="center" wrapText="1"/>
    </xf>
    <xf numFmtId="14" fontId="6" fillId="0" borderId="1" xfId="0" applyNumberFormat="1" applyFont="1" applyBorder="1" applyAlignment="1">
      <alignment horizontal="left"/>
    </xf>
    <xf numFmtId="14" fontId="7" fillId="0" borderId="4" xfId="0" applyNumberFormat="1" applyFont="1" applyBorder="1" applyAlignment="1">
      <alignment horizontal="center" vertical="center"/>
    </xf>
    <xf numFmtId="164" fontId="7" fillId="0" borderId="7" xfId="0" applyNumberFormat="1" applyFont="1" applyBorder="1" applyAlignment="1">
      <alignment horizontal="center" vertical="center"/>
    </xf>
    <xf numFmtId="164" fontId="7" fillId="0" borderId="4" xfId="0" applyNumberFormat="1" applyFont="1" applyBorder="1" applyAlignment="1">
      <alignment horizontal="center"/>
    </xf>
    <xf numFmtId="0" fontId="6" fillId="0" borderId="7" xfId="0" applyFont="1" applyBorder="1" applyAlignment="1">
      <alignment horizontal="center" vertical="center" wrapText="1"/>
    </xf>
    <xf numFmtId="0" fontId="6" fillId="0" borderId="7" xfId="0" applyFont="1" applyBorder="1" applyAlignment="1">
      <alignment horizontal="center" wrapText="1"/>
    </xf>
    <xf numFmtId="14" fontId="7" fillId="4" borderId="4" xfId="0" applyNumberFormat="1" applyFont="1" applyFill="1" applyBorder="1" applyAlignment="1">
      <alignment horizontal="center" vertical="center"/>
    </xf>
    <xf numFmtId="14" fontId="6" fillId="0" borderId="7" xfId="0" applyNumberFormat="1" applyFont="1" applyBorder="1" applyAlignment="1">
      <alignment horizontal="center" wrapText="1"/>
    </xf>
    <xf numFmtId="14" fontId="7" fillId="4" borderId="7" xfId="0" applyNumberFormat="1" applyFont="1" applyFill="1" applyBorder="1" applyAlignment="1">
      <alignment horizontal="center" vertical="center"/>
    </xf>
    <xf numFmtId="14" fontId="6" fillId="0" borderId="7" xfId="0" applyNumberFormat="1" applyFont="1" applyBorder="1" applyAlignment="1">
      <alignment horizontal="center" vertical="center" wrapText="1"/>
    </xf>
    <xf numFmtId="0" fontId="4" fillId="17" borderId="15" xfId="0" applyFont="1" applyFill="1" applyBorder="1" applyAlignment="1">
      <alignment vertical="top" wrapText="1"/>
    </xf>
    <xf numFmtId="0" fontId="4" fillId="0" borderId="16" xfId="0" applyFont="1" applyBorder="1" applyAlignment="1">
      <alignment horizontal="left" vertical="top"/>
    </xf>
    <xf numFmtId="0" fontId="4" fillId="17" borderId="16" xfId="0" applyFont="1" applyFill="1" applyBorder="1" applyAlignment="1">
      <alignment horizontal="left" vertical="top"/>
    </xf>
    <xf numFmtId="14" fontId="21" fillId="10" borderId="1" xfId="7" applyNumberFormat="1" applyFont="1" applyBorder="1" applyAlignment="1">
      <alignment horizontal="center" vertical="center" wrapText="1"/>
    </xf>
    <xf numFmtId="14" fontId="6" fillId="17" borderId="1" xfId="0" applyNumberFormat="1" applyFont="1" applyFill="1" applyBorder="1" applyAlignment="1">
      <alignment horizontal="center" wrapText="1"/>
    </xf>
    <xf numFmtId="14" fontId="6" fillId="17" borderId="1" xfId="0" applyNumberFormat="1" applyFont="1" applyFill="1" applyBorder="1" applyAlignment="1">
      <alignment horizontal="center"/>
    </xf>
    <xf numFmtId="14" fontId="7" fillId="17" borderId="1" xfId="0" applyNumberFormat="1" applyFont="1" applyFill="1" applyBorder="1" applyAlignment="1">
      <alignment horizontal="center"/>
    </xf>
    <xf numFmtId="14" fontId="4" fillId="17" borderId="1" xfId="0" applyNumberFormat="1" applyFont="1" applyFill="1" applyBorder="1" applyAlignment="1">
      <alignment horizontal="center"/>
    </xf>
    <xf numFmtId="14" fontId="6" fillId="17" borderId="1" xfId="0" applyNumberFormat="1" applyFont="1" applyFill="1" applyBorder="1" applyAlignment="1">
      <alignment horizontal="center" vertical="center"/>
    </xf>
    <xf numFmtId="14" fontId="4" fillId="0" borderId="14" xfId="0" applyNumberFormat="1" applyFont="1" applyBorder="1" applyAlignment="1">
      <alignment horizontal="center"/>
    </xf>
    <xf numFmtId="14" fontId="4" fillId="0" borderId="14" xfId="0" applyNumberFormat="1" applyFont="1" applyBorder="1" applyAlignment="1">
      <alignment horizontal="center" vertical="center" wrapText="1"/>
    </xf>
    <xf numFmtId="14" fontId="6" fillId="17" borderId="1" xfId="0" applyNumberFormat="1" applyFont="1" applyFill="1" applyBorder="1" applyAlignment="1">
      <alignment horizontal="center" vertical="center" wrapText="1"/>
    </xf>
    <xf numFmtId="14" fontId="4" fillId="17" borderId="1" xfId="0" applyNumberFormat="1" applyFont="1" applyFill="1" applyBorder="1" applyAlignment="1">
      <alignment horizontal="center" vertical="center"/>
    </xf>
    <xf numFmtId="14" fontId="6" fillId="17" borderId="17" xfId="0" applyNumberFormat="1" applyFont="1" applyFill="1" applyBorder="1" applyAlignment="1">
      <alignment horizontal="center"/>
    </xf>
    <xf numFmtId="14" fontId="6" fillId="0" borderId="17" xfId="0" applyNumberFormat="1" applyFont="1" applyBorder="1" applyAlignment="1">
      <alignment horizontal="center"/>
    </xf>
    <xf numFmtId="164" fontId="6" fillId="17" borderId="1" xfId="0" applyNumberFormat="1" applyFont="1" applyFill="1" applyBorder="1" applyAlignment="1">
      <alignment horizontal="center" vertical="center"/>
    </xf>
    <xf numFmtId="164" fontId="6" fillId="17" borderId="13" xfId="0" applyNumberFormat="1" applyFont="1" applyFill="1" applyBorder="1" applyAlignment="1">
      <alignment horizontal="center" vertical="center"/>
    </xf>
    <xf numFmtId="164" fontId="6" fillId="0" borderId="17" xfId="0" applyNumberFormat="1" applyFont="1" applyBorder="1" applyAlignment="1">
      <alignment horizontal="center" vertical="center"/>
    </xf>
    <xf numFmtId="164" fontId="6" fillId="17" borderId="17" xfId="0" applyNumberFormat="1" applyFont="1" applyFill="1" applyBorder="1" applyAlignment="1">
      <alignment horizontal="center" vertical="center"/>
    </xf>
    <xf numFmtId="164" fontId="6" fillId="0" borderId="13" xfId="0" applyNumberFormat="1" applyFont="1" applyBorder="1" applyAlignment="1">
      <alignment horizontal="center" vertical="center"/>
    </xf>
    <xf numFmtId="164" fontId="4" fillId="17" borderId="1" xfId="0" applyNumberFormat="1" applyFont="1" applyFill="1" applyBorder="1" applyAlignment="1">
      <alignment horizontal="center"/>
    </xf>
    <xf numFmtId="14" fontId="7" fillId="17" borderId="1" xfId="0" applyNumberFormat="1" applyFont="1" applyFill="1" applyBorder="1" applyAlignment="1">
      <alignment horizontal="center" vertical="center"/>
    </xf>
    <xf numFmtId="164" fontId="4" fillId="17" borderId="1" xfId="0" applyNumberFormat="1" applyFont="1" applyFill="1" applyBorder="1" applyAlignment="1">
      <alignment horizontal="center" vertical="center"/>
    </xf>
    <xf numFmtId="14" fontId="6" fillId="0" borderId="13" xfId="0" applyNumberFormat="1" applyFont="1" applyBorder="1" applyAlignment="1">
      <alignment horizontal="center" vertical="center"/>
    </xf>
    <xf numFmtId="14" fontId="6" fillId="17" borderId="13" xfId="0" applyNumberFormat="1" applyFont="1" applyFill="1" applyBorder="1" applyAlignment="1">
      <alignment horizontal="center" vertical="center" wrapText="1"/>
    </xf>
    <xf numFmtId="14" fontId="6" fillId="0" borderId="2" xfId="0" applyNumberFormat="1" applyFont="1" applyBorder="1" applyAlignment="1">
      <alignment horizontal="center" vertical="center" wrapText="1"/>
    </xf>
    <xf numFmtId="14" fontId="4" fillId="0" borderId="0" xfId="0" applyNumberFormat="1" applyFont="1" applyAlignment="1">
      <alignment horizontal="left" vertical="top" wrapText="1"/>
    </xf>
    <xf numFmtId="14" fontId="6" fillId="0" borderId="2" xfId="0" applyNumberFormat="1" applyFont="1" applyBorder="1" applyAlignment="1">
      <alignment horizontal="left"/>
    </xf>
    <xf numFmtId="0" fontId="4" fillId="0" borderId="18" xfId="0" applyFont="1" applyBorder="1" applyAlignment="1">
      <alignment horizontal="left" vertical="top"/>
    </xf>
    <xf numFmtId="1" fontId="0" fillId="0" borderId="0" xfId="7" applyNumberFormat="1" applyFont="1" applyFill="1" applyBorder="1" applyAlignment="1">
      <alignment horizontal="center" vertical="center"/>
    </xf>
    <xf numFmtId="0" fontId="22" fillId="0" borderId="0" xfId="0" applyFont="1" applyAlignment="1">
      <alignment horizontal="center" wrapText="1"/>
    </xf>
    <xf numFmtId="0" fontId="6" fillId="0" borderId="0" xfId="0" applyFont="1" applyAlignment="1">
      <alignment horizontal="left"/>
    </xf>
    <xf numFmtId="0" fontId="22" fillId="0" borderId="0" xfId="0" applyFont="1" applyAlignment="1">
      <alignment horizontal="center" vertical="center" wrapText="1"/>
    </xf>
    <xf numFmtId="0" fontId="23" fillId="0" borderId="0" xfId="0" applyFont="1" applyAlignment="1">
      <alignment horizontal="center" vertical="center"/>
    </xf>
    <xf numFmtId="0" fontId="22" fillId="0" borderId="0" xfId="0" applyFont="1" applyAlignment="1">
      <alignment horizontal="center" vertical="center"/>
    </xf>
    <xf numFmtId="0" fontId="22" fillId="0" borderId="0" xfId="0" applyFont="1" applyAlignment="1">
      <alignment wrapText="1"/>
    </xf>
    <xf numFmtId="9" fontId="6" fillId="0" borderId="0" xfId="0" applyNumberFormat="1" applyFont="1" applyAlignment="1">
      <alignment horizontal="center" vertical="center"/>
    </xf>
    <xf numFmtId="1" fontId="6"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top"/>
    </xf>
    <xf numFmtId="0" fontId="22" fillId="0" borderId="0" xfId="0" applyFont="1" applyAlignment="1">
      <alignment horizontal="left"/>
    </xf>
    <xf numFmtId="14" fontId="6" fillId="0" borderId="0" xfId="0" applyNumberFormat="1" applyFont="1" applyAlignment="1">
      <alignment horizontal="left"/>
    </xf>
  </cellXfs>
  <cellStyles count="11">
    <cellStyle name="background-color:DodgerBlue; color:White; font:font-family:Arial; font-size:10pt; fon" xfId="3" xr:uid="{60EB025A-BB99-4C73-AC37-E940EAFB68E3}"/>
    <cellStyle name="background-color:ForestGreen; color:White; font:font-family:Arial; font-size:10pt; fon" xfId="4" xr:uid="{F8E7448C-15F7-47D3-9291-7BD12FDE65E8}"/>
    <cellStyle name="background-color:SeaGreen; color:White; font:font-family:Arial; font-size:10pt; fon" xfId="5" xr:uid="{FABB0FBA-E4A4-4CFE-8B92-EDD3B45DAC28}"/>
    <cellStyle name="background-color:White; color:Black; font:font-family:Arial; font-size:10pt; fon" xfId="1" xr:uid="{E4966691-872F-4628-B461-01708408F6DD}"/>
    <cellStyle name="background-color:YellowGreen; color:White; font:font-family:Arial; font-size:10pt; fon" xfId="6" xr:uid="{11C7F264-86ED-4274-BCA8-0F0A390BFEBB}"/>
    <cellStyle name="Bueno" xfId="7" builtinId="26"/>
    <cellStyle name="Excel Built-in Normal" xfId="8" xr:uid="{9FAD8D56-D427-4240-A191-BB889C7ADCBA}"/>
    <cellStyle name="Moneda" xfId="9" builtinId="4"/>
    <cellStyle name="Neutral" xfId="10" builtinId="28"/>
    <cellStyle name="Normal" xfId="0" builtinId="0"/>
    <cellStyle name="Normal 2" xfId="2" xr:uid="{F336CD39-DE35-4279-9915-2681BFC864AE}"/>
  </cellStyles>
  <dxfs count="1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bottom style="thin">
          <color indexed="64"/>
        </bottom>
      </border>
    </dxf>
    <dxf>
      <font>
        <b val="0"/>
        <i val="0"/>
        <strike val="0"/>
        <condense val="0"/>
        <extend val="0"/>
        <outline val="0"/>
        <shadow val="0"/>
        <u val="none"/>
        <vertAlign val="baseline"/>
        <sz val="11"/>
        <color theme="0"/>
        <name val="Aptos Narrow"/>
        <family val="2"/>
        <scheme val="minor"/>
      </font>
      <numFmt numFmtId="19" formatCode="d/mm/yyyy"/>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numFmt numFmtId="13" formatCode="0%"/>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none"/>
      </font>
      <fill>
        <patternFill patternType="solid">
          <fgColor indexed="64"/>
          <bgColor theme="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numFmt numFmtId="19" formatCode="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mm/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9" formatCode="d/mm/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0"/>
        <name val="Calibri"/>
        <family val="2"/>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grupocoomeva.sharepoint.com/aimv3831/Documents/Matriz%20de%20Registro%20Diario/Macro%20Ingresos%20Octubr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upocoomeva.sharepoint.com/aimv3831/Documents/Matriz%20de%20Registro%20Diario/Macro%20Ingresos%20Enero.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upocoomeva.sharepoint.com/aimv3831/Documents/Matriz%20de%20Registro%20Diario/Macro%20Ingresos%20Mayo%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M.Ingresos"/>
      <sheetName val="MRD"/>
      <sheetName val="Ocult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M.Ingresos"/>
      <sheetName val="MRD"/>
      <sheetName val="Oculta"/>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M.Ingresos"/>
      <sheetName val="MRD"/>
      <sheetName val="Oculta"/>
    </sheetNames>
    <sheetDataSet>
      <sheetData sheetId="0"/>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 id="{4FE38809-BB4D-4A49-8A90-619DB5787293}"/>
  <namedSheetView name="08/03/2023" id="{937D1520-7F49-4E6A-86A5-1AD5AC5BB9F2}"/>
  <namedSheetView name="18/04/2023" id="{46BF1A0F-AF77-409C-AAC7-0A6BE4D03B2C}"/>
  <namedSheetView name="Ver1" id="{165A9A77-60B5-4DE0-BAE6-E82F60D37A5A}"/>
  <namedSheetView name="Ver2" id="{0AF7680C-9742-49FD-9066-EBD73A16736C}"/>
  <namedSheetView name="Vista 1" id="{36998A77-6656-45F5-9BE8-D1DAD444C6F1}"/>
  <namedSheetView name="Vista 2" id="{C6CC3084-B671-4190-968D-6D5C63859E18}"/>
  <namedSheetView name="Vista 3" id="{2885BB21-216A-4E73-804E-61B38950FFEF}"/>
  <namedSheetView name="Vista 4" id="{DFB34450-48A3-4CD3-A7F2-07CAE6F7B306}"/>
  <namedSheetView name="Vista 5" id="{C03620A1-B482-4238-BA65-A687EFC9C9F0}"/>
  <namedSheetView name="Vista 6" id="{824F59EB-3C6D-488A-87A2-57BC0BBA2F3C}"/>
  <namedSheetView name="Vista 7" id="{D7A2D7FB-F606-4110-AE32-5FFBEB806D5A}"/>
  <namedSheetView name="Vista 8" id="{2D91675B-9EB3-4E21-8631-DF15D2E7CBC7}"/>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 id="{1F8C2285-701D-405D-965B-523993D83F2A}"/>
  <namedSheetView name="08/03/2023" id="{846AA4A8-7543-4856-8995-F8B555212077}"/>
  <namedSheetView name="18/04/2023" id="{6154B876-5BBB-445A-A783-0B515DF0BF52}"/>
  <namedSheetView name="Ver1" id="{34137A09-EBC6-4DFE-A7DC-E79E7BA22E3D}"/>
  <namedSheetView name="Ver2" id="{FA722CB1-1D89-4468-8834-A99B84004486}"/>
  <namedSheetView name="Vista 1" id="{C0A10BCF-C577-4372-BC52-C2C8E099795C}"/>
  <namedSheetView name="Vista 2" id="{7DE424DD-967F-40CB-B11E-C740BB0509D7}"/>
  <namedSheetView name="Vista 3" id="{FC5C8692-0336-43D5-9F56-EA2378442865}"/>
  <namedSheetView name="Vista 4" id="{59941319-5FF3-4BEC-8B2F-34A0A1CD656E}"/>
  <namedSheetView name="Vista 5" id="{B8E8A9BA-E118-4747-8E34-1332CEA347CB}"/>
  <namedSheetView name="Vista 6" id="{8BB171D8-405D-4DC5-9B83-DC41DD441A11}"/>
  <namedSheetView name="Vista 7" id="{36355416-90CD-4219-AA93-21B72354823C}"/>
  <namedSheetView name="Vista 8" id="{887F29F2-84E0-4344-8A6B-51D108B50F6B}"/>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D4FE4-C5E5-410E-B734-822F81B0B2ED}" name="Requis" displayName="Requis" ref="A1:AW1048576" totalsRowShown="0" headerRowDxfId="109" dataDxfId="107" headerRowBorderDxfId="108" tableBorderDxfId="106">
  <autoFilter ref="A1:AW1048576" xr:uid="{A54D4FE4-C5E5-410E-B734-822F81B0B2ED}"/>
  <tableColumns count="48">
    <tableColumn id="1" xr3:uid="{81F3A472-BB17-48CB-B51A-C9FA43FABC39}" name="Número Requisicion" dataDxfId="105" dataCellStyle="Bueno"/>
    <tableColumn id="2" xr3:uid="{F9AF55E9-2F24-41F4-8B96-E41240ECC40C}" name="Fecha Recepción" dataDxfId="104" dataCellStyle="Bueno"/>
    <tableColumn id="6" xr3:uid="{22EB2AD6-00E5-4B37-8EB3-FF980CD752A5}" name="Fecha de aprobación Requisición"/>
    <tableColumn id="4" xr3:uid="{DC153D08-3FA1-4C67-B90E-5E3A9E7C5333}" name="# Personas Solicitadas" dataDxfId="103"/>
    <tableColumn id="5" xr3:uid="{FBA24AAF-C6AA-4199-B6B2-5B8852EF58C9}" name="Estado Requisición" dataDxfId="102"/>
    <tableColumn id="9" xr3:uid="{F8E3D5C2-A754-40F9-A8D0-F0525445BF31}" name="Fecha Afinamiento Perfil" dataDxfId="101"/>
    <tableColumn id="7" xr3:uid="{7E4422AD-C269-47C3-AE11-619FB5CFD64E}" name="# hojas de vida presentadas al cliente" dataDxfId="100"/>
    <tableColumn id="8" xr3:uid="{5B967573-79A6-4A1C-B9A5-518296C1DFF4}" name="¿Pertenece a la Primera Terna?" dataDxfId="99"/>
    <tableColumn id="12" xr3:uid="{C17AEA31-FAED-4505-83B8-DEE33F7C3032}" name="Fecha entrega hoja de vida al cliente" dataDxfId="98"/>
    <tableColumn id="10" xr3:uid="{FC0B04DE-0761-4487-BFF6-B58627FF4F9E}" name="Fecha de aprobación de HV por el cliente" dataDxfId="97"/>
    <tableColumn id="11" xr3:uid="{F1FE6067-F9EC-4BED-A772-7F80B3FFF63B}" name="Número de hojas de vida aprobadas por el cliente" dataDxfId="96"/>
    <tableColumn id="17" xr3:uid="{BDCD4081-8E32-443E-BA84-6385C723EDCF}" name="Fecha de envio del perfil" dataDxfId="95"/>
    <tableColumn id="22" xr3:uid="{196B0510-5EBF-490D-88AC-E26FDDE657BE}" name="Fecha Publicación de Concurso" dataDxfId="94"/>
    <tableColumn id="18" xr3:uid="{DDA3FF69-637B-440E-A691-9EC25C7F99A0}" name="Fecha entrega matriz de inscritos" dataDxfId="93"/>
    <tableColumn id="15" xr3:uid="{4B79D942-38F7-47C1-B520-F9AE1CD3D341}" name="Fecha Notificación quienes continúan a prueba técnica" dataDxfId="92"/>
    <tableColumn id="16" xr3:uid="{0AD36D8F-226B-4773-8821-37C3967EEF4A}" name="Fecha aplicación Prueba técnica" dataDxfId="91"/>
    <tableColumn id="14" xr3:uid="{27D1F42B-7484-4421-8B84-224ECB5D5A4E}" name="Fecha envío prueba técnica al cliente" dataDxfId="90"/>
    <tableColumn id="13" xr3:uid="{1BE0F16A-587D-419F-A82C-045069DCE3F5}" name="Fecha Notificación quienes continúan a proceso de selección" dataDxfId="89"/>
    <tableColumn id="19" xr3:uid="{62C9A3C8-2B5B-46CB-83F7-37DEBB538D78}" name="Número de personas evaluadas" dataDxfId="88"/>
    <tableColumn id="20" xr3:uid="{B78C3E8D-7352-4554-BC05-1F51A4F249EF}" name="Número de informes entregados" dataDxfId="87"/>
    <tableColumn id="21" xr3:uid="{1AC3A5D7-6916-48AE-876A-E1B94596CC65}" name="Número de referencias" dataDxfId="86"/>
    <tableColumn id="25" xr3:uid="{5CFEB419-1165-429B-8A15-70EFB274CD44}" name="Fecha de entrega de informe al cliente" dataDxfId="85"/>
    <tableColumn id="24" xr3:uid="{BC741F93-EDA4-40E4-8323-FD7F2865F900}" name="Fecha de notificación del cliente persona seleccionada" dataDxfId="84"/>
    <tableColumn id="26" xr3:uid="{1BF879A4-E922-4F43-8F39-68E6CCB511EE}" name="Fecha de solicitud contratacion" dataDxfId="83"/>
    <tableColumn id="23" xr3:uid="{EA2DE596-EC59-4214-8C08-89530EF710DE}" name="Fecha Firma Contrato o Cierre de requisición" dataDxfId="82"/>
    <tableColumn id="3" xr3:uid="{C1C8E37C-E1B8-4A64-ACC0-F745975C2814}" name="Fecha de Ingreso" dataDxfId="81"/>
    <tableColumn id="27" xr3:uid="{AAF3B051-A603-4D9D-9D61-DC0A8470D777}" name="Mes" dataDxfId="80"/>
    <tableColumn id="28" xr3:uid="{735E652B-E4D8-4064-A284-181A6A880FAD}" name="Candidato(s) contratado(s):" dataDxfId="79"/>
    <tableColumn id="29" xr3:uid="{154BED68-5974-4464-85DF-6BF0E3D7B416}" name="Observacion" dataDxfId="78"/>
    <tableColumn id="30" xr3:uid="{2559B74F-31E2-4403-B360-4E708E328889}" name="Efectividad reclutamiento" dataDxfId="77">
      <calculatedColumnFormula>IFERROR(K2/G2,"N/A")</calculatedColumnFormula>
    </tableColumn>
    <tableColumn id="31" xr3:uid="{8B2BDCC1-C2C6-403F-B32B-E5A9C07A0314}" name="Oportunidad en el proceso de reclutamiento" dataDxfId="76">
      <calculatedColumnFormula>IFERROR(NETWORKDAYS(#REF!,#REF!,Hoja1!$A$1:$A$29),"N/A")</calculatedColumnFormula>
    </tableColumn>
    <tableColumn id="32" xr3:uid="{8790FFC8-2E93-42CA-AC11-D05D64C03BD8}" name="Oportunidad en proceso de Selección" dataDxfId="75">
      <calculatedColumnFormula>IFERROR(NETWORKDAYS(#REF!,#REF!,Hoja1!$A$1:$A$29),"N/A")</calculatedColumnFormula>
    </tableColumn>
    <tableColumn id="33" xr3:uid="{6F3621CF-60B9-4589-973C-75CBFD272C3B}" name="Dias a Descontar Selección" dataDxfId="74"/>
    <tableColumn id="34" xr3:uid="{496F626A-00C7-46E1-BC8F-2BDB63E4C67A}" name="Oportunidad Selección" dataDxfId="73">
      <calculatedColumnFormula>AF2-AG2</calculatedColumnFormula>
    </tableColumn>
    <tableColumn id="35" xr3:uid="{3D252451-AA24-4259-875B-9F4BC81D0B15}" name="Oportunidad en proceso de Contratación" dataDxfId="72">
      <calculatedColumnFormula>IFERROR(NETWORKDAYS(#REF!,#REF!,Hoja1!$A$1:$A$32),"N/A")</calculatedColumnFormula>
    </tableColumn>
    <tableColumn id="36" xr3:uid="{C49E2977-7A5A-4522-9163-782637DFA8D0}" name="Dias a Descontar Contratación" dataDxfId="71"/>
    <tableColumn id="37" xr3:uid="{197F63C9-DBE1-4F0B-ABE8-BD73283157AF}" name="Oportunidad Contratacion" dataDxfId="70"/>
    <tableColumn id="38" xr3:uid="{E652F771-6335-422F-8715-378DDD1A63A0}" name="Tiempo Total Proceso" dataDxfId="69">
      <calculatedColumnFormula>NETWORKDAYS(#REF!,#REF!,Hoja1!$A$1:$A$32)</calculatedColumnFormula>
    </tableColumn>
    <tableColumn id="39" xr3:uid="{CE0625F5-1FA3-4CA0-ADA3-4B13A5C6DAF6}" name="Oportunidad SyC" dataDxfId="68">
      <calculatedColumnFormula>AL2-AG2-AJ2</calculatedColumnFormula>
    </tableColumn>
    <tableColumn id="40" xr3:uid="{71EA7552-9DDE-488B-9723-7F4D83647C30}" name="Candidato 1" dataDxfId="67"/>
    <tableColumn id="41" xr3:uid="{2E53EFEE-9964-4F3D-A5D3-1C9D635CAE2D}" name="Candidato 2" dataDxfId="66"/>
    <tableColumn id="42" xr3:uid="{C1E265E9-6400-4CC1-BD4D-00A4C20B0F34}" name="Candidato 3" dataDxfId="65"/>
    <tableColumn id="43" xr3:uid="{6D63F4AF-C441-436C-8E3F-484F6958DA33}" name="Candidato 4" dataDxfId="64"/>
    <tableColumn id="44" xr3:uid="{0E949904-0303-42FE-B233-14339F39B8C6}" name="Candidato 5" dataDxfId="63"/>
    <tableColumn id="45" xr3:uid="{3732EF9C-06E7-40EA-8973-35B66DFA1928}" name="FK_Empresa" dataDxfId="62"/>
    <tableColumn id="47" xr3:uid="{15BEC85C-BD00-467A-AC69-362B10B9BBFC}" name="FK_Psicologo" dataDxfId="61"/>
    <tableColumn id="48" xr3:uid="{860519B3-C692-4564-9E81-EBEF26CF6B5A}" name="FK_Fuente" dataDxfId="60"/>
    <tableColumn id="50" xr3:uid="{ED80880C-0B72-4F1D-AD73-25DBC0951D39}" name="FK_Calendario" dataDxfId="5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CC7506-21DC-43E2-9790-CF63D034C2D4}" name="Dim_Empresa" displayName="Dim_Empresa" ref="A1:E107" totalsRowShown="0" headerRowDxfId="58" headerRowBorderDxfId="57" tableBorderDxfId="56" totalsRowBorderDxfId="55">
  <autoFilter ref="A1:E107" xr:uid="{751C73E7-F602-49ED-8882-D30827231201}"/>
  <tableColumns count="5">
    <tableColumn id="1" xr3:uid="{B4858ECD-434C-473A-AA1B-540E0FC9B228}" name="PK_Empresa" dataDxfId="54">
      <calculatedColumnFormula>+B2&amp;C2&amp;D2&amp;E2</calculatedColumnFormula>
    </tableColumn>
    <tableColumn id="2" xr3:uid="{B3E99761-8720-40B2-83EA-F2A027C4B53F}" name="Empresa"/>
    <tableColumn id="3" xr3:uid="{A55B56D1-0203-4558-9963-DD66E0D2E313}" name="Regional"/>
    <tableColumn id="4" xr3:uid="{8C5C70D9-B65B-49AC-A5D6-172D9C1E5CD3}" name="Ciudad"/>
    <tableColumn id="5" xr3:uid="{E810DED4-AF93-4D09-B496-0C880C7D21F7}" name="Unidad"/>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0829DF-A4FA-4557-BD6A-DD54F1B5A9F4}" name="Dim_Cargo" displayName="Dim_Cargo" ref="A1:D218" totalsRowShown="0" headerRowDxfId="53" headerRowBorderDxfId="52" tableBorderDxfId="51" totalsRowBorderDxfId="50">
  <autoFilter ref="A1:D218" xr:uid="{ADDA59A6-1E90-48B9-A3A0-3415356428D5}"/>
  <tableColumns count="4">
    <tableColumn id="1" xr3:uid="{2E476890-E670-43DB-8DD3-F7942899AA18}" name="PK_Cargo" dataDxfId="49">
      <calculatedColumnFormula>+B2&amp;C2&amp;D2</calculatedColumnFormula>
    </tableColumn>
    <tableColumn id="2" xr3:uid="{BC9395D5-C103-49B8-9378-0B5F70534893}" name="Cargo Solicitado"/>
    <tableColumn id="3" xr3:uid="{6B28D43F-E035-4A8A-9DEE-40F0CF70282C}" name="Tipo Cargo Solicitado" dataDxfId="48"/>
    <tableColumn id="4" xr3:uid="{6F97603E-AFBD-422C-8BBE-F85B4EE3D0BF}" name="Tipo Servicio" dataDxfId="4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F413E2-620E-4359-BCEE-70D25D4643D8}" name="Dim_Psicologo" displayName="Dim_Psicologo" ref="A1:B15" totalsRowShown="0" headerRowDxfId="46" headerRowBorderDxfId="45" tableBorderDxfId="44" totalsRowBorderDxfId="43">
  <autoFilter ref="A1:B15" xr:uid="{FFF413E2-620E-4359-BCEE-70D25D4643D8}"/>
  <tableColumns count="2">
    <tableColumn id="1" xr3:uid="{07A3DAF1-F479-4D3F-995D-8AD63FEBF1E3}" name="PK_Psicologo" dataDxfId="42">
      <calculatedColumnFormula>+MID(B2,1,10)</calculatedColumnFormula>
    </tableColumn>
    <tableColumn id="2" xr3:uid="{B100A2F2-E104-494D-BBA8-4AA66A3E0665}" name="Psicologo Responsable" dataDxfId="4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87D158-16B8-4435-AF5D-6E4C988C0FFC}" name="Dim_Fuente" displayName="Dim_Fuente" ref="A1:C363" totalsRowShown="0" headerRowBorderDxfId="40" tableBorderDxfId="39">
  <autoFilter ref="A1:C363" xr:uid="{4C39681E-4A02-43AE-9B00-B90254720416}"/>
  <tableColumns count="3">
    <tableColumn id="1" xr3:uid="{1507429D-D087-4DF5-A8CB-CB4F928B5929}" name="PK_Fuente" dataDxfId="38">
      <calculatedColumnFormula>+B2&amp;C2</calculatedColumnFormula>
    </tableColumn>
    <tableColumn id="2" xr3:uid="{26C6ACE4-41ED-462E-8795-D631FA083A0B}" name="Fuente de Reclutamiento" dataDxfId="37"/>
    <tableColumn id="3" xr3:uid="{FAFC0711-BF90-4899-A600-61EE0DFCCF1F}" name="Ultima empresa donde trabajó" dataDxfId="3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3DB0A6-96B8-4AEE-B046-AE5616A5C9AD}" name="Dim_Calendario" displayName="Dim_Calendario" ref="A1:S641" totalsRowShown="0" headerRowDxfId="35" headerRowBorderDxfId="34" headerRowCellStyle="Neutral">
  <autoFilter ref="A1:S641" xr:uid="{C81FD4F4-DA92-485F-9380-B4A0D64117CF}"/>
  <tableColumns count="19">
    <tableColumn id="1" xr3:uid="{B9E6A284-5741-42A0-B350-2FBE787C61FB}" name="PK_Calendario"/>
    <tableColumn id="2" xr3:uid="{E78E4D3C-FE27-403F-A8AA-DD3CCBFC4CE6}" name="Fecha Recepción"/>
    <tableColumn id="3" xr3:uid="{5D6889D2-B29F-4DCB-A8F0-915FA683B0FC}" name="Fecha de aprobación Requisición"/>
    <tableColumn id="4" xr3:uid="{8813D067-763B-43C6-99CD-95DF4257B4F9}" name="Fecha Afinamiento Perfil"/>
    <tableColumn id="5" xr3:uid="{479A5611-A34E-4C45-A15A-60334184BCE7}" name="Fecha entrega hoja de vida al cliente"/>
    <tableColumn id="6" xr3:uid="{5A9A6A3A-D86B-4E1C-ADC6-9A586C00CE18}" name="Fecha de aprobación de HV por el cliente"/>
    <tableColumn id="7" xr3:uid="{BACA2E4A-5212-41E0-A72B-268C711FFBA7}" name="Fecha de envio del perfil"/>
    <tableColumn id="8" xr3:uid="{094C6520-88BB-4638-9869-C3C81AE9B6E7}" name="Fecha Publicación de Concurso"/>
    <tableColumn id="9" xr3:uid="{62C8F7BC-989B-49AA-A0FB-4D5EAECE3722}" name="Fecha entrega matriz de inscritos"/>
    <tableColumn id="10" xr3:uid="{7D6BD16A-9A31-4926-B059-3F79E8D0EE22}" name="Fecha Notificación quienes continúan a prueba técnica"/>
    <tableColumn id="11" xr3:uid="{D2ABC4AD-3B87-4B66-B4B6-F65F2CD63501}" name="Fecha aplicación Prueba técnica"/>
    <tableColumn id="12" xr3:uid="{0A490EFC-5DD5-414E-8CEF-6CCCC94924DD}" name="Fecha envío prueba técnica al cliente"/>
    <tableColumn id="13" xr3:uid="{5EA128B2-2B3A-4B7C-8954-ECFBC3C84984}" name="Fecha Notificación quienes continúan a proceso de selección"/>
    <tableColumn id="14" xr3:uid="{822D93DA-E94E-48C2-8F51-9B3AC74D0928}" name="Fecha de entrega de informe al cliente"/>
    <tableColumn id="15" xr3:uid="{2D3DBCBD-8A62-416A-B965-79FA81895069}" name="Fecha de notificación del cliente persona seleccionada"/>
    <tableColumn id="16" xr3:uid="{4562FFC2-1B6E-4AF6-94F6-B355AC95CA16}" name="Fecha de solicitud contratacion"/>
    <tableColumn id="17" xr3:uid="{CCD1265E-260D-4A15-8A42-D2AEFEC36713}" name="Fecha Firma Contrato o Cierre de requisición"/>
    <tableColumn id="18" xr3:uid="{158953F5-BFB5-48AA-8F63-DA0808553A32}" name="Fecha de Ingreso"/>
    <tableColumn id="19" xr3:uid="{1D48C41B-E3F9-48FF-A3FC-170B6F5A1C0C}" name="Mes"/>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3DE48-7845-4973-863D-6243C0D520AF}">
  <dimension ref="A1:BB642"/>
  <sheetViews>
    <sheetView showGridLines="0" topLeftCell="AK1" zoomScale="70" zoomScaleNormal="70" workbookViewId="0">
      <selection activeCell="AU2" sqref="AU2"/>
    </sheetView>
  </sheetViews>
  <sheetFormatPr baseColWidth="10" defaultColWidth="9.140625" defaultRowHeight="15" customHeight="1" x14ac:dyDescent="0.25"/>
  <cols>
    <col min="1" max="1" width="14.140625" style="7" customWidth="1"/>
    <col min="2" max="2" width="28.140625" style="9" customWidth="1"/>
    <col min="3" max="3" width="24.85546875" style="9" customWidth="1"/>
    <col min="4" max="4" width="13.28515625" customWidth="1"/>
    <col min="5" max="5" width="13.28515625" style="6" customWidth="1"/>
    <col min="6" max="6" width="13.42578125" style="9" customWidth="1"/>
    <col min="7" max="7" width="24.85546875" style="238" bestFit="1" customWidth="1"/>
    <col min="8" max="8" width="33.140625" style="238" customWidth="1"/>
    <col min="9" max="9" width="41" style="9" customWidth="1"/>
    <col min="10" max="10" width="28.5703125" style="9" customWidth="1"/>
    <col min="11" max="11" width="29.28515625" style="9" customWidth="1"/>
    <col min="12" max="12" width="13.85546875" style="8" customWidth="1"/>
    <col min="13" max="13" width="33.7109375" style="9" customWidth="1"/>
    <col min="14" max="14" width="13.85546875" style="8" customWidth="1"/>
    <col min="15" max="16" width="13" style="8" customWidth="1"/>
    <col min="17" max="17" width="13" style="6" customWidth="1"/>
    <col min="18" max="18" width="13.28515625" style="6" customWidth="1"/>
    <col min="19" max="19" width="14.7109375" style="8" customWidth="1"/>
    <col min="20" max="20" width="13" style="8" customWidth="1"/>
    <col min="21" max="25" width="13" style="10" customWidth="1"/>
    <col min="26" max="26" width="14.7109375" style="10" customWidth="1"/>
    <col min="27" max="29" width="12.7109375" style="8" customWidth="1"/>
    <col min="30" max="30" width="12.5703125" style="8" customWidth="1"/>
    <col min="31" max="34" width="12.7109375" style="6" customWidth="1"/>
    <col min="35" max="35" width="11.28515625" style="6" customWidth="1"/>
    <col min="36" max="36" width="36.5703125" style="439" bestFit="1" customWidth="1"/>
    <col min="37" max="37" width="64.42578125" style="4" customWidth="1"/>
    <col min="38" max="38" width="15" style="8" customWidth="1"/>
    <col min="39" max="39" width="14.7109375" style="8" customWidth="1"/>
    <col min="40" max="40" width="15" style="8" customWidth="1"/>
    <col min="41" max="45" width="16.7109375" style="8" customWidth="1"/>
    <col min="46" max="47" width="16.85546875" style="9" customWidth="1"/>
    <col min="48" max="48" width="25.5703125" style="9" customWidth="1"/>
    <col min="49" max="49" width="31" style="9" customWidth="1"/>
    <col min="50" max="50" width="21.5703125" style="8" customWidth="1"/>
    <col min="51" max="54" width="20.7109375" style="8" customWidth="1"/>
    <col min="55" max="16221" width="9.140625" style="9"/>
    <col min="16222" max="16222" width="10.85546875" style="9" bestFit="1" customWidth="1"/>
    <col min="16223" max="16384" width="9.140625" style="9"/>
  </cols>
  <sheetData>
    <row r="1" spans="1:54" ht="30" customHeight="1" x14ac:dyDescent="0.25">
      <c r="A1" s="11" t="s">
        <v>0</v>
      </c>
      <c r="B1" s="12" t="s">
        <v>1</v>
      </c>
      <c r="C1" s="12" t="s">
        <v>2</v>
      </c>
      <c r="D1" s="416" t="s">
        <v>3</v>
      </c>
      <c r="E1" s="13" t="s">
        <v>4</v>
      </c>
      <c r="F1" s="11" t="s">
        <v>5</v>
      </c>
      <c r="G1" s="11" t="s">
        <v>6</v>
      </c>
      <c r="H1" s="11" t="s">
        <v>7</v>
      </c>
      <c r="I1" s="11" t="s">
        <v>8</v>
      </c>
      <c r="J1" s="11" t="s">
        <v>9</v>
      </c>
      <c r="K1" s="11" t="s">
        <v>10</v>
      </c>
      <c r="L1" s="11" t="s">
        <v>11</v>
      </c>
      <c r="M1" s="260" t="s">
        <v>12</v>
      </c>
      <c r="N1" s="11" t="s">
        <v>13</v>
      </c>
      <c r="O1" s="265" t="s">
        <v>14</v>
      </c>
      <c r="P1" s="11" t="s">
        <v>15</v>
      </c>
      <c r="Q1" s="267" t="s">
        <v>16</v>
      </c>
      <c r="R1" s="13" t="s">
        <v>17</v>
      </c>
      <c r="S1" s="265" t="s">
        <v>18</v>
      </c>
      <c r="T1" s="11" t="s">
        <v>19</v>
      </c>
      <c r="U1" s="261" t="s">
        <v>20</v>
      </c>
      <c r="V1" s="261" t="s">
        <v>21</v>
      </c>
      <c r="W1" s="261" t="s">
        <v>22</v>
      </c>
      <c r="X1" s="261" t="s">
        <v>23</v>
      </c>
      <c r="Y1" s="261" t="s">
        <v>24</v>
      </c>
      <c r="Z1" s="261" t="s">
        <v>25</v>
      </c>
      <c r="AA1" s="11" t="s">
        <v>26</v>
      </c>
      <c r="AB1" s="11" t="s">
        <v>27</v>
      </c>
      <c r="AC1" s="11" t="s">
        <v>28</v>
      </c>
      <c r="AD1" s="11" t="s">
        <v>29</v>
      </c>
      <c r="AE1" s="269" t="s">
        <v>30</v>
      </c>
      <c r="AF1" s="275" t="s">
        <v>31</v>
      </c>
      <c r="AG1" s="275" t="s">
        <v>32</v>
      </c>
      <c r="AH1" s="13" t="s">
        <v>33</v>
      </c>
      <c r="AI1" s="13" t="s">
        <v>34</v>
      </c>
      <c r="AJ1" s="13" t="s">
        <v>35</v>
      </c>
      <c r="AK1" s="11" t="s">
        <v>36</v>
      </c>
      <c r="AL1" s="265" t="s">
        <v>37</v>
      </c>
      <c r="AM1" s="266" t="s">
        <v>38</v>
      </c>
      <c r="AN1" s="268" t="s">
        <v>39</v>
      </c>
      <c r="AO1" s="61" t="s">
        <v>40</v>
      </c>
      <c r="AP1" s="61" t="s">
        <v>41</v>
      </c>
      <c r="AQ1" s="274" t="s">
        <v>42</v>
      </c>
      <c r="AR1" s="61" t="s">
        <v>43</v>
      </c>
      <c r="AS1" s="61" t="s">
        <v>44</v>
      </c>
      <c r="AT1" s="61" t="s">
        <v>45</v>
      </c>
      <c r="AU1" s="61" t="s">
        <v>46</v>
      </c>
      <c r="AV1" s="61" t="s">
        <v>47</v>
      </c>
      <c r="AW1" s="62" t="s">
        <v>48</v>
      </c>
      <c r="AX1" s="11" t="s">
        <v>440</v>
      </c>
      <c r="AY1" s="11" t="s">
        <v>441</v>
      </c>
      <c r="AZ1" s="11" t="s">
        <v>442</v>
      </c>
      <c r="BA1" s="11" t="s">
        <v>443</v>
      </c>
      <c r="BB1" s="11" t="s">
        <v>444</v>
      </c>
    </row>
    <row r="2" spans="1:54" s="4" customFormat="1" x14ac:dyDescent="0.25">
      <c r="A2" s="56">
        <v>14104</v>
      </c>
      <c r="B2" s="48" t="s">
        <v>49</v>
      </c>
      <c r="C2" s="48" t="s">
        <v>49</v>
      </c>
      <c r="D2" s="417">
        <v>45909</v>
      </c>
      <c r="E2" s="37">
        <v>45797</v>
      </c>
      <c r="F2" s="48" t="s">
        <v>879</v>
      </c>
      <c r="G2" s="48" t="s">
        <v>50</v>
      </c>
      <c r="H2" s="48" t="s">
        <v>51</v>
      </c>
      <c r="I2" s="48" t="s">
        <v>1406</v>
      </c>
      <c r="J2" s="48" t="s">
        <v>52</v>
      </c>
      <c r="K2" s="48" t="s">
        <v>53</v>
      </c>
      <c r="L2" s="18">
        <v>1</v>
      </c>
      <c r="M2" s="22" t="s">
        <v>54</v>
      </c>
      <c r="N2" s="18" t="s">
        <v>55</v>
      </c>
      <c r="O2" s="18">
        <v>18</v>
      </c>
      <c r="P2" s="36" t="s">
        <v>56</v>
      </c>
      <c r="Q2" s="37">
        <v>46027</v>
      </c>
      <c r="R2" s="37">
        <v>46027</v>
      </c>
      <c r="S2" s="18">
        <v>15</v>
      </c>
      <c r="T2" s="18" t="s">
        <v>55</v>
      </c>
      <c r="U2" s="18" t="s">
        <v>55</v>
      </c>
      <c r="V2" s="18" t="s">
        <v>55</v>
      </c>
      <c r="W2" s="18" t="s">
        <v>55</v>
      </c>
      <c r="X2" s="18" t="s">
        <v>55</v>
      </c>
      <c r="Y2" s="18" t="s">
        <v>55</v>
      </c>
      <c r="Z2" s="18" t="s">
        <v>55</v>
      </c>
      <c r="AA2" s="18">
        <v>5</v>
      </c>
      <c r="AB2" s="18">
        <v>5</v>
      </c>
      <c r="AC2" s="18">
        <v>0</v>
      </c>
      <c r="AD2" s="38">
        <v>46031</v>
      </c>
      <c r="AE2" s="38">
        <v>46037</v>
      </c>
      <c r="AF2" s="38">
        <v>46037</v>
      </c>
      <c r="AG2" s="38">
        <v>46048</v>
      </c>
      <c r="AH2" s="38">
        <v>46048</v>
      </c>
      <c r="AI2" s="3">
        <f t="shared" ref="AI2:AI33" si="0">MONTH(AH2)</f>
        <v>1</v>
      </c>
      <c r="AJ2" s="35" t="s">
        <v>57</v>
      </c>
      <c r="AK2" s="45" t="s">
        <v>58</v>
      </c>
      <c r="AL2" s="19">
        <f>IFERROR(S2/O2,"N/A")</f>
        <v>0.83333333333333337</v>
      </c>
      <c r="AM2" s="67">
        <f>IFERROR(NETWORKDAYS(D2,Q2,Hoja1!$A$1:$A$29),"N/A")</f>
        <v>79</v>
      </c>
      <c r="AN2" s="21">
        <f>IFERROR(NETWORKDAYS(D2,AE2,Hoja1!$A$1:$A$29),"N/A")</f>
        <v>86</v>
      </c>
      <c r="AO2" s="78">
        <v>10</v>
      </c>
      <c r="AP2" s="21">
        <f t="shared" ref="AP2:AP33" si="1">AN2-AO2</f>
        <v>76</v>
      </c>
      <c r="AQ2" s="21">
        <f>IFERROR(NETWORKDAYS(AF2,AG2,Hoja1!$A$1:$A$29),"N/A")</f>
        <v>8</v>
      </c>
      <c r="AR2" s="74">
        <v>3</v>
      </c>
      <c r="AS2" s="75">
        <f>AQ2-AR2</f>
        <v>5</v>
      </c>
      <c r="AT2" s="21">
        <f>IFERROR(NETWORKDAYS(D2,AG2,Hoja1!$A$1:$A$29),"N/A")</f>
        <v>93</v>
      </c>
      <c r="AU2" s="21">
        <f t="shared" ref="AU2:AU33" si="2">AT2-AO2-AR2</f>
        <v>80</v>
      </c>
      <c r="AV2" s="69" t="s">
        <v>59</v>
      </c>
      <c r="AW2" s="69" t="s">
        <v>60</v>
      </c>
      <c r="AX2" s="35" t="s">
        <v>1376</v>
      </c>
      <c r="AY2" s="35"/>
      <c r="AZ2" s="35"/>
      <c r="BA2" s="35"/>
      <c r="BB2" s="35"/>
    </row>
    <row r="3" spans="1:54" ht="15" customHeight="1" x14ac:dyDescent="0.25">
      <c r="A3" s="55">
        <v>14454</v>
      </c>
      <c r="B3" s="14" t="s">
        <v>61</v>
      </c>
      <c r="C3" s="14" t="s">
        <v>61</v>
      </c>
      <c r="D3" s="15">
        <v>45953</v>
      </c>
      <c r="E3" s="16">
        <v>45847</v>
      </c>
      <c r="F3" s="14" t="s">
        <v>62</v>
      </c>
      <c r="G3" s="23" t="s">
        <v>63</v>
      </c>
      <c r="H3" s="22" t="s">
        <v>51</v>
      </c>
      <c r="I3" s="27" t="s">
        <v>64</v>
      </c>
      <c r="J3" s="87" t="s">
        <v>65</v>
      </c>
      <c r="K3" s="23" t="s">
        <v>66</v>
      </c>
      <c r="L3" s="17">
        <v>1</v>
      </c>
      <c r="M3" s="22" t="s">
        <v>54</v>
      </c>
      <c r="N3" s="16" t="s">
        <v>55</v>
      </c>
      <c r="O3" s="1">
        <v>6</v>
      </c>
      <c r="P3" s="1" t="s">
        <v>56</v>
      </c>
      <c r="Q3" s="16">
        <v>45968</v>
      </c>
      <c r="R3" s="16">
        <v>45968</v>
      </c>
      <c r="S3" s="1">
        <v>6</v>
      </c>
      <c r="T3" s="16" t="s">
        <v>55</v>
      </c>
      <c r="U3" s="18" t="s">
        <v>55</v>
      </c>
      <c r="V3" s="18" t="s">
        <v>55</v>
      </c>
      <c r="W3" s="18" t="s">
        <v>55</v>
      </c>
      <c r="X3" s="18" t="s">
        <v>55</v>
      </c>
      <c r="Y3" s="18" t="s">
        <v>55</v>
      </c>
      <c r="Z3" s="18" t="s">
        <v>55</v>
      </c>
      <c r="AA3" s="1">
        <v>6</v>
      </c>
      <c r="AB3" s="1">
        <v>3</v>
      </c>
      <c r="AC3" s="1">
        <v>0</v>
      </c>
      <c r="AD3" s="16">
        <v>46010</v>
      </c>
      <c r="AE3" s="16">
        <v>46036</v>
      </c>
      <c r="AF3" s="16">
        <v>46036</v>
      </c>
      <c r="AG3" s="16">
        <v>46042</v>
      </c>
      <c r="AH3" s="16">
        <v>46044</v>
      </c>
      <c r="AI3" s="3">
        <f t="shared" si="0"/>
        <v>1</v>
      </c>
      <c r="AJ3" s="27" t="s">
        <v>67</v>
      </c>
      <c r="AK3" s="49" t="s">
        <v>427</v>
      </c>
      <c r="AL3" s="19">
        <f t="shared" ref="AL3:AL66" si="3">IFERROR(S3/O3,"N/A")</f>
        <v>1</v>
      </c>
      <c r="AM3" s="67">
        <f>IFERROR(NETWORKDAYS(D3,Q3,Hoja1!$A$1:$A$29),"N/A")</f>
        <v>11</v>
      </c>
      <c r="AN3" s="21">
        <f>IFERROR(NETWORKDAYS(D3,AE3,Hoja1!$A$1:$A$29),"N/A")</f>
        <v>54</v>
      </c>
      <c r="AO3" s="78">
        <v>30</v>
      </c>
      <c r="AP3" s="21">
        <f t="shared" si="1"/>
        <v>24</v>
      </c>
      <c r="AQ3" s="21">
        <f>IFERROR(NETWORKDAYS(AF3,AG3,Hoja1!$A$1:$A$29),"N/A")</f>
        <v>5</v>
      </c>
      <c r="AR3" s="74">
        <v>0</v>
      </c>
      <c r="AS3" s="75">
        <f t="shared" ref="AS3:AS33" si="4">AQ3-AR3</f>
        <v>5</v>
      </c>
      <c r="AT3" s="21">
        <f>IFERROR(NETWORKDAYS(D3,AG3,Hoja1!$A$1:$A$29),"N/A")</f>
        <v>58</v>
      </c>
      <c r="AU3" s="21">
        <f t="shared" si="2"/>
        <v>28</v>
      </c>
      <c r="AV3" s="69" t="s">
        <v>59</v>
      </c>
      <c r="AW3" s="27" t="s">
        <v>68</v>
      </c>
      <c r="AX3" s="27" t="s">
        <v>445</v>
      </c>
      <c r="AY3" s="27" t="s">
        <v>445</v>
      </c>
      <c r="AZ3" s="27"/>
      <c r="BA3" s="27"/>
      <c r="BB3" s="27"/>
    </row>
    <row r="4" spans="1:54" ht="15" customHeight="1" x14ac:dyDescent="0.25">
      <c r="A4" s="54">
        <v>14619</v>
      </c>
      <c r="B4" s="40" t="s">
        <v>69</v>
      </c>
      <c r="C4" s="40" t="s">
        <v>70</v>
      </c>
      <c r="D4" s="418">
        <v>45972</v>
      </c>
      <c r="E4" s="30">
        <v>45873</v>
      </c>
      <c r="F4" s="87" t="s">
        <v>62</v>
      </c>
      <c r="G4" s="207" t="s">
        <v>71</v>
      </c>
      <c r="H4" s="111" t="s">
        <v>51</v>
      </c>
      <c r="I4" s="27" t="s">
        <v>72</v>
      </c>
      <c r="J4" s="22" t="s">
        <v>73</v>
      </c>
      <c r="K4" s="87" t="s">
        <v>74</v>
      </c>
      <c r="L4" s="3">
        <v>1</v>
      </c>
      <c r="M4" s="40" t="s">
        <v>54</v>
      </c>
      <c r="N4" s="30" t="s">
        <v>55</v>
      </c>
      <c r="O4" s="3">
        <v>10</v>
      </c>
      <c r="P4" s="33" t="s">
        <v>56</v>
      </c>
      <c r="Q4" s="30">
        <v>45996</v>
      </c>
      <c r="R4" s="30">
        <v>46006</v>
      </c>
      <c r="S4" s="3">
        <v>10</v>
      </c>
      <c r="T4" s="37" t="s">
        <v>55</v>
      </c>
      <c r="U4" s="18" t="s">
        <v>55</v>
      </c>
      <c r="V4" s="18" t="s">
        <v>55</v>
      </c>
      <c r="W4" s="18" t="s">
        <v>55</v>
      </c>
      <c r="X4" s="18" t="s">
        <v>55</v>
      </c>
      <c r="Y4" s="18" t="s">
        <v>55</v>
      </c>
      <c r="Z4" s="18" t="s">
        <v>55</v>
      </c>
      <c r="AA4" s="3">
        <v>2</v>
      </c>
      <c r="AB4" s="3">
        <v>2</v>
      </c>
      <c r="AC4" s="3">
        <v>0</v>
      </c>
      <c r="AD4" s="28">
        <v>46030</v>
      </c>
      <c r="AE4" s="28">
        <v>46030</v>
      </c>
      <c r="AF4" s="28">
        <v>46031</v>
      </c>
      <c r="AG4" s="28">
        <v>46043</v>
      </c>
      <c r="AH4" s="28">
        <v>46044</v>
      </c>
      <c r="AI4" s="3">
        <f t="shared" si="0"/>
        <v>1</v>
      </c>
      <c r="AJ4" s="45" t="s">
        <v>75</v>
      </c>
      <c r="AK4" s="45" t="s">
        <v>76</v>
      </c>
      <c r="AL4" s="19">
        <f t="shared" si="3"/>
        <v>1</v>
      </c>
      <c r="AM4" s="67">
        <f>IFERROR(NETWORKDAYS(D4,Q4,Hoja1!$A$1:$A$29),"N/A")</f>
        <v>18</v>
      </c>
      <c r="AN4" s="21">
        <f>IFERROR(NETWORKDAYS(D4,AE4,Hoja1!$A$1:$A$29),"N/A")</f>
        <v>39</v>
      </c>
      <c r="AO4" s="78">
        <v>12</v>
      </c>
      <c r="AP4" s="21">
        <f t="shared" si="1"/>
        <v>27</v>
      </c>
      <c r="AQ4" s="21">
        <f>IFERROR(NETWORKDAYS(AF4,AG4,Hoja1!$A$1:$A$29),"N/A")</f>
        <v>8</v>
      </c>
      <c r="AR4" s="74">
        <v>3</v>
      </c>
      <c r="AS4" s="75">
        <f t="shared" si="4"/>
        <v>5</v>
      </c>
      <c r="AT4" s="21">
        <f>IFERROR(NETWORKDAYS(D4,AG4,Hoja1!$A$1:$A$29),"N/A")</f>
        <v>47</v>
      </c>
      <c r="AU4" s="21">
        <f t="shared" si="2"/>
        <v>32</v>
      </c>
      <c r="AV4" s="69" t="s">
        <v>77</v>
      </c>
      <c r="AW4" s="27" t="s">
        <v>78</v>
      </c>
      <c r="AX4" s="46" t="s">
        <v>453</v>
      </c>
      <c r="AY4" s="46" t="s">
        <v>453</v>
      </c>
      <c r="AZ4" s="45"/>
      <c r="BA4" s="45"/>
      <c r="BB4" s="45"/>
    </row>
    <row r="5" spans="1:54" ht="15" customHeight="1" x14ac:dyDescent="0.25">
      <c r="A5" s="55">
        <v>14738</v>
      </c>
      <c r="B5" s="20" t="s">
        <v>79</v>
      </c>
      <c r="C5" s="20" t="s">
        <v>79</v>
      </c>
      <c r="D5" s="15">
        <v>45986</v>
      </c>
      <c r="E5" s="16">
        <v>45987</v>
      </c>
      <c r="F5" s="234" t="s">
        <v>62</v>
      </c>
      <c r="G5" s="23" t="s">
        <v>80</v>
      </c>
      <c r="H5" s="143" t="s">
        <v>51</v>
      </c>
      <c r="I5" s="27" t="s">
        <v>72</v>
      </c>
      <c r="J5" s="22" t="s">
        <v>73</v>
      </c>
      <c r="K5" s="234" t="s">
        <v>66</v>
      </c>
      <c r="L5" s="17">
        <v>1</v>
      </c>
      <c r="M5" s="22" t="s">
        <v>54</v>
      </c>
      <c r="N5" s="16" t="s">
        <v>55</v>
      </c>
      <c r="O5" s="1">
        <v>22</v>
      </c>
      <c r="P5" s="16" t="s">
        <v>56</v>
      </c>
      <c r="Q5" s="16">
        <v>45987</v>
      </c>
      <c r="R5" s="16">
        <v>45987</v>
      </c>
      <c r="S5" s="1">
        <v>22</v>
      </c>
      <c r="T5" s="16" t="s">
        <v>55</v>
      </c>
      <c r="U5" s="18" t="s">
        <v>55</v>
      </c>
      <c r="V5" s="18" t="s">
        <v>55</v>
      </c>
      <c r="W5" s="18" t="s">
        <v>55</v>
      </c>
      <c r="X5" s="18" t="s">
        <v>55</v>
      </c>
      <c r="Y5" s="18" t="s">
        <v>55</v>
      </c>
      <c r="Z5" s="18" t="s">
        <v>55</v>
      </c>
      <c r="AA5" s="1">
        <v>5</v>
      </c>
      <c r="AB5" s="1">
        <v>5</v>
      </c>
      <c r="AC5" s="1">
        <v>0</v>
      </c>
      <c r="AD5" s="16">
        <v>46009</v>
      </c>
      <c r="AE5" s="16">
        <v>46010</v>
      </c>
      <c r="AF5" s="16">
        <v>46010</v>
      </c>
      <c r="AG5" s="16">
        <v>46024</v>
      </c>
      <c r="AH5" s="16">
        <v>46027</v>
      </c>
      <c r="AI5" s="3">
        <f t="shared" si="0"/>
        <v>1</v>
      </c>
      <c r="AJ5" s="20" t="s">
        <v>81</v>
      </c>
      <c r="AK5" s="27" t="s">
        <v>428</v>
      </c>
      <c r="AL5" s="19">
        <f t="shared" si="3"/>
        <v>1</v>
      </c>
      <c r="AM5" s="67">
        <f>IFERROR(NETWORKDAYS(D5,Q5,Hoja1!$A$1:$A$29),"N/A")</f>
        <v>2</v>
      </c>
      <c r="AN5" s="21">
        <f>IFERROR(NETWORKDAYS(D5,AE5,Hoja1!$A$1:$A$29),"N/A")</f>
        <v>18</v>
      </c>
      <c r="AO5" s="78">
        <v>3</v>
      </c>
      <c r="AP5" s="21">
        <f t="shared" si="1"/>
        <v>15</v>
      </c>
      <c r="AQ5" s="21">
        <f>IFERROR(NETWORKDAYS(AF5,AG5,Hoja1!$A$1:$A$29),"N/A")</f>
        <v>9</v>
      </c>
      <c r="AR5" s="74">
        <v>3</v>
      </c>
      <c r="AS5" s="75">
        <f t="shared" si="4"/>
        <v>6</v>
      </c>
      <c r="AT5" s="21">
        <f>IFERROR(NETWORKDAYS(D5,AG5,Hoja1!$A$1:$A$29),"N/A")</f>
        <v>26</v>
      </c>
      <c r="AU5" s="21">
        <f t="shared" si="2"/>
        <v>20</v>
      </c>
      <c r="AV5" s="69" t="s">
        <v>77</v>
      </c>
      <c r="AW5" s="27" t="s">
        <v>82</v>
      </c>
      <c r="AX5" s="27"/>
      <c r="AY5" s="27"/>
      <c r="AZ5" s="27"/>
      <c r="BA5" s="27"/>
      <c r="BB5" s="27"/>
    </row>
    <row r="6" spans="1:54" ht="15" customHeight="1" x14ac:dyDescent="0.25">
      <c r="A6" s="54">
        <v>14746</v>
      </c>
      <c r="B6" s="20" t="s">
        <v>79</v>
      </c>
      <c r="C6" s="20" t="s">
        <v>79</v>
      </c>
      <c r="D6" s="418">
        <v>45891</v>
      </c>
      <c r="E6" s="42">
        <v>45891</v>
      </c>
      <c r="F6" s="87" t="s">
        <v>62</v>
      </c>
      <c r="G6" s="23" t="s">
        <v>80</v>
      </c>
      <c r="H6" s="111" t="s">
        <v>51</v>
      </c>
      <c r="I6" s="27" t="s">
        <v>72</v>
      </c>
      <c r="J6" s="22" t="s">
        <v>73</v>
      </c>
      <c r="K6" s="87" t="s">
        <v>74</v>
      </c>
      <c r="L6" s="3">
        <v>1</v>
      </c>
      <c r="M6" s="40" t="s">
        <v>54</v>
      </c>
      <c r="N6" s="30" t="s">
        <v>55</v>
      </c>
      <c r="O6" s="3">
        <v>8</v>
      </c>
      <c r="P6" s="33" t="s">
        <v>56</v>
      </c>
      <c r="Q6" s="30">
        <v>45894</v>
      </c>
      <c r="R6" s="30">
        <v>45919</v>
      </c>
      <c r="S6" s="3">
        <v>8</v>
      </c>
      <c r="T6" s="37" t="s">
        <v>55</v>
      </c>
      <c r="U6" s="18" t="s">
        <v>55</v>
      </c>
      <c r="V6" s="18" t="s">
        <v>55</v>
      </c>
      <c r="W6" s="18" t="s">
        <v>55</v>
      </c>
      <c r="X6" s="18" t="s">
        <v>55</v>
      </c>
      <c r="Y6" s="18" t="s">
        <v>55</v>
      </c>
      <c r="Z6" s="18" t="s">
        <v>55</v>
      </c>
      <c r="AA6" s="3">
        <v>1</v>
      </c>
      <c r="AB6" s="3">
        <v>1</v>
      </c>
      <c r="AC6" s="3">
        <v>0</v>
      </c>
      <c r="AD6" s="28">
        <v>45919</v>
      </c>
      <c r="AE6" s="28">
        <v>46001</v>
      </c>
      <c r="AF6" s="28">
        <v>46001</v>
      </c>
      <c r="AG6" s="28">
        <v>46042</v>
      </c>
      <c r="AH6" s="28">
        <v>46044</v>
      </c>
      <c r="AI6" s="3">
        <f t="shared" si="0"/>
        <v>1</v>
      </c>
      <c r="AJ6" s="45" t="s">
        <v>83</v>
      </c>
      <c r="AK6" s="45" t="s">
        <v>84</v>
      </c>
      <c r="AL6" s="19">
        <f t="shared" si="3"/>
        <v>1</v>
      </c>
      <c r="AM6" s="67">
        <f>IFERROR(NETWORKDAYS(D6,Q6,Hoja1!$A$1:$A$29),"N/A")</f>
        <v>2</v>
      </c>
      <c r="AN6" s="21">
        <f>IFERROR(NETWORKDAYS(D6,AE6,Hoja1!$A$1:$A$29),"N/A")</f>
        <v>75</v>
      </c>
      <c r="AO6" s="78">
        <v>60</v>
      </c>
      <c r="AP6" s="21">
        <f t="shared" si="1"/>
        <v>15</v>
      </c>
      <c r="AQ6" s="21">
        <f>IFERROR(NETWORKDAYS(AF6,AG6,Hoja1!$A$1:$A$29),"N/A")</f>
        <v>27</v>
      </c>
      <c r="AR6" s="74">
        <v>22</v>
      </c>
      <c r="AS6" s="75">
        <f t="shared" si="4"/>
        <v>5</v>
      </c>
      <c r="AT6" s="21">
        <f>IFERROR(NETWORKDAYS(D6,AG6,Hoja1!$A$1:$A$29),"N/A")</f>
        <v>101</v>
      </c>
      <c r="AU6" s="21">
        <f t="shared" si="2"/>
        <v>19</v>
      </c>
      <c r="AV6" s="69" t="s">
        <v>77</v>
      </c>
      <c r="AW6" s="27" t="s">
        <v>78</v>
      </c>
      <c r="AX6" s="45"/>
      <c r="AY6" s="45"/>
      <c r="AZ6" s="45"/>
      <c r="BA6" s="45"/>
      <c r="BB6" s="45"/>
    </row>
    <row r="7" spans="1:54" ht="15" customHeight="1" x14ac:dyDescent="0.25">
      <c r="A7" s="54">
        <v>14875</v>
      </c>
      <c r="B7" s="29" t="s">
        <v>85</v>
      </c>
      <c r="C7" s="29" t="s">
        <v>85</v>
      </c>
      <c r="D7" s="30">
        <v>45939</v>
      </c>
      <c r="E7" s="30">
        <v>45911</v>
      </c>
      <c r="F7" s="48" t="s">
        <v>62</v>
      </c>
      <c r="G7" s="207" t="s">
        <v>71</v>
      </c>
      <c r="H7" s="87" t="s">
        <v>51</v>
      </c>
      <c r="I7" s="27" t="s">
        <v>72</v>
      </c>
      <c r="J7" s="22" t="s">
        <v>73</v>
      </c>
      <c r="K7" s="87" t="s">
        <v>86</v>
      </c>
      <c r="L7" s="3">
        <v>1</v>
      </c>
      <c r="M7" s="32" t="s">
        <v>54</v>
      </c>
      <c r="N7" s="28" t="s">
        <v>55</v>
      </c>
      <c r="O7" s="33">
        <v>19</v>
      </c>
      <c r="P7" s="33" t="s">
        <v>56</v>
      </c>
      <c r="Q7" s="28">
        <v>46013</v>
      </c>
      <c r="R7" s="28">
        <v>46013</v>
      </c>
      <c r="S7" s="33">
        <v>19</v>
      </c>
      <c r="T7" s="28" t="s">
        <v>55</v>
      </c>
      <c r="U7" s="18" t="s">
        <v>55</v>
      </c>
      <c r="V7" s="18" t="s">
        <v>55</v>
      </c>
      <c r="W7" s="18" t="s">
        <v>55</v>
      </c>
      <c r="X7" s="18" t="s">
        <v>55</v>
      </c>
      <c r="Y7" s="18" t="s">
        <v>55</v>
      </c>
      <c r="Z7" s="18" t="s">
        <v>55</v>
      </c>
      <c r="AA7" s="33">
        <v>5</v>
      </c>
      <c r="AB7" s="33">
        <v>1</v>
      </c>
      <c r="AC7" s="33">
        <v>0</v>
      </c>
      <c r="AD7" s="28">
        <v>46031</v>
      </c>
      <c r="AE7" s="28">
        <v>46035</v>
      </c>
      <c r="AF7" s="28">
        <v>46035</v>
      </c>
      <c r="AG7" s="28">
        <v>46043</v>
      </c>
      <c r="AH7" s="28">
        <v>46044</v>
      </c>
      <c r="AI7" s="3">
        <f t="shared" si="0"/>
        <v>1</v>
      </c>
      <c r="AJ7" s="45" t="s">
        <v>87</v>
      </c>
      <c r="AK7" s="45" t="s">
        <v>88</v>
      </c>
      <c r="AL7" s="19">
        <f t="shared" si="3"/>
        <v>1</v>
      </c>
      <c r="AM7" s="67">
        <f>IFERROR(NETWORKDAYS(D7,Q7,Hoja1!$A$1:$A$29),"N/A")</f>
        <v>49</v>
      </c>
      <c r="AN7" s="21">
        <f>IFERROR(NETWORKDAYS(D7,AE7,Hoja1!$A$1:$A$29),"N/A")</f>
        <v>62</v>
      </c>
      <c r="AO7" s="78">
        <v>30</v>
      </c>
      <c r="AP7" s="21">
        <f t="shared" si="1"/>
        <v>32</v>
      </c>
      <c r="AQ7" s="21">
        <f>IFERROR(NETWORKDAYS(AF7,AG7,Hoja1!$A$1:$A$29),"N/A")</f>
        <v>7</v>
      </c>
      <c r="AR7" s="74">
        <v>2</v>
      </c>
      <c r="AS7" s="75">
        <f t="shared" si="4"/>
        <v>5</v>
      </c>
      <c r="AT7" s="21">
        <f>IFERROR(NETWORKDAYS(D7,AG7,Hoja1!$A$1:$A$29),"N/A")</f>
        <v>68</v>
      </c>
      <c r="AU7" s="21">
        <f t="shared" si="2"/>
        <v>36</v>
      </c>
      <c r="AV7" s="69" t="s">
        <v>77</v>
      </c>
      <c r="AW7" s="27" t="s">
        <v>89</v>
      </c>
      <c r="AX7" s="35" t="s">
        <v>445</v>
      </c>
      <c r="AY7" s="46" t="s">
        <v>453</v>
      </c>
      <c r="AZ7" s="45" t="s">
        <v>446</v>
      </c>
      <c r="BA7" s="45"/>
      <c r="BB7" s="45"/>
    </row>
    <row r="8" spans="1:54" ht="15" customHeight="1" x14ac:dyDescent="0.25">
      <c r="A8" s="54">
        <v>14883</v>
      </c>
      <c r="B8" s="20" t="s">
        <v>79</v>
      </c>
      <c r="C8" s="20" t="s">
        <v>79</v>
      </c>
      <c r="D8" s="418">
        <v>45986</v>
      </c>
      <c r="E8" s="24">
        <v>45979</v>
      </c>
      <c r="F8" s="87" t="s">
        <v>90</v>
      </c>
      <c r="G8" s="111" t="s">
        <v>91</v>
      </c>
      <c r="H8" s="111" t="s">
        <v>51</v>
      </c>
      <c r="I8" s="87" t="s">
        <v>92</v>
      </c>
      <c r="J8" s="87" t="s">
        <v>52</v>
      </c>
      <c r="K8" s="87" t="s">
        <v>93</v>
      </c>
      <c r="L8" s="3">
        <v>1</v>
      </c>
      <c r="M8" s="40" t="s">
        <v>54</v>
      </c>
      <c r="N8" s="3" t="s">
        <v>55</v>
      </c>
      <c r="O8" s="3">
        <v>4</v>
      </c>
      <c r="P8" s="33" t="s">
        <v>56</v>
      </c>
      <c r="Q8" s="30">
        <v>45994</v>
      </c>
      <c r="R8" s="30">
        <v>45994</v>
      </c>
      <c r="S8" s="3">
        <v>4</v>
      </c>
      <c r="T8" s="18" t="s">
        <v>55</v>
      </c>
      <c r="U8" s="18" t="s">
        <v>55</v>
      </c>
      <c r="V8" s="18" t="s">
        <v>55</v>
      </c>
      <c r="W8" s="18" t="s">
        <v>55</v>
      </c>
      <c r="X8" s="18" t="s">
        <v>55</v>
      </c>
      <c r="Y8" s="18" t="s">
        <v>55</v>
      </c>
      <c r="Z8" s="18" t="s">
        <v>55</v>
      </c>
      <c r="AA8" s="3">
        <v>4</v>
      </c>
      <c r="AB8" s="3">
        <v>1</v>
      </c>
      <c r="AC8" s="3">
        <v>0</v>
      </c>
      <c r="AD8" s="28">
        <v>46009</v>
      </c>
      <c r="AE8" s="28">
        <v>46009</v>
      </c>
      <c r="AF8" s="28">
        <v>46009</v>
      </c>
      <c r="AG8" s="28">
        <v>46031</v>
      </c>
      <c r="AH8" s="28">
        <v>46035</v>
      </c>
      <c r="AI8" s="3">
        <f t="shared" si="0"/>
        <v>1</v>
      </c>
      <c r="AJ8" s="45" t="s">
        <v>94</v>
      </c>
      <c r="AK8" s="49" t="s">
        <v>422</v>
      </c>
      <c r="AL8" s="19">
        <f t="shared" si="3"/>
        <v>1</v>
      </c>
      <c r="AM8" s="67">
        <f>IFERROR(NETWORKDAYS(D8,Q8,Hoja1!$A$1:$A$29),"N/A")</f>
        <v>7</v>
      </c>
      <c r="AN8" s="21">
        <f>IFERROR(NETWORKDAYS(D8,AE8,Hoja1!$A$1:$A$29),"N/A")</f>
        <v>17</v>
      </c>
      <c r="AO8" s="78">
        <v>2</v>
      </c>
      <c r="AP8" s="21">
        <f t="shared" si="1"/>
        <v>15</v>
      </c>
      <c r="AQ8" s="21">
        <f>IFERROR(NETWORKDAYS(AF8,AG8,Hoja1!$A$1:$A$29),"N/A")</f>
        <v>15</v>
      </c>
      <c r="AR8" s="78">
        <v>10</v>
      </c>
      <c r="AS8" s="75">
        <f t="shared" si="4"/>
        <v>5</v>
      </c>
      <c r="AT8" s="21">
        <f>IFERROR(NETWORKDAYS(D8,AG8,Hoja1!$A$1:$A$29),"N/A")</f>
        <v>31</v>
      </c>
      <c r="AU8" s="21">
        <f t="shared" si="2"/>
        <v>19</v>
      </c>
      <c r="AV8" s="69" t="s">
        <v>59</v>
      </c>
      <c r="AW8" s="27" t="s">
        <v>95</v>
      </c>
      <c r="AX8" s="45"/>
      <c r="AY8" s="45"/>
      <c r="AZ8" s="45"/>
      <c r="BA8" s="45"/>
      <c r="BB8" s="45"/>
    </row>
    <row r="9" spans="1:54" ht="15" customHeight="1" x14ac:dyDescent="0.25">
      <c r="A9" s="54">
        <v>14926</v>
      </c>
      <c r="B9" s="20" t="s">
        <v>79</v>
      </c>
      <c r="C9" s="20" t="s">
        <v>79</v>
      </c>
      <c r="D9" s="30">
        <v>45994</v>
      </c>
      <c r="E9" s="30">
        <v>45918</v>
      </c>
      <c r="F9" s="87" t="s">
        <v>62</v>
      </c>
      <c r="G9" s="207" t="s">
        <v>71</v>
      </c>
      <c r="H9" s="111" t="s">
        <v>51</v>
      </c>
      <c r="I9" s="87" t="s">
        <v>96</v>
      </c>
      <c r="J9" s="22" t="s">
        <v>73</v>
      </c>
      <c r="K9" s="87" t="s">
        <v>74</v>
      </c>
      <c r="L9" s="3">
        <v>1</v>
      </c>
      <c r="M9" s="40" t="s">
        <v>54</v>
      </c>
      <c r="N9" s="30" t="s">
        <v>55</v>
      </c>
      <c r="O9" s="3">
        <v>9</v>
      </c>
      <c r="P9" s="33" t="s">
        <v>56</v>
      </c>
      <c r="Q9" s="30">
        <v>45996</v>
      </c>
      <c r="R9" s="30">
        <v>46007</v>
      </c>
      <c r="S9" s="3">
        <v>9</v>
      </c>
      <c r="T9" s="37" t="s">
        <v>55</v>
      </c>
      <c r="U9" s="18" t="s">
        <v>55</v>
      </c>
      <c r="V9" s="18" t="s">
        <v>55</v>
      </c>
      <c r="W9" s="18" t="s">
        <v>55</v>
      </c>
      <c r="X9" s="18" t="s">
        <v>55</v>
      </c>
      <c r="Y9" s="18" t="s">
        <v>55</v>
      </c>
      <c r="Z9" s="18" t="s">
        <v>55</v>
      </c>
      <c r="AA9" s="3">
        <v>3</v>
      </c>
      <c r="AB9" s="3">
        <v>2</v>
      </c>
      <c r="AC9" s="3">
        <v>0</v>
      </c>
      <c r="AD9" s="28">
        <v>46013</v>
      </c>
      <c r="AE9" s="28">
        <v>46013</v>
      </c>
      <c r="AF9" s="28">
        <v>46013</v>
      </c>
      <c r="AG9" s="28">
        <v>46024</v>
      </c>
      <c r="AH9" s="28">
        <v>46027</v>
      </c>
      <c r="AI9" s="3">
        <f t="shared" si="0"/>
        <v>1</v>
      </c>
      <c r="AJ9" s="45" t="s">
        <v>97</v>
      </c>
      <c r="AK9" s="45" t="s">
        <v>429</v>
      </c>
      <c r="AL9" s="19">
        <f t="shared" si="3"/>
        <v>1</v>
      </c>
      <c r="AM9" s="67">
        <f>IFERROR(NETWORKDAYS(D9,Q9,Hoja1!$A$1:$A$29),"N/A")</f>
        <v>3</v>
      </c>
      <c r="AN9" s="21">
        <f>IFERROR(NETWORKDAYS(D9,AE9,Hoja1!$A$1:$A$29),"N/A")</f>
        <v>13</v>
      </c>
      <c r="AO9" s="78">
        <v>0</v>
      </c>
      <c r="AP9" s="21">
        <f t="shared" si="1"/>
        <v>13</v>
      </c>
      <c r="AQ9" s="21">
        <f>IFERROR(NETWORKDAYS(AF9,AG9,Hoja1!$A$1:$A$29),"N/A")</f>
        <v>8</v>
      </c>
      <c r="AR9" s="74">
        <v>3</v>
      </c>
      <c r="AS9" s="75">
        <f t="shared" si="4"/>
        <v>5</v>
      </c>
      <c r="AT9" s="21">
        <f>IFERROR(NETWORKDAYS(D9,AG9,Hoja1!$A$1:$A$29),"N/A")</f>
        <v>20</v>
      </c>
      <c r="AU9" s="21">
        <f t="shared" si="2"/>
        <v>17</v>
      </c>
      <c r="AV9" s="69" t="s">
        <v>77</v>
      </c>
      <c r="AW9" s="27" t="s">
        <v>78</v>
      </c>
      <c r="AX9" s="46" t="s">
        <v>453</v>
      </c>
      <c r="AY9" s="46" t="s">
        <v>453</v>
      </c>
      <c r="AZ9" s="45"/>
      <c r="BA9" s="45"/>
      <c r="BB9" s="45"/>
    </row>
    <row r="10" spans="1:54" ht="15" customHeight="1" x14ac:dyDescent="0.25">
      <c r="A10" s="54">
        <v>14967</v>
      </c>
      <c r="B10" s="43" t="s">
        <v>69</v>
      </c>
      <c r="C10" s="43" t="s">
        <v>98</v>
      </c>
      <c r="D10" s="419">
        <v>45958</v>
      </c>
      <c r="E10" s="44">
        <v>45979</v>
      </c>
      <c r="F10" s="111" t="s">
        <v>99</v>
      </c>
      <c r="G10" s="111" t="s">
        <v>100</v>
      </c>
      <c r="H10" s="111" t="s">
        <v>101</v>
      </c>
      <c r="I10" s="111" t="s">
        <v>102</v>
      </c>
      <c r="J10" s="111" t="s">
        <v>52</v>
      </c>
      <c r="K10" s="202" t="s">
        <v>1081</v>
      </c>
      <c r="L10" s="2">
        <v>1</v>
      </c>
      <c r="M10" s="43" t="s">
        <v>54</v>
      </c>
      <c r="N10" s="2" t="s">
        <v>55</v>
      </c>
      <c r="O10" s="2">
        <v>1</v>
      </c>
      <c r="P10" s="21"/>
      <c r="Q10" s="2" t="s">
        <v>55</v>
      </c>
      <c r="R10" s="2" t="s">
        <v>55</v>
      </c>
      <c r="S10" s="2">
        <v>1</v>
      </c>
      <c r="T10" s="2" t="s">
        <v>55</v>
      </c>
      <c r="U10" s="18" t="s">
        <v>55</v>
      </c>
      <c r="V10" s="18" t="s">
        <v>55</v>
      </c>
      <c r="W10" s="18" t="s">
        <v>55</v>
      </c>
      <c r="X10" s="18" t="s">
        <v>55</v>
      </c>
      <c r="Y10" s="18" t="s">
        <v>55</v>
      </c>
      <c r="Z10" s="18" t="s">
        <v>55</v>
      </c>
      <c r="AA10" s="2">
        <v>3</v>
      </c>
      <c r="AB10" s="2">
        <v>3</v>
      </c>
      <c r="AC10" s="2">
        <v>0</v>
      </c>
      <c r="AD10" s="53">
        <v>45986</v>
      </c>
      <c r="AE10" s="53">
        <v>46003</v>
      </c>
      <c r="AF10" s="53">
        <v>46006</v>
      </c>
      <c r="AG10" s="53">
        <v>46024</v>
      </c>
      <c r="AH10" s="53">
        <v>46027</v>
      </c>
      <c r="AI10" s="3">
        <f t="shared" si="0"/>
        <v>1</v>
      </c>
      <c r="AJ10" s="46" t="s">
        <v>103</v>
      </c>
      <c r="AK10" s="46" t="s">
        <v>436</v>
      </c>
      <c r="AL10" s="19">
        <f t="shared" si="3"/>
        <v>1</v>
      </c>
      <c r="AM10" s="67" t="str">
        <f>IFERROR(NETWORKDAYS(D10,Q10,Hoja1!$A$1:$A$29),"N/A")</f>
        <v>N/A</v>
      </c>
      <c r="AN10" s="21">
        <f>IFERROR(NETWORKDAYS(D10,AE10,Hoja1!$A$1:$A$29),"N/A")</f>
        <v>31</v>
      </c>
      <c r="AO10" s="272">
        <v>0</v>
      </c>
      <c r="AP10" s="21">
        <f t="shared" si="1"/>
        <v>31</v>
      </c>
      <c r="AQ10" s="21">
        <f>IFERROR(NETWORKDAYS(AF10,AG10,Hoja1!$A$1:$A$29),"N/A")</f>
        <v>13</v>
      </c>
      <c r="AR10" s="78">
        <v>8</v>
      </c>
      <c r="AS10" s="75">
        <f t="shared" si="4"/>
        <v>5</v>
      </c>
      <c r="AT10" s="21">
        <f>IFERROR(NETWORKDAYS(D10,AG10,Hoja1!$A$1:$A$29),"N/A")</f>
        <v>44</v>
      </c>
      <c r="AU10" s="21">
        <f t="shared" si="2"/>
        <v>36</v>
      </c>
      <c r="AV10" s="69" t="s">
        <v>104</v>
      </c>
      <c r="AW10" s="27" t="s">
        <v>480</v>
      </c>
      <c r="AX10" s="46" t="s">
        <v>453</v>
      </c>
      <c r="AY10" s="46"/>
      <c r="AZ10" s="46"/>
      <c r="BA10" s="46"/>
      <c r="BB10" s="46"/>
    </row>
    <row r="11" spans="1:54" ht="15" customHeight="1" x14ac:dyDescent="0.25">
      <c r="A11" s="56">
        <v>14987</v>
      </c>
      <c r="B11" s="20" t="s">
        <v>79</v>
      </c>
      <c r="C11" s="20" t="s">
        <v>79</v>
      </c>
      <c r="D11" s="37">
        <v>45957</v>
      </c>
      <c r="E11" s="37">
        <v>45931</v>
      </c>
      <c r="F11" s="202" t="s">
        <v>879</v>
      </c>
      <c r="G11" s="48" t="s">
        <v>50</v>
      </c>
      <c r="H11" s="48" t="s">
        <v>51</v>
      </c>
      <c r="I11" s="87" t="s">
        <v>350</v>
      </c>
      <c r="J11" s="207" t="s">
        <v>105</v>
      </c>
      <c r="K11" s="48" t="s">
        <v>106</v>
      </c>
      <c r="L11" s="18">
        <v>1</v>
      </c>
      <c r="M11" s="22" t="s">
        <v>54</v>
      </c>
      <c r="N11" s="18" t="s">
        <v>55</v>
      </c>
      <c r="O11" s="18">
        <v>14</v>
      </c>
      <c r="P11" s="36" t="s">
        <v>56</v>
      </c>
      <c r="Q11" s="37">
        <v>45959</v>
      </c>
      <c r="R11" s="37">
        <v>45959</v>
      </c>
      <c r="S11" s="18">
        <v>14</v>
      </c>
      <c r="T11" s="18" t="s">
        <v>55</v>
      </c>
      <c r="U11" s="18" t="s">
        <v>55</v>
      </c>
      <c r="V11" s="18" t="s">
        <v>55</v>
      </c>
      <c r="W11" s="18" t="s">
        <v>55</v>
      </c>
      <c r="X11" s="18" t="s">
        <v>55</v>
      </c>
      <c r="Y11" s="18" t="s">
        <v>55</v>
      </c>
      <c r="Z11" s="18" t="s">
        <v>55</v>
      </c>
      <c r="AA11" s="18">
        <v>4</v>
      </c>
      <c r="AB11" s="18">
        <v>4</v>
      </c>
      <c r="AC11" s="18">
        <v>0</v>
      </c>
      <c r="AD11" s="38">
        <v>45995</v>
      </c>
      <c r="AE11" s="38">
        <v>46003</v>
      </c>
      <c r="AF11" s="38">
        <v>46003</v>
      </c>
      <c r="AG11" s="38">
        <v>46013</v>
      </c>
      <c r="AH11" s="53">
        <v>46027</v>
      </c>
      <c r="AI11" s="3">
        <f t="shared" si="0"/>
        <v>1</v>
      </c>
      <c r="AJ11" s="35" t="s">
        <v>107</v>
      </c>
      <c r="AK11" s="45" t="s">
        <v>439</v>
      </c>
      <c r="AL11" s="19">
        <f t="shared" si="3"/>
        <v>1</v>
      </c>
      <c r="AM11" s="67">
        <f>IFERROR(NETWORKDAYS(D11,Q11,Hoja1!$A$1:$A$29),"N/A")</f>
        <v>3</v>
      </c>
      <c r="AN11" s="21">
        <f>IFERROR(NETWORKDAYS(D11,AE11,Hoja1!$A$1:$A$29),"N/A")</f>
        <v>32</v>
      </c>
      <c r="AO11" s="78">
        <v>19</v>
      </c>
      <c r="AP11" s="21">
        <f t="shared" si="1"/>
        <v>13</v>
      </c>
      <c r="AQ11" s="21">
        <f>IFERROR(NETWORKDAYS(AF11,AG11,Hoja1!$A$1:$A$29),"N/A")</f>
        <v>7</v>
      </c>
      <c r="AR11" s="74">
        <v>2</v>
      </c>
      <c r="AS11" s="75">
        <f t="shared" si="4"/>
        <v>5</v>
      </c>
      <c r="AT11" s="21">
        <f>IFERROR(NETWORKDAYS(D11,AG11,Hoja1!$A$1:$A$29),"N/A")</f>
        <v>38</v>
      </c>
      <c r="AU11" s="21">
        <f t="shared" si="2"/>
        <v>17</v>
      </c>
      <c r="AV11" s="69" t="s">
        <v>59</v>
      </c>
      <c r="AW11" s="27" t="s">
        <v>108</v>
      </c>
      <c r="AX11" s="46" t="s">
        <v>453</v>
      </c>
      <c r="AY11" s="46" t="s">
        <v>453</v>
      </c>
      <c r="AZ11" s="35"/>
      <c r="BA11" s="35"/>
      <c r="BB11" s="35"/>
    </row>
    <row r="12" spans="1:54" ht="15" customHeight="1" x14ac:dyDescent="0.25">
      <c r="A12" s="54">
        <v>15009</v>
      </c>
      <c r="B12" s="29" t="s">
        <v>85</v>
      </c>
      <c r="C12" s="29" t="s">
        <v>85</v>
      </c>
      <c r="D12" s="418">
        <v>45966</v>
      </c>
      <c r="E12" s="24">
        <v>45933</v>
      </c>
      <c r="F12" s="84" t="s">
        <v>90</v>
      </c>
      <c r="G12" s="111" t="s">
        <v>91</v>
      </c>
      <c r="H12" s="111" t="s">
        <v>51</v>
      </c>
      <c r="I12" s="27" t="s">
        <v>72</v>
      </c>
      <c r="J12" s="22" t="s">
        <v>73</v>
      </c>
      <c r="K12" s="87" t="s">
        <v>93</v>
      </c>
      <c r="L12" s="3">
        <v>1</v>
      </c>
      <c r="M12" s="40" t="s">
        <v>54</v>
      </c>
      <c r="N12" s="3" t="s">
        <v>55</v>
      </c>
      <c r="O12" s="3">
        <v>5</v>
      </c>
      <c r="P12" s="33" t="s">
        <v>56</v>
      </c>
      <c r="Q12" s="30">
        <v>45997</v>
      </c>
      <c r="R12" s="30">
        <v>45997</v>
      </c>
      <c r="S12" s="3">
        <v>5</v>
      </c>
      <c r="T12" s="18" t="s">
        <v>55</v>
      </c>
      <c r="U12" s="18" t="s">
        <v>55</v>
      </c>
      <c r="V12" s="18" t="s">
        <v>55</v>
      </c>
      <c r="W12" s="18" t="s">
        <v>55</v>
      </c>
      <c r="X12" s="18" t="s">
        <v>55</v>
      </c>
      <c r="Y12" s="18" t="s">
        <v>55</v>
      </c>
      <c r="Z12" s="18" t="s">
        <v>55</v>
      </c>
      <c r="AA12" s="3">
        <v>5</v>
      </c>
      <c r="AB12" s="3">
        <v>1</v>
      </c>
      <c r="AC12" s="3">
        <v>0</v>
      </c>
      <c r="AD12" s="28">
        <v>46027</v>
      </c>
      <c r="AE12" s="28">
        <v>46027</v>
      </c>
      <c r="AF12" s="28">
        <v>46027</v>
      </c>
      <c r="AG12" s="28">
        <v>46045</v>
      </c>
      <c r="AH12" s="28">
        <v>46048</v>
      </c>
      <c r="AI12" s="3">
        <f t="shared" si="0"/>
        <v>1</v>
      </c>
      <c r="AJ12" s="45" t="s">
        <v>109</v>
      </c>
      <c r="AK12" s="49" t="s">
        <v>423</v>
      </c>
      <c r="AL12" s="19">
        <f t="shared" si="3"/>
        <v>1</v>
      </c>
      <c r="AM12" s="67">
        <f>IFERROR(NETWORKDAYS(D12,Q12,Hoja1!$A$1:$A$29),"N/A")</f>
        <v>22</v>
      </c>
      <c r="AN12" s="21">
        <f>IFERROR(NETWORKDAYS(D12,AE12,Hoja1!$A$1:$A$29),"N/A")</f>
        <v>40</v>
      </c>
      <c r="AO12" s="78">
        <v>11</v>
      </c>
      <c r="AP12" s="21">
        <f t="shared" si="1"/>
        <v>29</v>
      </c>
      <c r="AQ12" s="21">
        <f>IFERROR(NETWORKDAYS(AF12,AG12,Hoja1!$A$1:$A$29),"N/A")</f>
        <v>14</v>
      </c>
      <c r="AR12" s="74">
        <v>9</v>
      </c>
      <c r="AS12" s="75">
        <f t="shared" si="4"/>
        <v>5</v>
      </c>
      <c r="AT12" s="21">
        <f>IFERROR(NETWORKDAYS(D12,AG12,Hoja1!$A$1:$A$29),"N/A")</f>
        <v>53</v>
      </c>
      <c r="AU12" s="21">
        <f t="shared" si="2"/>
        <v>33</v>
      </c>
      <c r="AV12" s="69" t="s">
        <v>59</v>
      </c>
      <c r="AW12" s="27" t="s">
        <v>110</v>
      </c>
      <c r="AX12" s="46" t="s">
        <v>453</v>
      </c>
      <c r="AY12" s="45"/>
      <c r="AZ12" s="45"/>
      <c r="BA12" s="45"/>
      <c r="BB12" s="45"/>
    </row>
    <row r="13" spans="1:54" ht="15" customHeight="1" x14ac:dyDescent="0.25">
      <c r="A13" s="54">
        <v>15014</v>
      </c>
      <c r="B13" s="43" t="s">
        <v>69</v>
      </c>
      <c r="C13" s="43" t="s">
        <v>98</v>
      </c>
      <c r="D13" s="24">
        <v>45936</v>
      </c>
      <c r="E13" s="24">
        <v>45936</v>
      </c>
      <c r="F13" s="84" t="s">
        <v>90</v>
      </c>
      <c r="G13" s="111" t="s">
        <v>91</v>
      </c>
      <c r="H13" s="111" t="s">
        <v>51</v>
      </c>
      <c r="I13" s="87" t="s">
        <v>96</v>
      </c>
      <c r="J13" s="22" t="s">
        <v>73</v>
      </c>
      <c r="K13" s="87" t="s">
        <v>111</v>
      </c>
      <c r="L13" s="3">
        <v>1</v>
      </c>
      <c r="M13" s="40" t="s">
        <v>54</v>
      </c>
      <c r="N13" s="3" t="s">
        <v>55</v>
      </c>
      <c r="O13" s="3">
        <v>3</v>
      </c>
      <c r="P13" s="33" t="s">
        <v>112</v>
      </c>
      <c r="Q13" s="30">
        <v>45989</v>
      </c>
      <c r="R13" s="30">
        <v>45989</v>
      </c>
      <c r="S13" s="3">
        <v>3</v>
      </c>
      <c r="T13" s="18" t="s">
        <v>55</v>
      </c>
      <c r="U13" s="18" t="s">
        <v>55</v>
      </c>
      <c r="V13" s="18" t="s">
        <v>55</v>
      </c>
      <c r="W13" s="18" t="s">
        <v>55</v>
      </c>
      <c r="X13" s="18" t="s">
        <v>55</v>
      </c>
      <c r="Y13" s="18" t="s">
        <v>55</v>
      </c>
      <c r="Z13" s="18" t="s">
        <v>55</v>
      </c>
      <c r="AA13" s="3">
        <v>4</v>
      </c>
      <c r="AB13" s="3">
        <v>1</v>
      </c>
      <c r="AC13" s="3">
        <v>0</v>
      </c>
      <c r="AD13" s="28">
        <v>45985</v>
      </c>
      <c r="AE13" s="28">
        <v>45985</v>
      </c>
      <c r="AF13" s="28">
        <v>46013</v>
      </c>
      <c r="AG13" s="28">
        <v>46024</v>
      </c>
      <c r="AH13" s="28">
        <v>46027</v>
      </c>
      <c r="AI13" s="3">
        <f t="shared" si="0"/>
        <v>1</v>
      </c>
      <c r="AJ13" s="45" t="s">
        <v>113</v>
      </c>
      <c r="AK13" s="49" t="s">
        <v>114</v>
      </c>
      <c r="AL13" s="19">
        <f t="shared" si="3"/>
        <v>1</v>
      </c>
      <c r="AM13" s="67">
        <f>IFERROR(NETWORKDAYS(D13,Q13,Hoja1!$A$1:$A$29),"N/A")</f>
        <v>37</v>
      </c>
      <c r="AN13" s="21">
        <f>IFERROR(NETWORKDAYS(D13,AE13,Hoja1!$A$1:$A$29),"N/A")</f>
        <v>33</v>
      </c>
      <c r="AO13" s="78">
        <v>0</v>
      </c>
      <c r="AP13" s="21">
        <f t="shared" si="1"/>
        <v>33</v>
      </c>
      <c r="AQ13" s="21">
        <f>IFERROR(NETWORKDAYS(AF13,AG13,Hoja1!$A$1:$A$29),"N/A")</f>
        <v>8</v>
      </c>
      <c r="AR13" s="74">
        <v>2</v>
      </c>
      <c r="AS13" s="75">
        <f t="shared" si="4"/>
        <v>6</v>
      </c>
      <c r="AT13" s="21">
        <f>IFERROR(NETWORKDAYS(D13,AG13,Hoja1!$A$1:$A$29),"N/A")</f>
        <v>59</v>
      </c>
      <c r="AU13" s="21">
        <f t="shared" si="2"/>
        <v>57</v>
      </c>
      <c r="AV13" s="69" t="s">
        <v>59</v>
      </c>
      <c r="AW13" s="27" t="s">
        <v>110</v>
      </c>
      <c r="AX13" s="45"/>
      <c r="AY13" s="45"/>
      <c r="AZ13" s="45"/>
      <c r="BA13" s="45"/>
      <c r="BB13" s="45"/>
    </row>
    <row r="14" spans="1:54" ht="15" customHeight="1" x14ac:dyDescent="0.25">
      <c r="A14" s="55">
        <v>15053</v>
      </c>
      <c r="B14" s="14" t="s">
        <v>69</v>
      </c>
      <c r="C14" s="14" t="s">
        <v>115</v>
      </c>
      <c r="D14" s="420">
        <v>45966</v>
      </c>
      <c r="E14" s="16">
        <v>45944</v>
      </c>
      <c r="F14" s="179" t="s">
        <v>62</v>
      </c>
      <c r="G14" s="23" t="s">
        <v>71</v>
      </c>
      <c r="H14" s="48" t="s">
        <v>116</v>
      </c>
      <c r="I14" s="27" t="s">
        <v>117</v>
      </c>
      <c r="J14" s="207" t="s">
        <v>118</v>
      </c>
      <c r="K14" s="23" t="s">
        <v>66</v>
      </c>
      <c r="L14" s="17">
        <v>1</v>
      </c>
      <c r="M14" s="22" t="s">
        <v>54</v>
      </c>
      <c r="N14" s="16" t="s">
        <v>55</v>
      </c>
      <c r="O14" s="1">
        <v>3</v>
      </c>
      <c r="P14" s="1" t="s">
        <v>56</v>
      </c>
      <c r="Q14" s="16">
        <v>45968</v>
      </c>
      <c r="R14" s="16">
        <v>45980</v>
      </c>
      <c r="S14" s="1">
        <v>3</v>
      </c>
      <c r="T14" s="16" t="s">
        <v>55</v>
      </c>
      <c r="U14" s="16">
        <v>45968</v>
      </c>
      <c r="V14" s="16">
        <v>45979</v>
      </c>
      <c r="W14" s="16" t="s">
        <v>55</v>
      </c>
      <c r="X14" s="16" t="s">
        <v>55</v>
      </c>
      <c r="Y14" s="16" t="s">
        <v>55</v>
      </c>
      <c r="Z14" s="16" t="s">
        <v>55</v>
      </c>
      <c r="AA14" s="1">
        <v>1</v>
      </c>
      <c r="AB14" s="1">
        <v>1</v>
      </c>
      <c r="AC14" s="1">
        <v>0</v>
      </c>
      <c r="AD14" s="16">
        <v>45994</v>
      </c>
      <c r="AE14" s="16">
        <v>46008</v>
      </c>
      <c r="AF14" s="16">
        <v>46009</v>
      </c>
      <c r="AG14" s="16">
        <v>46027</v>
      </c>
      <c r="AH14" s="16">
        <v>46027</v>
      </c>
      <c r="AI14" s="3">
        <f t="shared" si="0"/>
        <v>1</v>
      </c>
      <c r="AJ14" s="27" t="s">
        <v>119</v>
      </c>
      <c r="AK14" s="49" t="s">
        <v>120</v>
      </c>
      <c r="AL14" s="19">
        <f t="shared" si="3"/>
        <v>1</v>
      </c>
      <c r="AM14" s="67">
        <f>IFERROR(NETWORKDAYS(D14,Q14,Hoja1!$A$1:$A$29),"N/A")</f>
        <v>3</v>
      </c>
      <c r="AN14" s="21">
        <f>IFERROR(NETWORKDAYS(D14,AE14,Hoja1!$A$1:$A$29),"N/A")</f>
        <v>29</v>
      </c>
      <c r="AO14" s="78">
        <v>6</v>
      </c>
      <c r="AP14" s="21">
        <f t="shared" si="1"/>
        <v>23</v>
      </c>
      <c r="AQ14" s="21">
        <f>IFERROR(NETWORKDAYS(AF14,AG14,Hoja1!$A$1:$A$29),"N/A")</f>
        <v>11</v>
      </c>
      <c r="AR14" s="74">
        <v>5</v>
      </c>
      <c r="AS14" s="75">
        <f t="shared" si="4"/>
        <v>6</v>
      </c>
      <c r="AT14" s="21">
        <f>IFERROR(NETWORKDAYS(D14,AG14,Hoja1!$A$1:$A$29),"N/A")</f>
        <v>40</v>
      </c>
      <c r="AU14" s="21">
        <f t="shared" si="2"/>
        <v>29</v>
      </c>
      <c r="AV14" s="69" t="s">
        <v>104</v>
      </c>
      <c r="AW14" s="27" t="s">
        <v>121</v>
      </c>
      <c r="AX14" s="27"/>
      <c r="AY14" s="27"/>
      <c r="AZ14" s="27"/>
      <c r="BA14" s="27"/>
      <c r="BB14" s="27"/>
    </row>
    <row r="15" spans="1:54" ht="15" customHeight="1" x14ac:dyDescent="0.25">
      <c r="A15" s="55">
        <v>15059</v>
      </c>
      <c r="B15" s="14" t="s">
        <v>69</v>
      </c>
      <c r="C15" s="14" t="s">
        <v>122</v>
      </c>
      <c r="D15" s="15">
        <v>45946</v>
      </c>
      <c r="E15" s="16">
        <v>45946</v>
      </c>
      <c r="F15" s="179" t="s">
        <v>62</v>
      </c>
      <c r="G15" s="23" t="s">
        <v>71</v>
      </c>
      <c r="H15" s="22" t="s">
        <v>51</v>
      </c>
      <c r="I15" s="27" t="s">
        <v>72</v>
      </c>
      <c r="J15" s="22" t="s">
        <v>73</v>
      </c>
      <c r="K15" s="23" t="s">
        <v>66</v>
      </c>
      <c r="L15" s="17">
        <v>1</v>
      </c>
      <c r="M15" s="22" t="s">
        <v>54</v>
      </c>
      <c r="N15" s="16" t="s">
        <v>55</v>
      </c>
      <c r="O15" s="1">
        <v>5</v>
      </c>
      <c r="P15" s="1" t="s">
        <v>56</v>
      </c>
      <c r="Q15" s="16">
        <v>46017</v>
      </c>
      <c r="R15" s="16">
        <v>45971</v>
      </c>
      <c r="S15" s="1">
        <v>5</v>
      </c>
      <c r="T15" s="16" t="s">
        <v>55</v>
      </c>
      <c r="U15" s="18" t="s">
        <v>55</v>
      </c>
      <c r="V15" s="18" t="s">
        <v>55</v>
      </c>
      <c r="W15" s="18" t="s">
        <v>55</v>
      </c>
      <c r="X15" s="18" t="s">
        <v>55</v>
      </c>
      <c r="Y15" s="18" t="s">
        <v>55</v>
      </c>
      <c r="Z15" s="18" t="s">
        <v>55</v>
      </c>
      <c r="AA15" s="1">
        <v>1</v>
      </c>
      <c r="AB15" s="1">
        <v>1</v>
      </c>
      <c r="AC15" s="1">
        <v>0</v>
      </c>
      <c r="AD15" s="16">
        <v>46027</v>
      </c>
      <c r="AE15" s="16">
        <v>46036</v>
      </c>
      <c r="AF15" s="16">
        <v>46036</v>
      </c>
      <c r="AG15" s="16">
        <v>46042</v>
      </c>
      <c r="AH15" s="16">
        <v>46044</v>
      </c>
      <c r="AI15" s="3">
        <f t="shared" si="0"/>
        <v>1</v>
      </c>
      <c r="AJ15" s="27" t="s">
        <v>123</v>
      </c>
      <c r="AK15" s="49" t="s">
        <v>430</v>
      </c>
      <c r="AL15" s="19">
        <f t="shared" si="3"/>
        <v>1</v>
      </c>
      <c r="AM15" s="67">
        <f>IFERROR(NETWORKDAYS(D15,Q15,Hoja1!$A$1:$A$29),"N/A")</f>
        <v>48</v>
      </c>
      <c r="AN15" s="21">
        <f>IFERROR(NETWORKDAYS(D15,AE15,Hoja1!$A$1:$A$29),"N/A")</f>
        <v>59</v>
      </c>
      <c r="AO15" s="78">
        <f>23+13</f>
        <v>36</v>
      </c>
      <c r="AP15" s="21">
        <f t="shared" si="1"/>
        <v>23</v>
      </c>
      <c r="AQ15" s="21">
        <f>IFERROR(NETWORKDAYS(AF15,AG15,Hoja1!$A$1:$A$29),"N/A")</f>
        <v>5</v>
      </c>
      <c r="AR15" s="74">
        <v>0</v>
      </c>
      <c r="AS15" s="75">
        <f t="shared" si="4"/>
        <v>5</v>
      </c>
      <c r="AT15" s="21">
        <f>IFERROR(NETWORKDAYS(D15,AG15,Hoja1!$A$1:$A$29),"N/A")</f>
        <v>63</v>
      </c>
      <c r="AU15" s="21">
        <f t="shared" si="2"/>
        <v>27</v>
      </c>
      <c r="AV15" s="69" t="s">
        <v>77</v>
      </c>
      <c r="AW15" s="27" t="s">
        <v>82</v>
      </c>
      <c r="AX15" s="27"/>
      <c r="AY15" s="27"/>
      <c r="AZ15" s="27"/>
      <c r="BA15" s="27"/>
      <c r="BB15" s="27"/>
    </row>
    <row r="16" spans="1:54" ht="15" customHeight="1" x14ac:dyDescent="0.25">
      <c r="A16" s="54">
        <v>15068</v>
      </c>
      <c r="B16" s="43" t="s">
        <v>69</v>
      </c>
      <c r="C16" s="43" t="s">
        <v>98</v>
      </c>
      <c r="D16" s="419">
        <v>45945</v>
      </c>
      <c r="E16" s="44">
        <v>45945</v>
      </c>
      <c r="F16" s="143" t="s">
        <v>99</v>
      </c>
      <c r="G16" s="111" t="s">
        <v>124</v>
      </c>
      <c r="H16" s="111" t="s">
        <v>51</v>
      </c>
      <c r="I16" s="27" t="s">
        <v>72</v>
      </c>
      <c r="J16" s="22" t="s">
        <v>73</v>
      </c>
      <c r="K16" s="202" t="s">
        <v>1081</v>
      </c>
      <c r="L16" s="2">
        <v>1</v>
      </c>
      <c r="M16" s="43" t="s">
        <v>54</v>
      </c>
      <c r="N16" s="2" t="s">
        <v>55</v>
      </c>
      <c r="O16" s="2">
        <v>6</v>
      </c>
      <c r="P16" s="21" t="s">
        <v>56</v>
      </c>
      <c r="Q16" s="44">
        <v>45993</v>
      </c>
      <c r="R16" s="44">
        <v>45993</v>
      </c>
      <c r="S16" s="2">
        <v>6</v>
      </c>
      <c r="T16" s="2" t="s">
        <v>55</v>
      </c>
      <c r="U16" s="18" t="s">
        <v>55</v>
      </c>
      <c r="V16" s="18" t="s">
        <v>55</v>
      </c>
      <c r="W16" s="18" t="s">
        <v>55</v>
      </c>
      <c r="X16" s="18" t="s">
        <v>55</v>
      </c>
      <c r="Y16" s="18" t="s">
        <v>55</v>
      </c>
      <c r="Z16" s="18" t="s">
        <v>55</v>
      </c>
      <c r="AA16" s="2">
        <v>1</v>
      </c>
      <c r="AB16" s="2">
        <v>1</v>
      </c>
      <c r="AC16" s="2">
        <v>0</v>
      </c>
      <c r="AD16" s="53">
        <v>46013</v>
      </c>
      <c r="AE16" s="53">
        <v>46013</v>
      </c>
      <c r="AF16" s="53">
        <v>46013</v>
      </c>
      <c r="AG16" s="53">
        <v>46038</v>
      </c>
      <c r="AH16" s="53">
        <v>46044</v>
      </c>
      <c r="AI16" s="3">
        <f t="shared" si="0"/>
        <v>1</v>
      </c>
      <c r="AJ16" s="46" t="s">
        <v>125</v>
      </c>
      <c r="AK16" s="46" t="s">
        <v>126</v>
      </c>
      <c r="AL16" s="19">
        <f t="shared" si="3"/>
        <v>1</v>
      </c>
      <c r="AM16" s="67">
        <f>IFERROR(NETWORKDAYS(D16,Q16,Hoja1!$A$1:$A$29),"N/A")</f>
        <v>33</v>
      </c>
      <c r="AN16" s="21">
        <f>IFERROR(NETWORKDAYS(D16,AE16,Hoja1!$A$1:$A$29),"N/A")</f>
        <v>46</v>
      </c>
      <c r="AO16" s="78">
        <v>8</v>
      </c>
      <c r="AP16" s="21">
        <f t="shared" si="1"/>
        <v>38</v>
      </c>
      <c r="AQ16" s="21">
        <f>IFERROR(NETWORKDAYS(AF16,AG16,Hoja1!$A$1:$A$29),"N/A")</f>
        <v>17</v>
      </c>
      <c r="AR16" s="78">
        <v>12</v>
      </c>
      <c r="AS16" s="75">
        <f t="shared" si="4"/>
        <v>5</v>
      </c>
      <c r="AT16" s="21">
        <f>IFERROR(NETWORKDAYS(D16,AG16,Hoja1!$A$1:$A$29),"N/A")</f>
        <v>62</v>
      </c>
      <c r="AU16" s="21">
        <f t="shared" si="2"/>
        <v>42</v>
      </c>
      <c r="AV16" s="69" t="s">
        <v>127</v>
      </c>
      <c r="AW16" s="27" t="s">
        <v>82</v>
      </c>
      <c r="AX16" s="46"/>
      <c r="AY16" s="46"/>
      <c r="AZ16" s="46"/>
      <c r="BA16" s="46"/>
      <c r="BB16" s="46"/>
    </row>
    <row r="17" spans="1:54" ht="15" customHeight="1" x14ac:dyDescent="0.25">
      <c r="A17" s="54">
        <v>15074</v>
      </c>
      <c r="B17" s="20" t="s">
        <v>79</v>
      </c>
      <c r="C17" s="20" t="s">
        <v>79</v>
      </c>
      <c r="D17" s="44">
        <v>45946</v>
      </c>
      <c r="E17" s="44">
        <v>45946</v>
      </c>
      <c r="F17" s="143" t="s">
        <v>99</v>
      </c>
      <c r="G17" s="111" t="s">
        <v>128</v>
      </c>
      <c r="H17" s="111" t="s">
        <v>51</v>
      </c>
      <c r="I17" s="87" t="s">
        <v>92</v>
      </c>
      <c r="J17" s="111" t="s">
        <v>52</v>
      </c>
      <c r="K17" s="111" t="s">
        <v>129</v>
      </c>
      <c r="L17" s="2">
        <v>1</v>
      </c>
      <c r="M17" s="43" t="s">
        <v>54</v>
      </c>
      <c r="N17" s="2" t="s">
        <v>55</v>
      </c>
      <c r="O17" s="2">
        <v>12</v>
      </c>
      <c r="P17" s="21" t="s">
        <v>56</v>
      </c>
      <c r="Q17" s="44">
        <v>46007</v>
      </c>
      <c r="R17" s="44">
        <v>46007</v>
      </c>
      <c r="S17" s="2">
        <v>12</v>
      </c>
      <c r="T17" s="2" t="s">
        <v>55</v>
      </c>
      <c r="U17" s="18" t="s">
        <v>55</v>
      </c>
      <c r="V17" s="18" t="s">
        <v>55</v>
      </c>
      <c r="W17" s="18" t="s">
        <v>55</v>
      </c>
      <c r="X17" s="18" t="s">
        <v>55</v>
      </c>
      <c r="Y17" s="18" t="s">
        <v>55</v>
      </c>
      <c r="Z17" s="18" t="s">
        <v>55</v>
      </c>
      <c r="AA17" s="2">
        <v>2</v>
      </c>
      <c r="AB17" s="2">
        <v>1</v>
      </c>
      <c r="AC17" s="2">
        <v>0</v>
      </c>
      <c r="AD17" s="53">
        <v>46027</v>
      </c>
      <c r="AE17" s="53">
        <v>46027</v>
      </c>
      <c r="AF17" s="53">
        <v>46027</v>
      </c>
      <c r="AG17" s="53">
        <v>46031</v>
      </c>
      <c r="AH17" s="53">
        <v>46035</v>
      </c>
      <c r="AI17" s="3">
        <f t="shared" si="0"/>
        <v>1</v>
      </c>
      <c r="AJ17" s="46" t="s">
        <v>130</v>
      </c>
      <c r="AK17" s="46" t="s">
        <v>437</v>
      </c>
      <c r="AL17" s="19">
        <f t="shared" si="3"/>
        <v>1</v>
      </c>
      <c r="AM17" s="67">
        <f>IFERROR(NETWORKDAYS(D17,Q17,Hoja1!$A$1:$A$29),"N/A")</f>
        <v>41</v>
      </c>
      <c r="AN17" s="21">
        <f>IFERROR(NETWORKDAYS(D17,AE17,Hoja1!$A$1:$A$29),"N/A")</f>
        <v>53</v>
      </c>
      <c r="AO17" s="78">
        <v>11</v>
      </c>
      <c r="AP17" s="21">
        <f t="shared" si="1"/>
        <v>42</v>
      </c>
      <c r="AQ17" s="21">
        <f>IFERROR(NETWORKDAYS(AF17,AG17,Hoja1!$A$1:$A$29),"N/A")</f>
        <v>5</v>
      </c>
      <c r="AR17" s="74">
        <v>0</v>
      </c>
      <c r="AS17" s="75">
        <f t="shared" si="4"/>
        <v>5</v>
      </c>
      <c r="AT17" s="21">
        <f>IFERROR(NETWORKDAYS(D17,AG17,Hoja1!$A$1:$A$29),"N/A")</f>
        <v>57</v>
      </c>
      <c r="AU17" s="21">
        <f t="shared" si="2"/>
        <v>46</v>
      </c>
      <c r="AV17" s="69" t="s">
        <v>131</v>
      </c>
      <c r="AW17" s="27" t="s">
        <v>132</v>
      </c>
      <c r="AX17" s="46"/>
      <c r="AY17" s="46"/>
      <c r="AZ17" s="46"/>
      <c r="BA17" s="46"/>
      <c r="BB17" s="46"/>
    </row>
    <row r="18" spans="1:54" ht="15" customHeight="1" x14ac:dyDescent="0.25">
      <c r="A18" s="55">
        <v>15077</v>
      </c>
      <c r="B18" s="14" t="s">
        <v>69</v>
      </c>
      <c r="C18" s="14" t="s">
        <v>122</v>
      </c>
      <c r="D18" s="420">
        <v>45946</v>
      </c>
      <c r="E18" s="16">
        <v>45946</v>
      </c>
      <c r="F18" s="179" t="s">
        <v>62</v>
      </c>
      <c r="G18" s="23" t="s">
        <v>71</v>
      </c>
      <c r="H18" s="22" t="s">
        <v>51</v>
      </c>
      <c r="I18" s="27" t="s">
        <v>72</v>
      </c>
      <c r="J18" s="22" t="s">
        <v>73</v>
      </c>
      <c r="K18" s="23" t="s">
        <v>66</v>
      </c>
      <c r="L18" s="17">
        <v>1</v>
      </c>
      <c r="M18" s="22" t="s">
        <v>54</v>
      </c>
      <c r="N18" s="16" t="s">
        <v>55</v>
      </c>
      <c r="O18" s="1">
        <v>6</v>
      </c>
      <c r="P18" s="1" t="s">
        <v>56</v>
      </c>
      <c r="Q18" s="28">
        <v>45966</v>
      </c>
      <c r="R18" s="28">
        <v>45971</v>
      </c>
      <c r="S18" s="1">
        <v>6</v>
      </c>
      <c r="T18" s="28" t="s">
        <v>55</v>
      </c>
      <c r="U18" s="18" t="s">
        <v>55</v>
      </c>
      <c r="V18" s="18" t="s">
        <v>55</v>
      </c>
      <c r="W18" s="18" t="s">
        <v>55</v>
      </c>
      <c r="X18" s="18" t="s">
        <v>55</v>
      </c>
      <c r="Y18" s="18" t="s">
        <v>55</v>
      </c>
      <c r="Z18" s="18" t="s">
        <v>55</v>
      </c>
      <c r="AA18" s="1">
        <v>2</v>
      </c>
      <c r="AB18" s="1">
        <v>1</v>
      </c>
      <c r="AC18" s="1">
        <v>0</v>
      </c>
      <c r="AD18" s="16">
        <v>46031</v>
      </c>
      <c r="AE18" s="16">
        <v>46035</v>
      </c>
      <c r="AF18" s="16">
        <v>46035</v>
      </c>
      <c r="AG18" s="16">
        <v>46044</v>
      </c>
      <c r="AH18" s="16">
        <v>46045</v>
      </c>
      <c r="AI18" s="3">
        <f t="shared" si="0"/>
        <v>1</v>
      </c>
      <c r="AJ18" s="27" t="s">
        <v>133</v>
      </c>
      <c r="AK18" s="49" t="s">
        <v>134</v>
      </c>
      <c r="AL18" s="19">
        <f t="shared" si="3"/>
        <v>1</v>
      </c>
      <c r="AM18" s="67">
        <f>IFERROR(NETWORKDAYS(D18,Q18,Hoja1!$A$1:$A$29),"N/A")</f>
        <v>14</v>
      </c>
      <c r="AN18" s="21">
        <f>IFERROR(NETWORKDAYS(D18,AE18,Hoja1!$A$1:$A$29),"N/A")</f>
        <v>58</v>
      </c>
      <c r="AO18" s="78">
        <v>36</v>
      </c>
      <c r="AP18" s="21">
        <f t="shared" si="1"/>
        <v>22</v>
      </c>
      <c r="AQ18" s="21">
        <f>IFERROR(NETWORKDAYS(AF18,AG18,Hoja1!$A$1:$A$29),"N/A")</f>
        <v>8</v>
      </c>
      <c r="AR18" s="74">
        <v>3</v>
      </c>
      <c r="AS18" s="75">
        <f t="shared" si="4"/>
        <v>5</v>
      </c>
      <c r="AT18" s="21">
        <f>IFERROR(NETWORKDAYS(D18,AG18,Hoja1!$A$1:$A$29),"N/A")</f>
        <v>65</v>
      </c>
      <c r="AU18" s="21">
        <f t="shared" si="2"/>
        <v>26</v>
      </c>
      <c r="AV18" s="69" t="s">
        <v>77</v>
      </c>
      <c r="AW18" s="27" t="s">
        <v>82</v>
      </c>
      <c r="AX18" s="27"/>
      <c r="AY18" s="27"/>
      <c r="AZ18" s="27"/>
      <c r="BA18" s="27"/>
      <c r="BB18" s="27"/>
    </row>
    <row r="19" spans="1:54" ht="15" customHeight="1" x14ac:dyDescent="0.25">
      <c r="A19" s="54">
        <v>15095</v>
      </c>
      <c r="B19" s="20" t="s">
        <v>79</v>
      </c>
      <c r="C19" s="20" t="s">
        <v>79</v>
      </c>
      <c r="D19" s="44">
        <v>45951</v>
      </c>
      <c r="E19" s="44">
        <v>45951</v>
      </c>
      <c r="F19" s="143" t="s">
        <v>99</v>
      </c>
      <c r="G19" s="111" t="s">
        <v>135</v>
      </c>
      <c r="H19" s="111" t="s">
        <v>51</v>
      </c>
      <c r="I19" s="27" t="s">
        <v>72</v>
      </c>
      <c r="J19" s="22" t="s">
        <v>73</v>
      </c>
      <c r="K19" s="202" t="s">
        <v>1081</v>
      </c>
      <c r="L19" s="2">
        <v>1</v>
      </c>
      <c r="M19" s="43" t="s">
        <v>54</v>
      </c>
      <c r="N19" s="2" t="s">
        <v>55</v>
      </c>
      <c r="O19" s="2">
        <v>7</v>
      </c>
      <c r="P19" s="21" t="s">
        <v>56</v>
      </c>
      <c r="Q19" s="44">
        <v>46000</v>
      </c>
      <c r="R19" s="44">
        <v>46000</v>
      </c>
      <c r="S19" s="2">
        <v>7</v>
      </c>
      <c r="T19" s="2" t="s">
        <v>55</v>
      </c>
      <c r="U19" s="18" t="s">
        <v>55</v>
      </c>
      <c r="V19" s="18" t="s">
        <v>55</v>
      </c>
      <c r="W19" s="18" t="s">
        <v>55</v>
      </c>
      <c r="X19" s="18" t="s">
        <v>55</v>
      </c>
      <c r="Y19" s="18" t="s">
        <v>55</v>
      </c>
      <c r="Z19" s="18" t="s">
        <v>55</v>
      </c>
      <c r="AA19" s="2">
        <v>1</v>
      </c>
      <c r="AB19" s="2">
        <v>1</v>
      </c>
      <c r="AC19" s="2">
        <v>0</v>
      </c>
      <c r="AD19" s="53">
        <v>46009</v>
      </c>
      <c r="AE19" s="53">
        <v>46009</v>
      </c>
      <c r="AF19" s="53">
        <v>46009</v>
      </c>
      <c r="AG19" s="53">
        <v>46022</v>
      </c>
      <c r="AH19" s="53">
        <v>46027</v>
      </c>
      <c r="AI19" s="3">
        <f t="shared" si="0"/>
        <v>1</v>
      </c>
      <c r="AJ19" s="46" t="s">
        <v>136</v>
      </c>
      <c r="AK19" s="46" t="s">
        <v>438</v>
      </c>
      <c r="AL19" s="19">
        <f t="shared" si="3"/>
        <v>1</v>
      </c>
      <c r="AM19" s="67">
        <f>IFERROR(NETWORKDAYS(D19,Q19,Hoja1!$A$1:$A$29),"N/A")</f>
        <v>33</v>
      </c>
      <c r="AN19" s="21">
        <f>IFERROR(NETWORKDAYS(D19,AE19,Hoja1!$A$1:$A$29),"N/A")</f>
        <v>40</v>
      </c>
      <c r="AO19" s="78">
        <v>20</v>
      </c>
      <c r="AP19" s="21">
        <f t="shared" si="1"/>
        <v>20</v>
      </c>
      <c r="AQ19" s="21">
        <f>IFERROR(NETWORKDAYS(AF19,AG19,Hoja1!$A$1:$A$29),"N/A")</f>
        <v>9</v>
      </c>
      <c r="AR19" s="78">
        <v>4</v>
      </c>
      <c r="AS19" s="75">
        <f t="shared" si="4"/>
        <v>5</v>
      </c>
      <c r="AT19" s="21">
        <f>IFERROR(NETWORKDAYS(D19,AG19,Hoja1!$A$1:$A$29),"N/A")</f>
        <v>48</v>
      </c>
      <c r="AU19" s="21">
        <f t="shared" si="2"/>
        <v>24</v>
      </c>
      <c r="AV19" s="69" t="s">
        <v>127</v>
      </c>
      <c r="AW19" s="27" t="s">
        <v>82</v>
      </c>
      <c r="AX19" s="46"/>
      <c r="AY19" s="46"/>
      <c r="AZ19" s="46"/>
      <c r="BA19" s="46"/>
      <c r="BB19" s="46"/>
    </row>
    <row r="20" spans="1:54" ht="15" customHeight="1" x14ac:dyDescent="0.25">
      <c r="A20" s="54">
        <v>15106</v>
      </c>
      <c r="B20" s="20" t="s">
        <v>79</v>
      </c>
      <c r="C20" s="20" t="s">
        <v>79</v>
      </c>
      <c r="D20" s="419">
        <v>45973</v>
      </c>
      <c r="E20" s="44">
        <v>45953</v>
      </c>
      <c r="F20" s="143" t="s">
        <v>99</v>
      </c>
      <c r="G20" s="111" t="s">
        <v>100</v>
      </c>
      <c r="H20" s="111" t="s">
        <v>51</v>
      </c>
      <c r="I20" s="87" t="s">
        <v>92</v>
      </c>
      <c r="J20" s="111" t="s">
        <v>52</v>
      </c>
      <c r="K20" s="111" t="s">
        <v>129</v>
      </c>
      <c r="L20" s="2">
        <v>1</v>
      </c>
      <c r="M20" s="43" t="s">
        <v>54</v>
      </c>
      <c r="N20" s="2" t="s">
        <v>55</v>
      </c>
      <c r="O20" s="2">
        <v>3</v>
      </c>
      <c r="P20" s="21" t="s">
        <v>112</v>
      </c>
      <c r="Q20" s="44">
        <v>45986</v>
      </c>
      <c r="R20" s="44">
        <v>45986</v>
      </c>
      <c r="S20" s="2">
        <v>3</v>
      </c>
      <c r="T20" s="2" t="s">
        <v>55</v>
      </c>
      <c r="U20" s="18" t="s">
        <v>55</v>
      </c>
      <c r="V20" s="18" t="s">
        <v>55</v>
      </c>
      <c r="W20" s="18" t="s">
        <v>55</v>
      </c>
      <c r="X20" s="18" t="s">
        <v>55</v>
      </c>
      <c r="Y20" s="18" t="s">
        <v>55</v>
      </c>
      <c r="Z20" s="18" t="s">
        <v>55</v>
      </c>
      <c r="AA20" s="2">
        <v>2</v>
      </c>
      <c r="AB20" s="2">
        <v>2</v>
      </c>
      <c r="AC20" s="2">
        <v>0</v>
      </c>
      <c r="AD20" s="53">
        <v>46003</v>
      </c>
      <c r="AE20" s="53">
        <v>46003</v>
      </c>
      <c r="AF20" s="53">
        <v>46003</v>
      </c>
      <c r="AG20" s="53">
        <v>46010</v>
      </c>
      <c r="AH20" s="53">
        <v>46027</v>
      </c>
      <c r="AI20" s="3">
        <f t="shared" si="0"/>
        <v>1</v>
      </c>
      <c r="AJ20" s="46" t="s">
        <v>137</v>
      </c>
      <c r="AK20" s="46" t="s">
        <v>138</v>
      </c>
      <c r="AL20" s="19">
        <f t="shared" si="3"/>
        <v>1</v>
      </c>
      <c r="AM20" s="67">
        <f>IFERROR(NETWORKDAYS(D20,Q20,Hoja1!$A$1:$A$29),"N/A")</f>
        <v>9</v>
      </c>
      <c r="AN20" s="21">
        <f>IFERROR(NETWORKDAYS(D20,AE20,Hoja1!$A$1:$A$29),"N/A")</f>
        <v>21</v>
      </c>
      <c r="AO20" s="78">
        <v>4</v>
      </c>
      <c r="AP20" s="21">
        <f t="shared" si="1"/>
        <v>17</v>
      </c>
      <c r="AQ20" s="21">
        <f>IFERROR(NETWORKDAYS(AF20,AG20,Hoja1!$A$1:$A$29),"N/A")</f>
        <v>6</v>
      </c>
      <c r="AR20" s="78">
        <v>2</v>
      </c>
      <c r="AS20" s="75">
        <f t="shared" si="4"/>
        <v>4</v>
      </c>
      <c r="AT20" s="21">
        <f>IFERROR(NETWORKDAYS(D20,AG20,Hoja1!$A$1:$A$29),"N/A")</f>
        <v>26</v>
      </c>
      <c r="AU20" s="21">
        <f t="shared" si="2"/>
        <v>20</v>
      </c>
      <c r="AV20" s="69" t="s">
        <v>59</v>
      </c>
      <c r="AW20" s="27" t="s">
        <v>139</v>
      </c>
      <c r="AX20" s="27" t="s">
        <v>445</v>
      </c>
      <c r="AY20" s="46"/>
      <c r="AZ20" s="46"/>
      <c r="BA20" s="46"/>
      <c r="BB20" s="46"/>
    </row>
    <row r="21" spans="1:54" ht="15" customHeight="1" x14ac:dyDescent="0.25">
      <c r="A21" s="55">
        <v>15144</v>
      </c>
      <c r="B21" s="14" t="s">
        <v>69</v>
      </c>
      <c r="C21" s="14" t="s">
        <v>122</v>
      </c>
      <c r="D21" s="15">
        <v>45967</v>
      </c>
      <c r="E21" s="16">
        <v>45961</v>
      </c>
      <c r="F21" s="179" t="s">
        <v>62</v>
      </c>
      <c r="G21" s="23" t="s">
        <v>71</v>
      </c>
      <c r="H21" s="22" t="s">
        <v>140</v>
      </c>
      <c r="I21" s="27" t="s">
        <v>141</v>
      </c>
      <c r="J21" s="87" t="s">
        <v>142</v>
      </c>
      <c r="K21" s="23" t="s">
        <v>66</v>
      </c>
      <c r="L21" s="17">
        <v>1</v>
      </c>
      <c r="M21" s="22" t="s">
        <v>54</v>
      </c>
      <c r="N21" s="16" t="s">
        <v>55</v>
      </c>
      <c r="O21" s="1">
        <v>0</v>
      </c>
      <c r="P21" s="1"/>
      <c r="Q21" s="16" t="s">
        <v>55</v>
      </c>
      <c r="R21" s="16" t="s">
        <v>55</v>
      </c>
      <c r="S21" s="1">
        <v>0</v>
      </c>
      <c r="T21" s="16" t="s">
        <v>55</v>
      </c>
      <c r="U21" s="16">
        <v>45968</v>
      </c>
      <c r="V21" s="16">
        <v>45980</v>
      </c>
      <c r="W21" s="16" t="s">
        <v>55</v>
      </c>
      <c r="X21" s="16" t="s">
        <v>55</v>
      </c>
      <c r="Y21" s="16" t="s">
        <v>55</v>
      </c>
      <c r="Z21" s="16" t="s">
        <v>55</v>
      </c>
      <c r="AA21" s="1">
        <v>3</v>
      </c>
      <c r="AB21" s="1">
        <v>3</v>
      </c>
      <c r="AC21" s="1">
        <v>0</v>
      </c>
      <c r="AD21" s="16">
        <v>46013</v>
      </c>
      <c r="AE21" s="16">
        <v>46027</v>
      </c>
      <c r="AF21" s="16">
        <v>46028</v>
      </c>
      <c r="AG21" s="16">
        <v>46045</v>
      </c>
      <c r="AH21" s="16">
        <v>46045</v>
      </c>
      <c r="AI21" s="3">
        <f t="shared" si="0"/>
        <v>1</v>
      </c>
      <c r="AJ21" s="27" t="s">
        <v>143</v>
      </c>
      <c r="AK21" s="49" t="s">
        <v>144</v>
      </c>
      <c r="AL21" s="19" t="str">
        <f t="shared" si="3"/>
        <v>N/A</v>
      </c>
      <c r="AM21" s="67" t="str">
        <f>IFERROR(NETWORKDAYS(D21,Q21,Hoja1!$A$1:$A$29),"N/A")</f>
        <v>N/A</v>
      </c>
      <c r="AN21" s="21">
        <f>IFERROR(NETWORKDAYS(D21,AE21,Hoja1!$A$1:$A$29),"N/A")</f>
        <v>39</v>
      </c>
      <c r="AO21" s="78">
        <v>16</v>
      </c>
      <c r="AP21" s="21">
        <f t="shared" si="1"/>
        <v>23</v>
      </c>
      <c r="AQ21" s="21">
        <f>IFERROR(NETWORKDAYS(AF21,AG21,Hoja1!$A$1:$A$29),"N/A")</f>
        <v>13</v>
      </c>
      <c r="AR21" s="74">
        <v>8</v>
      </c>
      <c r="AS21" s="75">
        <f t="shared" si="4"/>
        <v>5</v>
      </c>
      <c r="AT21" s="21">
        <f>IFERROR(NETWORKDAYS(D21,AG21,Hoja1!$A$1:$A$29),"N/A")</f>
        <v>52</v>
      </c>
      <c r="AU21" s="21">
        <f t="shared" si="2"/>
        <v>28</v>
      </c>
      <c r="AV21" s="69" t="s">
        <v>145</v>
      </c>
      <c r="AW21" s="27" t="s">
        <v>146</v>
      </c>
      <c r="AX21" s="27"/>
      <c r="AY21" s="27"/>
      <c r="AZ21" s="27"/>
      <c r="BA21" s="27"/>
      <c r="BB21" s="27"/>
    </row>
    <row r="22" spans="1:54" ht="15" customHeight="1" x14ac:dyDescent="0.25">
      <c r="A22" s="54">
        <v>15147</v>
      </c>
      <c r="B22" s="29" t="s">
        <v>85</v>
      </c>
      <c r="C22" s="29" t="s">
        <v>85</v>
      </c>
      <c r="D22" s="418">
        <v>45957</v>
      </c>
      <c r="E22" s="30">
        <v>45957</v>
      </c>
      <c r="F22" s="202" t="s">
        <v>62</v>
      </c>
      <c r="G22" s="207" t="s">
        <v>71</v>
      </c>
      <c r="H22" s="48" t="s">
        <v>140</v>
      </c>
      <c r="I22" s="87" t="s">
        <v>147</v>
      </c>
      <c r="J22" s="87" t="s">
        <v>142</v>
      </c>
      <c r="K22" s="87" t="s">
        <v>86</v>
      </c>
      <c r="L22" s="3">
        <v>1</v>
      </c>
      <c r="M22" s="32" t="s">
        <v>54</v>
      </c>
      <c r="N22" s="28" t="s">
        <v>55</v>
      </c>
      <c r="O22" s="33">
        <v>0</v>
      </c>
      <c r="P22" s="33"/>
      <c r="Q22" s="28" t="s">
        <v>55</v>
      </c>
      <c r="R22" s="28" t="s">
        <v>55</v>
      </c>
      <c r="S22" s="33">
        <v>0</v>
      </c>
      <c r="T22" s="28" t="s">
        <v>55</v>
      </c>
      <c r="U22" s="28">
        <v>45958</v>
      </c>
      <c r="V22" s="28">
        <v>45968</v>
      </c>
      <c r="W22" s="28" t="s">
        <v>55</v>
      </c>
      <c r="X22" s="28" t="s">
        <v>55</v>
      </c>
      <c r="Y22" s="28" t="s">
        <v>55</v>
      </c>
      <c r="Z22" s="28">
        <v>46010</v>
      </c>
      <c r="AA22" s="33">
        <v>2</v>
      </c>
      <c r="AB22" s="33">
        <v>2</v>
      </c>
      <c r="AC22" s="33">
        <v>0</v>
      </c>
      <c r="AD22" s="28">
        <v>46017</v>
      </c>
      <c r="AE22" s="28">
        <v>46024</v>
      </c>
      <c r="AF22" s="28">
        <v>46027</v>
      </c>
      <c r="AG22" s="28">
        <v>46031</v>
      </c>
      <c r="AH22" s="28">
        <v>46035</v>
      </c>
      <c r="AI22" s="3">
        <f t="shared" si="0"/>
        <v>1</v>
      </c>
      <c r="AJ22" s="45" t="s">
        <v>148</v>
      </c>
      <c r="AK22" s="45" t="s">
        <v>149</v>
      </c>
      <c r="AL22" s="19" t="str">
        <f t="shared" si="3"/>
        <v>N/A</v>
      </c>
      <c r="AM22" s="67" t="str">
        <f>IFERROR(NETWORKDAYS(D22,Q22,Hoja1!$A$1:$A$29),"N/A")</f>
        <v>N/A</v>
      </c>
      <c r="AN22" s="21">
        <f>IFERROR(NETWORKDAYS(D22,AE22,Hoja1!$A$1:$A$29),"N/A")</f>
        <v>45</v>
      </c>
      <c r="AO22" s="78">
        <v>22</v>
      </c>
      <c r="AP22" s="21">
        <f t="shared" si="1"/>
        <v>23</v>
      </c>
      <c r="AQ22" s="21">
        <f>IFERROR(NETWORKDAYS(AF22,AG22,Hoja1!$A$1:$A$29),"N/A")</f>
        <v>5</v>
      </c>
      <c r="AR22" s="74">
        <v>0</v>
      </c>
      <c r="AS22" s="75">
        <f t="shared" si="4"/>
        <v>5</v>
      </c>
      <c r="AT22" s="21">
        <f>IFERROR(NETWORKDAYS(D22,AG22,Hoja1!$A$1:$A$29),"N/A")</f>
        <v>50</v>
      </c>
      <c r="AU22" s="21">
        <f t="shared" si="2"/>
        <v>28</v>
      </c>
      <c r="AV22" s="69" t="s">
        <v>145</v>
      </c>
      <c r="AW22" s="27" t="s">
        <v>150</v>
      </c>
      <c r="AX22" s="45"/>
      <c r="AY22" s="45"/>
      <c r="AZ22" s="45"/>
      <c r="BA22" s="45"/>
      <c r="BB22" s="45"/>
    </row>
    <row r="23" spans="1:54" ht="15" customHeight="1" x14ac:dyDescent="0.25">
      <c r="A23" s="54">
        <v>15153</v>
      </c>
      <c r="B23" s="14" t="s">
        <v>69</v>
      </c>
      <c r="C23" s="40" t="s">
        <v>151</v>
      </c>
      <c r="D23" s="30">
        <v>45936</v>
      </c>
      <c r="E23" s="30">
        <v>46019</v>
      </c>
      <c r="F23" s="84" t="s">
        <v>62</v>
      </c>
      <c r="G23" s="207" t="s">
        <v>71</v>
      </c>
      <c r="H23" s="111" t="s">
        <v>51</v>
      </c>
      <c r="I23" s="87" t="s">
        <v>152</v>
      </c>
      <c r="J23" s="87" t="s">
        <v>142</v>
      </c>
      <c r="K23" s="87" t="s">
        <v>74</v>
      </c>
      <c r="L23" s="3">
        <v>1</v>
      </c>
      <c r="M23" s="40" t="s">
        <v>54</v>
      </c>
      <c r="N23" s="30" t="s">
        <v>55</v>
      </c>
      <c r="O23" s="3">
        <v>4</v>
      </c>
      <c r="P23" s="33" t="s">
        <v>112</v>
      </c>
      <c r="Q23" s="30">
        <v>45939</v>
      </c>
      <c r="R23" s="30">
        <v>45994</v>
      </c>
      <c r="S23" s="3">
        <v>4</v>
      </c>
      <c r="T23" s="37" t="s">
        <v>55</v>
      </c>
      <c r="U23" s="18" t="s">
        <v>55</v>
      </c>
      <c r="V23" s="18" t="s">
        <v>55</v>
      </c>
      <c r="W23" s="18" t="s">
        <v>55</v>
      </c>
      <c r="X23" s="18" t="s">
        <v>55</v>
      </c>
      <c r="Y23" s="18" t="s">
        <v>55</v>
      </c>
      <c r="Z23" s="18" t="s">
        <v>55</v>
      </c>
      <c r="AA23" s="3">
        <v>3</v>
      </c>
      <c r="AB23" s="3">
        <v>3</v>
      </c>
      <c r="AC23" s="3">
        <v>0</v>
      </c>
      <c r="AD23" s="28">
        <v>46001</v>
      </c>
      <c r="AE23" s="28">
        <v>46007</v>
      </c>
      <c r="AF23" s="28">
        <v>46013</v>
      </c>
      <c r="AG23" s="28">
        <v>46024</v>
      </c>
      <c r="AH23" s="28">
        <v>46027</v>
      </c>
      <c r="AI23" s="3">
        <f t="shared" si="0"/>
        <v>1</v>
      </c>
      <c r="AJ23" s="45" t="s">
        <v>153</v>
      </c>
      <c r="AK23" s="45" t="s">
        <v>154</v>
      </c>
      <c r="AL23" s="19">
        <f t="shared" si="3"/>
        <v>1</v>
      </c>
      <c r="AM23" s="67">
        <f>IFERROR(NETWORKDAYS(D23,Q23,Hoja1!$A$1:$A$29),"N/A")</f>
        <v>4</v>
      </c>
      <c r="AN23" s="21">
        <f>IFERROR(NETWORKDAYS(D23,AE23,Hoja1!$A$1:$A$29),"N/A")</f>
        <v>48</v>
      </c>
      <c r="AO23" s="78">
        <v>33</v>
      </c>
      <c r="AP23" s="21">
        <f t="shared" si="1"/>
        <v>15</v>
      </c>
      <c r="AQ23" s="21">
        <f>IFERROR(NETWORKDAYS(AF23,AG23,Hoja1!$A$1:$A$29),"N/A")</f>
        <v>8</v>
      </c>
      <c r="AR23" s="74">
        <v>3</v>
      </c>
      <c r="AS23" s="75">
        <f t="shared" si="4"/>
        <v>5</v>
      </c>
      <c r="AT23" s="21">
        <f>IFERROR(NETWORKDAYS(D23,AG23,Hoja1!$A$1:$A$29),"N/A")</f>
        <v>59</v>
      </c>
      <c r="AU23" s="21">
        <f t="shared" si="2"/>
        <v>23</v>
      </c>
      <c r="AV23" s="69" t="s">
        <v>59</v>
      </c>
      <c r="AW23" s="27" t="s">
        <v>155</v>
      </c>
      <c r="AX23" s="45"/>
      <c r="AY23" s="45"/>
      <c r="AZ23" s="45"/>
      <c r="BA23" s="45"/>
      <c r="BB23" s="45"/>
    </row>
    <row r="24" spans="1:54" ht="15" customHeight="1" x14ac:dyDescent="0.25">
      <c r="A24" s="54">
        <v>15166</v>
      </c>
      <c r="B24" s="20" t="s">
        <v>79</v>
      </c>
      <c r="C24" s="20" t="s">
        <v>79</v>
      </c>
      <c r="D24" s="418">
        <v>45960</v>
      </c>
      <c r="E24" s="42">
        <v>45960</v>
      </c>
      <c r="F24" s="84" t="s">
        <v>62</v>
      </c>
      <c r="G24" s="207" t="s">
        <v>71</v>
      </c>
      <c r="H24" s="111" t="s">
        <v>51</v>
      </c>
      <c r="I24" s="87" t="s">
        <v>96</v>
      </c>
      <c r="J24" s="22" t="s">
        <v>73</v>
      </c>
      <c r="K24" s="87" t="s">
        <v>74</v>
      </c>
      <c r="L24" s="3">
        <v>1</v>
      </c>
      <c r="M24" s="40" t="s">
        <v>54</v>
      </c>
      <c r="N24" s="30" t="s">
        <v>55</v>
      </c>
      <c r="O24" s="3">
        <v>2</v>
      </c>
      <c r="P24" s="33" t="s">
        <v>112</v>
      </c>
      <c r="Q24" s="30">
        <v>45972</v>
      </c>
      <c r="R24" s="30">
        <v>45981</v>
      </c>
      <c r="S24" s="3">
        <v>2</v>
      </c>
      <c r="T24" s="37" t="s">
        <v>55</v>
      </c>
      <c r="U24" s="18" t="s">
        <v>55</v>
      </c>
      <c r="V24" s="18" t="s">
        <v>55</v>
      </c>
      <c r="W24" s="18" t="s">
        <v>55</v>
      </c>
      <c r="X24" s="18" t="s">
        <v>55</v>
      </c>
      <c r="Y24" s="18" t="s">
        <v>55</v>
      </c>
      <c r="Z24" s="18" t="s">
        <v>55</v>
      </c>
      <c r="AA24" s="3">
        <v>1</v>
      </c>
      <c r="AB24" s="3">
        <v>1</v>
      </c>
      <c r="AC24" s="3">
        <v>0</v>
      </c>
      <c r="AD24" s="28">
        <v>45988</v>
      </c>
      <c r="AE24" s="28">
        <v>45992</v>
      </c>
      <c r="AF24" s="28">
        <v>46007</v>
      </c>
      <c r="AG24" s="28">
        <v>46041</v>
      </c>
      <c r="AH24" s="28">
        <v>46044</v>
      </c>
      <c r="AI24" s="3">
        <f t="shared" si="0"/>
        <v>1</v>
      </c>
      <c r="AJ24" s="45" t="s">
        <v>156</v>
      </c>
      <c r="AK24" s="45" t="s">
        <v>157</v>
      </c>
      <c r="AL24" s="19">
        <f t="shared" si="3"/>
        <v>1</v>
      </c>
      <c r="AM24" s="67">
        <f>IFERROR(NETWORKDAYS(D24,Q24,Hoja1!$A$1:$A$29),"N/A")</f>
        <v>8</v>
      </c>
      <c r="AN24" s="21">
        <f>IFERROR(NETWORKDAYS(D24,AE24,Hoja1!$A$1:$A$29),"N/A")</f>
        <v>21</v>
      </c>
      <c r="AO24" s="78">
        <v>6</v>
      </c>
      <c r="AP24" s="21">
        <f t="shared" si="1"/>
        <v>15</v>
      </c>
      <c r="AQ24" s="21">
        <f>IFERROR(NETWORKDAYS(AF24,AG24,Hoja1!$A$1:$A$29),"N/A")</f>
        <v>22</v>
      </c>
      <c r="AR24" s="74">
        <v>17</v>
      </c>
      <c r="AS24" s="75">
        <f t="shared" si="4"/>
        <v>5</v>
      </c>
      <c r="AT24" s="21">
        <f>IFERROR(NETWORKDAYS(D24,AG24,Hoja1!$A$1:$A$29),"N/A")</f>
        <v>52</v>
      </c>
      <c r="AU24" s="21">
        <f t="shared" si="2"/>
        <v>29</v>
      </c>
      <c r="AV24" s="69" t="s">
        <v>77</v>
      </c>
      <c r="AW24" s="27" t="s">
        <v>78</v>
      </c>
      <c r="AX24" s="45"/>
      <c r="AY24" s="45"/>
      <c r="AZ24" s="45"/>
      <c r="BA24" s="45"/>
      <c r="BB24" s="45"/>
    </row>
    <row r="25" spans="1:54" ht="15" customHeight="1" x14ac:dyDescent="0.25">
      <c r="A25" s="55">
        <v>15183</v>
      </c>
      <c r="B25" s="14" t="s">
        <v>69</v>
      </c>
      <c r="C25" s="14" t="s">
        <v>122</v>
      </c>
      <c r="D25" s="15">
        <v>45965</v>
      </c>
      <c r="E25" s="16">
        <v>45965</v>
      </c>
      <c r="F25" s="179" t="s">
        <v>62</v>
      </c>
      <c r="G25" s="23" t="s">
        <v>80</v>
      </c>
      <c r="H25" s="23" t="s">
        <v>51</v>
      </c>
      <c r="I25" s="20" t="s">
        <v>117</v>
      </c>
      <c r="J25" s="207" t="s">
        <v>118</v>
      </c>
      <c r="K25" s="23" t="s">
        <v>66</v>
      </c>
      <c r="L25" s="17">
        <v>1</v>
      </c>
      <c r="M25" s="27" t="s">
        <v>54</v>
      </c>
      <c r="N25" s="16" t="s">
        <v>55</v>
      </c>
      <c r="O25" s="1">
        <v>7</v>
      </c>
      <c r="P25" s="1" t="s">
        <v>56</v>
      </c>
      <c r="Q25" s="16">
        <v>45968</v>
      </c>
      <c r="R25" s="16">
        <v>45974</v>
      </c>
      <c r="S25" s="1">
        <v>7</v>
      </c>
      <c r="T25" s="16" t="s">
        <v>55</v>
      </c>
      <c r="U25" s="18" t="s">
        <v>55</v>
      </c>
      <c r="V25" s="18" t="s">
        <v>55</v>
      </c>
      <c r="W25" s="18" t="s">
        <v>55</v>
      </c>
      <c r="X25" s="18" t="s">
        <v>55</v>
      </c>
      <c r="Y25" s="18" t="s">
        <v>55</v>
      </c>
      <c r="Z25" s="18" t="s">
        <v>55</v>
      </c>
      <c r="AA25" s="1">
        <v>2</v>
      </c>
      <c r="AB25" s="1">
        <v>2</v>
      </c>
      <c r="AC25" s="1">
        <v>0</v>
      </c>
      <c r="AD25" s="16">
        <v>46007</v>
      </c>
      <c r="AE25" s="16">
        <v>46008</v>
      </c>
      <c r="AF25" s="16">
        <v>46009</v>
      </c>
      <c r="AG25" s="16">
        <v>46045</v>
      </c>
      <c r="AH25" s="16">
        <v>46045</v>
      </c>
      <c r="AI25" s="3">
        <f t="shared" si="0"/>
        <v>1</v>
      </c>
      <c r="AJ25" s="27" t="s">
        <v>158</v>
      </c>
      <c r="AK25" s="27" t="s">
        <v>159</v>
      </c>
      <c r="AL25" s="19">
        <f t="shared" si="3"/>
        <v>1</v>
      </c>
      <c r="AM25" s="67">
        <f>IFERROR(NETWORKDAYS(D25,Q25,Hoja1!$A$1:$A$29),"N/A")</f>
        <v>4</v>
      </c>
      <c r="AN25" s="21">
        <f>IFERROR(NETWORKDAYS(D25,AE25,Hoja1!$A$1:$A$29),"N/A")</f>
        <v>30</v>
      </c>
      <c r="AO25" s="78">
        <v>14</v>
      </c>
      <c r="AP25" s="21">
        <f t="shared" si="1"/>
        <v>16</v>
      </c>
      <c r="AQ25" s="21">
        <f>IFERROR(NETWORKDAYS(AF25,AG25,Hoja1!$A$1:$A$29),"N/A")</f>
        <v>24</v>
      </c>
      <c r="AR25" s="74">
        <v>19</v>
      </c>
      <c r="AS25" s="75">
        <f t="shared" si="4"/>
        <v>5</v>
      </c>
      <c r="AT25" s="21">
        <f>IFERROR(NETWORKDAYS(D25,AG25,Hoja1!$A$1:$A$29),"N/A")</f>
        <v>54</v>
      </c>
      <c r="AU25" s="21">
        <f t="shared" si="2"/>
        <v>21</v>
      </c>
      <c r="AV25" s="69" t="s">
        <v>59</v>
      </c>
      <c r="AW25" s="27" t="s">
        <v>160</v>
      </c>
      <c r="AX25" s="27"/>
      <c r="AY25" s="27"/>
      <c r="AZ25" s="27"/>
      <c r="BA25" s="27"/>
      <c r="BB25" s="27"/>
    </row>
    <row r="26" spans="1:54" ht="15" customHeight="1" x14ac:dyDescent="0.25">
      <c r="A26" s="54">
        <v>15204</v>
      </c>
      <c r="B26" s="29" t="s">
        <v>85</v>
      </c>
      <c r="C26" s="29" t="s">
        <v>85</v>
      </c>
      <c r="D26" s="421">
        <v>45965</v>
      </c>
      <c r="E26" s="28">
        <v>45965</v>
      </c>
      <c r="F26" s="202" t="s">
        <v>62</v>
      </c>
      <c r="G26" s="207" t="s">
        <v>71</v>
      </c>
      <c r="H26" s="159" t="s">
        <v>101</v>
      </c>
      <c r="I26" s="207" t="s">
        <v>96</v>
      </c>
      <c r="J26" s="22" t="s">
        <v>73</v>
      </c>
      <c r="K26" s="87" t="s">
        <v>86</v>
      </c>
      <c r="L26" s="3">
        <v>1</v>
      </c>
      <c r="M26" s="32" t="s">
        <v>54</v>
      </c>
      <c r="N26" s="28" t="s">
        <v>55</v>
      </c>
      <c r="O26" s="33">
        <v>0</v>
      </c>
      <c r="P26" s="33"/>
      <c r="Q26" s="28" t="s">
        <v>55</v>
      </c>
      <c r="R26" s="28" t="s">
        <v>55</v>
      </c>
      <c r="S26" s="33">
        <v>0</v>
      </c>
      <c r="T26" s="28" t="s">
        <v>55</v>
      </c>
      <c r="U26" s="18" t="s">
        <v>55</v>
      </c>
      <c r="V26" s="18" t="s">
        <v>55</v>
      </c>
      <c r="W26" s="18" t="s">
        <v>55</v>
      </c>
      <c r="X26" s="18" t="s">
        <v>55</v>
      </c>
      <c r="Y26" s="18" t="s">
        <v>55</v>
      </c>
      <c r="Z26" s="18" t="s">
        <v>55</v>
      </c>
      <c r="AA26" s="33">
        <v>2</v>
      </c>
      <c r="AB26" s="33">
        <v>2</v>
      </c>
      <c r="AC26" s="33">
        <v>0</v>
      </c>
      <c r="AD26" s="28">
        <v>45985</v>
      </c>
      <c r="AE26" s="28">
        <v>45989</v>
      </c>
      <c r="AF26" s="28">
        <v>45992</v>
      </c>
      <c r="AG26" s="28">
        <v>46024</v>
      </c>
      <c r="AH26" s="28">
        <v>46027</v>
      </c>
      <c r="AI26" s="3">
        <f t="shared" si="0"/>
        <v>1</v>
      </c>
      <c r="AJ26" s="45" t="s">
        <v>161</v>
      </c>
      <c r="AK26" s="45" t="s">
        <v>162</v>
      </c>
      <c r="AL26" s="19" t="str">
        <f t="shared" si="3"/>
        <v>N/A</v>
      </c>
      <c r="AM26" s="67" t="str">
        <f>IFERROR(NETWORKDAYS(D26,Q26,Hoja1!$A$1:$A$29),"N/A")</f>
        <v>N/A</v>
      </c>
      <c r="AN26" s="21">
        <f>IFERROR(NETWORKDAYS(D26,AE26,Hoja1!$A$1:$A$29),"N/A")</f>
        <v>18</v>
      </c>
      <c r="AO26" s="78">
        <v>0</v>
      </c>
      <c r="AP26" s="21">
        <f t="shared" si="1"/>
        <v>18</v>
      </c>
      <c r="AQ26" s="21">
        <f>IFERROR(NETWORKDAYS(AF26,AG26,Hoja1!$A$1:$A$29),"N/A")</f>
        <v>22</v>
      </c>
      <c r="AR26" s="74">
        <v>17</v>
      </c>
      <c r="AS26" s="75">
        <f t="shared" si="4"/>
        <v>5</v>
      </c>
      <c r="AT26" s="21">
        <f>IFERROR(NETWORKDAYS(D26,AG26,Hoja1!$A$1:$A$29),"N/A")</f>
        <v>40</v>
      </c>
      <c r="AU26" s="21">
        <f t="shared" si="2"/>
        <v>23</v>
      </c>
      <c r="AV26" s="69" t="s">
        <v>104</v>
      </c>
      <c r="AW26" s="27" t="s">
        <v>89</v>
      </c>
      <c r="AX26" s="45"/>
      <c r="AY26" s="45"/>
      <c r="AZ26" s="45"/>
      <c r="BA26" s="45"/>
      <c r="BB26" s="45"/>
    </row>
    <row r="27" spans="1:54" ht="15" customHeight="1" x14ac:dyDescent="0.25">
      <c r="A27" s="55">
        <v>15211</v>
      </c>
      <c r="B27" s="20" t="s">
        <v>79</v>
      </c>
      <c r="C27" s="20" t="s">
        <v>79</v>
      </c>
      <c r="D27" s="15">
        <v>45966</v>
      </c>
      <c r="E27" s="16">
        <v>45966</v>
      </c>
      <c r="F27" s="179" t="s">
        <v>163</v>
      </c>
      <c r="G27" s="14" t="s">
        <v>164</v>
      </c>
      <c r="H27" s="14" t="s">
        <v>51</v>
      </c>
      <c r="I27" s="87" t="s">
        <v>92</v>
      </c>
      <c r="J27" s="27" t="s">
        <v>52</v>
      </c>
      <c r="K27" s="23" t="s">
        <v>165</v>
      </c>
      <c r="L27" s="17">
        <v>1</v>
      </c>
      <c r="M27" s="40" t="s">
        <v>54</v>
      </c>
      <c r="N27" s="1" t="s">
        <v>55</v>
      </c>
      <c r="O27" s="1">
        <v>6</v>
      </c>
      <c r="P27" s="1" t="s">
        <v>112</v>
      </c>
      <c r="Q27" s="16">
        <v>45971</v>
      </c>
      <c r="R27" s="16">
        <v>45974</v>
      </c>
      <c r="S27" s="1">
        <v>6</v>
      </c>
      <c r="T27" s="1" t="s">
        <v>55</v>
      </c>
      <c r="U27" s="18" t="s">
        <v>55</v>
      </c>
      <c r="V27" s="18" t="s">
        <v>55</v>
      </c>
      <c r="W27" s="18" t="s">
        <v>55</v>
      </c>
      <c r="X27" s="18" t="s">
        <v>55</v>
      </c>
      <c r="Y27" s="18" t="s">
        <v>55</v>
      </c>
      <c r="Z27" s="18" t="s">
        <v>55</v>
      </c>
      <c r="AA27" s="1">
        <v>2</v>
      </c>
      <c r="AB27" s="1">
        <v>2</v>
      </c>
      <c r="AC27" s="1">
        <v>0</v>
      </c>
      <c r="AD27" s="16">
        <v>45987</v>
      </c>
      <c r="AE27" s="16">
        <v>45989</v>
      </c>
      <c r="AF27" s="16">
        <v>45989</v>
      </c>
      <c r="AG27" s="16">
        <v>46002</v>
      </c>
      <c r="AH27" s="16">
        <v>46027</v>
      </c>
      <c r="AI27" s="3">
        <f t="shared" si="0"/>
        <v>1</v>
      </c>
      <c r="AJ27" s="20" t="s">
        <v>166</v>
      </c>
      <c r="AK27" s="27" t="s">
        <v>167</v>
      </c>
      <c r="AL27" s="19">
        <f t="shared" si="3"/>
        <v>1</v>
      </c>
      <c r="AM27" s="67">
        <f>IFERROR(NETWORKDAYS(D27,Q27,Hoja1!$A$1:$A$29),"N/A")</f>
        <v>4</v>
      </c>
      <c r="AN27" s="21">
        <f>IFERROR(NETWORKDAYS(D27,AE27,Hoja1!$A$1:$A$29),"N/A")</f>
        <v>17</v>
      </c>
      <c r="AO27" s="78">
        <v>3</v>
      </c>
      <c r="AP27" s="21">
        <f t="shared" si="1"/>
        <v>14</v>
      </c>
      <c r="AQ27" s="21">
        <f>IFERROR(NETWORKDAYS(AF27,AG27,Hoja1!$A$1:$A$29),"N/A")</f>
        <v>9</v>
      </c>
      <c r="AR27" s="74">
        <v>4</v>
      </c>
      <c r="AS27" s="75">
        <f t="shared" si="4"/>
        <v>5</v>
      </c>
      <c r="AT27" s="21">
        <f>IFERROR(NETWORKDAYS(D27,AG27,Hoja1!$A$1:$A$29),"N/A")</f>
        <v>25</v>
      </c>
      <c r="AU27" s="21">
        <f t="shared" si="2"/>
        <v>18</v>
      </c>
      <c r="AV27" s="69" t="s">
        <v>59</v>
      </c>
      <c r="AW27" s="27" t="s">
        <v>168</v>
      </c>
      <c r="AX27" s="27"/>
      <c r="AY27" s="27"/>
      <c r="AZ27" s="27"/>
      <c r="BA27" s="27"/>
      <c r="BB27" s="27"/>
    </row>
    <row r="28" spans="1:54" ht="15" customHeight="1" x14ac:dyDescent="0.25">
      <c r="A28" s="54">
        <v>15228</v>
      </c>
      <c r="B28" s="40" t="s">
        <v>169</v>
      </c>
      <c r="C28" s="40" t="s">
        <v>169</v>
      </c>
      <c r="D28" s="24">
        <v>45968</v>
      </c>
      <c r="E28" s="24">
        <v>45968</v>
      </c>
      <c r="F28" s="84" t="s">
        <v>90</v>
      </c>
      <c r="G28" s="111" t="s">
        <v>91</v>
      </c>
      <c r="H28" s="111" t="s">
        <v>51</v>
      </c>
      <c r="I28" s="87" t="s">
        <v>170</v>
      </c>
      <c r="J28" s="87" t="s">
        <v>105</v>
      </c>
      <c r="K28" s="87" t="s">
        <v>171</v>
      </c>
      <c r="L28" s="3">
        <v>1</v>
      </c>
      <c r="M28" s="40" t="s">
        <v>54</v>
      </c>
      <c r="N28" s="3" t="s">
        <v>55</v>
      </c>
      <c r="O28" s="3">
        <v>3</v>
      </c>
      <c r="P28" s="33" t="s">
        <v>112</v>
      </c>
      <c r="Q28" s="30">
        <v>45987</v>
      </c>
      <c r="R28" s="30">
        <v>45987</v>
      </c>
      <c r="S28" s="3">
        <v>3</v>
      </c>
      <c r="T28" s="18" t="s">
        <v>55</v>
      </c>
      <c r="U28" s="18" t="s">
        <v>55</v>
      </c>
      <c r="V28" s="18" t="s">
        <v>55</v>
      </c>
      <c r="W28" s="18" t="s">
        <v>55</v>
      </c>
      <c r="X28" s="18" t="s">
        <v>55</v>
      </c>
      <c r="Y28" s="18" t="s">
        <v>55</v>
      </c>
      <c r="Z28" s="18" t="s">
        <v>55</v>
      </c>
      <c r="AA28" s="3">
        <v>3</v>
      </c>
      <c r="AB28" s="3">
        <v>1</v>
      </c>
      <c r="AC28" s="3">
        <v>0</v>
      </c>
      <c r="AD28" s="28">
        <v>45992</v>
      </c>
      <c r="AE28" s="28">
        <v>45992</v>
      </c>
      <c r="AF28" s="28">
        <v>45993</v>
      </c>
      <c r="AG28" s="28">
        <v>46024</v>
      </c>
      <c r="AH28" s="28">
        <v>46027</v>
      </c>
      <c r="AI28" s="3">
        <f t="shared" si="0"/>
        <v>1</v>
      </c>
      <c r="AJ28" s="45" t="s">
        <v>172</v>
      </c>
      <c r="AK28" s="49" t="s">
        <v>424</v>
      </c>
      <c r="AL28" s="19">
        <f t="shared" si="3"/>
        <v>1</v>
      </c>
      <c r="AM28" s="67">
        <f>IFERROR(NETWORKDAYS(D28,Q28,Hoja1!$A$1:$A$29),"N/A")</f>
        <v>13</v>
      </c>
      <c r="AN28" s="21">
        <f>IFERROR(NETWORKDAYS(D28,AE28,Hoja1!$A$1:$A$29),"N/A")</f>
        <v>16</v>
      </c>
      <c r="AO28" s="78">
        <v>0</v>
      </c>
      <c r="AP28" s="21">
        <f t="shared" si="1"/>
        <v>16</v>
      </c>
      <c r="AQ28" s="21">
        <f>IFERROR(NETWORKDAYS(AF28,AG28,Hoja1!$A$1:$A$29),"N/A")</f>
        <v>21</v>
      </c>
      <c r="AR28" s="74">
        <v>16</v>
      </c>
      <c r="AS28" s="75">
        <f t="shared" si="4"/>
        <v>5</v>
      </c>
      <c r="AT28" s="21">
        <f>IFERROR(NETWORKDAYS(D28,AG28,Hoja1!$A$1:$A$29),"N/A")</f>
        <v>37</v>
      </c>
      <c r="AU28" s="21">
        <f t="shared" si="2"/>
        <v>21</v>
      </c>
      <c r="AV28" s="69" t="s">
        <v>59</v>
      </c>
      <c r="AW28" s="27" t="s">
        <v>173</v>
      </c>
      <c r="AX28" s="45"/>
      <c r="AY28" s="45"/>
      <c r="AZ28" s="45"/>
      <c r="BA28" s="45"/>
      <c r="BB28" s="45"/>
    </row>
    <row r="29" spans="1:54" ht="15" customHeight="1" x14ac:dyDescent="0.25">
      <c r="A29" s="54">
        <v>15253</v>
      </c>
      <c r="B29" s="20" t="s">
        <v>79</v>
      </c>
      <c r="C29" s="20" t="s">
        <v>79</v>
      </c>
      <c r="D29" s="30">
        <v>45992</v>
      </c>
      <c r="E29" s="30">
        <v>45970</v>
      </c>
      <c r="F29" s="84" t="s">
        <v>62</v>
      </c>
      <c r="G29" s="207" t="s">
        <v>71</v>
      </c>
      <c r="H29" s="111" t="s">
        <v>116</v>
      </c>
      <c r="I29" s="87" t="s">
        <v>174</v>
      </c>
      <c r="J29" s="87" t="s">
        <v>142</v>
      </c>
      <c r="K29" s="87" t="s">
        <v>74</v>
      </c>
      <c r="L29" s="3">
        <v>1</v>
      </c>
      <c r="M29" s="40" t="s">
        <v>54</v>
      </c>
      <c r="N29" s="30" t="s">
        <v>55</v>
      </c>
      <c r="O29" s="3">
        <v>6</v>
      </c>
      <c r="P29" s="33" t="s">
        <v>56</v>
      </c>
      <c r="Q29" s="30">
        <v>45995</v>
      </c>
      <c r="R29" s="30">
        <v>46006</v>
      </c>
      <c r="S29" s="3">
        <v>6</v>
      </c>
      <c r="T29" s="37">
        <v>45973</v>
      </c>
      <c r="U29" s="37">
        <v>46002</v>
      </c>
      <c r="V29" s="37">
        <v>45979</v>
      </c>
      <c r="W29" s="37" t="s">
        <v>55</v>
      </c>
      <c r="X29" s="37" t="s">
        <v>55</v>
      </c>
      <c r="Y29" s="37" t="s">
        <v>55</v>
      </c>
      <c r="Z29" s="37" t="s">
        <v>55</v>
      </c>
      <c r="AA29" s="3">
        <v>2</v>
      </c>
      <c r="AB29" s="3">
        <v>1</v>
      </c>
      <c r="AC29" s="3">
        <v>0</v>
      </c>
      <c r="AD29" s="28">
        <v>46010</v>
      </c>
      <c r="AE29" s="28">
        <v>46010</v>
      </c>
      <c r="AF29" s="28">
        <v>46013</v>
      </c>
      <c r="AG29" s="28">
        <v>46024</v>
      </c>
      <c r="AH29" s="28">
        <v>46027</v>
      </c>
      <c r="AI29" s="3">
        <f t="shared" si="0"/>
        <v>1</v>
      </c>
      <c r="AJ29" s="45" t="s">
        <v>175</v>
      </c>
      <c r="AK29" s="45" t="s">
        <v>176</v>
      </c>
      <c r="AL29" s="19">
        <f t="shared" si="3"/>
        <v>1</v>
      </c>
      <c r="AM29" s="67">
        <f>IFERROR(NETWORKDAYS(D29,Q29,Hoja1!$A$1:$A$29),"N/A")</f>
        <v>4</v>
      </c>
      <c r="AN29" s="21">
        <f>IFERROR(NETWORKDAYS(D29,AE29,Hoja1!$A$1:$A$29),"N/A")</f>
        <v>14</v>
      </c>
      <c r="AO29" s="78">
        <v>0</v>
      </c>
      <c r="AP29" s="21">
        <f t="shared" si="1"/>
        <v>14</v>
      </c>
      <c r="AQ29" s="21">
        <f>IFERROR(NETWORKDAYS(AF29,AG29,Hoja1!$A$1:$A$29),"N/A")</f>
        <v>8</v>
      </c>
      <c r="AR29" s="74">
        <v>3</v>
      </c>
      <c r="AS29" s="75">
        <f t="shared" si="4"/>
        <v>5</v>
      </c>
      <c r="AT29" s="21">
        <f>IFERROR(NETWORKDAYS(D29,AG29,Hoja1!$A$1:$A$29),"N/A")</f>
        <v>22</v>
      </c>
      <c r="AU29" s="21">
        <f t="shared" si="2"/>
        <v>19</v>
      </c>
      <c r="AV29" s="69" t="s">
        <v>59</v>
      </c>
      <c r="AW29" s="27" t="s">
        <v>177</v>
      </c>
      <c r="AX29" s="46" t="s">
        <v>453</v>
      </c>
      <c r="AY29" s="45"/>
      <c r="AZ29" s="45"/>
      <c r="BA29" s="45"/>
      <c r="BB29" s="45"/>
    </row>
    <row r="30" spans="1:54" ht="15" customHeight="1" x14ac:dyDescent="0.25">
      <c r="A30" s="54">
        <v>15254</v>
      </c>
      <c r="B30" s="20" t="s">
        <v>79</v>
      </c>
      <c r="C30" s="20" t="s">
        <v>79</v>
      </c>
      <c r="D30" s="418">
        <v>45986</v>
      </c>
      <c r="E30" s="73">
        <v>45970</v>
      </c>
      <c r="F30" s="84" t="s">
        <v>62</v>
      </c>
      <c r="G30" s="207" t="s">
        <v>71</v>
      </c>
      <c r="H30" s="111" t="s">
        <v>140</v>
      </c>
      <c r="I30" s="87" t="s">
        <v>174</v>
      </c>
      <c r="J30" s="87" t="s">
        <v>142</v>
      </c>
      <c r="K30" s="87" t="s">
        <v>74</v>
      </c>
      <c r="L30" s="3">
        <v>1</v>
      </c>
      <c r="M30" s="40" t="s">
        <v>54</v>
      </c>
      <c r="N30" s="30" t="s">
        <v>55</v>
      </c>
      <c r="O30" s="3">
        <v>0</v>
      </c>
      <c r="P30" s="33"/>
      <c r="Q30" s="30" t="s">
        <v>55</v>
      </c>
      <c r="R30" s="30" t="s">
        <v>55</v>
      </c>
      <c r="S30" s="3">
        <v>0</v>
      </c>
      <c r="T30" s="37" t="s">
        <v>55</v>
      </c>
      <c r="U30" s="37" t="s">
        <v>55</v>
      </c>
      <c r="V30" s="37" t="s">
        <v>55</v>
      </c>
      <c r="W30" s="37" t="s">
        <v>55</v>
      </c>
      <c r="X30" s="37" t="s">
        <v>55</v>
      </c>
      <c r="Y30" s="37" t="s">
        <v>55</v>
      </c>
      <c r="Z30" s="37" t="s">
        <v>55</v>
      </c>
      <c r="AA30" s="3">
        <v>1</v>
      </c>
      <c r="AB30" s="3">
        <v>1</v>
      </c>
      <c r="AC30" s="3">
        <v>0</v>
      </c>
      <c r="AD30" s="28">
        <v>46000</v>
      </c>
      <c r="AE30" s="28">
        <v>46002</v>
      </c>
      <c r="AF30" s="28">
        <v>46009</v>
      </c>
      <c r="AG30" s="28">
        <v>46024</v>
      </c>
      <c r="AH30" s="28">
        <v>46027</v>
      </c>
      <c r="AI30" s="3">
        <f t="shared" si="0"/>
        <v>1</v>
      </c>
      <c r="AJ30" s="45" t="s">
        <v>178</v>
      </c>
      <c r="AK30" s="45" t="s">
        <v>179</v>
      </c>
      <c r="AL30" s="19" t="str">
        <f t="shared" si="3"/>
        <v>N/A</v>
      </c>
      <c r="AM30" s="67" t="str">
        <f>IFERROR(NETWORKDAYS(D30,Q30,Hoja1!$A$1:$A$29),"N/A")</f>
        <v>N/A</v>
      </c>
      <c r="AN30" s="21">
        <f>IFERROR(NETWORKDAYS(D30,AE30,Hoja1!$A$1:$A$29),"N/A")</f>
        <v>12</v>
      </c>
      <c r="AO30" s="78">
        <v>0</v>
      </c>
      <c r="AP30" s="21">
        <f t="shared" si="1"/>
        <v>12</v>
      </c>
      <c r="AQ30" s="21">
        <f>IFERROR(NETWORKDAYS(AF30,AG30,Hoja1!$A$1:$A$29),"N/A")</f>
        <v>10</v>
      </c>
      <c r="AR30" s="74">
        <v>5</v>
      </c>
      <c r="AS30" s="75">
        <f t="shared" si="4"/>
        <v>5</v>
      </c>
      <c r="AT30" s="21">
        <f>IFERROR(NETWORKDAYS(D30,AG30,Hoja1!$A$1:$A$29),"N/A")</f>
        <v>26</v>
      </c>
      <c r="AU30" s="21">
        <f t="shared" si="2"/>
        <v>21</v>
      </c>
      <c r="AV30" s="69" t="s">
        <v>145</v>
      </c>
      <c r="AW30" s="27" t="s">
        <v>180</v>
      </c>
      <c r="AX30" s="45"/>
      <c r="AY30" s="45"/>
      <c r="AZ30" s="45"/>
      <c r="BA30" s="45"/>
      <c r="BB30" s="45"/>
    </row>
    <row r="31" spans="1:54" ht="15" customHeight="1" x14ac:dyDescent="0.25">
      <c r="A31" s="54">
        <v>15279</v>
      </c>
      <c r="B31" s="20" t="s">
        <v>79</v>
      </c>
      <c r="C31" s="20" t="s">
        <v>79</v>
      </c>
      <c r="D31" s="30">
        <v>45973</v>
      </c>
      <c r="E31" s="30">
        <v>45973</v>
      </c>
      <c r="F31" s="84" t="s">
        <v>62</v>
      </c>
      <c r="G31" s="23" t="s">
        <v>80</v>
      </c>
      <c r="H31" s="111" t="s">
        <v>51</v>
      </c>
      <c r="I31" s="159" t="s">
        <v>1624</v>
      </c>
      <c r="J31" s="87" t="s">
        <v>105</v>
      </c>
      <c r="K31" s="87" t="s">
        <v>74</v>
      </c>
      <c r="L31" s="3">
        <v>1</v>
      </c>
      <c r="M31" s="40" t="s">
        <v>54</v>
      </c>
      <c r="N31" s="30" t="s">
        <v>55</v>
      </c>
      <c r="O31" s="3">
        <v>3</v>
      </c>
      <c r="P31" s="33" t="s">
        <v>112</v>
      </c>
      <c r="Q31" s="30">
        <v>45979</v>
      </c>
      <c r="R31" s="30">
        <v>45993</v>
      </c>
      <c r="S31" s="3">
        <v>3</v>
      </c>
      <c r="T31" s="37" t="s">
        <v>55</v>
      </c>
      <c r="U31" s="18" t="s">
        <v>55</v>
      </c>
      <c r="V31" s="18" t="s">
        <v>55</v>
      </c>
      <c r="W31" s="18" t="s">
        <v>55</v>
      </c>
      <c r="X31" s="18" t="s">
        <v>55</v>
      </c>
      <c r="Y31" s="18" t="s">
        <v>55</v>
      </c>
      <c r="Z31" s="18" t="s">
        <v>55</v>
      </c>
      <c r="AA31" s="3">
        <v>3</v>
      </c>
      <c r="AB31" s="3">
        <v>1</v>
      </c>
      <c r="AC31" s="3">
        <v>0</v>
      </c>
      <c r="AD31" s="28">
        <v>46001</v>
      </c>
      <c r="AE31" s="28">
        <v>46003</v>
      </c>
      <c r="AF31" s="28">
        <v>46007</v>
      </c>
      <c r="AG31" s="28">
        <v>46024</v>
      </c>
      <c r="AH31" s="28">
        <v>46027</v>
      </c>
      <c r="AI31" s="3">
        <f t="shared" si="0"/>
        <v>1</v>
      </c>
      <c r="AJ31" s="45" t="s">
        <v>181</v>
      </c>
      <c r="AK31" s="45" t="s">
        <v>182</v>
      </c>
      <c r="AL31" s="19">
        <f t="shared" si="3"/>
        <v>1</v>
      </c>
      <c r="AM31" s="67">
        <f>IFERROR(NETWORKDAYS(D31,Q31,Hoja1!$A$1:$A$29),"N/A")</f>
        <v>4</v>
      </c>
      <c r="AN31" s="21">
        <f>IFERROR(NETWORKDAYS(D31,AE31,Hoja1!$A$1:$A$29),"N/A")</f>
        <v>21</v>
      </c>
      <c r="AO31" s="78">
        <v>6</v>
      </c>
      <c r="AP31" s="21">
        <f t="shared" si="1"/>
        <v>15</v>
      </c>
      <c r="AQ31" s="21">
        <f>IFERROR(NETWORKDAYS(AF31,AG31,Hoja1!$A$1:$A$29),"N/A")</f>
        <v>12</v>
      </c>
      <c r="AR31" s="74">
        <v>7</v>
      </c>
      <c r="AS31" s="75">
        <f t="shared" si="4"/>
        <v>5</v>
      </c>
      <c r="AT31" s="21">
        <f>IFERROR(NETWORKDAYS(D31,AG31,Hoja1!$A$1:$A$29),"N/A")</f>
        <v>34</v>
      </c>
      <c r="AU31" s="21">
        <f t="shared" si="2"/>
        <v>21</v>
      </c>
      <c r="AV31" s="69" t="s">
        <v>59</v>
      </c>
      <c r="AW31" s="27" t="s">
        <v>183</v>
      </c>
      <c r="AX31" s="45"/>
      <c r="AY31" s="45"/>
      <c r="AZ31" s="45"/>
      <c r="BA31" s="45"/>
      <c r="BB31" s="45"/>
    </row>
    <row r="32" spans="1:54" ht="15" customHeight="1" x14ac:dyDescent="0.25">
      <c r="A32" s="56">
        <v>15308</v>
      </c>
      <c r="B32" s="29" t="s">
        <v>85</v>
      </c>
      <c r="C32" s="29" t="s">
        <v>85</v>
      </c>
      <c r="D32" s="421">
        <v>45988</v>
      </c>
      <c r="E32" s="28">
        <v>45975</v>
      </c>
      <c r="F32" s="202" t="s">
        <v>62</v>
      </c>
      <c r="G32" s="207" t="s">
        <v>71</v>
      </c>
      <c r="H32" s="87" t="s">
        <v>51</v>
      </c>
      <c r="I32" s="87" t="s">
        <v>184</v>
      </c>
      <c r="J32" s="87" t="s">
        <v>142</v>
      </c>
      <c r="K32" s="87" t="s">
        <v>86</v>
      </c>
      <c r="L32" s="3">
        <v>1</v>
      </c>
      <c r="M32" s="32" t="s">
        <v>54</v>
      </c>
      <c r="N32" s="28" t="s">
        <v>55</v>
      </c>
      <c r="O32" s="33">
        <v>3</v>
      </c>
      <c r="P32" s="33" t="s">
        <v>112</v>
      </c>
      <c r="Q32" s="28">
        <v>45994</v>
      </c>
      <c r="R32" s="28">
        <v>45994</v>
      </c>
      <c r="S32" s="33">
        <v>3</v>
      </c>
      <c r="T32" s="28" t="s">
        <v>55</v>
      </c>
      <c r="U32" s="18" t="s">
        <v>55</v>
      </c>
      <c r="V32" s="18" t="s">
        <v>55</v>
      </c>
      <c r="W32" s="18" t="s">
        <v>55</v>
      </c>
      <c r="X32" s="18" t="s">
        <v>55</v>
      </c>
      <c r="Y32" s="18" t="s">
        <v>55</v>
      </c>
      <c r="Z32" s="18" t="s">
        <v>55</v>
      </c>
      <c r="AA32" s="33">
        <v>1</v>
      </c>
      <c r="AB32" s="33">
        <v>1</v>
      </c>
      <c r="AC32" s="33">
        <v>0</v>
      </c>
      <c r="AD32" s="28">
        <v>46020</v>
      </c>
      <c r="AE32" s="28">
        <v>46021</v>
      </c>
      <c r="AF32" s="28">
        <v>46024</v>
      </c>
      <c r="AG32" s="28">
        <v>46044</v>
      </c>
      <c r="AH32" s="28">
        <v>46045</v>
      </c>
      <c r="AI32" s="3">
        <f t="shared" si="0"/>
        <v>1</v>
      </c>
      <c r="AJ32" s="45" t="s">
        <v>185</v>
      </c>
      <c r="AK32" s="45" t="s">
        <v>186</v>
      </c>
      <c r="AL32" s="19">
        <f t="shared" si="3"/>
        <v>1</v>
      </c>
      <c r="AM32" s="67">
        <f>IFERROR(NETWORKDAYS(D32,Q32,Hoja1!$A$1:$A$29),"N/A")</f>
        <v>5</v>
      </c>
      <c r="AN32" s="21">
        <f>IFERROR(NETWORKDAYS(D32,AE32,Hoja1!$A$1:$A$29),"N/A")</f>
        <v>22</v>
      </c>
      <c r="AO32" s="78">
        <v>7</v>
      </c>
      <c r="AP32" s="21">
        <f t="shared" si="1"/>
        <v>15</v>
      </c>
      <c r="AQ32" s="21">
        <f>IFERROR(NETWORKDAYS(AF32,AG32,Hoja1!$A$1:$A$29),"N/A")</f>
        <v>14</v>
      </c>
      <c r="AR32" s="74">
        <v>9</v>
      </c>
      <c r="AS32" s="75">
        <f t="shared" si="4"/>
        <v>5</v>
      </c>
      <c r="AT32" s="21">
        <f>IFERROR(NETWORKDAYS(D32,AG32,Hoja1!$A$1:$A$29),"N/A")</f>
        <v>37</v>
      </c>
      <c r="AU32" s="21">
        <f t="shared" si="2"/>
        <v>21</v>
      </c>
      <c r="AV32" s="69" t="s">
        <v>59</v>
      </c>
      <c r="AW32" s="27" t="s">
        <v>187</v>
      </c>
      <c r="AX32" s="45"/>
      <c r="AY32" s="45"/>
      <c r="AZ32" s="45"/>
      <c r="BA32" s="45"/>
      <c r="BB32" s="45"/>
    </row>
    <row r="33" spans="1:54" ht="15" customHeight="1" x14ac:dyDescent="0.25">
      <c r="A33" s="55">
        <v>15312</v>
      </c>
      <c r="B33" s="20" t="s">
        <v>79</v>
      </c>
      <c r="C33" s="20" t="s">
        <v>79</v>
      </c>
      <c r="D33" s="15">
        <v>45975</v>
      </c>
      <c r="E33" s="16">
        <v>45975</v>
      </c>
      <c r="F33" s="179" t="s">
        <v>163</v>
      </c>
      <c r="G33" s="14" t="s">
        <v>164</v>
      </c>
      <c r="H33" s="14" t="s">
        <v>51</v>
      </c>
      <c r="I33" s="22" t="s">
        <v>188</v>
      </c>
      <c r="J33" s="27" t="s">
        <v>52</v>
      </c>
      <c r="K33" s="23" t="s">
        <v>165</v>
      </c>
      <c r="L33" s="17">
        <v>1</v>
      </c>
      <c r="M33" s="40" t="s">
        <v>54</v>
      </c>
      <c r="N33" s="1" t="s">
        <v>55</v>
      </c>
      <c r="O33" s="1">
        <v>9</v>
      </c>
      <c r="P33" s="1" t="s">
        <v>56</v>
      </c>
      <c r="Q33" s="16">
        <v>45980</v>
      </c>
      <c r="R33" s="16">
        <v>46001</v>
      </c>
      <c r="S33" s="1">
        <v>9</v>
      </c>
      <c r="T33" s="1" t="s">
        <v>55</v>
      </c>
      <c r="U33" s="18" t="s">
        <v>55</v>
      </c>
      <c r="V33" s="18" t="s">
        <v>55</v>
      </c>
      <c r="W33" s="18" t="s">
        <v>55</v>
      </c>
      <c r="X33" s="18" t="s">
        <v>55</v>
      </c>
      <c r="Y33" s="18" t="s">
        <v>55</v>
      </c>
      <c r="Z33" s="18" t="s">
        <v>55</v>
      </c>
      <c r="AA33" s="1">
        <v>2</v>
      </c>
      <c r="AB33" s="1">
        <v>2</v>
      </c>
      <c r="AC33" s="1">
        <v>0</v>
      </c>
      <c r="AD33" s="16">
        <v>46009</v>
      </c>
      <c r="AE33" s="16">
        <v>46006</v>
      </c>
      <c r="AF33" s="16">
        <v>46009</v>
      </c>
      <c r="AG33" s="16">
        <v>46021</v>
      </c>
      <c r="AH33" s="16">
        <v>46027</v>
      </c>
      <c r="AI33" s="3">
        <f t="shared" si="0"/>
        <v>1</v>
      </c>
      <c r="AJ33" s="22" t="s">
        <v>189</v>
      </c>
      <c r="AK33" s="27" t="s">
        <v>190</v>
      </c>
      <c r="AL33" s="19">
        <f t="shared" si="3"/>
        <v>1</v>
      </c>
      <c r="AM33" s="67">
        <f>IFERROR(NETWORKDAYS(D33,Q33,Hoja1!$A$1:$A$29),"N/A")</f>
        <v>3</v>
      </c>
      <c r="AN33" s="21">
        <f>IFERROR(NETWORKDAYS(D33,AE33,Hoja1!$A$1:$A$29),"N/A")</f>
        <v>20</v>
      </c>
      <c r="AO33" s="78">
        <v>6</v>
      </c>
      <c r="AP33" s="21">
        <f t="shared" si="1"/>
        <v>14</v>
      </c>
      <c r="AQ33" s="21">
        <f>IFERROR(NETWORKDAYS(AF33,AG33,Hoja1!$A$1:$A$29),"N/A")</f>
        <v>8</v>
      </c>
      <c r="AR33" s="74">
        <v>3</v>
      </c>
      <c r="AS33" s="75">
        <f t="shared" si="4"/>
        <v>5</v>
      </c>
      <c r="AT33" s="21">
        <f>IFERROR(NETWORKDAYS(D33,AG33,Hoja1!$A$1:$A$29),"N/A")</f>
        <v>30</v>
      </c>
      <c r="AU33" s="21">
        <f t="shared" si="2"/>
        <v>21</v>
      </c>
      <c r="AV33" s="69" t="s">
        <v>59</v>
      </c>
      <c r="AW33" s="27" t="s">
        <v>191</v>
      </c>
      <c r="AX33" s="46" t="s">
        <v>453</v>
      </c>
      <c r="AY33" s="27" t="s">
        <v>445</v>
      </c>
      <c r="AZ33" s="27"/>
      <c r="BA33" s="27"/>
      <c r="BB33" s="27"/>
    </row>
    <row r="34" spans="1:54" ht="15" customHeight="1" x14ac:dyDescent="0.25">
      <c r="A34" s="55">
        <v>15315</v>
      </c>
      <c r="B34" s="20" t="s">
        <v>79</v>
      </c>
      <c r="C34" s="20" t="s">
        <v>79</v>
      </c>
      <c r="D34" s="420">
        <v>45988</v>
      </c>
      <c r="E34" s="16">
        <v>45993</v>
      </c>
      <c r="F34" s="179" t="s">
        <v>62</v>
      </c>
      <c r="G34" s="23" t="s">
        <v>71</v>
      </c>
      <c r="H34" s="143" t="s">
        <v>51</v>
      </c>
      <c r="I34" s="27" t="s">
        <v>72</v>
      </c>
      <c r="J34" s="22" t="s">
        <v>73</v>
      </c>
      <c r="K34" s="234" t="s">
        <v>66</v>
      </c>
      <c r="L34" s="17">
        <v>1</v>
      </c>
      <c r="M34" s="22" t="s">
        <v>54</v>
      </c>
      <c r="N34" s="16" t="s">
        <v>55</v>
      </c>
      <c r="O34" s="1">
        <v>5</v>
      </c>
      <c r="P34" s="1" t="s">
        <v>56</v>
      </c>
      <c r="Q34" s="16">
        <v>45996</v>
      </c>
      <c r="R34" s="16">
        <v>45996</v>
      </c>
      <c r="S34" s="1">
        <v>5</v>
      </c>
      <c r="T34" s="16" t="s">
        <v>55</v>
      </c>
      <c r="U34" s="18" t="s">
        <v>55</v>
      </c>
      <c r="V34" s="18" t="s">
        <v>55</v>
      </c>
      <c r="W34" s="18" t="s">
        <v>55</v>
      </c>
      <c r="X34" s="18" t="s">
        <v>55</v>
      </c>
      <c r="Y34" s="18" t="s">
        <v>55</v>
      </c>
      <c r="Z34" s="18" t="s">
        <v>55</v>
      </c>
      <c r="AA34" s="1">
        <v>3</v>
      </c>
      <c r="AB34" s="1">
        <v>3</v>
      </c>
      <c r="AC34" s="1">
        <v>0</v>
      </c>
      <c r="AD34" s="16">
        <v>46003</v>
      </c>
      <c r="AE34" s="16">
        <v>46003</v>
      </c>
      <c r="AF34" s="16">
        <v>46013</v>
      </c>
      <c r="AG34" s="16">
        <v>46024</v>
      </c>
      <c r="AH34" s="16">
        <v>46027</v>
      </c>
      <c r="AI34" s="3">
        <f t="shared" ref="AI34:AI65" si="5">MONTH(AH34)</f>
        <v>1</v>
      </c>
      <c r="AJ34" s="20" t="s">
        <v>192</v>
      </c>
      <c r="AK34" s="27" t="s">
        <v>431</v>
      </c>
      <c r="AL34" s="19">
        <f t="shared" si="3"/>
        <v>1</v>
      </c>
      <c r="AM34" s="67">
        <f>IFERROR(NETWORKDAYS(D34,Q34,Hoja1!$A$1:$A$29),"N/A")</f>
        <v>7</v>
      </c>
      <c r="AN34" s="21">
        <f>IFERROR(NETWORKDAYS(D34,AE34,Hoja1!$A$1:$A$29),"N/A")</f>
        <v>11</v>
      </c>
      <c r="AO34" s="78">
        <v>0</v>
      </c>
      <c r="AP34" s="21">
        <f t="shared" ref="AP34:AP61" si="6">AN34-AO34</f>
        <v>11</v>
      </c>
      <c r="AQ34" s="21">
        <f>IFERROR(NETWORKDAYS(AF34,AG34,Hoja1!$A$1:$A$29),"N/A")</f>
        <v>8</v>
      </c>
      <c r="AR34" s="74">
        <v>3</v>
      </c>
      <c r="AS34" s="75">
        <f t="shared" ref="AS34:AS53" si="7">AQ34-AR34</f>
        <v>5</v>
      </c>
      <c r="AT34" s="21">
        <f>IFERROR(NETWORKDAYS(D34,AG34,Hoja1!$A$1:$A$29),"N/A")</f>
        <v>24</v>
      </c>
      <c r="AU34" s="21">
        <f t="shared" ref="AU34:AU65" si="8">AT34-AO34-AR34</f>
        <v>21</v>
      </c>
      <c r="AV34" s="69" t="s">
        <v>127</v>
      </c>
      <c r="AW34" s="27" t="s">
        <v>82</v>
      </c>
      <c r="AX34" s="27"/>
      <c r="AY34" s="27"/>
      <c r="AZ34" s="27"/>
      <c r="BA34" s="27"/>
      <c r="BB34" s="27"/>
    </row>
    <row r="35" spans="1:54" ht="15" customHeight="1" x14ac:dyDescent="0.25">
      <c r="A35" s="55">
        <v>15317</v>
      </c>
      <c r="B35" s="14" t="s">
        <v>69</v>
      </c>
      <c r="C35" s="20" t="s">
        <v>122</v>
      </c>
      <c r="D35" s="15">
        <v>45993</v>
      </c>
      <c r="E35" s="16">
        <v>45994</v>
      </c>
      <c r="F35" s="179" t="s">
        <v>62</v>
      </c>
      <c r="G35" s="23" t="s">
        <v>80</v>
      </c>
      <c r="H35" s="22" t="s">
        <v>101</v>
      </c>
      <c r="I35" s="239" t="s">
        <v>193</v>
      </c>
      <c r="J35" s="207" t="s">
        <v>118</v>
      </c>
      <c r="K35" s="234" t="s">
        <v>66</v>
      </c>
      <c r="L35" s="17">
        <v>1</v>
      </c>
      <c r="M35" s="22" t="s">
        <v>54</v>
      </c>
      <c r="N35" s="16" t="s">
        <v>55</v>
      </c>
      <c r="O35" s="1">
        <v>0</v>
      </c>
      <c r="P35" s="16"/>
      <c r="Q35" s="16" t="s">
        <v>55</v>
      </c>
      <c r="R35" s="16" t="s">
        <v>55</v>
      </c>
      <c r="S35" s="1">
        <v>0</v>
      </c>
      <c r="T35" s="16" t="s">
        <v>55</v>
      </c>
      <c r="U35" s="18" t="s">
        <v>55</v>
      </c>
      <c r="V35" s="18" t="s">
        <v>55</v>
      </c>
      <c r="W35" s="18" t="s">
        <v>55</v>
      </c>
      <c r="X35" s="18" t="s">
        <v>55</v>
      </c>
      <c r="Y35" s="18" t="s">
        <v>55</v>
      </c>
      <c r="Z35" s="18" t="s">
        <v>55</v>
      </c>
      <c r="AA35" s="1">
        <v>1</v>
      </c>
      <c r="AB35" s="1">
        <v>1</v>
      </c>
      <c r="AC35" s="1">
        <v>0</v>
      </c>
      <c r="AD35" s="16">
        <v>46000</v>
      </c>
      <c r="AE35" s="16">
        <v>46002</v>
      </c>
      <c r="AF35" s="16">
        <v>46007</v>
      </c>
      <c r="AG35" s="16">
        <v>46024</v>
      </c>
      <c r="AH35" s="16">
        <v>46027</v>
      </c>
      <c r="AI35" s="3">
        <f t="shared" si="5"/>
        <v>1</v>
      </c>
      <c r="AJ35" s="49" t="s">
        <v>194</v>
      </c>
      <c r="AK35" s="27" t="s">
        <v>195</v>
      </c>
      <c r="AL35" s="19" t="str">
        <f t="shared" si="3"/>
        <v>N/A</v>
      </c>
      <c r="AM35" s="67" t="str">
        <f>IFERROR(NETWORKDAYS(D35,Q35,Hoja1!$A$1:$A$29),"N/A")</f>
        <v>N/A</v>
      </c>
      <c r="AN35" s="21">
        <f>IFERROR(NETWORKDAYS(D35,AE35,Hoja1!$A$1:$A$29),"N/A")</f>
        <v>7</v>
      </c>
      <c r="AO35" s="78">
        <v>0</v>
      </c>
      <c r="AP35" s="21">
        <f t="shared" si="6"/>
        <v>7</v>
      </c>
      <c r="AQ35" s="21">
        <f>IFERROR(NETWORKDAYS(AF35,AG35,Hoja1!$A$1:$A$29),"N/A")</f>
        <v>12</v>
      </c>
      <c r="AR35" s="74">
        <v>7</v>
      </c>
      <c r="AS35" s="75">
        <f t="shared" si="7"/>
        <v>5</v>
      </c>
      <c r="AT35" s="21">
        <f>IFERROR(NETWORKDAYS(D35,AG35,Hoja1!$A$1:$A$29),"N/A")</f>
        <v>21</v>
      </c>
      <c r="AU35" s="21">
        <f t="shared" si="8"/>
        <v>14</v>
      </c>
      <c r="AV35" s="69" t="s">
        <v>145</v>
      </c>
      <c r="AW35" s="27" t="s">
        <v>146</v>
      </c>
      <c r="AX35" s="27"/>
      <c r="AY35" s="27"/>
      <c r="AZ35" s="27"/>
      <c r="BA35" s="27"/>
      <c r="BB35" s="27"/>
    </row>
    <row r="36" spans="1:54" ht="15" customHeight="1" x14ac:dyDescent="0.25">
      <c r="A36" s="54">
        <v>15321</v>
      </c>
      <c r="B36" s="40" t="s">
        <v>169</v>
      </c>
      <c r="C36" s="40" t="s">
        <v>169</v>
      </c>
      <c r="D36" s="421">
        <v>45979</v>
      </c>
      <c r="E36" s="28">
        <v>45979</v>
      </c>
      <c r="F36" s="202" t="s">
        <v>62</v>
      </c>
      <c r="G36" s="207" t="s">
        <v>71</v>
      </c>
      <c r="H36" s="159" t="s">
        <v>101</v>
      </c>
      <c r="I36" s="87" t="s">
        <v>96</v>
      </c>
      <c r="J36" s="22" t="s">
        <v>73</v>
      </c>
      <c r="K36" s="87" t="s">
        <v>86</v>
      </c>
      <c r="L36" s="3">
        <v>1</v>
      </c>
      <c r="M36" s="32" t="s">
        <v>54</v>
      </c>
      <c r="N36" s="28" t="s">
        <v>55</v>
      </c>
      <c r="O36" s="33">
        <v>0</v>
      </c>
      <c r="P36" s="33"/>
      <c r="Q36" s="28" t="s">
        <v>55</v>
      </c>
      <c r="R36" s="28" t="s">
        <v>55</v>
      </c>
      <c r="S36" s="33">
        <v>0</v>
      </c>
      <c r="T36" s="28" t="s">
        <v>55</v>
      </c>
      <c r="U36" s="18" t="s">
        <v>55</v>
      </c>
      <c r="V36" s="18" t="s">
        <v>55</v>
      </c>
      <c r="W36" s="18" t="s">
        <v>55</v>
      </c>
      <c r="X36" s="18" t="s">
        <v>55</v>
      </c>
      <c r="Y36" s="18" t="s">
        <v>55</v>
      </c>
      <c r="Z36" s="18" t="s">
        <v>55</v>
      </c>
      <c r="AA36" s="33">
        <v>1</v>
      </c>
      <c r="AB36" s="33">
        <v>1</v>
      </c>
      <c r="AC36" s="33">
        <v>0</v>
      </c>
      <c r="AD36" s="28">
        <v>46001</v>
      </c>
      <c r="AE36" s="28">
        <v>46002</v>
      </c>
      <c r="AF36" s="28">
        <v>46002</v>
      </c>
      <c r="AG36" s="28">
        <v>46022</v>
      </c>
      <c r="AH36" s="28">
        <v>46027</v>
      </c>
      <c r="AI36" s="3">
        <f t="shared" si="5"/>
        <v>1</v>
      </c>
      <c r="AJ36" s="50" t="s">
        <v>196</v>
      </c>
      <c r="AK36" s="45" t="s">
        <v>197</v>
      </c>
      <c r="AL36" s="19" t="str">
        <f t="shared" si="3"/>
        <v>N/A</v>
      </c>
      <c r="AM36" s="67" t="str">
        <f>IFERROR(NETWORKDAYS(D36,Q36,Hoja1!$A$1:$A$29),"N/A")</f>
        <v>N/A</v>
      </c>
      <c r="AN36" s="21">
        <f>IFERROR(NETWORKDAYS(D36,AE36,Hoja1!$A$1:$A$29),"N/A")</f>
        <v>17</v>
      </c>
      <c r="AO36" s="78">
        <v>0</v>
      </c>
      <c r="AP36" s="21">
        <f t="shared" si="6"/>
        <v>17</v>
      </c>
      <c r="AQ36" s="21">
        <f>IFERROR(NETWORKDAYS(AF36,AG36,Hoja1!$A$1:$A$29),"N/A")</f>
        <v>14</v>
      </c>
      <c r="AR36" s="74">
        <v>9</v>
      </c>
      <c r="AS36" s="75">
        <f t="shared" si="7"/>
        <v>5</v>
      </c>
      <c r="AT36" s="21">
        <f>IFERROR(NETWORKDAYS(D36,AG36,Hoja1!$A$1:$A$29),"N/A")</f>
        <v>30</v>
      </c>
      <c r="AU36" s="21">
        <f t="shared" si="8"/>
        <v>21</v>
      </c>
      <c r="AV36" s="69" t="s">
        <v>104</v>
      </c>
      <c r="AW36" s="27" t="s">
        <v>89</v>
      </c>
      <c r="AX36" s="45"/>
      <c r="AY36" s="45"/>
      <c r="AZ36" s="45"/>
      <c r="BA36" s="45"/>
      <c r="BB36" s="45"/>
    </row>
    <row r="37" spans="1:54" ht="15" customHeight="1" x14ac:dyDescent="0.25">
      <c r="A37" s="54">
        <v>15322</v>
      </c>
      <c r="B37" s="40" t="s">
        <v>169</v>
      </c>
      <c r="C37" s="40" t="s">
        <v>169</v>
      </c>
      <c r="D37" s="30">
        <v>45979</v>
      </c>
      <c r="E37" s="28">
        <v>45979</v>
      </c>
      <c r="F37" s="202" t="s">
        <v>62</v>
      </c>
      <c r="G37" s="207" t="s">
        <v>80</v>
      </c>
      <c r="H37" s="87" t="s">
        <v>51</v>
      </c>
      <c r="I37" s="87" t="s">
        <v>96</v>
      </c>
      <c r="J37" s="22" t="s">
        <v>73</v>
      </c>
      <c r="K37" s="87" t="s">
        <v>86</v>
      </c>
      <c r="L37" s="3">
        <v>1</v>
      </c>
      <c r="M37" s="32" t="s">
        <v>54</v>
      </c>
      <c r="N37" s="28" t="s">
        <v>55</v>
      </c>
      <c r="O37" s="33">
        <v>15</v>
      </c>
      <c r="P37" s="33" t="s">
        <v>56</v>
      </c>
      <c r="Q37" s="28">
        <v>46014</v>
      </c>
      <c r="R37" s="28">
        <v>46014</v>
      </c>
      <c r="S37" s="33">
        <v>14</v>
      </c>
      <c r="T37" s="28" t="s">
        <v>55</v>
      </c>
      <c r="U37" s="18" t="s">
        <v>55</v>
      </c>
      <c r="V37" s="18" t="s">
        <v>55</v>
      </c>
      <c r="W37" s="18" t="s">
        <v>55</v>
      </c>
      <c r="X37" s="18" t="s">
        <v>55</v>
      </c>
      <c r="Y37" s="18" t="s">
        <v>55</v>
      </c>
      <c r="Z37" s="18" t="s">
        <v>55</v>
      </c>
      <c r="AA37" s="33">
        <v>1</v>
      </c>
      <c r="AB37" s="33">
        <v>1</v>
      </c>
      <c r="AC37" s="33">
        <v>0</v>
      </c>
      <c r="AD37" s="28">
        <v>46027</v>
      </c>
      <c r="AE37" s="28">
        <v>46027</v>
      </c>
      <c r="AF37" s="28">
        <v>46027</v>
      </c>
      <c r="AG37" s="28">
        <v>46042</v>
      </c>
      <c r="AH37" s="28">
        <v>46044</v>
      </c>
      <c r="AI37" s="3">
        <f t="shared" si="5"/>
        <v>1</v>
      </c>
      <c r="AJ37" s="50" t="s">
        <v>198</v>
      </c>
      <c r="AK37" s="45" t="s">
        <v>199</v>
      </c>
      <c r="AL37" s="19">
        <f t="shared" si="3"/>
        <v>0.93333333333333335</v>
      </c>
      <c r="AM37" s="67">
        <f>IFERROR(NETWORKDAYS(D37,Q37,Hoja1!$A$1:$A$29),"N/A")</f>
        <v>25</v>
      </c>
      <c r="AN37" s="21">
        <f>IFERROR(NETWORKDAYS(D37,AE37,Hoja1!$A$1:$A$29),"N/A")</f>
        <v>32</v>
      </c>
      <c r="AO37" s="78">
        <v>10</v>
      </c>
      <c r="AP37" s="21">
        <f t="shared" si="6"/>
        <v>22</v>
      </c>
      <c r="AQ37" s="21">
        <f>IFERROR(NETWORKDAYS(AF37,AG37,Hoja1!$A$1:$A$29),"N/A")</f>
        <v>11</v>
      </c>
      <c r="AR37" s="74">
        <v>6</v>
      </c>
      <c r="AS37" s="75">
        <f t="shared" si="7"/>
        <v>5</v>
      </c>
      <c r="AT37" s="21">
        <f>IFERROR(NETWORKDAYS(D37,AG37,Hoja1!$A$1:$A$29),"N/A")</f>
        <v>42</v>
      </c>
      <c r="AU37" s="21">
        <f t="shared" si="8"/>
        <v>26</v>
      </c>
      <c r="AV37" s="69" t="s">
        <v>77</v>
      </c>
      <c r="AW37" s="27" t="s">
        <v>89</v>
      </c>
      <c r="AX37" s="45"/>
      <c r="AY37" s="45"/>
      <c r="AZ37" s="45"/>
      <c r="BA37" s="45"/>
      <c r="BB37" s="45"/>
    </row>
    <row r="38" spans="1:54" ht="15" customHeight="1" x14ac:dyDescent="0.25">
      <c r="A38" s="54">
        <v>15324</v>
      </c>
      <c r="B38" s="40" t="s">
        <v>169</v>
      </c>
      <c r="C38" s="40" t="s">
        <v>169</v>
      </c>
      <c r="D38" s="418">
        <v>46003</v>
      </c>
      <c r="E38" s="28">
        <v>46003</v>
      </c>
      <c r="F38" s="202" t="s">
        <v>62</v>
      </c>
      <c r="G38" s="207" t="s">
        <v>71</v>
      </c>
      <c r="H38" s="87" t="s">
        <v>51</v>
      </c>
      <c r="I38" s="27" t="s">
        <v>72</v>
      </c>
      <c r="J38" s="22" t="s">
        <v>73</v>
      </c>
      <c r="K38" s="87" t="s">
        <v>86</v>
      </c>
      <c r="L38" s="3">
        <v>1</v>
      </c>
      <c r="M38" s="32" t="s">
        <v>54</v>
      </c>
      <c r="N38" s="28" t="s">
        <v>55</v>
      </c>
      <c r="O38" s="33">
        <v>7</v>
      </c>
      <c r="P38" s="33" t="s">
        <v>56</v>
      </c>
      <c r="Q38" s="30">
        <v>46009</v>
      </c>
      <c r="R38" s="30">
        <v>46009</v>
      </c>
      <c r="S38" s="33">
        <v>7</v>
      </c>
      <c r="T38" s="28" t="s">
        <v>55</v>
      </c>
      <c r="U38" s="18" t="s">
        <v>55</v>
      </c>
      <c r="V38" s="18" t="s">
        <v>55</v>
      </c>
      <c r="W38" s="18" t="s">
        <v>55</v>
      </c>
      <c r="X38" s="18" t="s">
        <v>55</v>
      </c>
      <c r="Y38" s="18" t="s">
        <v>55</v>
      </c>
      <c r="Z38" s="18" t="s">
        <v>55</v>
      </c>
      <c r="AA38" s="33">
        <v>1</v>
      </c>
      <c r="AB38" s="33">
        <v>1</v>
      </c>
      <c r="AC38" s="33">
        <v>0</v>
      </c>
      <c r="AD38" s="28">
        <v>46031</v>
      </c>
      <c r="AE38" s="28">
        <v>46031</v>
      </c>
      <c r="AF38" s="28">
        <v>46034</v>
      </c>
      <c r="AG38" s="28">
        <v>46043</v>
      </c>
      <c r="AH38" s="28">
        <v>46044</v>
      </c>
      <c r="AI38" s="3">
        <f t="shared" si="5"/>
        <v>1</v>
      </c>
      <c r="AJ38" s="50" t="s">
        <v>200</v>
      </c>
      <c r="AK38" s="45" t="s">
        <v>201</v>
      </c>
      <c r="AL38" s="19">
        <f t="shared" si="3"/>
        <v>1</v>
      </c>
      <c r="AM38" s="67">
        <f>IFERROR(NETWORKDAYS(D38,Q38,Hoja1!$A$1:$A$29),"N/A")</f>
        <v>5</v>
      </c>
      <c r="AN38" s="21">
        <f>IFERROR(NETWORKDAYS(D38,AE38,Hoja1!$A$1:$A$29),"N/A")</f>
        <v>19</v>
      </c>
      <c r="AO38" s="78">
        <v>0</v>
      </c>
      <c r="AP38" s="21">
        <f t="shared" si="6"/>
        <v>19</v>
      </c>
      <c r="AQ38" s="21">
        <f>IFERROR(NETWORKDAYS(AF38,AG38,Hoja1!$A$1:$A$29),"N/A")</f>
        <v>7</v>
      </c>
      <c r="AR38" s="74">
        <v>2</v>
      </c>
      <c r="AS38" s="75">
        <f t="shared" si="7"/>
        <v>5</v>
      </c>
      <c r="AT38" s="21">
        <f>IFERROR(NETWORKDAYS(D38,AG38,Hoja1!$A$1:$A$29),"N/A")</f>
        <v>26</v>
      </c>
      <c r="AU38" s="21">
        <f t="shared" si="8"/>
        <v>24</v>
      </c>
      <c r="AV38" s="69" t="s">
        <v>77</v>
      </c>
      <c r="AW38" s="27" t="s">
        <v>89</v>
      </c>
      <c r="AX38" s="45"/>
      <c r="AY38" s="45"/>
      <c r="AZ38" s="45"/>
      <c r="BA38" s="45"/>
      <c r="BB38" s="45"/>
    </row>
    <row r="39" spans="1:54" ht="15" customHeight="1" x14ac:dyDescent="0.25">
      <c r="A39" s="54">
        <v>15326</v>
      </c>
      <c r="B39" s="14" t="s">
        <v>69</v>
      </c>
      <c r="C39" s="40" t="s">
        <v>202</v>
      </c>
      <c r="D39" s="30">
        <v>45980</v>
      </c>
      <c r="E39" s="42">
        <v>45979</v>
      </c>
      <c r="F39" s="84" t="s">
        <v>62</v>
      </c>
      <c r="G39" s="207" t="s">
        <v>71</v>
      </c>
      <c r="H39" s="111" t="s">
        <v>51</v>
      </c>
      <c r="I39" s="87" t="s">
        <v>96</v>
      </c>
      <c r="J39" s="22" t="s">
        <v>73</v>
      </c>
      <c r="K39" s="87" t="s">
        <v>74</v>
      </c>
      <c r="L39" s="3">
        <v>1</v>
      </c>
      <c r="M39" s="40" t="s">
        <v>54</v>
      </c>
      <c r="N39" s="30" t="s">
        <v>55</v>
      </c>
      <c r="O39" s="3">
        <v>3</v>
      </c>
      <c r="P39" s="33" t="s">
        <v>112</v>
      </c>
      <c r="Q39" s="30">
        <v>45985</v>
      </c>
      <c r="R39" s="30">
        <v>45993</v>
      </c>
      <c r="S39" s="3">
        <v>3</v>
      </c>
      <c r="T39" s="37" t="s">
        <v>55</v>
      </c>
      <c r="U39" s="18" t="s">
        <v>55</v>
      </c>
      <c r="V39" s="18" t="s">
        <v>55</v>
      </c>
      <c r="W39" s="18" t="s">
        <v>55</v>
      </c>
      <c r="X39" s="18" t="s">
        <v>55</v>
      </c>
      <c r="Y39" s="18" t="s">
        <v>55</v>
      </c>
      <c r="Z39" s="18" t="s">
        <v>55</v>
      </c>
      <c r="AA39" s="3">
        <v>1</v>
      </c>
      <c r="AB39" s="3">
        <v>1</v>
      </c>
      <c r="AC39" s="3">
        <v>0</v>
      </c>
      <c r="AD39" s="28">
        <v>46000</v>
      </c>
      <c r="AE39" s="28">
        <v>46000</v>
      </c>
      <c r="AF39" s="28">
        <v>46007</v>
      </c>
      <c r="AG39" s="28">
        <v>46024</v>
      </c>
      <c r="AH39" s="28">
        <v>46027</v>
      </c>
      <c r="AI39" s="3">
        <f t="shared" si="5"/>
        <v>1</v>
      </c>
      <c r="AJ39" s="45" t="s">
        <v>203</v>
      </c>
      <c r="AK39" s="45" t="s">
        <v>204</v>
      </c>
      <c r="AL39" s="19">
        <f t="shared" si="3"/>
        <v>1</v>
      </c>
      <c r="AM39" s="67">
        <f>IFERROR(NETWORKDAYS(D39,Q39,Hoja1!$A$1:$A$29),"N/A")</f>
        <v>4</v>
      </c>
      <c r="AN39" s="21">
        <f>IFERROR(NETWORKDAYS(D39,AE39,Hoja1!$A$1:$A$29),"N/A")</f>
        <v>14</v>
      </c>
      <c r="AO39" s="78">
        <v>0</v>
      </c>
      <c r="AP39" s="21">
        <f t="shared" si="6"/>
        <v>14</v>
      </c>
      <c r="AQ39" s="21">
        <f>IFERROR(NETWORKDAYS(AF39,AG39,Hoja1!$A$1:$A$29),"N/A")</f>
        <v>12</v>
      </c>
      <c r="AR39" s="74">
        <v>7</v>
      </c>
      <c r="AS39" s="75">
        <f t="shared" si="7"/>
        <v>5</v>
      </c>
      <c r="AT39" s="21">
        <f>IFERROR(NETWORKDAYS(D39,AG39,Hoja1!$A$1:$A$29),"N/A")</f>
        <v>30</v>
      </c>
      <c r="AU39" s="21">
        <f t="shared" si="8"/>
        <v>23</v>
      </c>
      <c r="AV39" s="69" t="s">
        <v>77</v>
      </c>
      <c r="AW39" s="27" t="s">
        <v>78</v>
      </c>
      <c r="AX39" s="45"/>
      <c r="AY39" s="45"/>
      <c r="AZ39" s="45"/>
      <c r="BA39" s="45"/>
      <c r="BB39" s="45"/>
    </row>
    <row r="40" spans="1:54" ht="15" customHeight="1" x14ac:dyDescent="0.25">
      <c r="A40" s="54">
        <v>15327</v>
      </c>
      <c r="B40" s="40" t="s">
        <v>169</v>
      </c>
      <c r="C40" s="40" t="s">
        <v>169</v>
      </c>
      <c r="D40" s="418">
        <v>45980</v>
      </c>
      <c r="E40" s="30">
        <v>45980</v>
      </c>
      <c r="F40" s="202" t="s">
        <v>62</v>
      </c>
      <c r="G40" s="207" t="s">
        <v>71</v>
      </c>
      <c r="H40" s="87" t="s">
        <v>51</v>
      </c>
      <c r="I40" s="87" t="s">
        <v>205</v>
      </c>
      <c r="J40" s="87" t="s">
        <v>105</v>
      </c>
      <c r="K40" s="87" t="s">
        <v>86</v>
      </c>
      <c r="L40" s="3">
        <v>1</v>
      </c>
      <c r="M40" s="32" t="s">
        <v>54</v>
      </c>
      <c r="N40" s="28" t="s">
        <v>55</v>
      </c>
      <c r="O40" s="33">
        <v>4</v>
      </c>
      <c r="P40" s="33" t="s">
        <v>112</v>
      </c>
      <c r="Q40" s="28">
        <v>45985</v>
      </c>
      <c r="R40" s="28">
        <v>45985</v>
      </c>
      <c r="S40" s="33">
        <v>4</v>
      </c>
      <c r="T40" s="28" t="s">
        <v>55</v>
      </c>
      <c r="U40" s="18" t="s">
        <v>55</v>
      </c>
      <c r="V40" s="18" t="s">
        <v>55</v>
      </c>
      <c r="W40" s="18" t="s">
        <v>55</v>
      </c>
      <c r="X40" s="18" t="s">
        <v>55</v>
      </c>
      <c r="Y40" s="18" t="s">
        <v>55</v>
      </c>
      <c r="Z40" s="18" t="s">
        <v>55</v>
      </c>
      <c r="AA40" s="33">
        <v>1</v>
      </c>
      <c r="AB40" s="33">
        <v>1</v>
      </c>
      <c r="AC40" s="33">
        <v>0</v>
      </c>
      <c r="AD40" s="28">
        <v>45992</v>
      </c>
      <c r="AE40" s="28">
        <v>45992</v>
      </c>
      <c r="AF40" s="28">
        <v>45993</v>
      </c>
      <c r="AG40" s="28">
        <v>46017</v>
      </c>
      <c r="AH40" s="28">
        <v>46027</v>
      </c>
      <c r="AI40" s="3">
        <f t="shared" si="5"/>
        <v>1</v>
      </c>
      <c r="AJ40" s="50" t="s">
        <v>206</v>
      </c>
      <c r="AK40" s="45" t="s">
        <v>432</v>
      </c>
      <c r="AL40" s="19">
        <f t="shared" si="3"/>
        <v>1</v>
      </c>
      <c r="AM40" s="67">
        <f>IFERROR(NETWORKDAYS(D40,Q40,Hoja1!$A$1:$A$29),"N/A")</f>
        <v>4</v>
      </c>
      <c r="AN40" s="21">
        <f>IFERROR(NETWORKDAYS(D40,AE40,Hoja1!$A$1:$A$29),"N/A")</f>
        <v>9</v>
      </c>
      <c r="AO40" s="78">
        <v>0</v>
      </c>
      <c r="AP40" s="21">
        <f t="shared" si="6"/>
        <v>9</v>
      </c>
      <c r="AQ40" s="21">
        <f>IFERROR(NETWORKDAYS(AF40,AG40,Hoja1!$A$1:$A$29),"N/A")</f>
        <v>17</v>
      </c>
      <c r="AR40" s="74">
        <v>12</v>
      </c>
      <c r="AS40" s="75">
        <f t="shared" si="7"/>
        <v>5</v>
      </c>
      <c r="AT40" s="21">
        <f>IFERROR(NETWORKDAYS(D40,AG40,Hoja1!$A$1:$A$29),"N/A")</f>
        <v>26</v>
      </c>
      <c r="AU40" s="21">
        <f t="shared" si="8"/>
        <v>14</v>
      </c>
      <c r="AV40" s="69" t="s">
        <v>59</v>
      </c>
      <c r="AW40" s="27" t="s">
        <v>207</v>
      </c>
      <c r="AX40" s="45"/>
      <c r="AY40" s="45"/>
      <c r="AZ40" s="45"/>
      <c r="BA40" s="45"/>
      <c r="BB40" s="45"/>
    </row>
    <row r="41" spans="1:54" ht="15" customHeight="1" x14ac:dyDescent="0.25">
      <c r="A41" s="58">
        <v>15328</v>
      </c>
      <c r="B41" s="14" t="s">
        <v>69</v>
      </c>
      <c r="C41" s="43" t="s">
        <v>98</v>
      </c>
      <c r="D41" s="15">
        <v>45980</v>
      </c>
      <c r="E41" s="16">
        <v>45980</v>
      </c>
      <c r="F41" s="179" t="s">
        <v>163</v>
      </c>
      <c r="G41" s="235" t="s">
        <v>164</v>
      </c>
      <c r="H41" s="14" t="s">
        <v>51</v>
      </c>
      <c r="I41" s="27" t="s">
        <v>72</v>
      </c>
      <c r="J41" s="22" t="s">
        <v>73</v>
      </c>
      <c r="K41" s="23" t="s">
        <v>165</v>
      </c>
      <c r="L41" s="17">
        <v>1</v>
      </c>
      <c r="M41" s="40" t="s">
        <v>54</v>
      </c>
      <c r="N41" s="1" t="s">
        <v>55</v>
      </c>
      <c r="O41" s="1">
        <v>5</v>
      </c>
      <c r="P41" s="1" t="s">
        <v>112</v>
      </c>
      <c r="Q41" s="16">
        <v>45987</v>
      </c>
      <c r="R41" s="16">
        <v>46000</v>
      </c>
      <c r="S41" s="1">
        <v>5</v>
      </c>
      <c r="T41" s="1" t="s">
        <v>55</v>
      </c>
      <c r="U41" s="18" t="s">
        <v>55</v>
      </c>
      <c r="V41" s="18" t="s">
        <v>55</v>
      </c>
      <c r="W41" s="18" t="s">
        <v>55</v>
      </c>
      <c r="X41" s="18" t="s">
        <v>55</v>
      </c>
      <c r="Y41" s="18" t="s">
        <v>55</v>
      </c>
      <c r="Z41" s="18" t="s">
        <v>55</v>
      </c>
      <c r="AA41" s="1">
        <v>1</v>
      </c>
      <c r="AB41" s="1">
        <v>1</v>
      </c>
      <c r="AC41" s="1">
        <v>0</v>
      </c>
      <c r="AD41" s="16">
        <v>46002</v>
      </c>
      <c r="AE41" s="16">
        <v>46000</v>
      </c>
      <c r="AF41" s="16">
        <v>46003</v>
      </c>
      <c r="AG41" s="16">
        <v>46017</v>
      </c>
      <c r="AH41" s="16">
        <v>46027</v>
      </c>
      <c r="AI41" s="3">
        <f t="shared" si="5"/>
        <v>1</v>
      </c>
      <c r="AJ41" s="49" t="s">
        <v>208</v>
      </c>
      <c r="AK41" s="49" t="s">
        <v>209</v>
      </c>
      <c r="AL41" s="19">
        <f t="shared" si="3"/>
        <v>1</v>
      </c>
      <c r="AM41" s="67">
        <f>IFERROR(NETWORKDAYS(D41,Q41,Hoja1!$A$1:$A$29),"N/A")</f>
        <v>6</v>
      </c>
      <c r="AN41" s="21">
        <f>IFERROR(NETWORKDAYS(D41,AE41,Hoja1!$A$1:$A$29),"N/A")</f>
        <v>14</v>
      </c>
      <c r="AO41" s="78">
        <v>3</v>
      </c>
      <c r="AP41" s="21">
        <f t="shared" si="6"/>
        <v>11</v>
      </c>
      <c r="AQ41" s="21">
        <f>IFERROR(NETWORKDAYS(AF41,AG41,Hoja1!$A$1:$A$29),"N/A")</f>
        <v>10</v>
      </c>
      <c r="AR41" s="74">
        <v>6</v>
      </c>
      <c r="AS41" s="75">
        <f t="shared" si="7"/>
        <v>4</v>
      </c>
      <c r="AT41" s="21">
        <f>IFERROR(NETWORKDAYS(D41,AG41,Hoja1!$A$1:$A$29),"N/A")</f>
        <v>26</v>
      </c>
      <c r="AU41" s="21">
        <f t="shared" si="8"/>
        <v>17</v>
      </c>
      <c r="AV41" s="69" t="s">
        <v>127</v>
      </c>
      <c r="AW41" s="27" t="s">
        <v>82</v>
      </c>
      <c r="AX41" s="27"/>
      <c r="AY41" s="27"/>
      <c r="AZ41" s="27"/>
      <c r="BA41" s="27"/>
      <c r="BB41" s="27"/>
    </row>
    <row r="42" spans="1:54" ht="15" customHeight="1" x14ac:dyDescent="0.25">
      <c r="A42" s="54">
        <v>15348</v>
      </c>
      <c r="B42" s="20" t="s">
        <v>79</v>
      </c>
      <c r="C42" s="20" t="s">
        <v>79</v>
      </c>
      <c r="D42" s="418">
        <v>45985</v>
      </c>
      <c r="E42" s="42">
        <v>45982</v>
      </c>
      <c r="F42" s="84" t="s">
        <v>62</v>
      </c>
      <c r="G42" s="23" t="s">
        <v>80</v>
      </c>
      <c r="H42" s="111" t="s">
        <v>51</v>
      </c>
      <c r="I42" s="87" t="s">
        <v>210</v>
      </c>
      <c r="J42" s="207" t="s">
        <v>118</v>
      </c>
      <c r="K42" s="87" t="s">
        <v>74</v>
      </c>
      <c r="L42" s="3">
        <v>1</v>
      </c>
      <c r="M42" s="40" t="s">
        <v>54</v>
      </c>
      <c r="N42" s="30" t="s">
        <v>55</v>
      </c>
      <c r="O42" s="3">
        <v>4</v>
      </c>
      <c r="P42" s="33" t="s">
        <v>56</v>
      </c>
      <c r="Q42" s="30">
        <v>45994</v>
      </c>
      <c r="R42" s="30">
        <v>46002</v>
      </c>
      <c r="S42" s="3">
        <v>4</v>
      </c>
      <c r="T42" s="37" t="s">
        <v>55</v>
      </c>
      <c r="U42" s="18" t="s">
        <v>55</v>
      </c>
      <c r="V42" s="18" t="s">
        <v>55</v>
      </c>
      <c r="W42" s="18" t="s">
        <v>55</v>
      </c>
      <c r="X42" s="18" t="s">
        <v>55</v>
      </c>
      <c r="Y42" s="18" t="s">
        <v>55</v>
      </c>
      <c r="Z42" s="18" t="s">
        <v>55</v>
      </c>
      <c r="AA42" s="3">
        <v>2</v>
      </c>
      <c r="AB42" s="3">
        <v>2</v>
      </c>
      <c r="AC42" s="3">
        <v>0</v>
      </c>
      <c r="AD42" s="28">
        <v>46009</v>
      </c>
      <c r="AE42" s="28">
        <v>46009</v>
      </c>
      <c r="AF42" s="28">
        <v>46013</v>
      </c>
      <c r="AG42" s="28">
        <v>46024</v>
      </c>
      <c r="AH42" s="28">
        <v>46027</v>
      </c>
      <c r="AI42" s="3">
        <f t="shared" si="5"/>
        <v>1</v>
      </c>
      <c r="AJ42" s="45" t="s">
        <v>211</v>
      </c>
      <c r="AK42" s="45" t="s">
        <v>212</v>
      </c>
      <c r="AL42" s="19">
        <f t="shared" si="3"/>
        <v>1</v>
      </c>
      <c r="AM42" s="67">
        <f>IFERROR(NETWORKDAYS(D42,Q42,Hoja1!$A$1:$A$29),"N/A")</f>
        <v>8</v>
      </c>
      <c r="AN42" s="21">
        <f>IFERROR(NETWORKDAYS(D42,AE42,Hoja1!$A$1:$A$29),"N/A")</f>
        <v>18</v>
      </c>
      <c r="AO42" s="78">
        <v>0</v>
      </c>
      <c r="AP42" s="21">
        <f t="shared" si="6"/>
        <v>18</v>
      </c>
      <c r="AQ42" s="21">
        <f>IFERROR(NETWORKDAYS(AF42,AG42,Hoja1!$A$1:$A$29),"N/A")</f>
        <v>8</v>
      </c>
      <c r="AR42" s="74">
        <v>3</v>
      </c>
      <c r="AS42" s="75">
        <f t="shared" si="7"/>
        <v>5</v>
      </c>
      <c r="AT42" s="21">
        <f>IFERROR(NETWORKDAYS(D42,AG42,Hoja1!$A$1:$A$29),"N/A")</f>
        <v>27</v>
      </c>
      <c r="AU42" s="21">
        <f t="shared" si="8"/>
        <v>24</v>
      </c>
      <c r="AV42" s="69" t="s">
        <v>59</v>
      </c>
      <c r="AW42" s="27" t="s">
        <v>213</v>
      </c>
      <c r="AX42" s="46" t="s">
        <v>453</v>
      </c>
      <c r="AY42" s="45"/>
      <c r="AZ42" s="45"/>
      <c r="BA42" s="45"/>
      <c r="BB42" s="45"/>
    </row>
    <row r="43" spans="1:54" ht="15" customHeight="1" x14ac:dyDescent="0.25">
      <c r="A43" s="54">
        <v>15364</v>
      </c>
      <c r="B43" s="20" t="s">
        <v>79</v>
      </c>
      <c r="C43" s="20" t="s">
        <v>79</v>
      </c>
      <c r="D43" s="30">
        <v>45995</v>
      </c>
      <c r="E43" s="30">
        <v>45983</v>
      </c>
      <c r="F43" s="84" t="s">
        <v>62</v>
      </c>
      <c r="G43" s="207" t="s">
        <v>71</v>
      </c>
      <c r="H43" s="111" t="s">
        <v>116</v>
      </c>
      <c r="I43" s="87" t="s">
        <v>214</v>
      </c>
      <c r="J43" s="207" t="s">
        <v>118</v>
      </c>
      <c r="K43" s="87" t="s">
        <v>74</v>
      </c>
      <c r="L43" s="3">
        <v>1</v>
      </c>
      <c r="M43" s="40" t="s">
        <v>54</v>
      </c>
      <c r="N43" s="30" t="s">
        <v>55</v>
      </c>
      <c r="O43" s="3">
        <v>4</v>
      </c>
      <c r="P43" s="33" t="s">
        <v>112</v>
      </c>
      <c r="Q43" s="30">
        <v>46000</v>
      </c>
      <c r="R43" s="30">
        <v>46024</v>
      </c>
      <c r="S43" s="3">
        <v>4</v>
      </c>
      <c r="T43" s="37" t="s">
        <v>55</v>
      </c>
      <c r="U43" s="37">
        <v>46002</v>
      </c>
      <c r="V43" s="37">
        <v>45979</v>
      </c>
      <c r="W43" s="37" t="s">
        <v>55</v>
      </c>
      <c r="X43" s="37" t="s">
        <v>55</v>
      </c>
      <c r="Y43" s="37" t="s">
        <v>55</v>
      </c>
      <c r="Z43" s="37" t="s">
        <v>55</v>
      </c>
      <c r="AA43" s="3">
        <v>2</v>
      </c>
      <c r="AB43" s="3">
        <v>1</v>
      </c>
      <c r="AC43" s="3">
        <v>0</v>
      </c>
      <c r="AD43" s="28">
        <v>46029</v>
      </c>
      <c r="AE43" s="28">
        <v>46029</v>
      </c>
      <c r="AF43" s="28">
        <v>46029</v>
      </c>
      <c r="AG43" s="28">
        <v>46044</v>
      </c>
      <c r="AH43" s="28">
        <v>46045</v>
      </c>
      <c r="AI43" s="3">
        <f t="shared" si="5"/>
        <v>1</v>
      </c>
      <c r="AJ43" s="45" t="s">
        <v>215</v>
      </c>
      <c r="AK43" s="45" t="s">
        <v>216</v>
      </c>
      <c r="AL43" s="19">
        <f t="shared" si="3"/>
        <v>1</v>
      </c>
      <c r="AM43" s="67">
        <f>IFERROR(NETWORKDAYS(D43,Q43,Hoja1!$A$1:$A$29),"N/A")</f>
        <v>3</v>
      </c>
      <c r="AN43" s="21">
        <f>IFERROR(NETWORKDAYS(D43,AE43,Hoja1!$A$1:$A$29),"N/A")</f>
        <v>22</v>
      </c>
      <c r="AO43" s="78">
        <v>0</v>
      </c>
      <c r="AP43" s="21">
        <f t="shared" si="6"/>
        <v>22</v>
      </c>
      <c r="AQ43" s="21">
        <f>IFERROR(NETWORKDAYS(AF43,AG43,Hoja1!$A$1:$A$29),"N/A")</f>
        <v>11</v>
      </c>
      <c r="AR43" s="74">
        <v>6</v>
      </c>
      <c r="AS43" s="75">
        <f t="shared" si="7"/>
        <v>5</v>
      </c>
      <c r="AT43" s="21">
        <f>IFERROR(NETWORKDAYS(D43,AG43,Hoja1!$A$1:$A$29),"N/A")</f>
        <v>32</v>
      </c>
      <c r="AU43" s="21">
        <f t="shared" si="8"/>
        <v>26</v>
      </c>
      <c r="AV43" s="69" t="s">
        <v>59</v>
      </c>
      <c r="AW43" s="27" t="s">
        <v>217</v>
      </c>
      <c r="AX43" s="45"/>
      <c r="AY43" s="45"/>
      <c r="AZ43" s="45"/>
      <c r="BA43" s="45"/>
      <c r="BB43" s="45"/>
    </row>
    <row r="44" spans="1:54" ht="15" customHeight="1" x14ac:dyDescent="0.25">
      <c r="A44" s="54">
        <v>15372</v>
      </c>
      <c r="B44" s="14" t="s">
        <v>69</v>
      </c>
      <c r="C44" s="40" t="s">
        <v>202</v>
      </c>
      <c r="D44" s="418">
        <v>45985</v>
      </c>
      <c r="E44" s="30">
        <v>45985</v>
      </c>
      <c r="F44" s="84" t="s">
        <v>62</v>
      </c>
      <c r="G44" s="207" t="s">
        <v>71</v>
      </c>
      <c r="H44" s="87" t="s">
        <v>140</v>
      </c>
      <c r="I44" s="87" t="s">
        <v>218</v>
      </c>
      <c r="J44" s="207" t="s">
        <v>118</v>
      </c>
      <c r="K44" s="87" t="s">
        <v>74</v>
      </c>
      <c r="L44" s="3">
        <v>1</v>
      </c>
      <c r="M44" s="40" t="s">
        <v>54</v>
      </c>
      <c r="N44" s="30" t="s">
        <v>55</v>
      </c>
      <c r="O44" s="3">
        <v>0</v>
      </c>
      <c r="P44" s="33"/>
      <c r="Q44" s="30" t="s">
        <v>55</v>
      </c>
      <c r="R44" s="30" t="s">
        <v>55</v>
      </c>
      <c r="S44" s="3">
        <v>0</v>
      </c>
      <c r="T44" s="37" t="s">
        <v>55</v>
      </c>
      <c r="U44" s="37">
        <v>45985</v>
      </c>
      <c r="V44" s="37">
        <v>45669</v>
      </c>
      <c r="W44" s="37" t="s">
        <v>55</v>
      </c>
      <c r="X44" s="37" t="s">
        <v>55</v>
      </c>
      <c r="Y44" s="37" t="s">
        <v>55</v>
      </c>
      <c r="Z44" s="37">
        <v>45995</v>
      </c>
      <c r="AA44" s="3">
        <v>1</v>
      </c>
      <c r="AB44" s="3">
        <v>1</v>
      </c>
      <c r="AC44" s="3">
        <v>0</v>
      </c>
      <c r="AD44" s="28">
        <v>46010</v>
      </c>
      <c r="AE44" s="28">
        <v>46007</v>
      </c>
      <c r="AF44" s="28">
        <v>46013</v>
      </c>
      <c r="AG44" s="28">
        <v>46024</v>
      </c>
      <c r="AH44" s="28">
        <v>46027</v>
      </c>
      <c r="AI44" s="3">
        <f t="shared" si="5"/>
        <v>1</v>
      </c>
      <c r="AJ44" s="45" t="s">
        <v>219</v>
      </c>
      <c r="AK44" s="45" t="s">
        <v>220</v>
      </c>
      <c r="AL44" s="19" t="str">
        <f t="shared" si="3"/>
        <v>N/A</v>
      </c>
      <c r="AM44" s="67" t="str">
        <f>IFERROR(NETWORKDAYS(D44,Q44,Hoja1!$A$1:$A$29),"N/A")</f>
        <v>N/A</v>
      </c>
      <c r="AN44" s="21">
        <f>IFERROR(NETWORKDAYS(D44,AE44,Hoja1!$A$1:$A$29),"N/A")</f>
        <v>16</v>
      </c>
      <c r="AO44" s="78">
        <v>0</v>
      </c>
      <c r="AP44" s="21">
        <f t="shared" si="6"/>
        <v>16</v>
      </c>
      <c r="AQ44" s="21">
        <f>IFERROR(NETWORKDAYS(AF44,AG44,Hoja1!$A$1:$A$29),"N/A")</f>
        <v>8</v>
      </c>
      <c r="AR44" s="74">
        <v>3</v>
      </c>
      <c r="AS44" s="75">
        <f t="shared" si="7"/>
        <v>5</v>
      </c>
      <c r="AT44" s="21">
        <f>IFERROR(NETWORKDAYS(D44,AG44,Hoja1!$A$1:$A$29),"N/A")</f>
        <v>27</v>
      </c>
      <c r="AU44" s="21">
        <f t="shared" si="8"/>
        <v>24</v>
      </c>
      <c r="AV44" s="69" t="s">
        <v>145</v>
      </c>
      <c r="AW44" s="27" t="s">
        <v>180</v>
      </c>
      <c r="AX44" s="45"/>
      <c r="AY44" s="45"/>
      <c r="AZ44" s="45"/>
      <c r="BA44" s="45"/>
      <c r="BB44" s="45"/>
    </row>
    <row r="45" spans="1:54" ht="15" customHeight="1" x14ac:dyDescent="0.25">
      <c r="A45" s="54">
        <v>15378</v>
      </c>
      <c r="B45" s="43" t="s">
        <v>69</v>
      </c>
      <c r="C45" s="43" t="s">
        <v>98</v>
      </c>
      <c r="D45" s="44">
        <v>45986</v>
      </c>
      <c r="E45" s="44">
        <v>45986</v>
      </c>
      <c r="F45" s="143" t="s">
        <v>99</v>
      </c>
      <c r="G45" s="111" t="s">
        <v>221</v>
      </c>
      <c r="H45" s="111" t="s">
        <v>51</v>
      </c>
      <c r="I45" s="27" t="s">
        <v>72</v>
      </c>
      <c r="J45" s="22" t="s">
        <v>73</v>
      </c>
      <c r="K45" s="202" t="s">
        <v>1081</v>
      </c>
      <c r="L45" s="2">
        <v>1</v>
      </c>
      <c r="M45" s="43" t="s">
        <v>54</v>
      </c>
      <c r="N45" s="2" t="s">
        <v>55</v>
      </c>
      <c r="O45" s="2">
        <v>3</v>
      </c>
      <c r="P45" s="21" t="s">
        <v>56</v>
      </c>
      <c r="Q45" s="44">
        <v>45996</v>
      </c>
      <c r="R45" s="44">
        <v>45996</v>
      </c>
      <c r="S45" s="2">
        <v>3</v>
      </c>
      <c r="T45" s="2" t="s">
        <v>55</v>
      </c>
      <c r="U45" s="18" t="s">
        <v>55</v>
      </c>
      <c r="V45" s="18" t="s">
        <v>55</v>
      </c>
      <c r="W45" s="18" t="s">
        <v>55</v>
      </c>
      <c r="X45" s="18" t="s">
        <v>55</v>
      </c>
      <c r="Y45" s="18" t="s">
        <v>55</v>
      </c>
      <c r="Z45" s="18" t="s">
        <v>55</v>
      </c>
      <c r="AA45" s="2">
        <v>1</v>
      </c>
      <c r="AB45" s="2">
        <v>1</v>
      </c>
      <c r="AC45" s="2">
        <v>0</v>
      </c>
      <c r="AD45" s="53">
        <v>46006</v>
      </c>
      <c r="AE45" s="53">
        <v>46006</v>
      </c>
      <c r="AF45" s="53">
        <v>46006</v>
      </c>
      <c r="AG45" s="53">
        <v>46022</v>
      </c>
      <c r="AH45" s="53">
        <v>46027</v>
      </c>
      <c r="AI45" s="3">
        <f t="shared" si="5"/>
        <v>1</v>
      </c>
      <c r="AJ45" s="46" t="s">
        <v>222</v>
      </c>
      <c r="AK45" s="46" t="s">
        <v>223</v>
      </c>
      <c r="AL45" s="19">
        <f t="shared" si="3"/>
        <v>1</v>
      </c>
      <c r="AM45" s="67">
        <f>IFERROR(NETWORKDAYS(D45,Q45,Hoja1!$A$1:$A$29),"N/A")</f>
        <v>9</v>
      </c>
      <c r="AN45" s="21">
        <f>IFERROR(NETWORKDAYS(D45,AE45,Hoja1!$A$1:$A$29),"N/A")</f>
        <v>14</v>
      </c>
      <c r="AO45" s="78">
        <v>0</v>
      </c>
      <c r="AP45" s="21">
        <f t="shared" si="6"/>
        <v>14</v>
      </c>
      <c r="AQ45" s="21">
        <f>IFERROR(NETWORKDAYS(AF45,AG45,Hoja1!$A$1:$A$29),"N/A")</f>
        <v>12</v>
      </c>
      <c r="AR45" s="78">
        <v>7</v>
      </c>
      <c r="AS45" s="75">
        <f t="shared" si="7"/>
        <v>5</v>
      </c>
      <c r="AT45" s="21">
        <f>IFERROR(NETWORKDAYS(D45,AG45,Hoja1!$A$1:$A$29),"N/A")</f>
        <v>25</v>
      </c>
      <c r="AU45" s="21">
        <f t="shared" si="8"/>
        <v>18</v>
      </c>
      <c r="AV45" s="69" t="s">
        <v>127</v>
      </c>
      <c r="AW45" s="27" t="s">
        <v>82</v>
      </c>
      <c r="AX45" s="46"/>
      <c r="AY45" s="46"/>
      <c r="AZ45" s="46"/>
      <c r="BA45" s="46"/>
      <c r="BB45" s="46"/>
    </row>
    <row r="46" spans="1:54" ht="15" customHeight="1" x14ac:dyDescent="0.25">
      <c r="A46" s="54">
        <v>15382</v>
      </c>
      <c r="B46" s="20" t="s">
        <v>79</v>
      </c>
      <c r="C46" s="20" t="s">
        <v>79</v>
      </c>
      <c r="D46" s="418">
        <v>45986</v>
      </c>
      <c r="E46" s="30">
        <v>45986</v>
      </c>
      <c r="F46" s="84" t="s">
        <v>62</v>
      </c>
      <c r="G46" s="207" t="s">
        <v>71</v>
      </c>
      <c r="H46" s="111" t="s">
        <v>101</v>
      </c>
      <c r="I46" s="87" t="s">
        <v>174</v>
      </c>
      <c r="J46" s="87" t="s">
        <v>142</v>
      </c>
      <c r="K46" s="87" t="s">
        <v>74</v>
      </c>
      <c r="L46" s="3">
        <v>1</v>
      </c>
      <c r="M46" s="40" t="s">
        <v>54</v>
      </c>
      <c r="N46" s="30" t="s">
        <v>55</v>
      </c>
      <c r="O46" s="3">
        <v>0</v>
      </c>
      <c r="P46" s="33"/>
      <c r="Q46" s="37" t="s">
        <v>55</v>
      </c>
      <c r="R46" s="37" t="s">
        <v>55</v>
      </c>
      <c r="S46" s="3">
        <v>0</v>
      </c>
      <c r="T46" s="37" t="s">
        <v>55</v>
      </c>
      <c r="U46" s="18" t="s">
        <v>55</v>
      </c>
      <c r="V46" s="18" t="s">
        <v>55</v>
      </c>
      <c r="W46" s="18" t="s">
        <v>55</v>
      </c>
      <c r="X46" s="18" t="s">
        <v>55</v>
      </c>
      <c r="Y46" s="18" t="s">
        <v>55</v>
      </c>
      <c r="Z46" s="18" t="s">
        <v>55</v>
      </c>
      <c r="AA46" s="3">
        <v>2</v>
      </c>
      <c r="AB46" s="3">
        <v>1</v>
      </c>
      <c r="AC46" s="3">
        <v>0</v>
      </c>
      <c r="AD46" s="28">
        <v>46010</v>
      </c>
      <c r="AE46" s="28">
        <v>46010</v>
      </c>
      <c r="AF46" s="28">
        <v>46013</v>
      </c>
      <c r="AG46" s="28">
        <v>46024</v>
      </c>
      <c r="AH46" s="28">
        <v>46027</v>
      </c>
      <c r="AI46" s="3">
        <f t="shared" si="5"/>
        <v>1</v>
      </c>
      <c r="AJ46" s="45" t="s">
        <v>224</v>
      </c>
      <c r="AK46" s="45" t="s">
        <v>225</v>
      </c>
      <c r="AL46" s="19" t="str">
        <f t="shared" si="3"/>
        <v>N/A</v>
      </c>
      <c r="AM46" s="67" t="str">
        <f>IFERROR(NETWORKDAYS(D46,Q46,Hoja1!$A$1:$A$29),"N/A")</f>
        <v>N/A</v>
      </c>
      <c r="AN46" s="21">
        <f>IFERROR(NETWORKDAYS(D46,AE46,Hoja1!$A$1:$A$29),"N/A")</f>
        <v>18</v>
      </c>
      <c r="AO46" s="78">
        <v>0</v>
      </c>
      <c r="AP46" s="21">
        <f t="shared" si="6"/>
        <v>18</v>
      </c>
      <c r="AQ46" s="21">
        <f>IFERROR(NETWORKDAYS(AF46,AG46,Hoja1!$A$1:$A$29),"N/A")</f>
        <v>8</v>
      </c>
      <c r="AR46" s="74">
        <v>3</v>
      </c>
      <c r="AS46" s="75">
        <f t="shared" si="7"/>
        <v>5</v>
      </c>
      <c r="AT46" s="21">
        <f>IFERROR(NETWORKDAYS(D46,AG46,Hoja1!$A$1:$A$29),"N/A")</f>
        <v>26</v>
      </c>
      <c r="AU46" s="21">
        <f t="shared" si="8"/>
        <v>23</v>
      </c>
      <c r="AV46" s="69" t="s">
        <v>145</v>
      </c>
      <c r="AW46" s="27" t="s">
        <v>180</v>
      </c>
      <c r="AX46" s="45"/>
      <c r="AY46" s="45"/>
      <c r="AZ46" s="45"/>
      <c r="BA46" s="45"/>
      <c r="BB46" s="45"/>
    </row>
    <row r="47" spans="1:54" ht="15" customHeight="1" x14ac:dyDescent="0.25">
      <c r="A47" s="54">
        <v>15385</v>
      </c>
      <c r="B47" s="29" t="s">
        <v>85</v>
      </c>
      <c r="C47" s="29" t="s">
        <v>85</v>
      </c>
      <c r="D47" s="30">
        <v>45988</v>
      </c>
      <c r="E47" s="39">
        <v>45987</v>
      </c>
      <c r="F47" s="202" t="s">
        <v>62</v>
      </c>
      <c r="G47" s="207" t="s">
        <v>71</v>
      </c>
      <c r="H47" s="87" t="s">
        <v>51</v>
      </c>
      <c r="I47" s="27" t="s">
        <v>72</v>
      </c>
      <c r="J47" s="22" t="s">
        <v>73</v>
      </c>
      <c r="K47" s="87" t="s">
        <v>86</v>
      </c>
      <c r="L47" s="31">
        <v>1</v>
      </c>
      <c r="M47" s="32" t="s">
        <v>54</v>
      </c>
      <c r="N47" s="28" t="s">
        <v>55</v>
      </c>
      <c r="O47" s="34">
        <v>5</v>
      </c>
      <c r="P47" s="33" t="s">
        <v>56</v>
      </c>
      <c r="Q47" s="28">
        <v>45994</v>
      </c>
      <c r="R47" s="28">
        <v>45994</v>
      </c>
      <c r="S47" s="34">
        <v>5</v>
      </c>
      <c r="T47" s="28" t="s">
        <v>55</v>
      </c>
      <c r="U47" s="18" t="s">
        <v>55</v>
      </c>
      <c r="V47" s="18" t="s">
        <v>55</v>
      </c>
      <c r="W47" s="18" t="s">
        <v>55</v>
      </c>
      <c r="X47" s="18" t="s">
        <v>55</v>
      </c>
      <c r="Y47" s="18" t="s">
        <v>55</v>
      </c>
      <c r="Z47" s="18" t="s">
        <v>55</v>
      </c>
      <c r="AA47" s="34">
        <v>3</v>
      </c>
      <c r="AB47" s="34">
        <v>1</v>
      </c>
      <c r="AC47" s="34">
        <v>0</v>
      </c>
      <c r="AD47" s="28">
        <v>46034</v>
      </c>
      <c r="AE47" s="28">
        <v>46035</v>
      </c>
      <c r="AF47" s="28">
        <v>46036</v>
      </c>
      <c r="AG47" s="28">
        <v>46044</v>
      </c>
      <c r="AH47" s="28">
        <v>46045</v>
      </c>
      <c r="AI47" s="3">
        <f t="shared" si="5"/>
        <v>1</v>
      </c>
      <c r="AJ47" s="45" t="s">
        <v>226</v>
      </c>
      <c r="AK47" s="47" t="s">
        <v>433</v>
      </c>
      <c r="AL47" s="19">
        <f t="shared" si="3"/>
        <v>1</v>
      </c>
      <c r="AM47" s="67">
        <f>IFERROR(NETWORKDAYS(D47,Q47,Hoja1!$A$1:$A$29),"N/A")</f>
        <v>5</v>
      </c>
      <c r="AN47" s="21">
        <f>IFERROR(NETWORKDAYS(D47,AE47,Hoja1!$A$1:$A$29),"N/A")</f>
        <v>30</v>
      </c>
      <c r="AO47" s="78">
        <v>15</v>
      </c>
      <c r="AP47" s="21">
        <f t="shared" si="6"/>
        <v>15</v>
      </c>
      <c r="AQ47" s="21">
        <f>IFERROR(NETWORKDAYS(AF47,AG47,Hoja1!$A$1:$A$29),"N/A")</f>
        <v>7</v>
      </c>
      <c r="AR47" s="74">
        <v>2</v>
      </c>
      <c r="AS47" s="75">
        <f t="shared" si="7"/>
        <v>5</v>
      </c>
      <c r="AT47" s="21">
        <f>IFERROR(NETWORKDAYS(D47,AG47,Hoja1!$A$1:$A$29),"N/A")</f>
        <v>37</v>
      </c>
      <c r="AU47" s="21">
        <f t="shared" si="8"/>
        <v>20</v>
      </c>
      <c r="AV47" s="69" t="s">
        <v>77</v>
      </c>
      <c r="AW47" s="27" t="s">
        <v>89</v>
      </c>
      <c r="AX47" s="47"/>
      <c r="AY47" s="47"/>
      <c r="AZ47" s="47"/>
      <c r="BA47" s="47"/>
      <c r="BB47" s="47"/>
    </row>
    <row r="48" spans="1:54" ht="15" customHeight="1" x14ac:dyDescent="0.25">
      <c r="A48" s="58">
        <v>15395</v>
      </c>
      <c r="B48" s="43" t="s">
        <v>69</v>
      </c>
      <c r="C48" s="43" t="s">
        <v>98</v>
      </c>
      <c r="D48" s="420">
        <v>45987</v>
      </c>
      <c r="E48" s="16">
        <v>45987</v>
      </c>
      <c r="F48" s="179" t="s">
        <v>62</v>
      </c>
      <c r="G48" s="23" t="s">
        <v>80</v>
      </c>
      <c r="H48" s="143" t="s">
        <v>51</v>
      </c>
      <c r="I48" s="49" t="s">
        <v>227</v>
      </c>
      <c r="J48" s="20" t="s">
        <v>52</v>
      </c>
      <c r="K48" s="14" t="s">
        <v>66</v>
      </c>
      <c r="L48" s="17">
        <v>1</v>
      </c>
      <c r="M48" s="22" t="s">
        <v>54</v>
      </c>
      <c r="N48" s="16" t="s">
        <v>55</v>
      </c>
      <c r="O48" s="1">
        <v>8</v>
      </c>
      <c r="P48" s="1" t="s">
        <v>56</v>
      </c>
      <c r="Q48" s="16">
        <v>45993</v>
      </c>
      <c r="R48" s="16">
        <v>45994</v>
      </c>
      <c r="S48" s="1">
        <v>8</v>
      </c>
      <c r="T48" s="16" t="s">
        <v>55</v>
      </c>
      <c r="U48" s="18" t="s">
        <v>55</v>
      </c>
      <c r="V48" s="18" t="s">
        <v>55</v>
      </c>
      <c r="W48" s="18" t="s">
        <v>55</v>
      </c>
      <c r="X48" s="18" t="s">
        <v>55</v>
      </c>
      <c r="Y48" s="18" t="s">
        <v>55</v>
      </c>
      <c r="Z48" s="18" t="s">
        <v>55</v>
      </c>
      <c r="AA48" s="1">
        <v>1</v>
      </c>
      <c r="AB48" s="1">
        <v>1</v>
      </c>
      <c r="AC48" s="1">
        <v>0</v>
      </c>
      <c r="AD48" s="16">
        <v>46008</v>
      </c>
      <c r="AE48" s="16">
        <v>46008</v>
      </c>
      <c r="AF48" s="16">
        <v>46009</v>
      </c>
      <c r="AG48" s="16">
        <v>46024</v>
      </c>
      <c r="AH48" s="16">
        <v>46027</v>
      </c>
      <c r="AI48" s="3">
        <f t="shared" si="5"/>
        <v>1</v>
      </c>
      <c r="AJ48" s="49" t="s">
        <v>228</v>
      </c>
      <c r="AK48" s="49" t="s">
        <v>434</v>
      </c>
      <c r="AL48" s="19">
        <f t="shared" si="3"/>
        <v>1</v>
      </c>
      <c r="AM48" s="67">
        <f>IFERROR(NETWORKDAYS(D48,Q48,Hoja1!$A$1:$A$29),"N/A")</f>
        <v>5</v>
      </c>
      <c r="AN48" s="21">
        <f>IFERROR(NETWORKDAYS(D48,AE48,Hoja1!$A$1:$A$29),"N/A")</f>
        <v>15</v>
      </c>
      <c r="AO48" s="78">
        <v>0</v>
      </c>
      <c r="AP48" s="21">
        <f t="shared" si="6"/>
        <v>15</v>
      </c>
      <c r="AQ48" s="21">
        <f>IFERROR(NETWORKDAYS(AF48,AG48,Hoja1!$A$1:$A$29),"N/A")</f>
        <v>10</v>
      </c>
      <c r="AR48" s="74">
        <v>5</v>
      </c>
      <c r="AS48" s="75">
        <f t="shared" si="7"/>
        <v>5</v>
      </c>
      <c r="AT48" s="21">
        <f>IFERROR(NETWORKDAYS(D48,AG48,Hoja1!$A$1:$A$29),"N/A")</f>
        <v>25</v>
      </c>
      <c r="AU48" s="21">
        <f t="shared" si="8"/>
        <v>20</v>
      </c>
      <c r="AV48" s="69" t="s">
        <v>59</v>
      </c>
      <c r="AW48" s="27" t="s">
        <v>229</v>
      </c>
      <c r="AX48" s="27"/>
      <c r="AY48" s="27"/>
      <c r="AZ48" s="27"/>
      <c r="BA48" s="27"/>
      <c r="BB48" s="27"/>
    </row>
    <row r="49" spans="1:54" ht="15" customHeight="1" x14ac:dyDescent="0.25">
      <c r="A49" s="205">
        <v>15402</v>
      </c>
      <c r="B49" s="115" t="s">
        <v>69</v>
      </c>
      <c r="C49" s="115" t="s">
        <v>98</v>
      </c>
      <c r="D49" s="422">
        <v>46029</v>
      </c>
      <c r="E49" s="126">
        <v>45988</v>
      </c>
      <c r="F49" s="189" t="s">
        <v>62</v>
      </c>
      <c r="G49" s="209" t="s">
        <v>80</v>
      </c>
      <c r="H49" s="247" t="s">
        <v>101</v>
      </c>
      <c r="I49" s="76" t="s">
        <v>96</v>
      </c>
      <c r="J49" s="247" t="s">
        <v>73</v>
      </c>
      <c r="K49" s="209" t="s">
        <v>66</v>
      </c>
      <c r="L49" s="128">
        <v>1</v>
      </c>
      <c r="M49" s="247" t="s">
        <v>54</v>
      </c>
      <c r="N49" s="126" t="s">
        <v>55</v>
      </c>
      <c r="O49" s="83">
        <v>13</v>
      </c>
      <c r="P49" s="83" t="s">
        <v>56</v>
      </c>
      <c r="Q49" s="126">
        <v>45989</v>
      </c>
      <c r="R49" s="126">
        <v>45989</v>
      </c>
      <c r="S49" s="83">
        <v>13</v>
      </c>
      <c r="T49" s="126" t="s">
        <v>55</v>
      </c>
      <c r="U49" s="125" t="s">
        <v>55</v>
      </c>
      <c r="V49" s="125" t="s">
        <v>55</v>
      </c>
      <c r="W49" s="125" t="s">
        <v>55</v>
      </c>
      <c r="X49" s="125" t="s">
        <v>55</v>
      </c>
      <c r="Y49" s="125" t="s">
        <v>55</v>
      </c>
      <c r="Z49" s="125" t="s">
        <v>55</v>
      </c>
      <c r="AA49" s="83">
        <v>3</v>
      </c>
      <c r="AB49" s="83">
        <v>1</v>
      </c>
      <c r="AC49" s="83">
        <v>0</v>
      </c>
      <c r="AD49" s="126">
        <v>46031</v>
      </c>
      <c r="AE49" s="126">
        <v>46031</v>
      </c>
      <c r="AF49" s="126">
        <v>46031</v>
      </c>
      <c r="AG49" s="126">
        <v>46043</v>
      </c>
      <c r="AH49" s="126">
        <v>46044</v>
      </c>
      <c r="AI49" s="79">
        <f t="shared" si="5"/>
        <v>1</v>
      </c>
      <c r="AJ49" s="76" t="s">
        <v>230</v>
      </c>
      <c r="AK49" s="82" t="s">
        <v>231</v>
      </c>
      <c r="AL49" s="19">
        <f t="shared" si="3"/>
        <v>1</v>
      </c>
      <c r="AM49" s="67">
        <f>IFERROR(NETWORKDAYS(D49,Q49,Hoja1!$A$1:$A$29),"N/A")</f>
        <v>-26</v>
      </c>
      <c r="AN49" s="21">
        <f>IFERROR(NETWORKDAYS(D49,AE49,Hoja1!$A$1:$A$29),"N/A")</f>
        <v>3</v>
      </c>
      <c r="AO49" s="271">
        <v>0</v>
      </c>
      <c r="AP49" s="100">
        <f t="shared" si="6"/>
        <v>3</v>
      </c>
      <c r="AQ49" s="21">
        <f>IFERROR(NETWORKDAYS(AF49,AG49,Hoja1!$A$1:$A$29),"N/A")</f>
        <v>8</v>
      </c>
      <c r="AR49" s="101">
        <v>3</v>
      </c>
      <c r="AS49" s="102">
        <f t="shared" si="7"/>
        <v>5</v>
      </c>
      <c r="AT49" s="21">
        <f>IFERROR(NETWORKDAYS(D49,AG49,Hoja1!$A$1:$A$29),"N/A")</f>
        <v>10</v>
      </c>
      <c r="AU49" s="100">
        <f t="shared" si="8"/>
        <v>7</v>
      </c>
      <c r="AV49" s="81" t="s">
        <v>104</v>
      </c>
      <c r="AW49" s="76" t="s">
        <v>82</v>
      </c>
      <c r="AX49" s="76" t="s">
        <v>464</v>
      </c>
      <c r="AY49" s="76"/>
      <c r="AZ49" s="76"/>
      <c r="BA49" s="76"/>
      <c r="BB49" s="76"/>
    </row>
    <row r="50" spans="1:54" ht="15" customHeight="1" x14ac:dyDescent="0.25">
      <c r="A50" s="56">
        <v>15406</v>
      </c>
      <c r="B50" s="29" t="s">
        <v>49</v>
      </c>
      <c r="C50" s="29" t="s">
        <v>49</v>
      </c>
      <c r="D50" s="417">
        <v>45989</v>
      </c>
      <c r="E50" s="41">
        <v>45989</v>
      </c>
      <c r="F50" s="202" t="s">
        <v>62</v>
      </c>
      <c r="G50" s="23" t="s">
        <v>80</v>
      </c>
      <c r="H50" s="48" t="s">
        <v>140</v>
      </c>
      <c r="I50" s="48" t="s">
        <v>232</v>
      </c>
      <c r="J50" s="207" t="s">
        <v>118</v>
      </c>
      <c r="K50" s="87" t="s">
        <v>86</v>
      </c>
      <c r="L50" s="3">
        <v>1</v>
      </c>
      <c r="M50" s="32" t="s">
        <v>54</v>
      </c>
      <c r="N50" s="28" t="s">
        <v>55</v>
      </c>
      <c r="O50" s="33">
        <v>0</v>
      </c>
      <c r="P50" s="33"/>
      <c r="Q50" s="28" t="s">
        <v>55</v>
      </c>
      <c r="R50" s="28" t="s">
        <v>55</v>
      </c>
      <c r="S50" s="33">
        <v>0</v>
      </c>
      <c r="T50" s="28" t="s">
        <v>55</v>
      </c>
      <c r="U50" s="28">
        <v>45993</v>
      </c>
      <c r="V50" s="28">
        <v>46001</v>
      </c>
      <c r="W50" s="28" t="s">
        <v>55</v>
      </c>
      <c r="X50" s="28" t="s">
        <v>55</v>
      </c>
      <c r="Y50" s="28" t="s">
        <v>55</v>
      </c>
      <c r="Z50" s="28">
        <v>46017</v>
      </c>
      <c r="AA50" s="33">
        <v>3</v>
      </c>
      <c r="AB50" s="33">
        <v>3</v>
      </c>
      <c r="AC50" s="33">
        <v>0</v>
      </c>
      <c r="AD50" s="28">
        <v>46027</v>
      </c>
      <c r="AE50" s="28">
        <v>46029</v>
      </c>
      <c r="AF50" s="28">
        <v>46030</v>
      </c>
      <c r="AG50" s="28">
        <v>46037</v>
      </c>
      <c r="AH50" s="28">
        <v>46044</v>
      </c>
      <c r="AI50" s="3">
        <f t="shared" si="5"/>
        <v>1</v>
      </c>
      <c r="AJ50" s="50" t="s">
        <v>233</v>
      </c>
      <c r="AK50" s="45" t="s">
        <v>234</v>
      </c>
      <c r="AL50" s="19" t="str">
        <f t="shared" si="3"/>
        <v>N/A</v>
      </c>
      <c r="AM50" s="67" t="str">
        <f>IFERROR(NETWORKDAYS(D50,Q50,Hoja1!$A$1:$A$29),"N/A")</f>
        <v>N/A</v>
      </c>
      <c r="AN50" s="21">
        <f>IFERROR(NETWORKDAYS(D50,AE50,Hoja1!$A$1:$A$29),"N/A")</f>
        <v>26</v>
      </c>
      <c r="AO50" s="78">
        <v>3</v>
      </c>
      <c r="AP50" s="21">
        <f t="shared" si="6"/>
        <v>23</v>
      </c>
      <c r="AQ50" s="21">
        <f>IFERROR(NETWORKDAYS(AF50,AG50,Hoja1!$A$1:$A$29),"N/A")</f>
        <v>5</v>
      </c>
      <c r="AR50" s="74">
        <v>0</v>
      </c>
      <c r="AS50" s="75">
        <f t="shared" si="7"/>
        <v>5</v>
      </c>
      <c r="AT50" s="21">
        <f>IFERROR(NETWORKDAYS(D50,AG50,Hoja1!$A$1:$A$29),"N/A")</f>
        <v>31</v>
      </c>
      <c r="AU50" s="21">
        <f t="shared" si="8"/>
        <v>28</v>
      </c>
      <c r="AV50" s="69" t="s">
        <v>145</v>
      </c>
      <c r="AW50" s="27" t="s">
        <v>235</v>
      </c>
      <c r="AX50" s="45"/>
      <c r="AY50" s="45"/>
      <c r="AZ50" s="45"/>
      <c r="BA50" s="45"/>
      <c r="BB50" s="45"/>
    </row>
    <row r="51" spans="1:54" ht="15" customHeight="1" x14ac:dyDescent="0.25">
      <c r="A51" s="54">
        <v>15407</v>
      </c>
      <c r="B51" s="20" t="s">
        <v>79</v>
      </c>
      <c r="C51" s="20" t="s">
        <v>79</v>
      </c>
      <c r="D51" s="30">
        <v>45989</v>
      </c>
      <c r="E51" s="24">
        <v>45989</v>
      </c>
      <c r="F51" s="84" t="s">
        <v>90</v>
      </c>
      <c r="G51" s="111" t="s">
        <v>91</v>
      </c>
      <c r="H51" s="111" t="s">
        <v>51</v>
      </c>
      <c r="I51" s="87" t="s">
        <v>976</v>
      </c>
      <c r="J51" s="207" t="s">
        <v>118</v>
      </c>
      <c r="K51" s="87" t="s">
        <v>93</v>
      </c>
      <c r="L51" s="3">
        <v>1</v>
      </c>
      <c r="M51" s="40" t="s">
        <v>54</v>
      </c>
      <c r="N51" s="3" t="s">
        <v>55</v>
      </c>
      <c r="O51" s="3">
        <v>5</v>
      </c>
      <c r="P51" s="33" t="s">
        <v>112</v>
      </c>
      <c r="Q51" s="30">
        <v>46002</v>
      </c>
      <c r="R51" s="30">
        <v>46002</v>
      </c>
      <c r="S51" s="3">
        <v>5</v>
      </c>
      <c r="T51" s="18" t="s">
        <v>55</v>
      </c>
      <c r="U51" s="18" t="s">
        <v>55</v>
      </c>
      <c r="V51" s="18" t="s">
        <v>55</v>
      </c>
      <c r="W51" s="18" t="s">
        <v>55</v>
      </c>
      <c r="X51" s="18" t="s">
        <v>55</v>
      </c>
      <c r="Y51" s="18" t="s">
        <v>55</v>
      </c>
      <c r="Z51" s="18" t="s">
        <v>55</v>
      </c>
      <c r="AA51" s="3">
        <v>5</v>
      </c>
      <c r="AB51" s="3">
        <v>2</v>
      </c>
      <c r="AC51" s="3">
        <v>0</v>
      </c>
      <c r="AD51" s="28">
        <v>46009</v>
      </c>
      <c r="AE51" s="28">
        <v>46009</v>
      </c>
      <c r="AF51" s="28">
        <v>46009</v>
      </c>
      <c r="AG51" s="28">
        <v>46031</v>
      </c>
      <c r="AH51" s="28">
        <v>46035</v>
      </c>
      <c r="AI51" s="3">
        <f t="shared" si="5"/>
        <v>1</v>
      </c>
      <c r="AJ51" s="45" t="s">
        <v>236</v>
      </c>
      <c r="AK51" s="49" t="s">
        <v>237</v>
      </c>
      <c r="AL51" s="19">
        <f t="shared" si="3"/>
        <v>1</v>
      </c>
      <c r="AM51" s="67">
        <f>IFERROR(NETWORKDAYS(D51,Q51,Hoja1!$A$1:$A$29),"N/A")</f>
        <v>9</v>
      </c>
      <c r="AN51" s="21">
        <f>IFERROR(NETWORKDAYS(D51,AE51,Hoja1!$A$1:$A$29),"N/A")</f>
        <v>14</v>
      </c>
      <c r="AO51" s="78">
        <v>0</v>
      </c>
      <c r="AP51" s="21">
        <f t="shared" si="6"/>
        <v>14</v>
      </c>
      <c r="AQ51" s="21">
        <f>IFERROR(NETWORKDAYS(AF51,AG51,Hoja1!$A$1:$A$29),"N/A")</f>
        <v>15</v>
      </c>
      <c r="AR51" s="74">
        <v>10</v>
      </c>
      <c r="AS51" s="75">
        <f t="shared" si="7"/>
        <v>5</v>
      </c>
      <c r="AT51" s="21">
        <f>IFERROR(NETWORKDAYS(D51,AG51,Hoja1!$A$1:$A$29),"N/A")</f>
        <v>28</v>
      </c>
      <c r="AU51" s="21">
        <f t="shared" si="8"/>
        <v>18</v>
      </c>
      <c r="AV51" s="69" t="s">
        <v>59</v>
      </c>
      <c r="AW51" s="27" t="s">
        <v>238</v>
      </c>
      <c r="AX51" s="45"/>
      <c r="AY51" s="45"/>
      <c r="AZ51" s="45"/>
      <c r="BA51" s="45"/>
      <c r="BB51" s="45"/>
    </row>
    <row r="52" spans="1:54" ht="15" customHeight="1" x14ac:dyDescent="0.25">
      <c r="A52" s="56">
        <v>15409</v>
      </c>
      <c r="B52" s="20" t="s">
        <v>79</v>
      </c>
      <c r="C52" s="20" t="s">
        <v>79</v>
      </c>
      <c r="D52" s="417">
        <v>45989</v>
      </c>
      <c r="E52" s="37">
        <v>45989</v>
      </c>
      <c r="F52" s="202" t="s">
        <v>879</v>
      </c>
      <c r="G52" s="48" t="s">
        <v>50</v>
      </c>
      <c r="H52" s="48" t="s">
        <v>51</v>
      </c>
      <c r="I52" s="111" t="s">
        <v>239</v>
      </c>
      <c r="J52" s="48" t="s">
        <v>52</v>
      </c>
      <c r="K52" s="48" t="s">
        <v>106</v>
      </c>
      <c r="L52" s="18">
        <v>1</v>
      </c>
      <c r="M52" s="40" t="s">
        <v>54</v>
      </c>
      <c r="N52" s="18" t="s">
        <v>55</v>
      </c>
      <c r="O52" s="18">
        <v>6</v>
      </c>
      <c r="P52" s="36" t="s">
        <v>56</v>
      </c>
      <c r="Q52" s="37">
        <v>46001</v>
      </c>
      <c r="R52" s="37">
        <v>46001</v>
      </c>
      <c r="S52" s="18">
        <v>6</v>
      </c>
      <c r="T52" s="18" t="s">
        <v>55</v>
      </c>
      <c r="U52" s="18" t="s">
        <v>55</v>
      </c>
      <c r="V52" s="18" t="s">
        <v>55</v>
      </c>
      <c r="W52" s="18" t="s">
        <v>55</v>
      </c>
      <c r="X52" s="18" t="s">
        <v>55</v>
      </c>
      <c r="Y52" s="18" t="s">
        <v>55</v>
      </c>
      <c r="Z52" s="18" t="s">
        <v>55</v>
      </c>
      <c r="AA52" s="18">
        <v>2</v>
      </c>
      <c r="AB52" s="18">
        <v>2</v>
      </c>
      <c r="AC52" s="18">
        <v>0</v>
      </c>
      <c r="AD52" s="38">
        <v>46006</v>
      </c>
      <c r="AE52" s="38">
        <v>46006</v>
      </c>
      <c r="AF52" s="38">
        <v>46007</v>
      </c>
      <c r="AG52" s="38">
        <v>46024</v>
      </c>
      <c r="AH52" s="53">
        <v>46027</v>
      </c>
      <c r="AI52" s="3">
        <f t="shared" si="5"/>
        <v>1</v>
      </c>
      <c r="AJ52" s="35" t="s">
        <v>240</v>
      </c>
      <c r="AK52" s="45" t="s">
        <v>241</v>
      </c>
      <c r="AL52" s="19">
        <f t="shared" si="3"/>
        <v>1</v>
      </c>
      <c r="AM52" s="67">
        <f>IFERROR(NETWORKDAYS(D52,Q52,Hoja1!$A$1:$A$29),"N/A")</f>
        <v>8</v>
      </c>
      <c r="AN52" s="21">
        <f>IFERROR(NETWORKDAYS(D52,AE52,Hoja1!$A$1:$A$29),"N/A")</f>
        <v>11</v>
      </c>
      <c r="AO52" s="78">
        <v>0</v>
      </c>
      <c r="AP52" s="21">
        <f t="shared" si="6"/>
        <v>11</v>
      </c>
      <c r="AQ52" s="21">
        <f>IFERROR(NETWORKDAYS(AF52,AG52,Hoja1!$A$1:$A$29),"N/A")</f>
        <v>12</v>
      </c>
      <c r="AR52" s="74">
        <v>7</v>
      </c>
      <c r="AS52" s="75">
        <f t="shared" si="7"/>
        <v>5</v>
      </c>
      <c r="AT52" s="21">
        <f>IFERROR(NETWORKDAYS(D52,AG52,Hoja1!$A$1:$A$29),"N/A")</f>
        <v>23</v>
      </c>
      <c r="AU52" s="21">
        <f t="shared" si="8"/>
        <v>16</v>
      </c>
      <c r="AV52" s="69" t="s">
        <v>59</v>
      </c>
      <c r="AW52" s="27" t="s">
        <v>242</v>
      </c>
      <c r="AX52" s="35"/>
      <c r="AY52" s="35"/>
      <c r="AZ52" s="35"/>
      <c r="BA52" s="35"/>
      <c r="BB52" s="35"/>
    </row>
    <row r="53" spans="1:54" ht="15" customHeight="1" x14ac:dyDescent="0.25">
      <c r="A53" s="54">
        <v>15415</v>
      </c>
      <c r="B53" s="40" t="s">
        <v>169</v>
      </c>
      <c r="C53" s="40" t="s">
        <v>169</v>
      </c>
      <c r="D53" s="30">
        <v>45987</v>
      </c>
      <c r="E53" s="28">
        <v>45992</v>
      </c>
      <c r="F53" s="202" t="s">
        <v>62</v>
      </c>
      <c r="G53" s="207" t="s">
        <v>71</v>
      </c>
      <c r="H53" s="159" t="s">
        <v>101</v>
      </c>
      <c r="I53" s="87" t="s">
        <v>205</v>
      </c>
      <c r="J53" s="87" t="s">
        <v>105</v>
      </c>
      <c r="K53" s="87" t="s">
        <v>86</v>
      </c>
      <c r="L53" s="3">
        <v>1</v>
      </c>
      <c r="M53" s="40" t="s">
        <v>54</v>
      </c>
      <c r="N53" s="28" t="s">
        <v>55</v>
      </c>
      <c r="O53" s="33">
        <v>0</v>
      </c>
      <c r="P53" s="33"/>
      <c r="Q53" s="28" t="s">
        <v>55</v>
      </c>
      <c r="R53" s="28" t="s">
        <v>55</v>
      </c>
      <c r="S53" s="33">
        <v>0</v>
      </c>
      <c r="T53" s="28" t="s">
        <v>55</v>
      </c>
      <c r="U53" s="18" t="s">
        <v>55</v>
      </c>
      <c r="V53" s="18" t="s">
        <v>55</v>
      </c>
      <c r="W53" s="18" t="s">
        <v>55</v>
      </c>
      <c r="X53" s="18" t="s">
        <v>55</v>
      </c>
      <c r="Y53" s="18" t="s">
        <v>55</v>
      </c>
      <c r="Z53" s="18" t="s">
        <v>55</v>
      </c>
      <c r="AA53" s="33">
        <v>1</v>
      </c>
      <c r="AB53" s="33">
        <v>1</v>
      </c>
      <c r="AC53" s="33">
        <v>0</v>
      </c>
      <c r="AD53" s="28">
        <v>45993</v>
      </c>
      <c r="AE53" s="28">
        <v>45993</v>
      </c>
      <c r="AF53" s="28">
        <v>45993</v>
      </c>
      <c r="AG53" s="28">
        <v>46017</v>
      </c>
      <c r="AH53" s="28">
        <v>46027</v>
      </c>
      <c r="AI53" s="3">
        <f t="shared" si="5"/>
        <v>1</v>
      </c>
      <c r="AJ53" s="50" t="s">
        <v>243</v>
      </c>
      <c r="AK53" s="45" t="s">
        <v>244</v>
      </c>
      <c r="AL53" s="19" t="str">
        <f t="shared" si="3"/>
        <v>N/A</v>
      </c>
      <c r="AM53" s="67" t="str">
        <f>IFERROR(NETWORKDAYS(D53,Q53,Hoja1!$A$1:$A$29),"N/A")</f>
        <v>N/A</v>
      </c>
      <c r="AN53" s="21">
        <f>IFERROR(NETWORKDAYS(D53,AE53,Hoja1!$A$1:$A$29),"N/A")</f>
        <v>5</v>
      </c>
      <c r="AO53" s="78">
        <v>0</v>
      </c>
      <c r="AP53" s="21">
        <f t="shared" si="6"/>
        <v>5</v>
      </c>
      <c r="AQ53" s="21">
        <f>IFERROR(NETWORKDAYS(AF53,AG53,Hoja1!$A$1:$A$29),"N/A")</f>
        <v>17</v>
      </c>
      <c r="AR53" s="74">
        <v>12</v>
      </c>
      <c r="AS53" s="75">
        <f t="shared" si="7"/>
        <v>5</v>
      </c>
      <c r="AT53" s="21">
        <f>IFERROR(NETWORKDAYS(D53,AG53,Hoja1!$A$1:$A$29),"N/A")</f>
        <v>21</v>
      </c>
      <c r="AU53" s="21">
        <f t="shared" si="8"/>
        <v>9</v>
      </c>
      <c r="AV53" s="69" t="s">
        <v>104</v>
      </c>
      <c r="AW53" s="27" t="s">
        <v>245</v>
      </c>
      <c r="AX53" s="45"/>
      <c r="AY53" s="45"/>
      <c r="AZ53" s="45"/>
      <c r="BA53" s="45"/>
      <c r="BB53" s="45"/>
    </row>
    <row r="54" spans="1:54" ht="15" customHeight="1" x14ac:dyDescent="0.25">
      <c r="A54" s="56">
        <v>15419</v>
      </c>
      <c r="B54" s="43" t="s">
        <v>69</v>
      </c>
      <c r="C54" s="43" t="s">
        <v>98</v>
      </c>
      <c r="D54" s="417">
        <v>45992</v>
      </c>
      <c r="E54" s="37">
        <v>45992</v>
      </c>
      <c r="F54" s="202" t="s">
        <v>879</v>
      </c>
      <c r="G54" s="48" t="s">
        <v>50</v>
      </c>
      <c r="H54" s="48" t="s">
        <v>116</v>
      </c>
      <c r="I54" s="27" t="s">
        <v>246</v>
      </c>
      <c r="J54" s="48" t="s">
        <v>52</v>
      </c>
      <c r="K54" s="48" t="s">
        <v>53</v>
      </c>
      <c r="L54" s="18">
        <v>1</v>
      </c>
      <c r="M54" s="159" t="s">
        <v>247</v>
      </c>
      <c r="N54" s="18" t="s">
        <v>55</v>
      </c>
      <c r="O54" s="18">
        <v>13</v>
      </c>
      <c r="P54" s="36" t="s">
        <v>112</v>
      </c>
      <c r="Q54" s="37">
        <v>46003</v>
      </c>
      <c r="R54" s="37">
        <v>46003</v>
      </c>
      <c r="S54" s="18">
        <v>13</v>
      </c>
      <c r="T54" s="18" t="s">
        <v>55</v>
      </c>
      <c r="U54" s="18" t="s">
        <v>55</v>
      </c>
      <c r="V54" s="18" t="s">
        <v>55</v>
      </c>
      <c r="W54" s="18" t="s">
        <v>55</v>
      </c>
      <c r="X54" s="18" t="s">
        <v>55</v>
      </c>
      <c r="Y54" s="18" t="s">
        <v>55</v>
      </c>
      <c r="Z54" s="18" t="s">
        <v>55</v>
      </c>
      <c r="AA54" s="18">
        <v>2</v>
      </c>
      <c r="AB54" s="18">
        <v>2</v>
      </c>
      <c r="AC54" s="18">
        <v>0</v>
      </c>
      <c r="AD54" s="53">
        <v>46028</v>
      </c>
      <c r="AE54" s="38">
        <v>46031</v>
      </c>
      <c r="AF54" s="36" t="s">
        <v>55</v>
      </c>
      <c r="AG54" s="38">
        <v>46031</v>
      </c>
      <c r="AH54" s="38">
        <v>46031</v>
      </c>
      <c r="AI54" s="3">
        <f t="shared" si="5"/>
        <v>1</v>
      </c>
      <c r="AJ54" s="35" t="s">
        <v>248</v>
      </c>
      <c r="AK54" s="45" t="s">
        <v>249</v>
      </c>
      <c r="AL54" s="19">
        <f t="shared" si="3"/>
        <v>1</v>
      </c>
      <c r="AM54" s="67">
        <f>IFERROR(NETWORKDAYS(D54,Q54,Hoja1!$A$1:$A$29),"N/A")</f>
        <v>9</v>
      </c>
      <c r="AN54" s="21">
        <f>IFERROR(NETWORKDAYS(D54,AE54,Hoja1!$A$1:$A$29),"N/A")</f>
        <v>27</v>
      </c>
      <c r="AO54" s="78">
        <v>5</v>
      </c>
      <c r="AP54" s="21">
        <f t="shared" si="6"/>
        <v>22</v>
      </c>
      <c r="AQ54" s="21" t="str">
        <f>IFERROR(NETWORKDAYS(AF54,AG54,Hoja1!$A$1:$A$29),"N/A")</f>
        <v>N/A</v>
      </c>
      <c r="AR54" s="74">
        <v>0</v>
      </c>
      <c r="AS54" s="21" t="s">
        <v>82</v>
      </c>
      <c r="AT54" s="21">
        <f>IFERROR(NETWORKDAYS(D54,AG54,Hoja1!$A$1:$A$29),"N/A")</f>
        <v>27</v>
      </c>
      <c r="AU54" s="21">
        <f t="shared" si="8"/>
        <v>22</v>
      </c>
      <c r="AV54" s="69" t="s">
        <v>145</v>
      </c>
      <c r="AW54" s="27" t="s">
        <v>180</v>
      </c>
      <c r="AX54" s="35"/>
      <c r="AY54" s="35"/>
      <c r="AZ54" s="35"/>
      <c r="BA54" s="35"/>
      <c r="BB54" s="35"/>
    </row>
    <row r="55" spans="1:54" ht="15" customHeight="1" x14ac:dyDescent="0.25">
      <c r="A55" s="55">
        <v>15424</v>
      </c>
      <c r="B55" s="14" t="s">
        <v>69</v>
      </c>
      <c r="C55" s="14" t="s">
        <v>122</v>
      </c>
      <c r="D55" s="15">
        <v>45996</v>
      </c>
      <c r="E55" s="16">
        <v>45993</v>
      </c>
      <c r="F55" s="179" t="s">
        <v>62</v>
      </c>
      <c r="G55" s="23" t="s">
        <v>71</v>
      </c>
      <c r="H55" s="22" t="s">
        <v>116</v>
      </c>
      <c r="I55" s="27" t="s">
        <v>250</v>
      </c>
      <c r="J55" s="87" t="s">
        <v>142</v>
      </c>
      <c r="K55" s="23" t="s">
        <v>66</v>
      </c>
      <c r="L55" s="17">
        <v>1</v>
      </c>
      <c r="M55" s="40" t="s">
        <v>54</v>
      </c>
      <c r="N55" s="16" t="s">
        <v>55</v>
      </c>
      <c r="O55" s="1">
        <v>4</v>
      </c>
      <c r="P55" s="1" t="s">
        <v>56</v>
      </c>
      <c r="Q55" s="28">
        <v>46008</v>
      </c>
      <c r="R55" s="28">
        <v>46015</v>
      </c>
      <c r="S55" s="1">
        <v>4</v>
      </c>
      <c r="T55" s="28" t="s">
        <v>55</v>
      </c>
      <c r="U55" s="28">
        <v>46000</v>
      </c>
      <c r="V55" s="28">
        <v>46007</v>
      </c>
      <c r="W55" s="28" t="s">
        <v>55</v>
      </c>
      <c r="X55" s="28" t="s">
        <v>55</v>
      </c>
      <c r="Y55" s="28" t="s">
        <v>55</v>
      </c>
      <c r="Z55" s="28" t="s">
        <v>55</v>
      </c>
      <c r="AA55" s="1">
        <v>2</v>
      </c>
      <c r="AB55" s="1">
        <v>1</v>
      </c>
      <c r="AC55" s="1">
        <v>0</v>
      </c>
      <c r="AD55" s="16">
        <v>46036</v>
      </c>
      <c r="AE55" s="16">
        <v>46042</v>
      </c>
      <c r="AF55" s="16">
        <v>46042</v>
      </c>
      <c r="AG55" s="16">
        <v>46045</v>
      </c>
      <c r="AH55" s="16">
        <v>46045</v>
      </c>
      <c r="AI55" s="3">
        <f t="shared" si="5"/>
        <v>1</v>
      </c>
      <c r="AJ55" s="27" t="s">
        <v>251</v>
      </c>
      <c r="AK55" s="49" t="s">
        <v>252</v>
      </c>
      <c r="AL55" s="19">
        <f t="shared" si="3"/>
        <v>1</v>
      </c>
      <c r="AM55" s="67">
        <f>IFERROR(NETWORKDAYS(D55,Q55,Hoja1!$A$1:$A$29),"N/A")</f>
        <v>8</v>
      </c>
      <c r="AN55" s="21">
        <f>IFERROR(NETWORKDAYS(D55,AE55,Hoja1!$A$1:$A$29),"N/A")</f>
        <v>29</v>
      </c>
      <c r="AO55" s="78">
        <v>6</v>
      </c>
      <c r="AP55" s="21">
        <f t="shared" si="6"/>
        <v>23</v>
      </c>
      <c r="AQ55" s="21">
        <f>IFERROR(NETWORKDAYS(AF55,AG55,Hoja1!$A$1:$A$29),"N/A")</f>
        <v>4</v>
      </c>
      <c r="AR55" s="74">
        <v>0</v>
      </c>
      <c r="AS55" s="75">
        <f t="shared" ref="AS55:AS86" si="9">AQ55-AR55</f>
        <v>4</v>
      </c>
      <c r="AT55" s="21">
        <f>IFERROR(NETWORKDAYS(D55,AG55,Hoja1!$A$1:$A$29),"N/A")</f>
        <v>32</v>
      </c>
      <c r="AU55" s="21">
        <f t="shared" si="8"/>
        <v>26</v>
      </c>
      <c r="AV55" s="69" t="s">
        <v>145</v>
      </c>
      <c r="AW55" s="27" t="s">
        <v>146</v>
      </c>
      <c r="AX55" s="27"/>
      <c r="AY55" s="27"/>
      <c r="AZ55" s="27"/>
      <c r="BA55" s="27"/>
      <c r="BB55" s="27"/>
    </row>
    <row r="56" spans="1:54" ht="15" customHeight="1" x14ac:dyDescent="0.25">
      <c r="A56" s="54">
        <v>15426</v>
      </c>
      <c r="B56" s="20" t="s">
        <v>79</v>
      </c>
      <c r="C56" s="20" t="s">
        <v>79</v>
      </c>
      <c r="D56" s="418">
        <v>45993</v>
      </c>
      <c r="E56" s="24">
        <v>45993</v>
      </c>
      <c r="F56" s="84" t="s">
        <v>90</v>
      </c>
      <c r="G56" s="111" t="s">
        <v>91</v>
      </c>
      <c r="H56" s="111" t="s">
        <v>51</v>
      </c>
      <c r="I56" s="87" t="s">
        <v>92</v>
      </c>
      <c r="J56" s="87" t="s">
        <v>52</v>
      </c>
      <c r="K56" s="87" t="s">
        <v>93</v>
      </c>
      <c r="L56" s="3">
        <v>1</v>
      </c>
      <c r="M56" s="40" t="s">
        <v>54</v>
      </c>
      <c r="N56" s="3" t="s">
        <v>55</v>
      </c>
      <c r="O56" s="3">
        <v>6</v>
      </c>
      <c r="P56" s="33" t="s">
        <v>56</v>
      </c>
      <c r="Q56" s="30">
        <v>46009</v>
      </c>
      <c r="R56" s="30">
        <v>46009</v>
      </c>
      <c r="S56" s="3">
        <v>6</v>
      </c>
      <c r="T56" s="18" t="s">
        <v>55</v>
      </c>
      <c r="U56" s="18" t="s">
        <v>55</v>
      </c>
      <c r="V56" s="18" t="s">
        <v>55</v>
      </c>
      <c r="W56" s="18" t="s">
        <v>55</v>
      </c>
      <c r="X56" s="18" t="s">
        <v>55</v>
      </c>
      <c r="Y56" s="18" t="s">
        <v>55</v>
      </c>
      <c r="Z56" s="18" t="s">
        <v>55</v>
      </c>
      <c r="AA56" s="3">
        <v>6</v>
      </c>
      <c r="AB56" s="3">
        <v>1</v>
      </c>
      <c r="AC56" s="3">
        <v>0</v>
      </c>
      <c r="AD56" s="28">
        <v>46009</v>
      </c>
      <c r="AE56" s="28">
        <v>46009</v>
      </c>
      <c r="AF56" s="28">
        <v>46027</v>
      </c>
      <c r="AG56" s="28">
        <v>46031</v>
      </c>
      <c r="AH56" s="28">
        <v>46035</v>
      </c>
      <c r="AI56" s="3">
        <f t="shared" si="5"/>
        <v>1</v>
      </c>
      <c r="AJ56" s="45" t="s">
        <v>253</v>
      </c>
      <c r="AK56" s="49" t="s">
        <v>254</v>
      </c>
      <c r="AL56" s="19">
        <f t="shared" si="3"/>
        <v>1</v>
      </c>
      <c r="AM56" s="67">
        <f>IFERROR(NETWORKDAYS(D56,Q56,Hoja1!$A$1:$A$29),"N/A")</f>
        <v>12</v>
      </c>
      <c r="AN56" s="21">
        <f>IFERROR(NETWORKDAYS(D56,AE56,Hoja1!$A$1:$A$29),"N/A")</f>
        <v>12</v>
      </c>
      <c r="AO56" s="78">
        <v>0</v>
      </c>
      <c r="AP56" s="21">
        <f t="shared" si="6"/>
        <v>12</v>
      </c>
      <c r="AQ56" s="21">
        <f>IFERROR(NETWORKDAYS(AF56,AG56,Hoja1!$A$1:$A$29),"N/A")</f>
        <v>5</v>
      </c>
      <c r="AR56" s="74">
        <v>0</v>
      </c>
      <c r="AS56" s="75">
        <f t="shared" si="9"/>
        <v>5</v>
      </c>
      <c r="AT56" s="21">
        <f>IFERROR(NETWORKDAYS(D56,AG56,Hoja1!$A$1:$A$29),"N/A")</f>
        <v>26</v>
      </c>
      <c r="AU56" s="21">
        <f t="shared" si="8"/>
        <v>26</v>
      </c>
      <c r="AV56" s="69" t="s">
        <v>59</v>
      </c>
      <c r="AW56" s="27" t="s">
        <v>255</v>
      </c>
      <c r="AX56" s="45"/>
      <c r="AY56" s="45"/>
      <c r="AZ56" s="45"/>
      <c r="BA56" s="45"/>
      <c r="BB56" s="45"/>
    </row>
    <row r="57" spans="1:54" ht="15" customHeight="1" x14ac:dyDescent="0.25">
      <c r="A57" s="54">
        <v>15427</v>
      </c>
      <c r="B57" s="20" t="s">
        <v>79</v>
      </c>
      <c r="C57" s="20" t="s">
        <v>79</v>
      </c>
      <c r="D57" s="30">
        <v>46010</v>
      </c>
      <c r="E57" s="24">
        <v>45993</v>
      </c>
      <c r="F57" s="84" t="s">
        <v>90</v>
      </c>
      <c r="G57" s="111" t="s">
        <v>91</v>
      </c>
      <c r="H57" s="111" t="s">
        <v>51</v>
      </c>
      <c r="I57" s="87" t="s">
        <v>92</v>
      </c>
      <c r="J57" s="87" t="s">
        <v>52</v>
      </c>
      <c r="K57" s="87" t="s">
        <v>93</v>
      </c>
      <c r="L57" s="3">
        <v>1</v>
      </c>
      <c r="M57" s="40" t="s">
        <v>54</v>
      </c>
      <c r="N57" s="3" t="s">
        <v>55</v>
      </c>
      <c r="O57" s="3">
        <v>3</v>
      </c>
      <c r="P57" s="33" t="s">
        <v>56</v>
      </c>
      <c r="Q57" s="30">
        <v>46017</v>
      </c>
      <c r="R57" s="30">
        <v>46017</v>
      </c>
      <c r="S57" s="3">
        <v>3</v>
      </c>
      <c r="T57" s="18" t="s">
        <v>55</v>
      </c>
      <c r="U57" s="18" t="s">
        <v>55</v>
      </c>
      <c r="V57" s="18" t="s">
        <v>55</v>
      </c>
      <c r="W57" s="18" t="s">
        <v>55</v>
      </c>
      <c r="X57" s="18" t="s">
        <v>55</v>
      </c>
      <c r="Y57" s="18" t="s">
        <v>55</v>
      </c>
      <c r="Z57" s="18" t="s">
        <v>55</v>
      </c>
      <c r="AA57" s="3">
        <v>3</v>
      </c>
      <c r="AB57" s="3">
        <v>1</v>
      </c>
      <c r="AC57" s="3">
        <v>0</v>
      </c>
      <c r="AD57" s="28">
        <v>46027</v>
      </c>
      <c r="AE57" s="28">
        <v>46027</v>
      </c>
      <c r="AF57" s="28">
        <v>46027</v>
      </c>
      <c r="AG57" s="28">
        <v>46031</v>
      </c>
      <c r="AH57" s="28">
        <v>46035</v>
      </c>
      <c r="AI57" s="3">
        <f t="shared" si="5"/>
        <v>1</v>
      </c>
      <c r="AJ57" s="45" t="s">
        <v>256</v>
      </c>
      <c r="AK57" s="49" t="s">
        <v>257</v>
      </c>
      <c r="AL57" s="19">
        <f t="shared" si="3"/>
        <v>1</v>
      </c>
      <c r="AM57" s="67">
        <f>IFERROR(NETWORKDAYS(D57,Q57,Hoja1!$A$1:$A$29),"N/A")</f>
        <v>5</v>
      </c>
      <c r="AN57" s="21">
        <f>IFERROR(NETWORKDAYS(D57,AE57,Hoja1!$A$1:$A$29),"N/A")</f>
        <v>10</v>
      </c>
      <c r="AO57" s="78">
        <v>0</v>
      </c>
      <c r="AP57" s="21">
        <f t="shared" si="6"/>
        <v>10</v>
      </c>
      <c r="AQ57" s="21">
        <f>IFERROR(NETWORKDAYS(AF57,AG57,Hoja1!$A$1:$A$29),"N/A")</f>
        <v>5</v>
      </c>
      <c r="AR57" s="74">
        <v>0</v>
      </c>
      <c r="AS57" s="75">
        <f t="shared" si="9"/>
        <v>5</v>
      </c>
      <c r="AT57" s="21">
        <f>IFERROR(NETWORKDAYS(D57,AG57,Hoja1!$A$1:$A$29),"N/A")</f>
        <v>14</v>
      </c>
      <c r="AU57" s="21">
        <f t="shared" si="8"/>
        <v>14</v>
      </c>
      <c r="AV57" s="69" t="s">
        <v>59</v>
      </c>
      <c r="AW57" s="27" t="s">
        <v>258</v>
      </c>
      <c r="AX57" s="45" t="s">
        <v>445</v>
      </c>
      <c r="AY57" s="45"/>
      <c r="AZ57" s="45"/>
      <c r="BA57" s="45"/>
      <c r="BB57" s="45"/>
    </row>
    <row r="58" spans="1:54" ht="15" customHeight="1" x14ac:dyDescent="0.25">
      <c r="A58" s="57">
        <v>15433</v>
      </c>
      <c r="B58" s="14" t="s">
        <v>69</v>
      </c>
      <c r="C58" s="23" t="s">
        <v>122</v>
      </c>
      <c r="D58" s="24">
        <v>45996</v>
      </c>
      <c r="E58" s="24">
        <v>45996</v>
      </c>
      <c r="F58" s="179" t="s">
        <v>62</v>
      </c>
      <c r="G58" s="23" t="s">
        <v>80</v>
      </c>
      <c r="H58" s="22" t="s">
        <v>101</v>
      </c>
      <c r="I58" s="22" t="s">
        <v>259</v>
      </c>
      <c r="J58" s="87" t="s">
        <v>142</v>
      </c>
      <c r="K58" s="14" t="s">
        <v>66</v>
      </c>
      <c r="L58" s="25">
        <v>1</v>
      </c>
      <c r="M58" s="40" t="s">
        <v>54</v>
      </c>
      <c r="N58" s="16" t="s">
        <v>55</v>
      </c>
      <c r="O58" s="26">
        <v>0</v>
      </c>
      <c r="P58" s="26"/>
      <c r="Q58" s="16" t="s">
        <v>55</v>
      </c>
      <c r="R58" s="16" t="s">
        <v>55</v>
      </c>
      <c r="S58" s="26">
        <v>0</v>
      </c>
      <c r="T58" s="16" t="s">
        <v>55</v>
      </c>
      <c r="U58" s="18" t="s">
        <v>55</v>
      </c>
      <c r="V58" s="18" t="s">
        <v>55</v>
      </c>
      <c r="W58" s="18" t="s">
        <v>55</v>
      </c>
      <c r="X58" s="18" t="s">
        <v>55</v>
      </c>
      <c r="Y58" s="18" t="s">
        <v>55</v>
      </c>
      <c r="Z58" s="18" t="s">
        <v>55</v>
      </c>
      <c r="AA58" s="26">
        <v>1</v>
      </c>
      <c r="AB58" s="26">
        <v>1</v>
      </c>
      <c r="AC58" s="26">
        <v>0</v>
      </c>
      <c r="AD58" s="16">
        <v>46009</v>
      </c>
      <c r="AE58" s="16">
        <v>46010</v>
      </c>
      <c r="AF58" s="16">
        <v>46010</v>
      </c>
      <c r="AG58" s="16">
        <v>46022</v>
      </c>
      <c r="AH58" s="16">
        <v>46027</v>
      </c>
      <c r="AI58" s="3">
        <f t="shared" si="5"/>
        <v>1</v>
      </c>
      <c r="AJ58" s="27" t="s">
        <v>260</v>
      </c>
      <c r="AK58" s="20" t="s">
        <v>261</v>
      </c>
      <c r="AL58" s="19" t="str">
        <f t="shared" si="3"/>
        <v>N/A</v>
      </c>
      <c r="AM58" s="67" t="str">
        <f>IFERROR(NETWORKDAYS(D58,Q58,Hoja1!$A$1:$A$29),"N/A")</f>
        <v>N/A</v>
      </c>
      <c r="AN58" s="21">
        <f>IFERROR(NETWORKDAYS(D58,AE58,Hoja1!$A$1:$A$29),"N/A")</f>
        <v>10</v>
      </c>
      <c r="AO58" s="78">
        <v>0</v>
      </c>
      <c r="AP58" s="21">
        <f t="shared" si="6"/>
        <v>10</v>
      </c>
      <c r="AQ58" s="21">
        <f>IFERROR(NETWORKDAYS(AF58,AG58,Hoja1!$A$1:$A$29),"N/A")</f>
        <v>8</v>
      </c>
      <c r="AR58" s="74">
        <v>3</v>
      </c>
      <c r="AS58" s="75">
        <f t="shared" si="9"/>
        <v>5</v>
      </c>
      <c r="AT58" s="21">
        <f>IFERROR(NETWORKDAYS(D58,AG58,Hoja1!$A$1:$A$29),"N/A")</f>
        <v>17</v>
      </c>
      <c r="AU58" s="21">
        <f t="shared" si="8"/>
        <v>14</v>
      </c>
      <c r="AV58" s="69" t="s">
        <v>145</v>
      </c>
      <c r="AW58" s="27" t="s">
        <v>146</v>
      </c>
      <c r="AX58" s="22"/>
      <c r="AY58" s="22"/>
      <c r="AZ58" s="22"/>
      <c r="BA58" s="22"/>
      <c r="BB58" s="22"/>
    </row>
    <row r="59" spans="1:54" ht="15" customHeight="1" x14ac:dyDescent="0.25">
      <c r="A59" s="55">
        <v>15434</v>
      </c>
      <c r="B59" s="20" t="s">
        <v>79</v>
      </c>
      <c r="C59" s="20" t="s">
        <v>79</v>
      </c>
      <c r="D59" s="15">
        <v>45994</v>
      </c>
      <c r="E59" s="16">
        <v>45994</v>
      </c>
      <c r="F59" s="179" t="s">
        <v>163</v>
      </c>
      <c r="G59" s="235" t="s">
        <v>262</v>
      </c>
      <c r="H59" s="14" t="s">
        <v>51</v>
      </c>
      <c r="I59" s="87" t="s">
        <v>92</v>
      </c>
      <c r="J59" s="22" t="s">
        <v>52</v>
      </c>
      <c r="K59" s="23" t="s">
        <v>165</v>
      </c>
      <c r="L59" s="17">
        <v>1</v>
      </c>
      <c r="M59" s="40" t="s">
        <v>54</v>
      </c>
      <c r="N59" s="1" t="s">
        <v>55</v>
      </c>
      <c r="O59" s="1">
        <v>5</v>
      </c>
      <c r="P59" s="1" t="s">
        <v>112</v>
      </c>
      <c r="Q59" s="16">
        <v>45996</v>
      </c>
      <c r="R59" s="16">
        <v>46001</v>
      </c>
      <c r="S59" s="1">
        <v>5</v>
      </c>
      <c r="T59" s="1" t="s">
        <v>55</v>
      </c>
      <c r="U59" s="18" t="s">
        <v>55</v>
      </c>
      <c r="V59" s="18" t="s">
        <v>55</v>
      </c>
      <c r="W59" s="18" t="s">
        <v>55</v>
      </c>
      <c r="X59" s="18" t="s">
        <v>55</v>
      </c>
      <c r="Y59" s="18" t="s">
        <v>55</v>
      </c>
      <c r="Z59" s="18" t="s">
        <v>55</v>
      </c>
      <c r="AA59" s="1">
        <v>1</v>
      </c>
      <c r="AB59" s="1">
        <v>1</v>
      </c>
      <c r="AC59" s="1">
        <v>0</v>
      </c>
      <c r="AD59" s="16">
        <v>46009</v>
      </c>
      <c r="AE59" s="16">
        <v>46008</v>
      </c>
      <c r="AF59" s="16">
        <v>46009</v>
      </c>
      <c r="AG59" s="16">
        <v>46021</v>
      </c>
      <c r="AH59" s="16">
        <v>46027</v>
      </c>
      <c r="AI59" s="3">
        <f t="shared" si="5"/>
        <v>1</v>
      </c>
      <c r="AJ59" s="49" t="s">
        <v>263</v>
      </c>
      <c r="AK59" s="49" t="s">
        <v>264</v>
      </c>
      <c r="AL59" s="19">
        <f t="shared" si="3"/>
        <v>1</v>
      </c>
      <c r="AM59" s="67">
        <f>IFERROR(NETWORKDAYS(D59,Q59,Hoja1!$A$1:$A$29),"N/A")</f>
        <v>3</v>
      </c>
      <c r="AN59" s="21">
        <f>IFERROR(NETWORKDAYS(D59,AE59,Hoja1!$A$1:$A$29),"N/A")</f>
        <v>10</v>
      </c>
      <c r="AO59" s="78">
        <v>0</v>
      </c>
      <c r="AP59" s="21">
        <f t="shared" si="6"/>
        <v>10</v>
      </c>
      <c r="AQ59" s="21">
        <f>IFERROR(NETWORKDAYS(AF59,AG59,Hoja1!$A$1:$A$29),"N/A")</f>
        <v>8</v>
      </c>
      <c r="AR59" s="74">
        <v>3</v>
      </c>
      <c r="AS59" s="75">
        <f t="shared" si="9"/>
        <v>5</v>
      </c>
      <c r="AT59" s="21">
        <f>IFERROR(NETWORKDAYS(D59,AG59,Hoja1!$A$1:$A$29),"N/A")</f>
        <v>18</v>
      </c>
      <c r="AU59" s="21">
        <f t="shared" si="8"/>
        <v>15</v>
      </c>
      <c r="AV59" s="69" t="s">
        <v>265</v>
      </c>
      <c r="AW59" s="27" t="s">
        <v>139</v>
      </c>
      <c r="AX59" s="27"/>
      <c r="AY59" s="27"/>
      <c r="AZ59" s="27"/>
      <c r="BA59" s="27"/>
      <c r="BB59" s="27"/>
    </row>
    <row r="60" spans="1:54" ht="15" customHeight="1" x14ac:dyDescent="0.25">
      <c r="A60" s="54">
        <v>15436</v>
      </c>
      <c r="B60" s="14" t="s">
        <v>69</v>
      </c>
      <c r="C60" s="40" t="s">
        <v>202</v>
      </c>
      <c r="D60" s="418">
        <v>45996</v>
      </c>
      <c r="E60" s="30">
        <v>45995</v>
      </c>
      <c r="F60" s="84" t="s">
        <v>62</v>
      </c>
      <c r="G60" s="207" t="s">
        <v>71</v>
      </c>
      <c r="H60" s="111" t="s">
        <v>51</v>
      </c>
      <c r="I60" s="27" t="s">
        <v>72</v>
      </c>
      <c r="J60" s="22" t="s">
        <v>73</v>
      </c>
      <c r="K60" s="87" t="s">
        <v>74</v>
      </c>
      <c r="L60" s="3">
        <v>1</v>
      </c>
      <c r="M60" s="40" t="s">
        <v>54</v>
      </c>
      <c r="N60" s="30" t="s">
        <v>55</v>
      </c>
      <c r="O60" s="3">
        <v>4</v>
      </c>
      <c r="P60" s="33" t="s">
        <v>112</v>
      </c>
      <c r="Q60" s="30">
        <v>46007</v>
      </c>
      <c r="R60" s="30">
        <v>46028</v>
      </c>
      <c r="S60" s="3">
        <v>4</v>
      </c>
      <c r="T60" s="37" t="s">
        <v>55</v>
      </c>
      <c r="U60" s="18" t="s">
        <v>55</v>
      </c>
      <c r="V60" s="18" t="s">
        <v>55</v>
      </c>
      <c r="W60" s="18" t="s">
        <v>55</v>
      </c>
      <c r="X60" s="18" t="s">
        <v>55</v>
      </c>
      <c r="Y60" s="18" t="s">
        <v>55</v>
      </c>
      <c r="Z60" s="18" t="s">
        <v>55</v>
      </c>
      <c r="AA60" s="3">
        <v>1</v>
      </c>
      <c r="AB60" s="3">
        <v>1</v>
      </c>
      <c r="AC60" s="3">
        <v>0</v>
      </c>
      <c r="AD60" s="28">
        <v>46030</v>
      </c>
      <c r="AE60" s="28">
        <v>46030</v>
      </c>
      <c r="AF60" s="28">
        <v>46031</v>
      </c>
      <c r="AG60" s="28">
        <v>46043</v>
      </c>
      <c r="AH60" s="28">
        <v>46044</v>
      </c>
      <c r="AI60" s="3">
        <f t="shared" si="5"/>
        <v>1</v>
      </c>
      <c r="AJ60" s="45" t="s">
        <v>266</v>
      </c>
      <c r="AK60" s="45" t="s">
        <v>267</v>
      </c>
      <c r="AL60" s="19">
        <f t="shared" si="3"/>
        <v>1</v>
      </c>
      <c r="AM60" s="67">
        <f>IFERROR(NETWORKDAYS(D60,Q60,Hoja1!$A$1:$A$29),"N/A")</f>
        <v>7</v>
      </c>
      <c r="AN60" s="21">
        <f>IFERROR(NETWORKDAYS(D60,AE60,Hoja1!$A$1:$A$29),"N/A")</f>
        <v>22</v>
      </c>
      <c r="AO60" s="78">
        <v>7</v>
      </c>
      <c r="AP60" s="21">
        <f t="shared" si="6"/>
        <v>15</v>
      </c>
      <c r="AQ60" s="21">
        <f>IFERROR(NETWORKDAYS(AF60,AG60,Hoja1!$A$1:$A$29),"N/A")</f>
        <v>8</v>
      </c>
      <c r="AR60" s="74">
        <v>3</v>
      </c>
      <c r="AS60" s="75">
        <f t="shared" si="9"/>
        <v>5</v>
      </c>
      <c r="AT60" s="21">
        <f>IFERROR(NETWORKDAYS(D60,AG60,Hoja1!$A$1:$A$29),"N/A")</f>
        <v>30</v>
      </c>
      <c r="AU60" s="21">
        <f t="shared" si="8"/>
        <v>20</v>
      </c>
      <c r="AV60" s="69" t="s">
        <v>77</v>
      </c>
      <c r="AW60" s="27" t="s">
        <v>78</v>
      </c>
      <c r="AX60" s="45"/>
      <c r="AY60" s="45"/>
      <c r="AZ60" s="45"/>
      <c r="BA60" s="45"/>
      <c r="BB60" s="45"/>
    </row>
    <row r="61" spans="1:54" ht="15" customHeight="1" x14ac:dyDescent="0.25">
      <c r="A61" s="55">
        <v>15441</v>
      </c>
      <c r="B61" s="14" t="s">
        <v>69</v>
      </c>
      <c r="C61" s="14" t="s">
        <v>122</v>
      </c>
      <c r="D61" s="15">
        <v>46006</v>
      </c>
      <c r="E61" s="16">
        <v>46000</v>
      </c>
      <c r="F61" s="179" t="s">
        <v>62</v>
      </c>
      <c r="G61" s="23" t="s">
        <v>80</v>
      </c>
      <c r="H61" s="22" t="s">
        <v>51</v>
      </c>
      <c r="I61" s="27" t="s">
        <v>268</v>
      </c>
      <c r="J61" s="207" t="s">
        <v>118</v>
      </c>
      <c r="K61" s="23" t="s">
        <v>66</v>
      </c>
      <c r="L61" s="17">
        <v>1</v>
      </c>
      <c r="M61" s="40" t="s">
        <v>54</v>
      </c>
      <c r="N61" s="16" t="s">
        <v>55</v>
      </c>
      <c r="O61" s="1">
        <v>3</v>
      </c>
      <c r="P61" s="1" t="s">
        <v>112</v>
      </c>
      <c r="Q61" s="16">
        <v>46009</v>
      </c>
      <c r="R61" s="16">
        <v>46013</v>
      </c>
      <c r="S61" s="1">
        <v>3</v>
      </c>
      <c r="T61" s="16" t="s">
        <v>55</v>
      </c>
      <c r="U61" s="18" t="s">
        <v>55</v>
      </c>
      <c r="V61" s="18" t="s">
        <v>55</v>
      </c>
      <c r="W61" s="18" t="s">
        <v>55</v>
      </c>
      <c r="X61" s="18" t="s">
        <v>55</v>
      </c>
      <c r="Y61" s="18" t="s">
        <v>55</v>
      </c>
      <c r="Z61" s="18" t="s">
        <v>55</v>
      </c>
      <c r="AA61" s="1">
        <v>3</v>
      </c>
      <c r="AB61" s="1">
        <v>2</v>
      </c>
      <c r="AC61" s="1">
        <v>0</v>
      </c>
      <c r="AD61" s="16">
        <v>46027</v>
      </c>
      <c r="AE61" s="16">
        <v>46029</v>
      </c>
      <c r="AF61" s="16">
        <v>46029</v>
      </c>
      <c r="AG61" s="16">
        <v>46044</v>
      </c>
      <c r="AH61" s="16">
        <v>46044</v>
      </c>
      <c r="AI61" s="3">
        <f t="shared" si="5"/>
        <v>1</v>
      </c>
      <c r="AJ61" s="27" t="s">
        <v>269</v>
      </c>
      <c r="AK61" s="49" t="s">
        <v>435</v>
      </c>
      <c r="AL61" s="19">
        <f t="shared" si="3"/>
        <v>1</v>
      </c>
      <c r="AM61" s="67">
        <f>IFERROR(NETWORKDAYS(D61,Q61,Hoja1!$A$1:$A$29),"N/A")</f>
        <v>4</v>
      </c>
      <c r="AN61" s="21">
        <f>IFERROR(NETWORKDAYS(D61,AE61,Hoja1!$A$1:$A$29),"N/A")</f>
        <v>16</v>
      </c>
      <c r="AO61" s="78">
        <v>5</v>
      </c>
      <c r="AP61" s="21">
        <f t="shared" si="6"/>
        <v>11</v>
      </c>
      <c r="AQ61" s="21">
        <f>IFERROR(NETWORKDAYS(AF61,AG61,Hoja1!$A$1:$A$29),"N/A")</f>
        <v>11</v>
      </c>
      <c r="AR61" s="74">
        <v>6</v>
      </c>
      <c r="AS61" s="75">
        <f t="shared" si="9"/>
        <v>5</v>
      </c>
      <c r="AT61" s="21">
        <f>IFERROR(NETWORKDAYS(D61,AG61,Hoja1!$A$1:$A$29),"N/A")</f>
        <v>26</v>
      </c>
      <c r="AU61" s="21">
        <f t="shared" si="8"/>
        <v>15</v>
      </c>
      <c r="AV61" s="69" t="s">
        <v>59</v>
      </c>
      <c r="AW61" s="27" t="s">
        <v>270</v>
      </c>
      <c r="AX61" s="27" t="s">
        <v>464</v>
      </c>
      <c r="AY61" s="27"/>
      <c r="AZ61" s="27"/>
      <c r="BA61" s="27"/>
      <c r="BB61" s="27"/>
    </row>
    <row r="62" spans="1:54" ht="15" customHeight="1" x14ac:dyDescent="0.25">
      <c r="A62" s="54">
        <v>15443</v>
      </c>
      <c r="B62" s="14" t="s">
        <v>69</v>
      </c>
      <c r="C62" s="40" t="s">
        <v>202</v>
      </c>
      <c r="D62" s="418">
        <v>45996</v>
      </c>
      <c r="E62" s="30">
        <v>45996</v>
      </c>
      <c r="F62" s="84" t="s">
        <v>62</v>
      </c>
      <c r="G62" s="207" t="s">
        <v>71</v>
      </c>
      <c r="H62" s="87" t="s">
        <v>271</v>
      </c>
      <c r="I62" s="87" t="s">
        <v>272</v>
      </c>
      <c r="J62" s="87" t="s">
        <v>142</v>
      </c>
      <c r="K62" s="87" t="s">
        <v>74</v>
      </c>
      <c r="L62" s="3">
        <v>1</v>
      </c>
      <c r="M62" s="40" t="s">
        <v>54</v>
      </c>
      <c r="N62" s="30" t="s">
        <v>55</v>
      </c>
      <c r="O62" s="3">
        <v>0</v>
      </c>
      <c r="P62" s="33"/>
      <c r="Q62" s="37" t="s">
        <v>55</v>
      </c>
      <c r="R62" s="37" t="s">
        <v>55</v>
      </c>
      <c r="S62" s="3">
        <v>0</v>
      </c>
      <c r="T62" s="37" t="s">
        <v>55</v>
      </c>
      <c r="U62" s="18" t="s">
        <v>55</v>
      </c>
      <c r="V62" s="18" t="s">
        <v>55</v>
      </c>
      <c r="W62" s="18" t="s">
        <v>55</v>
      </c>
      <c r="X62" s="18" t="s">
        <v>55</v>
      </c>
      <c r="Y62" s="18" t="s">
        <v>55</v>
      </c>
      <c r="Z62" s="18" t="s">
        <v>55</v>
      </c>
      <c r="AA62" s="3">
        <v>1</v>
      </c>
      <c r="AB62" s="3">
        <v>1</v>
      </c>
      <c r="AC62" s="3">
        <v>0</v>
      </c>
      <c r="AD62" s="38" t="s">
        <v>55</v>
      </c>
      <c r="AE62" s="38" t="s">
        <v>55</v>
      </c>
      <c r="AF62" s="28">
        <v>46007</v>
      </c>
      <c r="AG62" s="28">
        <v>46024</v>
      </c>
      <c r="AH62" s="28">
        <v>46027</v>
      </c>
      <c r="AI62" s="3">
        <f t="shared" si="5"/>
        <v>1</v>
      </c>
      <c r="AJ62" s="45" t="s">
        <v>273</v>
      </c>
      <c r="AK62" s="45" t="s">
        <v>274</v>
      </c>
      <c r="AL62" s="19" t="str">
        <f t="shared" si="3"/>
        <v>N/A</v>
      </c>
      <c r="AM62" s="67" t="str">
        <f>IFERROR(NETWORKDAYS(D62,Q62,Hoja1!$A$1:$A$29),"N/A")</f>
        <v>N/A</v>
      </c>
      <c r="AN62" s="21" t="str">
        <f>IFERROR(NETWORKDAYS(D62,AE62,Hoja1!$A$1:$A$29),"N/A")</f>
        <v>N/A</v>
      </c>
      <c r="AO62" s="78">
        <v>0</v>
      </c>
      <c r="AP62" s="21" t="s">
        <v>82</v>
      </c>
      <c r="AQ62" s="21">
        <f>IFERROR(NETWORKDAYS(AF62,AG62,Hoja1!$A$1:$A$29),"N/A")</f>
        <v>12</v>
      </c>
      <c r="AR62" s="74">
        <v>7</v>
      </c>
      <c r="AS62" s="75">
        <f t="shared" si="9"/>
        <v>5</v>
      </c>
      <c r="AT62" s="21">
        <f>IFERROR(NETWORKDAYS(D62,AG62,Hoja1!$A$1:$A$29),"N/A")</f>
        <v>18</v>
      </c>
      <c r="AU62" s="21">
        <f t="shared" si="8"/>
        <v>11</v>
      </c>
      <c r="AV62" s="69" t="s">
        <v>145</v>
      </c>
      <c r="AW62" s="27" t="s">
        <v>180</v>
      </c>
      <c r="AX62" s="45"/>
      <c r="AY62" s="45"/>
      <c r="AZ62" s="45"/>
      <c r="BA62" s="45"/>
      <c r="BB62" s="45"/>
    </row>
    <row r="63" spans="1:54" ht="15" customHeight="1" x14ac:dyDescent="0.25">
      <c r="A63" s="54">
        <v>15446</v>
      </c>
      <c r="B63" s="29" t="s">
        <v>85</v>
      </c>
      <c r="C63" s="29" t="s">
        <v>85</v>
      </c>
      <c r="D63" s="24">
        <v>45996</v>
      </c>
      <c r="E63" s="39">
        <v>45996</v>
      </c>
      <c r="F63" s="202" t="s">
        <v>62</v>
      </c>
      <c r="G63" s="48" t="s">
        <v>275</v>
      </c>
      <c r="H63" s="159" t="s">
        <v>101</v>
      </c>
      <c r="I63" s="159" t="s">
        <v>276</v>
      </c>
      <c r="J63" s="20" t="s">
        <v>52</v>
      </c>
      <c r="K63" s="87" t="s">
        <v>86</v>
      </c>
      <c r="L63" s="31">
        <v>1</v>
      </c>
      <c r="M63" s="40" t="s">
        <v>54</v>
      </c>
      <c r="N63" s="28" t="s">
        <v>55</v>
      </c>
      <c r="O63" s="34">
        <v>1</v>
      </c>
      <c r="P63" s="34"/>
      <c r="Q63" s="28" t="s">
        <v>55</v>
      </c>
      <c r="R63" s="28" t="s">
        <v>55</v>
      </c>
      <c r="S63" s="34">
        <v>0</v>
      </c>
      <c r="T63" s="28" t="s">
        <v>55</v>
      </c>
      <c r="U63" s="18" t="s">
        <v>55</v>
      </c>
      <c r="V63" s="18" t="s">
        <v>55</v>
      </c>
      <c r="W63" s="18" t="s">
        <v>55</v>
      </c>
      <c r="X63" s="18" t="s">
        <v>55</v>
      </c>
      <c r="Y63" s="18" t="s">
        <v>55</v>
      </c>
      <c r="Z63" s="18" t="s">
        <v>55</v>
      </c>
      <c r="AA63" s="34">
        <v>1</v>
      </c>
      <c r="AB63" s="34">
        <v>1</v>
      </c>
      <c r="AC63" s="33">
        <v>0</v>
      </c>
      <c r="AD63" s="28">
        <v>46007</v>
      </c>
      <c r="AE63" s="28">
        <v>46007</v>
      </c>
      <c r="AF63" s="28">
        <v>46008</v>
      </c>
      <c r="AG63" s="28">
        <v>46045</v>
      </c>
      <c r="AH63" s="28">
        <v>46048</v>
      </c>
      <c r="AI63" s="3">
        <f t="shared" si="5"/>
        <v>1</v>
      </c>
      <c r="AJ63" s="45" t="s">
        <v>277</v>
      </c>
      <c r="AK63" s="47" t="s">
        <v>278</v>
      </c>
      <c r="AL63" s="19">
        <f t="shared" si="3"/>
        <v>0</v>
      </c>
      <c r="AM63" s="67" t="str">
        <f>IFERROR(NETWORKDAYS(D63,Q63,Hoja1!$A$1:$A$29),"N/A")</f>
        <v>N/A</v>
      </c>
      <c r="AN63" s="21">
        <f>IFERROR(NETWORKDAYS(D63,AE63,Hoja1!$A$1:$A$29),"N/A")</f>
        <v>7</v>
      </c>
      <c r="AO63" s="78">
        <v>0</v>
      </c>
      <c r="AP63" s="21">
        <f t="shared" ref="AP63:AP126" si="10">AN63-AO63</f>
        <v>7</v>
      </c>
      <c r="AQ63" s="21">
        <f>IFERROR(NETWORKDAYS(AF63,AG63,Hoja1!$A$1:$A$29),"N/A")</f>
        <v>25</v>
      </c>
      <c r="AR63" s="74">
        <v>20</v>
      </c>
      <c r="AS63" s="75">
        <f t="shared" si="9"/>
        <v>5</v>
      </c>
      <c r="AT63" s="21">
        <f>IFERROR(NETWORKDAYS(D63,AG63,Hoja1!$A$1:$A$29),"N/A")</f>
        <v>32</v>
      </c>
      <c r="AU63" s="21">
        <f t="shared" si="8"/>
        <v>12</v>
      </c>
      <c r="AV63" s="69" t="s">
        <v>104</v>
      </c>
      <c r="AW63" s="27" t="s">
        <v>279</v>
      </c>
      <c r="AX63" s="47"/>
      <c r="AY63" s="47"/>
      <c r="AZ63" s="47"/>
      <c r="BA63" s="47"/>
      <c r="BB63" s="47"/>
    </row>
    <row r="64" spans="1:54" ht="15" customHeight="1" x14ac:dyDescent="0.25">
      <c r="A64" s="54">
        <v>15451</v>
      </c>
      <c r="B64" s="20" t="s">
        <v>79</v>
      </c>
      <c r="C64" s="20" t="s">
        <v>79</v>
      </c>
      <c r="D64" s="418">
        <v>45994</v>
      </c>
      <c r="E64" s="30">
        <v>46000</v>
      </c>
      <c r="F64" s="84" t="s">
        <v>62</v>
      </c>
      <c r="G64" s="207" t="s">
        <v>71</v>
      </c>
      <c r="H64" s="111" t="s">
        <v>51</v>
      </c>
      <c r="I64" s="87" t="s">
        <v>96</v>
      </c>
      <c r="J64" s="22" t="s">
        <v>73</v>
      </c>
      <c r="K64" s="87" t="s">
        <v>74</v>
      </c>
      <c r="L64" s="3">
        <v>1</v>
      </c>
      <c r="M64" s="40" t="s">
        <v>54</v>
      </c>
      <c r="N64" s="30" t="s">
        <v>55</v>
      </c>
      <c r="O64" s="3">
        <v>3</v>
      </c>
      <c r="P64" s="33" t="s">
        <v>112</v>
      </c>
      <c r="Q64" s="30">
        <v>45996</v>
      </c>
      <c r="R64" s="30">
        <v>45999</v>
      </c>
      <c r="S64" s="3">
        <v>3</v>
      </c>
      <c r="T64" s="37" t="s">
        <v>55</v>
      </c>
      <c r="U64" s="18" t="s">
        <v>55</v>
      </c>
      <c r="V64" s="18" t="s">
        <v>55</v>
      </c>
      <c r="W64" s="18" t="s">
        <v>55</v>
      </c>
      <c r="X64" s="18" t="s">
        <v>55</v>
      </c>
      <c r="Y64" s="18" t="s">
        <v>55</v>
      </c>
      <c r="Z64" s="18" t="s">
        <v>55</v>
      </c>
      <c r="AA64" s="3">
        <v>1</v>
      </c>
      <c r="AB64" s="3">
        <v>1</v>
      </c>
      <c r="AC64" s="3">
        <v>0</v>
      </c>
      <c r="AD64" s="28">
        <v>46001</v>
      </c>
      <c r="AE64" s="28">
        <v>46013</v>
      </c>
      <c r="AF64" s="28">
        <v>46013</v>
      </c>
      <c r="AG64" s="28">
        <v>46024</v>
      </c>
      <c r="AH64" s="28">
        <v>46027</v>
      </c>
      <c r="AI64" s="3">
        <f t="shared" si="5"/>
        <v>1</v>
      </c>
      <c r="AJ64" s="45" t="s">
        <v>280</v>
      </c>
      <c r="AK64" s="45" t="s">
        <v>281</v>
      </c>
      <c r="AL64" s="19">
        <f t="shared" si="3"/>
        <v>1</v>
      </c>
      <c r="AM64" s="67">
        <f>IFERROR(NETWORKDAYS(D64,Q64,Hoja1!$A$1:$A$29),"N/A")</f>
        <v>3</v>
      </c>
      <c r="AN64" s="21">
        <f>IFERROR(NETWORKDAYS(D64,AE64,Hoja1!$A$1:$A$29),"N/A")</f>
        <v>13</v>
      </c>
      <c r="AO64" s="78">
        <v>0</v>
      </c>
      <c r="AP64" s="21">
        <f t="shared" si="10"/>
        <v>13</v>
      </c>
      <c r="AQ64" s="21">
        <f>IFERROR(NETWORKDAYS(AF64,AG64,Hoja1!$A$1:$A$29),"N/A")</f>
        <v>8</v>
      </c>
      <c r="AR64" s="74">
        <v>3</v>
      </c>
      <c r="AS64" s="75">
        <f t="shared" si="9"/>
        <v>5</v>
      </c>
      <c r="AT64" s="21">
        <f>IFERROR(NETWORKDAYS(D64,AG64,Hoja1!$A$1:$A$29),"N/A")</f>
        <v>20</v>
      </c>
      <c r="AU64" s="21">
        <f t="shared" si="8"/>
        <v>17</v>
      </c>
      <c r="AV64" s="69" t="s">
        <v>77</v>
      </c>
      <c r="AW64" s="27" t="s">
        <v>78</v>
      </c>
      <c r="AX64" s="45"/>
      <c r="AY64" s="45"/>
      <c r="AZ64" s="45"/>
      <c r="BA64" s="45"/>
      <c r="BB64" s="45"/>
    </row>
    <row r="65" spans="1:54" ht="15" customHeight="1" x14ac:dyDescent="0.25">
      <c r="A65" s="56">
        <v>15454</v>
      </c>
      <c r="B65" s="20" t="s">
        <v>79</v>
      </c>
      <c r="C65" s="20" t="s">
        <v>79</v>
      </c>
      <c r="D65" s="37">
        <v>46000</v>
      </c>
      <c r="E65" s="37">
        <v>46000</v>
      </c>
      <c r="F65" s="202" t="s">
        <v>879</v>
      </c>
      <c r="G65" s="48" t="s">
        <v>50</v>
      </c>
      <c r="H65" s="48" t="s">
        <v>51</v>
      </c>
      <c r="I65" s="111" t="s">
        <v>239</v>
      </c>
      <c r="J65" s="48" t="s">
        <v>52</v>
      </c>
      <c r="K65" s="48" t="s">
        <v>106</v>
      </c>
      <c r="L65" s="18">
        <v>1</v>
      </c>
      <c r="M65" s="40" t="s">
        <v>54</v>
      </c>
      <c r="N65" s="18" t="s">
        <v>55</v>
      </c>
      <c r="O65" s="18">
        <v>6</v>
      </c>
      <c r="P65" s="36" t="s">
        <v>112</v>
      </c>
      <c r="Q65" s="37">
        <v>46002</v>
      </c>
      <c r="R65" s="37">
        <v>46002</v>
      </c>
      <c r="S65" s="18">
        <v>6</v>
      </c>
      <c r="T65" s="18" t="s">
        <v>55</v>
      </c>
      <c r="U65" s="18" t="s">
        <v>55</v>
      </c>
      <c r="V65" s="18" t="s">
        <v>55</v>
      </c>
      <c r="W65" s="18" t="s">
        <v>55</v>
      </c>
      <c r="X65" s="18" t="s">
        <v>55</v>
      </c>
      <c r="Y65" s="18" t="s">
        <v>55</v>
      </c>
      <c r="Z65" s="18" t="s">
        <v>55</v>
      </c>
      <c r="AA65" s="18">
        <v>3</v>
      </c>
      <c r="AB65" s="18">
        <v>2</v>
      </c>
      <c r="AC65" s="18">
        <v>0</v>
      </c>
      <c r="AD65" s="38">
        <v>46007</v>
      </c>
      <c r="AE65" s="38">
        <v>46007</v>
      </c>
      <c r="AF65" s="38">
        <v>46008</v>
      </c>
      <c r="AG65" s="38">
        <v>46021</v>
      </c>
      <c r="AH65" s="53">
        <v>46027</v>
      </c>
      <c r="AI65" s="3">
        <f t="shared" si="5"/>
        <v>1</v>
      </c>
      <c r="AJ65" s="51" t="s">
        <v>282</v>
      </c>
      <c r="AK65" s="45" t="s">
        <v>283</v>
      </c>
      <c r="AL65" s="19">
        <f t="shared" si="3"/>
        <v>1</v>
      </c>
      <c r="AM65" s="67">
        <f>IFERROR(NETWORKDAYS(D65,Q65,Hoja1!$A$1:$A$29),"N/A")</f>
        <v>3</v>
      </c>
      <c r="AN65" s="21">
        <f>IFERROR(NETWORKDAYS(D65,AE65,Hoja1!$A$1:$A$29),"N/A")</f>
        <v>6</v>
      </c>
      <c r="AO65" s="78">
        <v>0</v>
      </c>
      <c r="AP65" s="21">
        <f t="shared" si="10"/>
        <v>6</v>
      </c>
      <c r="AQ65" s="21">
        <f>IFERROR(NETWORKDAYS(AF65,AG65,Hoja1!$A$1:$A$29),"N/A")</f>
        <v>9</v>
      </c>
      <c r="AR65" s="74">
        <v>0</v>
      </c>
      <c r="AS65" s="75">
        <f t="shared" si="9"/>
        <v>9</v>
      </c>
      <c r="AT65" s="21">
        <f>IFERROR(NETWORKDAYS(D65,AG65,Hoja1!$A$1:$A$29),"N/A")</f>
        <v>15</v>
      </c>
      <c r="AU65" s="21">
        <f t="shared" si="8"/>
        <v>15</v>
      </c>
      <c r="AV65" s="69" t="s">
        <v>127</v>
      </c>
      <c r="AW65" s="27" t="s">
        <v>500</v>
      </c>
      <c r="AX65" s="35"/>
      <c r="AY65" s="35"/>
      <c r="AZ65" s="35"/>
      <c r="BA65" s="35"/>
      <c r="BB65" s="35"/>
    </row>
    <row r="66" spans="1:54" ht="15" customHeight="1" x14ac:dyDescent="0.25">
      <c r="A66" s="56">
        <v>15455</v>
      </c>
      <c r="B66" s="20" t="s">
        <v>79</v>
      </c>
      <c r="C66" s="20" t="s">
        <v>79</v>
      </c>
      <c r="D66" s="417">
        <v>46000</v>
      </c>
      <c r="E66" s="37">
        <v>46000</v>
      </c>
      <c r="F66" s="202" t="s">
        <v>879</v>
      </c>
      <c r="G66" s="48" t="s">
        <v>50</v>
      </c>
      <c r="H66" s="48" t="s">
        <v>51</v>
      </c>
      <c r="I66" s="111" t="s">
        <v>239</v>
      </c>
      <c r="J66" s="48" t="s">
        <v>52</v>
      </c>
      <c r="K66" s="48" t="s">
        <v>106</v>
      </c>
      <c r="L66" s="18">
        <v>1</v>
      </c>
      <c r="M66" s="40" t="s">
        <v>54</v>
      </c>
      <c r="N66" s="18" t="s">
        <v>55</v>
      </c>
      <c r="O66" s="18">
        <v>6</v>
      </c>
      <c r="P66" s="36" t="s">
        <v>112</v>
      </c>
      <c r="Q66" s="37">
        <v>46007</v>
      </c>
      <c r="R66" s="37">
        <v>46007</v>
      </c>
      <c r="S66" s="18">
        <v>6</v>
      </c>
      <c r="T66" s="18" t="s">
        <v>55</v>
      </c>
      <c r="U66" s="18" t="s">
        <v>55</v>
      </c>
      <c r="V66" s="18" t="s">
        <v>55</v>
      </c>
      <c r="W66" s="18" t="s">
        <v>55</v>
      </c>
      <c r="X66" s="18" t="s">
        <v>55</v>
      </c>
      <c r="Y66" s="18" t="s">
        <v>55</v>
      </c>
      <c r="Z66" s="18" t="s">
        <v>55</v>
      </c>
      <c r="AA66" s="18">
        <v>1</v>
      </c>
      <c r="AB66" s="18">
        <v>1</v>
      </c>
      <c r="AC66" s="18">
        <v>0</v>
      </c>
      <c r="AD66" s="38">
        <v>46008</v>
      </c>
      <c r="AE66" s="38">
        <v>46009</v>
      </c>
      <c r="AF66" s="38">
        <v>46009</v>
      </c>
      <c r="AG66" s="38">
        <v>46024</v>
      </c>
      <c r="AH66" s="38">
        <v>46027</v>
      </c>
      <c r="AI66" s="3">
        <f t="shared" ref="AI66" si="11">MONTH(AH66)</f>
        <v>1</v>
      </c>
      <c r="AJ66" s="51" t="s">
        <v>284</v>
      </c>
      <c r="AK66" s="45" t="s">
        <v>285</v>
      </c>
      <c r="AL66" s="19">
        <f t="shared" si="3"/>
        <v>1</v>
      </c>
      <c r="AM66" s="67">
        <f>IFERROR(NETWORKDAYS(D66,Q66,Hoja1!$A$1:$A$29),"N/A")</f>
        <v>6</v>
      </c>
      <c r="AN66" s="21">
        <f>IFERROR(NETWORKDAYS(D66,AE66,Hoja1!$A$1:$A$29),"N/A")</f>
        <v>8</v>
      </c>
      <c r="AO66" s="78">
        <v>0</v>
      </c>
      <c r="AP66" s="21">
        <f t="shared" si="10"/>
        <v>8</v>
      </c>
      <c r="AQ66" s="21">
        <f>IFERROR(NETWORKDAYS(AF66,AG66,Hoja1!$A$1:$A$29),"N/A")</f>
        <v>10</v>
      </c>
      <c r="AR66" s="74">
        <v>5</v>
      </c>
      <c r="AS66" s="75">
        <f t="shared" si="9"/>
        <v>5</v>
      </c>
      <c r="AT66" s="21">
        <f>IFERROR(NETWORKDAYS(D66,AG66,Hoja1!$A$1:$A$29),"N/A")</f>
        <v>17</v>
      </c>
      <c r="AU66" s="21">
        <f t="shared" ref="AU66:AU97" si="12">AT66-AO66-AR66</f>
        <v>12</v>
      </c>
      <c r="AV66" s="69" t="s">
        <v>59</v>
      </c>
      <c r="AW66" s="27" t="s">
        <v>242</v>
      </c>
      <c r="AX66" s="35"/>
      <c r="AY66" s="35"/>
      <c r="AZ66" s="35"/>
      <c r="BA66" s="35"/>
      <c r="BB66" s="35"/>
    </row>
    <row r="67" spans="1:54" ht="15" customHeight="1" x14ac:dyDescent="0.25">
      <c r="A67" s="59">
        <v>15458</v>
      </c>
      <c r="B67" s="40" t="s">
        <v>79</v>
      </c>
      <c r="C67" s="40" t="s">
        <v>79</v>
      </c>
      <c r="D67" s="30">
        <v>46000</v>
      </c>
      <c r="E67" s="28">
        <v>46000</v>
      </c>
      <c r="F67" s="202" t="s">
        <v>879</v>
      </c>
      <c r="G67" s="48" t="s">
        <v>50</v>
      </c>
      <c r="H67" s="111" t="s">
        <v>51</v>
      </c>
      <c r="I67" s="111" t="s">
        <v>239</v>
      </c>
      <c r="J67" s="48" t="s">
        <v>52</v>
      </c>
      <c r="K67" s="48" t="s">
        <v>106</v>
      </c>
      <c r="L67" s="33">
        <v>1</v>
      </c>
      <c r="M67" s="40" t="s">
        <v>54</v>
      </c>
      <c r="N67" s="33" t="s">
        <v>55</v>
      </c>
      <c r="O67" s="33">
        <v>7</v>
      </c>
      <c r="P67" s="33" t="s">
        <v>112</v>
      </c>
      <c r="Q67" s="28">
        <v>46014</v>
      </c>
      <c r="R67" s="28">
        <v>46014</v>
      </c>
      <c r="S67" s="33">
        <v>7</v>
      </c>
      <c r="T67" s="33" t="s">
        <v>55</v>
      </c>
      <c r="U67" s="18" t="s">
        <v>55</v>
      </c>
      <c r="V67" s="18" t="s">
        <v>55</v>
      </c>
      <c r="W67" s="18" t="s">
        <v>55</v>
      </c>
      <c r="X67" s="18" t="s">
        <v>55</v>
      </c>
      <c r="Y67" s="18" t="s">
        <v>55</v>
      </c>
      <c r="Z67" s="18" t="s">
        <v>55</v>
      </c>
      <c r="AA67" s="33">
        <v>1</v>
      </c>
      <c r="AB67" s="33">
        <v>1</v>
      </c>
      <c r="AC67" s="33">
        <v>0</v>
      </c>
      <c r="AD67" s="28">
        <v>46017</v>
      </c>
      <c r="AE67" s="28">
        <v>46017</v>
      </c>
      <c r="AF67" s="28">
        <v>46017</v>
      </c>
      <c r="AG67" s="28">
        <v>46031</v>
      </c>
      <c r="AH67" s="28">
        <v>46035</v>
      </c>
      <c r="AI67" s="3">
        <v>1</v>
      </c>
      <c r="AJ67" s="35" t="s">
        <v>286</v>
      </c>
      <c r="AK67" s="60" t="s">
        <v>287</v>
      </c>
      <c r="AL67" s="19">
        <f t="shared" ref="AL67:AL130" si="13">IFERROR(S67/O67,"N/A")</f>
        <v>1</v>
      </c>
      <c r="AM67" s="67">
        <f>IFERROR(NETWORKDAYS(D67,Q67,Hoja1!$A$1:$A$29),"N/A")</f>
        <v>11</v>
      </c>
      <c r="AN67" s="21">
        <f>IFERROR(NETWORKDAYS(D67,AE67,Hoja1!$A$1:$A$29),"N/A")</f>
        <v>13</v>
      </c>
      <c r="AO67" s="78">
        <v>0</v>
      </c>
      <c r="AP67" s="21">
        <f t="shared" si="10"/>
        <v>13</v>
      </c>
      <c r="AQ67" s="21">
        <f>IFERROR(NETWORKDAYS(AF67,AG67,Hoja1!$A$1:$A$29),"N/A")</f>
        <v>10</v>
      </c>
      <c r="AR67" s="74">
        <v>5</v>
      </c>
      <c r="AS67" s="75">
        <f t="shared" si="9"/>
        <v>5</v>
      </c>
      <c r="AT67" s="21">
        <f>IFERROR(NETWORKDAYS(D67,AG67,Hoja1!$A$1:$A$29),"N/A")</f>
        <v>22</v>
      </c>
      <c r="AU67" s="21">
        <f t="shared" si="12"/>
        <v>17</v>
      </c>
      <c r="AV67" s="69" t="s">
        <v>59</v>
      </c>
      <c r="AW67" s="27" t="s">
        <v>288</v>
      </c>
      <c r="AX67" s="33"/>
      <c r="AY67" s="33"/>
      <c r="AZ67" s="33"/>
      <c r="BA67" s="27"/>
      <c r="BB67" s="27"/>
    </row>
    <row r="68" spans="1:54" ht="15" customHeight="1" x14ac:dyDescent="0.25">
      <c r="A68" s="54">
        <v>15463</v>
      </c>
      <c r="B68" s="43" t="s">
        <v>69</v>
      </c>
      <c r="C68" s="43" t="s">
        <v>98</v>
      </c>
      <c r="D68" s="418">
        <v>45978</v>
      </c>
      <c r="E68" s="24">
        <v>46001</v>
      </c>
      <c r="F68" s="84" t="s">
        <v>90</v>
      </c>
      <c r="G68" s="111" t="s">
        <v>91</v>
      </c>
      <c r="H68" s="111" t="s">
        <v>51</v>
      </c>
      <c r="I68" s="87" t="s">
        <v>289</v>
      </c>
      <c r="J68" s="207" t="s">
        <v>118</v>
      </c>
      <c r="K68" s="87" t="s">
        <v>111</v>
      </c>
      <c r="L68" s="3">
        <v>1</v>
      </c>
      <c r="M68" s="40" t="s">
        <v>54</v>
      </c>
      <c r="N68" s="3" t="s">
        <v>55</v>
      </c>
      <c r="O68" s="3">
        <v>8</v>
      </c>
      <c r="P68" s="33" t="s">
        <v>112</v>
      </c>
      <c r="Q68" s="30">
        <v>45988</v>
      </c>
      <c r="R68" s="30">
        <v>45988</v>
      </c>
      <c r="S68" s="3">
        <v>8</v>
      </c>
      <c r="T68" s="18" t="s">
        <v>55</v>
      </c>
      <c r="U68" s="18" t="s">
        <v>55</v>
      </c>
      <c r="V68" s="18" t="s">
        <v>55</v>
      </c>
      <c r="W68" s="18" t="s">
        <v>55</v>
      </c>
      <c r="X68" s="18" t="s">
        <v>55</v>
      </c>
      <c r="Y68" s="18" t="s">
        <v>55</v>
      </c>
      <c r="Z68" s="18" t="s">
        <v>55</v>
      </c>
      <c r="AA68" s="3">
        <v>4</v>
      </c>
      <c r="AB68" s="3">
        <v>1</v>
      </c>
      <c r="AC68" s="3">
        <v>0</v>
      </c>
      <c r="AD68" s="28">
        <v>46007</v>
      </c>
      <c r="AE68" s="28">
        <v>46007</v>
      </c>
      <c r="AF68" s="28">
        <v>46007</v>
      </c>
      <c r="AG68" s="28">
        <v>46024</v>
      </c>
      <c r="AH68" s="28">
        <v>46027</v>
      </c>
      <c r="AI68" s="3">
        <f t="shared" ref="AI68:AI104" si="14">MONTH(AH68)</f>
        <v>1</v>
      </c>
      <c r="AJ68" s="45" t="s">
        <v>290</v>
      </c>
      <c r="AK68" s="49" t="s">
        <v>425</v>
      </c>
      <c r="AL68" s="19">
        <f t="shared" si="13"/>
        <v>1</v>
      </c>
      <c r="AM68" s="67">
        <f>IFERROR(NETWORKDAYS(D68,Q68,Hoja1!$A$1:$A$29),"N/A")</f>
        <v>8</v>
      </c>
      <c r="AN68" s="21">
        <f>IFERROR(NETWORKDAYS(D68,AE68,Hoja1!$A$1:$A$29),"N/A")</f>
        <v>20</v>
      </c>
      <c r="AO68" s="78">
        <v>0</v>
      </c>
      <c r="AP68" s="21">
        <f t="shared" si="10"/>
        <v>20</v>
      </c>
      <c r="AQ68" s="21">
        <f>IFERROR(NETWORKDAYS(AF68,AG68,Hoja1!$A$1:$A$29),"N/A")</f>
        <v>12</v>
      </c>
      <c r="AR68" s="74">
        <v>6</v>
      </c>
      <c r="AS68" s="75">
        <f t="shared" si="9"/>
        <v>6</v>
      </c>
      <c r="AT68" s="21">
        <f>IFERROR(NETWORKDAYS(D68,AG68,Hoja1!$A$1:$A$29),"N/A")</f>
        <v>31</v>
      </c>
      <c r="AU68" s="21">
        <f t="shared" si="12"/>
        <v>25</v>
      </c>
      <c r="AV68" s="69" t="s">
        <v>59</v>
      </c>
      <c r="AW68" s="27" t="s">
        <v>291</v>
      </c>
      <c r="AX68" s="45"/>
      <c r="AY68" s="45"/>
      <c r="AZ68" s="45"/>
      <c r="BA68" s="45"/>
      <c r="BB68" s="45"/>
    </row>
    <row r="69" spans="1:54" ht="15" customHeight="1" x14ac:dyDescent="0.25">
      <c r="A69" s="54">
        <v>15464</v>
      </c>
      <c r="B69" s="20" t="s">
        <v>79</v>
      </c>
      <c r="C69" s="20" t="s">
        <v>79</v>
      </c>
      <c r="D69" s="24">
        <v>46001</v>
      </c>
      <c r="E69" s="24">
        <v>46001</v>
      </c>
      <c r="F69" s="84" t="s">
        <v>90</v>
      </c>
      <c r="G69" s="111" t="s">
        <v>91</v>
      </c>
      <c r="H69" s="111" t="s">
        <v>51</v>
      </c>
      <c r="I69" s="111" t="s">
        <v>239</v>
      </c>
      <c r="J69" s="87" t="s">
        <v>52</v>
      </c>
      <c r="K69" s="87" t="s">
        <v>93</v>
      </c>
      <c r="L69" s="3">
        <v>1</v>
      </c>
      <c r="M69" s="40" t="s">
        <v>54</v>
      </c>
      <c r="N69" s="3" t="s">
        <v>55</v>
      </c>
      <c r="O69" s="3">
        <v>7</v>
      </c>
      <c r="P69" s="33" t="s">
        <v>112</v>
      </c>
      <c r="Q69" s="30">
        <v>46006</v>
      </c>
      <c r="R69" s="30">
        <v>46006</v>
      </c>
      <c r="S69" s="3">
        <v>7</v>
      </c>
      <c r="T69" s="18" t="s">
        <v>55</v>
      </c>
      <c r="U69" s="18" t="s">
        <v>55</v>
      </c>
      <c r="V69" s="18" t="s">
        <v>55</v>
      </c>
      <c r="W69" s="18" t="s">
        <v>55</v>
      </c>
      <c r="X69" s="18" t="s">
        <v>55</v>
      </c>
      <c r="Y69" s="18" t="s">
        <v>55</v>
      </c>
      <c r="Z69" s="18" t="s">
        <v>55</v>
      </c>
      <c r="AA69" s="3">
        <v>7</v>
      </c>
      <c r="AB69" s="3">
        <v>3</v>
      </c>
      <c r="AC69" s="3">
        <v>0</v>
      </c>
      <c r="AD69" s="28">
        <v>46009</v>
      </c>
      <c r="AE69" s="28">
        <v>46009</v>
      </c>
      <c r="AF69" s="28">
        <v>46009</v>
      </c>
      <c r="AG69" s="28">
        <v>46024</v>
      </c>
      <c r="AH69" s="28">
        <v>46027</v>
      </c>
      <c r="AI69" s="3">
        <f t="shared" si="14"/>
        <v>1</v>
      </c>
      <c r="AJ69" s="45" t="s">
        <v>292</v>
      </c>
      <c r="AK69" s="49" t="s">
        <v>293</v>
      </c>
      <c r="AL69" s="19">
        <f t="shared" si="13"/>
        <v>1</v>
      </c>
      <c r="AM69" s="67">
        <f>IFERROR(NETWORKDAYS(D69,Q69,Hoja1!$A$1:$A$29),"N/A")</f>
        <v>4</v>
      </c>
      <c r="AN69" s="21">
        <f>IFERROR(NETWORKDAYS(D69,AE69,Hoja1!$A$1:$A$29),"N/A")</f>
        <v>7</v>
      </c>
      <c r="AO69" s="78">
        <v>0</v>
      </c>
      <c r="AP69" s="21">
        <f t="shared" si="10"/>
        <v>7</v>
      </c>
      <c r="AQ69" s="21">
        <f>IFERROR(NETWORKDAYS(AF69,AG69,Hoja1!$A$1:$A$29),"N/A")</f>
        <v>10</v>
      </c>
      <c r="AR69" s="74">
        <v>5</v>
      </c>
      <c r="AS69" s="75">
        <f t="shared" si="9"/>
        <v>5</v>
      </c>
      <c r="AT69" s="21">
        <f>IFERROR(NETWORKDAYS(D69,AG69,Hoja1!$A$1:$A$29),"N/A")</f>
        <v>16</v>
      </c>
      <c r="AU69" s="21">
        <f t="shared" si="12"/>
        <v>11</v>
      </c>
      <c r="AV69" s="69" t="s">
        <v>59</v>
      </c>
      <c r="AW69" s="27" t="s">
        <v>294</v>
      </c>
      <c r="AX69" s="45"/>
      <c r="AY69" s="45"/>
      <c r="AZ69" s="45"/>
      <c r="BA69" s="45"/>
      <c r="BB69" s="45"/>
    </row>
    <row r="70" spans="1:54" ht="15" customHeight="1" x14ac:dyDescent="0.25">
      <c r="A70" s="54">
        <v>15466</v>
      </c>
      <c r="B70" s="20" t="s">
        <v>79</v>
      </c>
      <c r="C70" s="20" t="s">
        <v>79</v>
      </c>
      <c r="D70" s="24">
        <v>46001</v>
      </c>
      <c r="E70" s="24">
        <v>46001</v>
      </c>
      <c r="F70" s="84" t="s">
        <v>90</v>
      </c>
      <c r="G70" s="111" t="s">
        <v>91</v>
      </c>
      <c r="H70" s="111" t="s">
        <v>51</v>
      </c>
      <c r="I70" s="111" t="s">
        <v>239</v>
      </c>
      <c r="J70" s="87" t="s">
        <v>52</v>
      </c>
      <c r="K70" s="87" t="s">
        <v>93</v>
      </c>
      <c r="L70" s="3">
        <v>1</v>
      </c>
      <c r="M70" s="40" t="s">
        <v>54</v>
      </c>
      <c r="N70" s="3" t="s">
        <v>55</v>
      </c>
      <c r="O70" s="3">
        <v>7</v>
      </c>
      <c r="P70" s="33" t="s">
        <v>112</v>
      </c>
      <c r="Q70" s="30">
        <v>46006</v>
      </c>
      <c r="R70" s="30">
        <v>46006</v>
      </c>
      <c r="S70" s="3">
        <v>7</v>
      </c>
      <c r="T70" s="18" t="s">
        <v>55</v>
      </c>
      <c r="U70" s="18" t="s">
        <v>55</v>
      </c>
      <c r="V70" s="18" t="s">
        <v>55</v>
      </c>
      <c r="W70" s="18" t="s">
        <v>55</v>
      </c>
      <c r="X70" s="18" t="s">
        <v>55</v>
      </c>
      <c r="Y70" s="18" t="s">
        <v>55</v>
      </c>
      <c r="Z70" s="18" t="s">
        <v>55</v>
      </c>
      <c r="AA70" s="3">
        <v>7</v>
      </c>
      <c r="AB70" s="3">
        <v>3</v>
      </c>
      <c r="AC70" s="3">
        <v>0</v>
      </c>
      <c r="AD70" s="28">
        <v>46027</v>
      </c>
      <c r="AE70" s="28">
        <v>46027</v>
      </c>
      <c r="AF70" s="28">
        <v>46027</v>
      </c>
      <c r="AG70" s="28">
        <v>46031</v>
      </c>
      <c r="AH70" s="28">
        <v>46035</v>
      </c>
      <c r="AI70" s="3">
        <f t="shared" si="14"/>
        <v>1</v>
      </c>
      <c r="AJ70" s="45" t="s">
        <v>295</v>
      </c>
      <c r="AK70" s="49" t="s">
        <v>426</v>
      </c>
      <c r="AL70" s="19">
        <f t="shared" si="13"/>
        <v>1</v>
      </c>
      <c r="AM70" s="67">
        <f>IFERROR(NETWORKDAYS(D70,Q70,Hoja1!$A$1:$A$29),"N/A")</f>
        <v>4</v>
      </c>
      <c r="AN70" s="21">
        <f>IFERROR(NETWORKDAYS(D70,AE70,Hoja1!$A$1:$A$29),"N/A")</f>
        <v>17</v>
      </c>
      <c r="AO70" s="78">
        <v>10</v>
      </c>
      <c r="AP70" s="21">
        <f t="shared" si="10"/>
        <v>7</v>
      </c>
      <c r="AQ70" s="21">
        <f>IFERROR(NETWORKDAYS(AF70,AG70,Hoja1!$A$1:$A$29),"N/A")</f>
        <v>5</v>
      </c>
      <c r="AR70" s="74">
        <v>0</v>
      </c>
      <c r="AS70" s="75">
        <f t="shared" si="9"/>
        <v>5</v>
      </c>
      <c r="AT70" s="21">
        <f>IFERROR(NETWORKDAYS(D70,AG70,Hoja1!$A$1:$A$29),"N/A")</f>
        <v>21</v>
      </c>
      <c r="AU70" s="21">
        <f t="shared" si="12"/>
        <v>11</v>
      </c>
      <c r="AV70" s="69" t="s">
        <v>59</v>
      </c>
      <c r="AW70" s="27" t="s">
        <v>296</v>
      </c>
      <c r="AX70" s="45"/>
      <c r="AY70" s="45"/>
      <c r="AZ70" s="45"/>
      <c r="BA70" s="45"/>
      <c r="BB70" s="45"/>
    </row>
    <row r="71" spans="1:54" ht="15" customHeight="1" x14ac:dyDescent="0.25">
      <c r="A71" s="54">
        <v>15467</v>
      </c>
      <c r="B71" s="20" t="s">
        <v>79</v>
      </c>
      <c r="C71" s="20" t="s">
        <v>79</v>
      </c>
      <c r="D71" s="24">
        <v>46001</v>
      </c>
      <c r="E71" s="24">
        <v>46001</v>
      </c>
      <c r="F71" s="84" t="s">
        <v>90</v>
      </c>
      <c r="G71" s="111" t="s">
        <v>91</v>
      </c>
      <c r="H71" s="111" t="s">
        <v>51</v>
      </c>
      <c r="I71" s="111" t="s">
        <v>239</v>
      </c>
      <c r="J71" s="87" t="s">
        <v>52</v>
      </c>
      <c r="K71" s="87" t="s">
        <v>93</v>
      </c>
      <c r="L71" s="3">
        <v>1</v>
      </c>
      <c r="M71" s="40" t="s">
        <v>54</v>
      </c>
      <c r="N71" s="3" t="s">
        <v>55</v>
      </c>
      <c r="O71" s="3">
        <v>7</v>
      </c>
      <c r="P71" s="33" t="s">
        <v>112</v>
      </c>
      <c r="Q71" s="30">
        <v>46006</v>
      </c>
      <c r="R71" s="30">
        <v>46006</v>
      </c>
      <c r="S71" s="3">
        <v>7</v>
      </c>
      <c r="T71" s="18" t="s">
        <v>55</v>
      </c>
      <c r="U71" s="18" t="s">
        <v>55</v>
      </c>
      <c r="V71" s="18" t="s">
        <v>55</v>
      </c>
      <c r="W71" s="18" t="s">
        <v>55</v>
      </c>
      <c r="X71" s="18" t="s">
        <v>55</v>
      </c>
      <c r="Y71" s="18" t="s">
        <v>55</v>
      </c>
      <c r="Z71" s="18" t="s">
        <v>55</v>
      </c>
      <c r="AA71" s="3">
        <v>7</v>
      </c>
      <c r="AB71" s="3">
        <v>3</v>
      </c>
      <c r="AC71" s="3">
        <v>0</v>
      </c>
      <c r="AD71" s="28">
        <v>46009</v>
      </c>
      <c r="AE71" s="28">
        <v>46009</v>
      </c>
      <c r="AF71" s="28">
        <v>46009</v>
      </c>
      <c r="AG71" s="28">
        <v>46031</v>
      </c>
      <c r="AH71" s="28">
        <v>46035</v>
      </c>
      <c r="AI71" s="3">
        <f t="shared" si="14"/>
        <v>1</v>
      </c>
      <c r="AJ71" s="45" t="s">
        <v>297</v>
      </c>
      <c r="AK71" s="49" t="s">
        <v>298</v>
      </c>
      <c r="AL71" s="19">
        <f t="shared" si="13"/>
        <v>1</v>
      </c>
      <c r="AM71" s="67">
        <f>IFERROR(NETWORKDAYS(D71,Q71,Hoja1!$A$1:$A$29),"N/A")</f>
        <v>4</v>
      </c>
      <c r="AN71" s="21">
        <f>IFERROR(NETWORKDAYS(D71,AE71,Hoja1!$A$1:$A$29),"N/A")</f>
        <v>7</v>
      </c>
      <c r="AO71" s="78">
        <v>0</v>
      </c>
      <c r="AP71" s="21">
        <f t="shared" si="10"/>
        <v>7</v>
      </c>
      <c r="AQ71" s="21">
        <f>IFERROR(NETWORKDAYS(AF71,AG71,Hoja1!$A$1:$A$29),"N/A")</f>
        <v>15</v>
      </c>
      <c r="AR71" s="74">
        <v>10</v>
      </c>
      <c r="AS71" s="75">
        <f t="shared" si="9"/>
        <v>5</v>
      </c>
      <c r="AT71" s="21">
        <f>IFERROR(NETWORKDAYS(D71,AG71,Hoja1!$A$1:$A$29),"N/A")</f>
        <v>21</v>
      </c>
      <c r="AU71" s="21">
        <f t="shared" si="12"/>
        <v>11</v>
      </c>
      <c r="AV71" s="69" t="s">
        <v>59</v>
      </c>
      <c r="AW71" s="27" t="s">
        <v>299</v>
      </c>
      <c r="AX71" s="45"/>
      <c r="AY71" s="45"/>
      <c r="AZ71" s="45"/>
      <c r="BA71" s="45"/>
      <c r="BB71" s="45"/>
    </row>
    <row r="72" spans="1:54" ht="15" customHeight="1" x14ac:dyDescent="0.25">
      <c r="A72" s="54">
        <v>15471</v>
      </c>
      <c r="B72" s="20" t="s">
        <v>79</v>
      </c>
      <c r="C72" s="20" t="s">
        <v>79</v>
      </c>
      <c r="D72" s="419">
        <v>45996</v>
      </c>
      <c r="E72" s="44">
        <v>45973</v>
      </c>
      <c r="F72" s="143" t="s">
        <v>99</v>
      </c>
      <c r="G72" s="111" t="s">
        <v>100</v>
      </c>
      <c r="H72" s="111" t="s">
        <v>51</v>
      </c>
      <c r="I72" s="111" t="s">
        <v>239</v>
      </c>
      <c r="J72" s="111" t="s">
        <v>52</v>
      </c>
      <c r="K72" s="111" t="s">
        <v>129</v>
      </c>
      <c r="L72" s="2">
        <v>1</v>
      </c>
      <c r="M72" s="40" t="s">
        <v>54</v>
      </c>
      <c r="N72" s="2" t="s">
        <v>55</v>
      </c>
      <c r="O72" s="2">
        <v>1</v>
      </c>
      <c r="P72" s="21" t="s">
        <v>112</v>
      </c>
      <c r="Q72" s="44">
        <v>46000</v>
      </c>
      <c r="R72" s="44">
        <v>46000</v>
      </c>
      <c r="S72" s="2">
        <v>1</v>
      </c>
      <c r="T72" s="2" t="s">
        <v>55</v>
      </c>
      <c r="U72" s="18" t="s">
        <v>55</v>
      </c>
      <c r="V72" s="18" t="s">
        <v>55</v>
      </c>
      <c r="W72" s="18" t="s">
        <v>55</v>
      </c>
      <c r="X72" s="18" t="s">
        <v>55</v>
      </c>
      <c r="Y72" s="18" t="s">
        <v>55</v>
      </c>
      <c r="Z72" s="18" t="s">
        <v>55</v>
      </c>
      <c r="AA72" s="2">
        <v>1</v>
      </c>
      <c r="AB72" s="2">
        <v>1</v>
      </c>
      <c r="AC72" s="2">
        <v>0</v>
      </c>
      <c r="AD72" s="53">
        <v>46010</v>
      </c>
      <c r="AE72" s="53">
        <v>46010</v>
      </c>
      <c r="AF72" s="53">
        <v>46010</v>
      </c>
      <c r="AG72" s="53">
        <v>46017</v>
      </c>
      <c r="AH72" s="53">
        <v>46027</v>
      </c>
      <c r="AI72" s="3">
        <f t="shared" si="14"/>
        <v>1</v>
      </c>
      <c r="AJ72" s="46" t="s">
        <v>300</v>
      </c>
      <c r="AK72" s="46" t="s">
        <v>301</v>
      </c>
      <c r="AL72" s="19">
        <f t="shared" si="13"/>
        <v>1</v>
      </c>
      <c r="AM72" s="67">
        <f>IFERROR(NETWORKDAYS(D72,Q72,Hoja1!$A$1:$A$29),"N/A")</f>
        <v>2</v>
      </c>
      <c r="AN72" s="21">
        <f>IFERROR(NETWORKDAYS(D72,AE72,Hoja1!$A$1:$A$29),"N/A")</f>
        <v>10</v>
      </c>
      <c r="AO72" s="78">
        <v>0</v>
      </c>
      <c r="AP72" s="21">
        <f t="shared" si="10"/>
        <v>10</v>
      </c>
      <c r="AQ72" s="21">
        <f>IFERROR(NETWORKDAYS(AF72,AG72,Hoja1!$A$1:$A$29),"N/A")</f>
        <v>5</v>
      </c>
      <c r="AR72" s="78">
        <v>0</v>
      </c>
      <c r="AS72" s="75">
        <f t="shared" si="9"/>
        <v>5</v>
      </c>
      <c r="AT72" s="21">
        <f>IFERROR(NETWORKDAYS(D72,AG72,Hoja1!$A$1:$A$29),"N/A")</f>
        <v>14</v>
      </c>
      <c r="AU72" s="21">
        <f t="shared" si="12"/>
        <v>14</v>
      </c>
      <c r="AV72" s="69" t="s">
        <v>59</v>
      </c>
      <c r="AW72" s="27" t="s">
        <v>302</v>
      </c>
      <c r="AX72" s="46"/>
      <c r="AY72" s="46"/>
      <c r="AZ72" s="46"/>
      <c r="BA72" s="46"/>
      <c r="BB72" s="46"/>
    </row>
    <row r="73" spans="1:54" ht="15" customHeight="1" x14ac:dyDescent="0.25">
      <c r="A73" s="54">
        <v>15472</v>
      </c>
      <c r="B73" s="20" t="s">
        <v>79</v>
      </c>
      <c r="C73" s="20" t="s">
        <v>79</v>
      </c>
      <c r="D73" s="44">
        <v>45996</v>
      </c>
      <c r="E73" s="44">
        <v>45973</v>
      </c>
      <c r="F73" s="143" t="s">
        <v>99</v>
      </c>
      <c r="G73" s="111" t="s">
        <v>100</v>
      </c>
      <c r="H73" s="111" t="s">
        <v>51</v>
      </c>
      <c r="I73" s="111" t="s">
        <v>239</v>
      </c>
      <c r="J73" s="111" t="s">
        <v>52</v>
      </c>
      <c r="K73" s="111" t="s">
        <v>129</v>
      </c>
      <c r="L73" s="2">
        <v>1</v>
      </c>
      <c r="M73" s="40" t="s">
        <v>54</v>
      </c>
      <c r="N73" s="2" t="s">
        <v>55</v>
      </c>
      <c r="O73" s="2">
        <v>1</v>
      </c>
      <c r="P73" s="21" t="s">
        <v>112</v>
      </c>
      <c r="Q73" s="44">
        <v>46000</v>
      </c>
      <c r="R73" s="44">
        <v>46000</v>
      </c>
      <c r="S73" s="2">
        <v>1</v>
      </c>
      <c r="T73" s="2" t="s">
        <v>55</v>
      </c>
      <c r="U73" s="18" t="s">
        <v>55</v>
      </c>
      <c r="V73" s="18" t="s">
        <v>55</v>
      </c>
      <c r="W73" s="18" t="s">
        <v>55</v>
      </c>
      <c r="X73" s="18" t="s">
        <v>55</v>
      </c>
      <c r="Y73" s="18" t="s">
        <v>55</v>
      </c>
      <c r="Z73" s="18" t="s">
        <v>55</v>
      </c>
      <c r="AA73" s="2">
        <v>1</v>
      </c>
      <c r="AB73" s="2">
        <v>1</v>
      </c>
      <c r="AC73" s="2">
        <v>0</v>
      </c>
      <c r="AD73" s="53">
        <v>46010</v>
      </c>
      <c r="AE73" s="53">
        <v>46010</v>
      </c>
      <c r="AF73" s="53">
        <v>46010</v>
      </c>
      <c r="AG73" s="53">
        <v>46024</v>
      </c>
      <c r="AH73" s="53">
        <v>46027</v>
      </c>
      <c r="AI73" s="3">
        <f t="shared" si="14"/>
        <v>1</v>
      </c>
      <c r="AJ73" s="46" t="s">
        <v>303</v>
      </c>
      <c r="AK73" s="46" t="s">
        <v>304</v>
      </c>
      <c r="AL73" s="19">
        <f t="shared" si="13"/>
        <v>1</v>
      </c>
      <c r="AM73" s="67">
        <f>IFERROR(NETWORKDAYS(D73,Q73,Hoja1!$A$1:$A$29),"N/A")</f>
        <v>2</v>
      </c>
      <c r="AN73" s="21">
        <f>IFERROR(NETWORKDAYS(D73,AE73,Hoja1!$A$1:$A$29),"N/A")</f>
        <v>10</v>
      </c>
      <c r="AO73" s="78">
        <v>0</v>
      </c>
      <c r="AP73" s="21">
        <f t="shared" si="10"/>
        <v>10</v>
      </c>
      <c r="AQ73" s="21">
        <f>IFERROR(NETWORKDAYS(AF73,AG73,Hoja1!$A$1:$A$29),"N/A")</f>
        <v>9</v>
      </c>
      <c r="AR73" s="78">
        <v>5</v>
      </c>
      <c r="AS73" s="75">
        <f t="shared" si="9"/>
        <v>4</v>
      </c>
      <c r="AT73" s="21">
        <f>IFERROR(NETWORKDAYS(D73,AG73,Hoja1!$A$1:$A$29),"N/A")</f>
        <v>18</v>
      </c>
      <c r="AU73" s="21">
        <f t="shared" si="12"/>
        <v>13</v>
      </c>
      <c r="AV73" s="69" t="s">
        <v>59</v>
      </c>
      <c r="AW73" s="27" t="s">
        <v>305</v>
      </c>
      <c r="AX73" s="46"/>
      <c r="AY73" s="46"/>
      <c r="AZ73" s="46"/>
      <c r="BA73" s="46"/>
      <c r="BB73" s="46"/>
    </row>
    <row r="74" spans="1:54" ht="15" customHeight="1" x14ac:dyDescent="0.25">
      <c r="A74" s="56">
        <v>15475</v>
      </c>
      <c r="B74" s="29" t="s">
        <v>85</v>
      </c>
      <c r="C74" s="29" t="s">
        <v>85</v>
      </c>
      <c r="D74" s="417">
        <v>46002</v>
      </c>
      <c r="E74" s="38">
        <v>46002</v>
      </c>
      <c r="F74" s="202" t="s">
        <v>62</v>
      </c>
      <c r="G74" s="207" t="s">
        <v>71</v>
      </c>
      <c r="H74" s="159" t="s">
        <v>101</v>
      </c>
      <c r="I74" s="48" t="s">
        <v>306</v>
      </c>
      <c r="J74" s="87" t="s">
        <v>142</v>
      </c>
      <c r="K74" s="87" t="s">
        <v>86</v>
      </c>
      <c r="L74" s="3">
        <v>1</v>
      </c>
      <c r="M74" s="40" t="s">
        <v>54</v>
      </c>
      <c r="N74" s="28" t="s">
        <v>55</v>
      </c>
      <c r="O74" s="33">
        <v>0</v>
      </c>
      <c r="P74" s="33"/>
      <c r="Q74" s="28" t="s">
        <v>55</v>
      </c>
      <c r="R74" s="28" t="s">
        <v>55</v>
      </c>
      <c r="S74" s="33">
        <v>0</v>
      </c>
      <c r="T74" s="28" t="s">
        <v>55</v>
      </c>
      <c r="U74" s="18" t="s">
        <v>55</v>
      </c>
      <c r="V74" s="18" t="s">
        <v>55</v>
      </c>
      <c r="W74" s="18" t="s">
        <v>55</v>
      </c>
      <c r="X74" s="18" t="s">
        <v>55</v>
      </c>
      <c r="Y74" s="18" t="s">
        <v>55</v>
      </c>
      <c r="Z74" s="18" t="s">
        <v>55</v>
      </c>
      <c r="AA74" s="33">
        <v>1</v>
      </c>
      <c r="AB74" s="33">
        <v>1</v>
      </c>
      <c r="AC74" s="33">
        <v>0</v>
      </c>
      <c r="AD74" s="28">
        <v>46008</v>
      </c>
      <c r="AE74" s="28">
        <v>46013</v>
      </c>
      <c r="AF74" s="28">
        <v>46013</v>
      </c>
      <c r="AG74" s="28">
        <v>46044</v>
      </c>
      <c r="AH74" s="28">
        <v>46045</v>
      </c>
      <c r="AI74" s="3">
        <f t="shared" si="14"/>
        <v>1</v>
      </c>
      <c r="AJ74" s="45" t="s">
        <v>307</v>
      </c>
      <c r="AK74" s="45" t="s">
        <v>308</v>
      </c>
      <c r="AL74" s="19" t="str">
        <f t="shared" si="13"/>
        <v>N/A</v>
      </c>
      <c r="AM74" s="67" t="str">
        <f>IFERROR(NETWORKDAYS(D74,Q74,Hoja1!$A$1:$A$29),"N/A")</f>
        <v>N/A</v>
      </c>
      <c r="AN74" s="21">
        <f>IFERROR(NETWORKDAYS(D74,AE74,Hoja1!$A$1:$A$29),"N/A")</f>
        <v>8</v>
      </c>
      <c r="AO74" s="78">
        <v>0</v>
      </c>
      <c r="AP74" s="21">
        <f t="shared" si="10"/>
        <v>8</v>
      </c>
      <c r="AQ74" s="21">
        <f>IFERROR(NETWORKDAYS(AF74,AG74,Hoja1!$A$1:$A$29),"N/A")</f>
        <v>21</v>
      </c>
      <c r="AR74" s="74">
        <v>16</v>
      </c>
      <c r="AS74" s="75">
        <f t="shared" si="9"/>
        <v>5</v>
      </c>
      <c r="AT74" s="21">
        <f>IFERROR(NETWORKDAYS(D74,AG74,Hoja1!$A$1:$A$29),"N/A")</f>
        <v>28</v>
      </c>
      <c r="AU74" s="21">
        <f t="shared" si="12"/>
        <v>12</v>
      </c>
      <c r="AV74" s="69" t="s">
        <v>104</v>
      </c>
      <c r="AW74" s="27" t="s">
        <v>309</v>
      </c>
      <c r="AX74" s="45"/>
      <c r="AY74" s="45"/>
      <c r="AZ74" s="45"/>
      <c r="BA74" s="45"/>
      <c r="BB74" s="45"/>
    </row>
    <row r="75" spans="1:54" ht="15" customHeight="1" x14ac:dyDescent="0.25">
      <c r="A75" s="54">
        <v>15480</v>
      </c>
      <c r="B75" s="20" t="s">
        <v>79</v>
      </c>
      <c r="C75" s="20" t="s">
        <v>79</v>
      </c>
      <c r="D75" s="30">
        <v>46000</v>
      </c>
      <c r="E75" s="24">
        <v>46003</v>
      </c>
      <c r="F75" s="84" t="s">
        <v>90</v>
      </c>
      <c r="G75" s="111" t="s">
        <v>91</v>
      </c>
      <c r="H75" s="111" t="s">
        <v>51</v>
      </c>
      <c r="I75" s="87" t="s">
        <v>92</v>
      </c>
      <c r="J75" s="87" t="s">
        <v>52</v>
      </c>
      <c r="K75" s="87" t="s">
        <v>93</v>
      </c>
      <c r="L75" s="3">
        <v>1</v>
      </c>
      <c r="M75" s="40" t="s">
        <v>54</v>
      </c>
      <c r="N75" s="3" t="s">
        <v>55</v>
      </c>
      <c r="O75" s="3">
        <v>3</v>
      </c>
      <c r="P75" s="33" t="s">
        <v>112</v>
      </c>
      <c r="Q75" s="30">
        <v>46007</v>
      </c>
      <c r="R75" s="30">
        <v>46007</v>
      </c>
      <c r="S75" s="3">
        <v>3</v>
      </c>
      <c r="T75" s="18" t="s">
        <v>55</v>
      </c>
      <c r="U75" s="18" t="s">
        <v>55</v>
      </c>
      <c r="V75" s="18" t="s">
        <v>55</v>
      </c>
      <c r="W75" s="18" t="s">
        <v>55</v>
      </c>
      <c r="X75" s="18" t="s">
        <v>55</v>
      </c>
      <c r="Y75" s="18" t="s">
        <v>55</v>
      </c>
      <c r="Z75" s="18" t="s">
        <v>55</v>
      </c>
      <c r="AA75" s="3">
        <v>3</v>
      </c>
      <c r="AB75" s="3">
        <v>1</v>
      </c>
      <c r="AC75" s="3">
        <v>0</v>
      </c>
      <c r="AD75" s="28">
        <v>46010</v>
      </c>
      <c r="AE75" s="28">
        <v>46010</v>
      </c>
      <c r="AF75" s="28">
        <v>46010</v>
      </c>
      <c r="AG75" s="28">
        <v>46031</v>
      </c>
      <c r="AH75" s="28">
        <v>46035</v>
      </c>
      <c r="AI75" s="3">
        <f t="shared" si="14"/>
        <v>1</v>
      </c>
      <c r="AJ75" s="45" t="s">
        <v>310</v>
      </c>
      <c r="AK75" s="49" t="s">
        <v>311</v>
      </c>
      <c r="AL75" s="19">
        <f t="shared" si="13"/>
        <v>1</v>
      </c>
      <c r="AM75" s="67">
        <f>IFERROR(NETWORKDAYS(D75,Q75,Hoja1!$A$1:$A$29),"N/A")</f>
        <v>6</v>
      </c>
      <c r="AN75" s="21">
        <f>IFERROR(NETWORKDAYS(D75,AE75,Hoja1!$A$1:$A$29),"N/A")</f>
        <v>9</v>
      </c>
      <c r="AO75" s="78">
        <v>0</v>
      </c>
      <c r="AP75" s="21">
        <f t="shared" si="10"/>
        <v>9</v>
      </c>
      <c r="AQ75" s="21">
        <f>IFERROR(NETWORKDAYS(AF75,AG75,Hoja1!$A$1:$A$29),"N/A")</f>
        <v>14</v>
      </c>
      <c r="AR75" s="74">
        <v>9</v>
      </c>
      <c r="AS75" s="75">
        <f t="shared" si="9"/>
        <v>5</v>
      </c>
      <c r="AT75" s="21">
        <f>IFERROR(NETWORKDAYS(D75,AG75,Hoja1!$A$1:$A$29),"N/A")</f>
        <v>22</v>
      </c>
      <c r="AU75" s="21">
        <f t="shared" si="12"/>
        <v>13</v>
      </c>
      <c r="AV75" s="69" t="s">
        <v>59</v>
      </c>
      <c r="AW75" s="27" t="s">
        <v>294</v>
      </c>
      <c r="AX75" s="45"/>
      <c r="AY75" s="45"/>
      <c r="AZ75" s="45"/>
      <c r="BA75" s="45"/>
      <c r="BB75" s="45"/>
    </row>
    <row r="76" spans="1:54" ht="15" customHeight="1" x14ac:dyDescent="0.25">
      <c r="A76" s="54">
        <v>15484</v>
      </c>
      <c r="B76" s="40" t="s">
        <v>169</v>
      </c>
      <c r="C76" s="40" t="s">
        <v>169</v>
      </c>
      <c r="D76" s="421">
        <v>46006</v>
      </c>
      <c r="E76" s="28">
        <v>46006</v>
      </c>
      <c r="F76" s="202" t="s">
        <v>62</v>
      </c>
      <c r="G76" s="207" t="s">
        <v>71</v>
      </c>
      <c r="H76" s="87" t="s">
        <v>51</v>
      </c>
      <c r="I76" s="27" t="s">
        <v>72</v>
      </c>
      <c r="J76" s="22" t="s">
        <v>73</v>
      </c>
      <c r="K76" s="87" t="s">
        <v>86</v>
      </c>
      <c r="L76" s="3">
        <v>1</v>
      </c>
      <c r="M76" s="40" t="s">
        <v>54</v>
      </c>
      <c r="N76" s="28" t="s">
        <v>55</v>
      </c>
      <c r="O76" s="33">
        <v>6</v>
      </c>
      <c r="P76" s="33" t="s">
        <v>56</v>
      </c>
      <c r="Q76" s="28">
        <v>46031</v>
      </c>
      <c r="R76" s="28">
        <v>46031</v>
      </c>
      <c r="S76" s="33">
        <v>6</v>
      </c>
      <c r="T76" s="28" t="s">
        <v>55</v>
      </c>
      <c r="U76" s="18" t="s">
        <v>55</v>
      </c>
      <c r="V76" s="18" t="s">
        <v>55</v>
      </c>
      <c r="W76" s="18" t="s">
        <v>55</v>
      </c>
      <c r="X76" s="18" t="s">
        <v>55</v>
      </c>
      <c r="Y76" s="18" t="s">
        <v>55</v>
      </c>
      <c r="Z76" s="18" t="s">
        <v>55</v>
      </c>
      <c r="AA76" s="33">
        <v>1</v>
      </c>
      <c r="AB76" s="33">
        <v>1</v>
      </c>
      <c r="AC76" s="33">
        <v>0</v>
      </c>
      <c r="AD76" s="28">
        <v>46036</v>
      </c>
      <c r="AE76" s="28">
        <v>46036</v>
      </c>
      <c r="AF76" s="28">
        <v>46036</v>
      </c>
      <c r="AG76" s="28">
        <v>46043</v>
      </c>
      <c r="AH76" s="28">
        <v>46044</v>
      </c>
      <c r="AI76" s="3">
        <f t="shared" si="14"/>
        <v>1</v>
      </c>
      <c r="AJ76" s="50" t="s">
        <v>312</v>
      </c>
      <c r="AK76" s="45" t="s">
        <v>313</v>
      </c>
      <c r="AL76" s="19">
        <f t="shared" si="13"/>
        <v>1</v>
      </c>
      <c r="AM76" s="67">
        <f>IFERROR(NETWORKDAYS(D76,Q76,Hoja1!$A$1:$A$29),"N/A")</f>
        <v>18</v>
      </c>
      <c r="AN76" s="21">
        <f>IFERROR(NETWORKDAYS(D76,AE76,Hoja1!$A$1:$A$29),"N/A")</f>
        <v>20</v>
      </c>
      <c r="AO76" s="78">
        <v>5</v>
      </c>
      <c r="AP76" s="21">
        <f t="shared" si="10"/>
        <v>15</v>
      </c>
      <c r="AQ76" s="21">
        <f>IFERROR(NETWORKDAYS(AF76,AG76,Hoja1!$A$1:$A$29),"N/A")</f>
        <v>6</v>
      </c>
      <c r="AR76" s="74">
        <v>1</v>
      </c>
      <c r="AS76" s="75">
        <f t="shared" si="9"/>
        <v>5</v>
      </c>
      <c r="AT76" s="21">
        <f>IFERROR(NETWORKDAYS(D76,AG76,Hoja1!$A$1:$A$29),"N/A")</f>
        <v>25</v>
      </c>
      <c r="AU76" s="21">
        <f t="shared" si="12"/>
        <v>19</v>
      </c>
      <c r="AV76" s="69" t="s">
        <v>77</v>
      </c>
      <c r="AW76" s="27" t="s">
        <v>89</v>
      </c>
      <c r="AX76" s="45"/>
      <c r="AY76" s="45"/>
      <c r="AZ76" s="45"/>
      <c r="BA76" s="45"/>
      <c r="BB76" s="45"/>
    </row>
    <row r="77" spans="1:54" ht="15" customHeight="1" x14ac:dyDescent="0.25">
      <c r="A77" s="208">
        <v>15488</v>
      </c>
      <c r="B77" s="115" t="s">
        <v>69</v>
      </c>
      <c r="C77" s="115" t="s">
        <v>98</v>
      </c>
      <c r="D77" s="423">
        <v>46015</v>
      </c>
      <c r="E77" s="277">
        <v>46006</v>
      </c>
      <c r="F77" s="189" t="s">
        <v>62</v>
      </c>
      <c r="G77" s="189" t="s">
        <v>314</v>
      </c>
      <c r="H77" s="206" t="s">
        <v>101</v>
      </c>
      <c r="I77" s="82" t="s">
        <v>227</v>
      </c>
      <c r="J77" s="243" t="s">
        <v>52</v>
      </c>
      <c r="K77" s="209" t="s">
        <v>66</v>
      </c>
      <c r="L77" s="128">
        <v>1</v>
      </c>
      <c r="M77" s="244" t="s">
        <v>54</v>
      </c>
      <c r="N77" s="126" t="s">
        <v>55</v>
      </c>
      <c r="O77" s="83">
        <v>3</v>
      </c>
      <c r="P77" s="83" t="s">
        <v>56</v>
      </c>
      <c r="Q77" s="126">
        <v>46013</v>
      </c>
      <c r="R77" s="126">
        <v>46013</v>
      </c>
      <c r="S77" s="83">
        <v>3</v>
      </c>
      <c r="T77" s="126" t="s">
        <v>55</v>
      </c>
      <c r="U77" s="125" t="s">
        <v>55</v>
      </c>
      <c r="V77" s="125" t="s">
        <v>55</v>
      </c>
      <c r="W77" s="125" t="s">
        <v>55</v>
      </c>
      <c r="X77" s="125" t="s">
        <v>55</v>
      </c>
      <c r="Y77" s="125" t="s">
        <v>55</v>
      </c>
      <c r="Z77" s="125" t="s">
        <v>55</v>
      </c>
      <c r="AA77" s="83">
        <v>1</v>
      </c>
      <c r="AB77" s="83">
        <v>1</v>
      </c>
      <c r="AC77" s="83">
        <v>0</v>
      </c>
      <c r="AD77" s="126">
        <v>46027</v>
      </c>
      <c r="AE77" s="126">
        <v>46028</v>
      </c>
      <c r="AF77" s="126">
        <v>46028</v>
      </c>
      <c r="AG77" s="126">
        <v>46044</v>
      </c>
      <c r="AH77" s="126">
        <v>46045</v>
      </c>
      <c r="AI77" s="79">
        <f t="shared" si="14"/>
        <v>1</v>
      </c>
      <c r="AJ77" s="82" t="s">
        <v>315</v>
      </c>
      <c r="AK77" s="82" t="s">
        <v>316</v>
      </c>
      <c r="AL77" s="19">
        <f t="shared" si="13"/>
        <v>1</v>
      </c>
      <c r="AM77" s="67">
        <f>IFERROR(NETWORKDAYS(D77,Q77,Hoja1!$A$1:$A$29),"N/A")</f>
        <v>-3</v>
      </c>
      <c r="AN77" s="21">
        <f>IFERROR(NETWORKDAYS(D77,AE77,Hoja1!$A$1:$A$29),"N/A")</f>
        <v>8</v>
      </c>
      <c r="AO77" s="271">
        <v>0</v>
      </c>
      <c r="AP77" s="100">
        <f t="shared" si="10"/>
        <v>8</v>
      </c>
      <c r="AQ77" s="21">
        <f>IFERROR(NETWORKDAYS(AF77,AG77,Hoja1!$A$1:$A$29),"N/A")</f>
        <v>12</v>
      </c>
      <c r="AR77" s="101">
        <v>7</v>
      </c>
      <c r="AS77" s="102">
        <f t="shared" si="9"/>
        <v>5</v>
      </c>
      <c r="AT77" s="21">
        <f>IFERROR(NETWORKDAYS(D77,AG77,Hoja1!$A$1:$A$29),"N/A")</f>
        <v>19</v>
      </c>
      <c r="AU77" s="100">
        <f t="shared" si="12"/>
        <v>12</v>
      </c>
      <c r="AV77" s="81" t="s">
        <v>145</v>
      </c>
      <c r="AW77" s="76" t="s">
        <v>146</v>
      </c>
      <c r="AX77" s="76"/>
      <c r="AY77" s="76"/>
      <c r="AZ77" s="76"/>
      <c r="BA77" s="76"/>
      <c r="BB77" s="76"/>
    </row>
    <row r="78" spans="1:54" ht="15" customHeight="1" x14ac:dyDescent="0.25">
      <c r="A78" s="54">
        <v>15493</v>
      </c>
      <c r="B78" s="29" t="s">
        <v>85</v>
      </c>
      <c r="C78" s="29" t="s">
        <v>85</v>
      </c>
      <c r="D78" s="418">
        <v>46006</v>
      </c>
      <c r="E78" s="28">
        <v>46006</v>
      </c>
      <c r="F78" s="202" t="s">
        <v>62</v>
      </c>
      <c r="G78" s="207" t="s">
        <v>71</v>
      </c>
      <c r="H78" s="159" t="s">
        <v>101</v>
      </c>
      <c r="I78" s="87" t="s">
        <v>317</v>
      </c>
      <c r="J78" s="87" t="s">
        <v>142</v>
      </c>
      <c r="K78" s="87" t="s">
        <v>86</v>
      </c>
      <c r="L78" s="3">
        <v>1</v>
      </c>
      <c r="M78" s="40" t="s">
        <v>54</v>
      </c>
      <c r="N78" s="28" t="s">
        <v>55</v>
      </c>
      <c r="O78" s="33">
        <v>0</v>
      </c>
      <c r="P78" s="33"/>
      <c r="Q78" s="28" t="s">
        <v>55</v>
      </c>
      <c r="R78" s="28" t="s">
        <v>55</v>
      </c>
      <c r="S78" s="33">
        <v>0</v>
      </c>
      <c r="T78" s="28" t="s">
        <v>55</v>
      </c>
      <c r="U78" s="18" t="s">
        <v>55</v>
      </c>
      <c r="V78" s="18" t="s">
        <v>55</v>
      </c>
      <c r="W78" s="18" t="s">
        <v>55</v>
      </c>
      <c r="X78" s="18" t="s">
        <v>55</v>
      </c>
      <c r="Y78" s="18" t="s">
        <v>55</v>
      </c>
      <c r="Z78" s="18" t="s">
        <v>55</v>
      </c>
      <c r="AA78" s="33">
        <v>1</v>
      </c>
      <c r="AB78" s="33">
        <v>1</v>
      </c>
      <c r="AC78" s="33">
        <v>0</v>
      </c>
      <c r="AD78" s="28">
        <v>46009</v>
      </c>
      <c r="AE78" s="28">
        <v>46010</v>
      </c>
      <c r="AF78" s="28">
        <v>46013</v>
      </c>
      <c r="AG78" s="28">
        <v>46024</v>
      </c>
      <c r="AH78" s="28">
        <v>46027</v>
      </c>
      <c r="AI78" s="3">
        <f t="shared" si="14"/>
        <v>1</v>
      </c>
      <c r="AJ78" s="45" t="s">
        <v>318</v>
      </c>
      <c r="AK78" s="45" t="s">
        <v>319</v>
      </c>
      <c r="AL78" s="19" t="str">
        <f t="shared" si="13"/>
        <v>N/A</v>
      </c>
      <c r="AM78" s="67" t="str">
        <f>IFERROR(NETWORKDAYS(D78,Q78,Hoja1!$A$1:$A$29),"N/A")</f>
        <v>N/A</v>
      </c>
      <c r="AN78" s="21">
        <f>IFERROR(NETWORKDAYS(D78,AE78,Hoja1!$A$1:$A$29),"N/A")</f>
        <v>5</v>
      </c>
      <c r="AO78" s="78">
        <v>0</v>
      </c>
      <c r="AP78" s="21">
        <f t="shared" si="10"/>
        <v>5</v>
      </c>
      <c r="AQ78" s="21">
        <f>IFERROR(NETWORKDAYS(AF78,AG78,Hoja1!$A$1:$A$29),"N/A")</f>
        <v>8</v>
      </c>
      <c r="AR78" s="74">
        <v>3</v>
      </c>
      <c r="AS78" s="75">
        <f t="shared" si="9"/>
        <v>5</v>
      </c>
      <c r="AT78" s="21">
        <f>IFERROR(NETWORKDAYS(D78,AG78,Hoja1!$A$1:$A$29),"N/A")</f>
        <v>13</v>
      </c>
      <c r="AU78" s="21">
        <f t="shared" si="12"/>
        <v>10</v>
      </c>
      <c r="AV78" s="69" t="s">
        <v>104</v>
      </c>
      <c r="AW78" s="27" t="s">
        <v>320</v>
      </c>
      <c r="AX78" s="45"/>
      <c r="AY78" s="45"/>
      <c r="AZ78" s="45"/>
      <c r="BA78" s="45"/>
      <c r="BB78" s="45"/>
    </row>
    <row r="79" spans="1:54" ht="15" customHeight="1" x14ac:dyDescent="0.25">
      <c r="A79" s="56">
        <v>15500</v>
      </c>
      <c r="B79" s="20" t="s">
        <v>79</v>
      </c>
      <c r="C79" s="20" t="s">
        <v>79</v>
      </c>
      <c r="D79" s="37">
        <v>45992</v>
      </c>
      <c r="E79" s="37">
        <v>46007</v>
      </c>
      <c r="F79" s="202" t="s">
        <v>879</v>
      </c>
      <c r="G79" s="48" t="s">
        <v>321</v>
      </c>
      <c r="H79" s="48" t="s">
        <v>51</v>
      </c>
      <c r="I79" s="87" t="s">
        <v>92</v>
      </c>
      <c r="J79" s="48" t="s">
        <v>52</v>
      </c>
      <c r="K79" s="48" t="s">
        <v>106</v>
      </c>
      <c r="L79" s="18">
        <v>1</v>
      </c>
      <c r="M79" s="40" t="s">
        <v>54</v>
      </c>
      <c r="N79" s="18" t="s">
        <v>55</v>
      </c>
      <c r="O79" s="18">
        <v>1</v>
      </c>
      <c r="P79" s="36" t="s">
        <v>112</v>
      </c>
      <c r="Q79" s="37">
        <v>46007</v>
      </c>
      <c r="R79" s="37">
        <v>46007</v>
      </c>
      <c r="S79" s="18">
        <v>1</v>
      </c>
      <c r="T79" s="18" t="s">
        <v>55</v>
      </c>
      <c r="U79" s="18" t="s">
        <v>55</v>
      </c>
      <c r="V79" s="18" t="s">
        <v>55</v>
      </c>
      <c r="W79" s="18" t="s">
        <v>55</v>
      </c>
      <c r="X79" s="18" t="s">
        <v>55</v>
      </c>
      <c r="Y79" s="18" t="s">
        <v>55</v>
      </c>
      <c r="Z79" s="18" t="s">
        <v>55</v>
      </c>
      <c r="AA79" s="18">
        <v>1</v>
      </c>
      <c r="AB79" s="18">
        <v>1</v>
      </c>
      <c r="AC79" s="18">
        <v>0</v>
      </c>
      <c r="AD79" s="38">
        <v>46009</v>
      </c>
      <c r="AE79" s="38">
        <v>46009</v>
      </c>
      <c r="AF79" s="38">
        <v>46009</v>
      </c>
      <c r="AG79" s="38">
        <v>46024</v>
      </c>
      <c r="AH79" s="53">
        <v>46027</v>
      </c>
      <c r="AI79" s="3">
        <f t="shared" si="14"/>
        <v>1</v>
      </c>
      <c r="AJ79" s="35" t="s">
        <v>322</v>
      </c>
      <c r="AK79" s="45" t="s">
        <v>323</v>
      </c>
      <c r="AL79" s="19">
        <f t="shared" si="13"/>
        <v>1</v>
      </c>
      <c r="AM79" s="67">
        <f>IFERROR(NETWORKDAYS(D79,Q79,Hoja1!$A$1:$A$29),"N/A")</f>
        <v>11</v>
      </c>
      <c r="AN79" s="21">
        <f>IFERROR(NETWORKDAYS(D79,AE79,Hoja1!$A$1:$A$29),"N/A")</f>
        <v>13</v>
      </c>
      <c r="AO79" s="78">
        <v>0</v>
      </c>
      <c r="AP79" s="21">
        <f t="shared" si="10"/>
        <v>13</v>
      </c>
      <c r="AQ79" s="21">
        <f>IFERROR(NETWORKDAYS(AF79,AG79,Hoja1!$A$1:$A$29),"N/A")</f>
        <v>10</v>
      </c>
      <c r="AR79" s="74">
        <v>4</v>
      </c>
      <c r="AS79" s="75">
        <f t="shared" si="9"/>
        <v>6</v>
      </c>
      <c r="AT79" s="21">
        <f>IFERROR(NETWORKDAYS(D79,AG79,Hoja1!$A$1:$A$29),"N/A")</f>
        <v>22</v>
      </c>
      <c r="AU79" s="21">
        <f t="shared" si="12"/>
        <v>18</v>
      </c>
      <c r="AV79" s="69" t="s">
        <v>59</v>
      </c>
      <c r="AW79" s="27" t="s">
        <v>139</v>
      </c>
      <c r="AX79" s="35"/>
      <c r="AY79" s="35"/>
      <c r="AZ79" s="35"/>
      <c r="BA79" s="35"/>
      <c r="BB79" s="35"/>
    </row>
    <row r="80" spans="1:54" ht="15" customHeight="1" x14ac:dyDescent="0.25">
      <c r="A80" s="54">
        <v>15506</v>
      </c>
      <c r="B80" s="20" t="s">
        <v>79</v>
      </c>
      <c r="C80" s="20" t="s">
        <v>79</v>
      </c>
      <c r="D80" s="418">
        <v>46007</v>
      </c>
      <c r="E80" s="42">
        <v>46007</v>
      </c>
      <c r="F80" s="84" t="s">
        <v>62</v>
      </c>
      <c r="G80" s="23" t="s">
        <v>80</v>
      </c>
      <c r="H80" s="87" t="s">
        <v>101</v>
      </c>
      <c r="I80" s="87" t="s">
        <v>976</v>
      </c>
      <c r="J80" s="207" t="s">
        <v>118</v>
      </c>
      <c r="K80" s="87" t="s">
        <v>74</v>
      </c>
      <c r="L80" s="3">
        <v>1</v>
      </c>
      <c r="M80" s="40" t="s">
        <v>54</v>
      </c>
      <c r="N80" s="30" t="s">
        <v>55</v>
      </c>
      <c r="O80" s="3">
        <v>0</v>
      </c>
      <c r="P80" s="33"/>
      <c r="Q80" s="37" t="s">
        <v>55</v>
      </c>
      <c r="R80" s="37" t="s">
        <v>55</v>
      </c>
      <c r="S80" s="3">
        <v>0</v>
      </c>
      <c r="T80" s="37" t="s">
        <v>55</v>
      </c>
      <c r="U80" s="18" t="s">
        <v>55</v>
      </c>
      <c r="V80" s="18" t="s">
        <v>55</v>
      </c>
      <c r="W80" s="18" t="s">
        <v>55</v>
      </c>
      <c r="X80" s="18" t="s">
        <v>55</v>
      </c>
      <c r="Y80" s="18" t="s">
        <v>55</v>
      </c>
      <c r="Z80" s="18" t="s">
        <v>55</v>
      </c>
      <c r="AA80" s="3">
        <v>1</v>
      </c>
      <c r="AB80" s="3">
        <v>1</v>
      </c>
      <c r="AC80" s="3">
        <v>0</v>
      </c>
      <c r="AD80" s="28">
        <v>46013</v>
      </c>
      <c r="AE80" s="28">
        <v>46013</v>
      </c>
      <c r="AF80" s="28">
        <v>46013</v>
      </c>
      <c r="AG80" s="28">
        <v>46024</v>
      </c>
      <c r="AH80" s="28">
        <v>46027</v>
      </c>
      <c r="AI80" s="3">
        <f t="shared" si="14"/>
        <v>1</v>
      </c>
      <c r="AJ80" s="45" t="s">
        <v>324</v>
      </c>
      <c r="AK80" s="45" t="s">
        <v>325</v>
      </c>
      <c r="AL80" s="19" t="str">
        <f t="shared" si="13"/>
        <v>N/A</v>
      </c>
      <c r="AM80" s="67" t="str">
        <f>IFERROR(NETWORKDAYS(D80,Q80,Hoja1!$A$1:$A$29),"N/A")</f>
        <v>N/A</v>
      </c>
      <c r="AN80" s="21">
        <f>IFERROR(NETWORKDAYS(D80,AE80,Hoja1!$A$1:$A$29),"N/A")</f>
        <v>5</v>
      </c>
      <c r="AO80" s="78">
        <v>0</v>
      </c>
      <c r="AP80" s="21">
        <f t="shared" si="10"/>
        <v>5</v>
      </c>
      <c r="AQ80" s="21">
        <f>IFERROR(NETWORKDAYS(AF80,AG80,Hoja1!$A$1:$A$29),"N/A")</f>
        <v>8</v>
      </c>
      <c r="AR80" s="74">
        <v>3</v>
      </c>
      <c r="AS80" s="75">
        <f t="shared" si="9"/>
        <v>5</v>
      </c>
      <c r="AT80" s="21">
        <f>IFERROR(NETWORKDAYS(D80,AG80,Hoja1!$A$1:$A$29),"N/A")</f>
        <v>12</v>
      </c>
      <c r="AU80" s="21">
        <f t="shared" si="12"/>
        <v>9</v>
      </c>
      <c r="AV80" s="69" t="s">
        <v>104</v>
      </c>
      <c r="AW80" s="27" t="s">
        <v>326</v>
      </c>
      <c r="AX80" s="45"/>
      <c r="AY80" s="45"/>
      <c r="AZ80" s="45"/>
      <c r="BA80" s="45"/>
      <c r="BB80" s="45"/>
    </row>
    <row r="81" spans="1:54" ht="15" customHeight="1" x14ac:dyDescent="0.25">
      <c r="A81" s="54">
        <v>15507</v>
      </c>
      <c r="B81" s="20" t="s">
        <v>79</v>
      </c>
      <c r="C81" s="20" t="s">
        <v>79</v>
      </c>
      <c r="D81" s="44">
        <v>46010</v>
      </c>
      <c r="E81" s="44">
        <v>46015</v>
      </c>
      <c r="F81" s="143" t="s">
        <v>99</v>
      </c>
      <c r="G81" s="111" t="s">
        <v>100</v>
      </c>
      <c r="H81" s="111" t="s">
        <v>51</v>
      </c>
      <c r="I81" s="111" t="s">
        <v>239</v>
      </c>
      <c r="J81" s="111" t="s">
        <v>52</v>
      </c>
      <c r="K81" s="202" t="s">
        <v>1081</v>
      </c>
      <c r="L81" s="2">
        <v>1</v>
      </c>
      <c r="M81" s="40" t="s">
        <v>54</v>
      </c>
      <c r="N81" s="2" t="s">
        <v>55</v>
      </c>
      <c r="O81" s="2">
        <v>1</v>
      </c>
      <c r="P81" s="21" t="s">
        <v>112</v>
      </c>
      <c r="Q81" s="44">
        <v>46013</v>
      </c>
      <c r="R81" s="44">
        <v>46013</v>
      </c>
      <c r="S81" s="2">
        <v>1</v>
      </c>
      <c r="T81" s="2" t="s">
        <v>55</v>
      </c>
      <c r="U81" s="18" t="s">
        <v>55</v>
      </c>
      <c r="V81" s="18" t="s">
        <v>55</v>
      </c>
      <c r="W81" s="18" t="s">
        <v>55</v>
      </c>
      <c r="X81" s="18" t="s">
        <v>55</v>
      </c>
      <c r="Y81" s="18" t="s">
        <v>55</v>
      </c>
      <c r="Z81" s="18" t="s">
        <v>55</v>
      </c>
      <c r="AA81" s="2">
        <v>1</v>
      </c>
      <c r="AB81" s="2">
        <v>1</v>
      </c>
      <c r="AC81" s="2">
        <v>0</v>
      </c>
      <c r="AD81" s="53">
        <v>45959</v>
      </c>
      <c r="AE81" s="53">
        <v>46027</v>
      </c>
      <c r="AF81" s="53">
        <v>46027</v>
      </c>
      <c r="AG81" s="53">
        <v>46031</v>
      </c>
      <c r="AH81" s="53">
        <v>46035</v>
      </c>
      <c r="AI81" s="3">
        <f t="shared" si="14"/>
        <v>1</v>
      </c>
      <c r="AJ81" s="46" t="s">
        <v>327</v>
      </c>
      <c r="AK81" s="46" t="s">
        <v>328</v>
      </c>
      <c r="AL81" s="19">
        <f t="shared" si="13"/>
        <v>1</v>
      </c>
      <c r="AM81" s="67">
        <f>IFERROR(NETWORKDAYS(D81,Q81,Hoja1!$A$1:$A$29),"N/A")</f>
        <v>2</v>
      </c>
      <c r="AN81" s="21">
        <f>IFERROR(NETWORKDAYS(D81,AE81,Hoja1!$A$1:$A$29),"N/A")</f>
        <v>10</v>
      </c>
      <c r="AO81" s="78">
        <v>0</v>
      </c>
      <c r="AP81" s="21">
        <f t="shared" si="10"/>
        <v>10</v>
      </c>
      <c r="AQ81" s="21">
        <f>IFERROR(NETWORKDAYS(AF81,AG81,Hoja1!$A$1:$A$29),"N/A")</f>
        <v>5</v>
      </c>
      <c r="AR81" s="78">
        <v>1</v>
      </c>
      <c r="AS81" s="75">
        <f t="shared" si="9"/>
        <v>4</v>
      </c>
      <c r="AT81" s="21">
        <f>IFERROR(NETWORKDAYS(D81,AG81,Hoja1!$A$1:$A$29),"N/A")</f>
        <v>14</v>
      </c>
      <c r="AU81" s="21">
        <f t="shared" si="12"/>
        <v>13</v>
      </c>
      <c r="AV81" s="69" t="s">
        <v>59</v>
      </c>
      <c r="AW81" s="27" t="s">
        <v>329</v>
      </c>
      <c r="AX81" s="46"/>
      <c r="AY81" s="46"/>
      <c r="AZ81" s="46"/>
      <c r="BA81" s="46"/>
      <c r="BB81" s="46"/>
    </row>
    <row r="82" spans="1:54" ht="15" customHeight="1" x14ac:dyDescent="0.25">
      <c r="A82" s="54">
        <v>15513</v>
      </c>
      <c r="B82" s="20" t="s">
        <v>79</v>
      </c>
      <c r="C82" s="20" t="s">
        <v>79</v>
      </c>
      <c r="D82" s="418">
        <v>46007</v>
      </c>
      <c r="E82" s="42">
        <v>46007</v>
      </c>
      <c r="F82" s="84" t="s">
        <v>62</v>
      </c>
      <c r="G82" s="23" t="s">
        <v>80</v>
      </c>
      <c r="H82" s="111" t="s">
        <v>101</v>
      </c>
      <c r="I82" s="87" t="s">
        <v>976</v>
      </c>
      <c r="J82" s="207" t="s">
        <v>118</v>
      </c>
      <c r="K82" s="87" t="s">
        <v>74</v>
      </c>
      <c r="L82" s="3">
        <v>1</v>
      </c>
      <c r="M82" s="40" t="s">
        <v>54</v>
      </c>
      <c r="N82" s="30" t="s">
        <v>55</v>
      </c>
      <c r="O82" s="3">
        <v>0</v>
      </c>
      <c r="P82" s="33"/>
      <c r="Q82" s="37" t="s">
        <v>55</v>
      </c>
      <c r="R82" s="37" t="s">
        <v>55</v>
      </c>
      <c r="S82" s="3">
        <v>0</v>
      </c>
      <c r="T82" s="37" t="s">
        <v>55</v>
      </c>
      <c r="U82" s="18" t="s">
        <v>55</v>
      </c>
      <c r="V82" s="18" t="s">
        <v>55</v>
      </c>
      <c r="W82" s="18" t="s">
        <v>55</v>
      </c>
      <c r="X82" s="18" t="s">
        <v>55</v>
      </c>
      <c r="Y82" s="18" t="s">
        <v>55</v>
      </c>
      <c r="Z82" s="18" t="s">
        <v>55</v>
      </c>
      <c r="AA82" s="3">
        <v>1</v>
      </c>
      <c r="AB82" s="3">
        <v>1</v>
      </c>
      <c r="AC82" s="3">
        <v>0</v>
      </c>
      <c r="AD82" s="28">
        <v>46013</v>
      </c>
      <c r="AE82" s="28">
        <v>46013</v>
      </c>
      <c r="AF82" s="28">
        <v>46013</v>
      </c>
      <c r="AG82" s="28">
        <v>46024</v>
      </c>
      <c r="AH82" s="28">
        <v>46027</v>
      </c>
      <c r="AI82" s="3">
        <f t="shared" si="14"/>
        <v>1</v>
      </c>
      <c r="AJ82" s="45" t="s">
        <v>330</v>
      </c>
      <c r="AK82" s="45" t="s">
        <v>331</v>
      </c>
      <c r="AL82" s="19" t="str">
        <f t="shared" si="13"/>
        <v>N/A</v>
      </c>
      <c r="AM82" s="67" t="str">
        <f>IFERROR(NETWORKDAYS(D82,Q82,Hoja1!$A$1:$A$29),"N/A")</f>
        <v>N/A</v>
      </c>
      <c r="AN82" s="21">
        <f>IFERROR(NETWORKDAYS(D82,AE82,Hoja1!$A$1:$A$29),"N/A")</f>
        <v>5</v>
      </c>
      <c r="AO82" s="78">
        <v>0</v>
      </c>
      <c r="AP82" s="21">
        <f t="shared" si="10"/>
        <v>5</v>
      </c>
      <c r="AQ82" s="21">
        <f>IFERROR(NETWORKDAYS(AF82,AG82,Hoja1!$A$1:$A$29),"N/A")</f>
        <v>8</v>
      </c>
      <c r="AR82" s="74">
        <v>3</v>
      </c>
      <c r="AS82" s="75">
        <f t="shared" si="9"/>
        <v>5</v>
      </c>
      <c r="AT82" s="21">
        <f>IFERROR(NETWORKDAYS(D82,AG82,Hoja1!$A$1:$A$29),"N/A")</f>
        <v>12</v>
      </c>
      <c r="AU82" s="21">
        <f t="shared" si="12"/>
        <v>9</v>
      </c>
      <c r="AV82" s="69" t="s">
        <v>104</v>
      </c>
      <c r="AW82" s="27" t="s">
        <v>332</v>
      </c>
      <c r="AX82" s="45"/>
      <c r="AY82" s="45"/>
      <c r="AZ82" s="45"/>
      <c r="BA82" s="45"/>
      <c r="BB82" s="45"/>
    </row>
    <row r="83" spans="1:54" ht="15" customHeight="1" x14ac:dyDescent="0.25">
      <c r="A83" s="54">
        <v>15514</v>
      </c>
      <c r="B83" s="20" t="s">
        <v>79</v>
      </c>
      <c r="C83" s="20" t="s">
        <v>79</v>
      </c>
      <c r="D83" s="30">
        <v>46008</v>
      </c>
      <c r="E83" s="42">
        <v>46007</v>
      </c>
      <c r="F83" s="84" t="s">
        <v>62</v>
      </c>
      <c r="G83" s="23" t="s">
        <v>80</v>
      </c>
      <c r="H83" s="111" t="s">
        <v>101</v>
      </c>
      <c r="I83" s="87" t="s">
        <v>976</v>
      </c>
      <c r="J83" s="207" t="s">
        <v>118</v>
      </c>
      <c r="K83" s="87" t="s">
        <v>74</v>
      </c>
      <c r="L83" s="3">
        <v>1</v>
      </c>
      <c r="M83" s="40" t="s">
        <v>54</v>
      </c>
      <c r="N83" s="30" t="s">
        <v>55</v>
      </c>
      <c r="O83" s="3">
        <v>0</v>
      </c>
      <c r="P83" s="33"/>
      <c r="Q83" s="37" t="s">
        <v>55</v>
      </c>
      <c r="R83" s="37" t="s">
        <v>55</v>
      </c>
      <c r="S83" s="3">
        <v>0</v>
      </c>
      <c r="T83" s="37" t="s">
        <v>55</v>
      </c>
      <c r="U83" s="18" t="s">
        <v>55</v>
      </c>
      <c r="V83" s="18" t="s">
        <v>55</v>
      </c>
      <c r="W83" s="18" t="s">
        <v>55</v>
      </c>
      <c r="X83" s="18" t="s">
        <v>55</v>
      </c>
      <c r="Y83" s="18" t="s">
        <v>55</v>
      </c>
      <c r="Z83" s="18" t="s">
        <v>55</v>
      </c>
      <c r="AA83" s="3">
        <v>1</v>
      </c>
      <c r="AB83" s="3">
        <v>1</v>
      </c>
      <c r="AC83" s="3">
        <v>0</v>
      </c>
      <c r="AD83" s="28">
        <v>46013</v>
      </c>
      <c r="AE83" s="28">
        <v>46013</v>
      </c>
      <c r="AF83" s="28">
        <v>46013</v>
      </c>
      <c r="AG83" s="28">
        <v>46031</v>
      </c>
      <c r="AH83" s="28">
        <v>46035</v>
      </c>
      <c r="AI83" s="3">
        <f t="shared" si="14"/>
        <v>1</v>
      </c>
      <c r="AJ83" s="45" t="s">
        <v>333</v>
      </c>
      <c r="AK83" s="45" t="s">
        <v>334</v>
      </c>
      <c r="AL83" s="19" t="str">
        <f t="shared" si="13"/>
        <v>N/A</v>
      </c>
      <c r="AM83" s="67" t="str">
        <f>IFERROR(NETWORKDAYS(D83,Q83,Hoja1!$A$1:$A$29),"N/A")</f>
        <v>N/A</v>
      </c>
      <c r="AN83" s="21">
        <f>IFERROR(NETWORKDAYS(D83,AE83,Hoja1!$A$1:$A$29),"N/A")</f>
        <v>4</v>
      </c>
      <c r="AO83" s="78">
        <v>0</v>
      </c>
      <c r="AP83" s="21">
        <f t="shared" si="10"/>
        <v>4</v>
      </c>
      <c r="AQ83" s="21">
        <f>IFERROR(NETWORKDAYS(AF83,AG83,Hoja1!$A$1:$A$29),"N/A")</f>
        <v>13</v>
      </c>
      <c r="AR83" s="74">
        <v>8</v>
      </c>
      <c r="AS83" s="75">
        <f t="shared" si="9"/>
        <v>5</v>
      </c>
      <c r="AT83" s="21">
        <f>IFERROR(NETWORKDAYS(D83,AG83,Hoja1!$A$1:$A$29),"N/A")</f>
        <v>16</v>
      </c>
      <c r="AU83" s="21">
        <f t="shared" si="12"/>
        <v>8</v>
      </c>
      <c r="AV83" s="69" t="s">
        <v>104</v>
      </c>
      <c r="AW83" s="27" t="s">
        <v>335</v>
      </c>
      <c r="AX83" s="45"/>
      <c r="AY83" s="45"/>
      <c r="AZ83" s="45"/>
      <c r="BA83" s="45"/>
      <c r="BB83" s="45"/>
    </row>
    <row r="84" spans="1:54" ht="15" customHeight="1" x14ac:dyDescent="0.25">
      <c r="A84" s="54">
        <v>15524</v>
      </c>
      <c r="B84" s="20" t="s">
        <v>79</v>
      </c>
      <c r="C84" s="20" t="s">
        <v>79</v>
      </c>
      <c r="D84" s="418">
        <v>46001</v>
      </c>
      <c r="E84" s="24">
        <v>46008</v>
      </c>
      <c r="F84" s="84" t="s">
        <v>90</v>
      </c>
      <c r="G84" s="111" t="s">
        <v>91</v>
      </c>
      <c r="H84" s="111" t="s">
        <v>51</v>
      </c>
      <c r="I84" s="87" t="s">
        <v>976</v>
      </c>
      <c r="J84" s="207" t="s">
        <v>118</v>
      </c>
      <c r="K84" s="87" t="s">
        <v>93</v>
      </c>
      <c r="L84" s="3">
        <v>1</v>
      </c>
      <c r="M84" s="40" t="s">
        <v>54</v>
      </c>
      <c r="N84" s="3" t="s">
        <v>55</v>
      </c>
      <c r="O84" s="3">
        <v>5</v>
      </c>
      <c r="P84" s="33" t="s">
        <v>112</v>
      </c>
      <c r="Q84" s="30">
        <v>46008</v>
      </c>
      <c r="R84" s="30">
        <v>46008</v>
      </c>
      <c r="S84" s="3">
        <v>5</v>
      </c>
      <c r="T84" s="18" t="s">
        <v>55</v>
      </c>
      <c r="U84" s="18" t="s">
        <v>55</v>
      </c>
      <c r="V84" s="18" t="s">
        <v>55</v>
      </c>
      <c r="W84" s="18" t="s">
        <v>55</v>
      </c>
      <c r="X84" s="18" t="s">
        <v>55</v>
      </c>
      <c r="Y84" s="18" t="s">
        <v>55</v>
      </c>
      <c r="Z84" s="18" t="s">
        <v>55</v>
      </c>
      <c r="AA84" s="3">
        <v>5</v>
      </c>
      <c r="AB84" s="3">
        <v>2</v>
      </c>
      <c r="AC84" s="3">
        <v>0</v>
      </c>
      <c r="AD84" s="28">
        <v>46009</v>
      </c>
      <c r="AE84" s="28">
        <v>46009</v>
      </c>
      <c r="AF84" s="28">
        <v>46009</v>
      </c>
      <c r="AG84" s="28">
        <v>46031</v>
      </c>
      <c r="AH84" s="28">
        <v>46035</v>
      </c>
      <c r="AI84" s="3">
        <f t="shared" si="14"/>
        <v>1</v>
      </c>
      <c r="AJ84" s="45" t="s">
        <v>336</v>
      </c>
      <c r="AK84" s="49" t="s">
        <v>337</v>
      </c>
      <c r="AL84" s="19">
        <f t="shared" si="13"/>
        <v>1</v>
      </c>
      <c r="AM84" s="67">
        <f>IFERROR(NETWORKDAYS(D84,Q84,Hoja1!$A$1:$A$29),"N/A")</f>
        <v>6</v>
      </c>
      <c r="AN84" s="21">
        <f>IFERROR(NETWORKDAYS(D84,AE84,Hoja1!$A$1:$A$29),"N/A")</f>
        <v>7</v>
      </c>
      <c r="AO84" s="78">
        <v>0</v>
      </c>
      <c r="AP84" s="21">
        <f t="shared" si="10"/>
        <v>7</v>
      </c>
      <c r="AQ84" s="21">
        <f>IFERROR(NETWORKDAYS(AF84,AG84,Hoja1!$A$1:$A$29),"N/A")</f>
        <v>15</v>
      </c>
      <c r="AR84" s="74">
        <v>10</v>
      </c>
      <c r="AS84" s="75">
        <f t="shared" si="9"/>
        <v>5</v>
      </c>
      <c r="AT84" s="21">
        <f>IFERROR(NETWORKDAYS(D84,AG84,Hoja1!$A$1:$A$29),"N/A")</f>
        <v>21</v>
      </c>
      <c r="AU84" s="21">
        <f t="shared" si="12"/>
        <v>11</v>
      </c>
      <c r="AV84" s="69" t="s">
        <v>59</v>
      </c>
      <c r="AW84" s="27" t="s">
        <v>95</v>
      </c>
      <c r="AX84" s="45"/>
      <c r="AY84" s="45"/>
      <c r="AZ84" s="45"/>
      <c r="BA84" s="45"/>
      <c r="BB84" s="45"/>
    </row>
    <row r="85" spans="1:54" ht="15" customHeight="1" x14ac:dyDescent="0.25">
      <c r="A85" s="54">
        <v>15528</v>
      </c>
      <c r="B85" s="20" t="s">
        <v>79</v>
      </c>
      <c r="C85" s="20" t="s">
        <v>79</v>
      </c>
      <c r="D85" s="30">
        <v>46001</v>
      </c>
      <c r="E85" s="30">
        <v>46008</v>
      </c>
      <c r="F85" s="84" t="s">
        <v>62</v>
      </c>
      <c r="G85" s="23" t="s">
        <v>80</v>
      </c>
      <c r="H85" s="111" t="s">
        <v>101</v>
      </c>
      <c r="I85" s="87" t="s">
        <v>210</v>
      </c>
      <c r="J85" s="207" t="s">
        <v>118</v>
      </c>
      <c r="K85" s="87" t="s">
        <v>74</v>
      </c>
      <c r="L85" s="3">
        <v>1</v>
      </c>
      <c r="M85" s="40" t="s">
        <v>54</v>
      </c>
      <c r="N85" s="30" t="s">
        <v>55</v>
      </c>
      <c r="O85" s="3">
        <v>0</v>
      </c>
      <c r="P85" s="33"/>
      <c r="Q85" s="37" t="s">
        <v>55</v>
      </c>
      <c r="R85" s="37" t="s">
        <v>55</v>
      </c>
      <c r="S85" s="3">
        <v>0</v>
      </c>
      <c r="T85" s="37" t="s">
        <v>55</v>
      </c>
      <c r="U85" s="18" t="s">
        <v>55</v>
      </c>
      <c r="V85" s="18" t="s">
        <v>55</v>
      </c>
      <c r="W85" s="18" t="s">
        <v>55</v>
      </c>
      <c r="X85" s="18" t="s">
        <v>55</v>
      </c>
      <c r="Y85" s="18" t="s">
        <v>55</v>
      </c>
      <c r="Z85" s="18" t="s">
        <v>55</v>
      </c>
      <c r="AA85" s="3">
        <v>1</v>
      </c>
      <c r="AB85" s="3">
        <v>1</v>
      </c>
      <c r="AC85" s="3">
        <v>0</v>
      </c>
      <c r="AD85" s="28">
        <v>46009</v>
      </c>
      <c r="AE85" s="28">
        <v>46009</v>
      </c>
      <c r="AF85" s="28">
        <v>46013</v>
      </c>
      <c r="AG85" s="28">
        <v>46024</v>
      </c>
      <c r="AH85" s="28">
        <v>46027</v>
      </c>
      <c r="AI85" s="3">
        <f t="shared" si="14"/>
        <v>1</v>
      </c>
      <c r="AJ85" s="45" t="s">
        <v>338</v>
      </c>
      <c r="AK85" s="45" t="s">
        <v>339</v>
      </c>
      <c r="AL85" s="19" t="str">
        <f t="shared" si="13"/>
        <v>N/A</v>
      </c>
      <c r="AM85" s="67" t="str">
        <f>IFERROR(NETWORKDAYS(D85,Q85,Hoja1!$A$1:$A$29),"N/A")</f>
        <v>N/A</v>
      </c>
      <c r="AN85" s="21">
        <f>IFERROR(NETWORKDAYS(D85,AE85,Hoja1!$A$1:$A$29),"N/A")</f>
        <v>7</v>
      </c>
      <c r="AO85" s="78">
        <v>0</v>
      </c>
      <c r="AP85" s="21">
        <f t="shared" si="10"/>
        <v>7</v>
      </c>
      <c r="AQ85" s="21">
        <f>IFERROR(NETWORKDAYS(AF85,AG85,Hoja1!$A$1:$A$29),"N/A")</f>
        <v>8</v>
      </c>
      <c r="AR85" s="74">
        <v>3</v>
      </c>
      <c r="AS85" s="75">
        <f t="shared" si="9"/>
        <v>5</v>
      </c>
      <c r="AT85" s="21">
        <f>IFERROR(NETWORKDAYS(D85,AG85,Hoja1!$A$1:$A$29),"N/A")</f>
        <v>16</v>
      </c>
      <c r="AU85" s="21">
        <f t="shared" si="12"/>
        <v>13</v>
      </c>
      <c r="AV85" s="69" t="s">
        <v>145</v>
      </c>
      <c r="AW85" s="27" t="s">
        <v>180</v>
      </c>
      <c r="AX85" s="45"/>
      <c r="AY85" s="45"/>
      <c r="AZ85" s="45"/>
      <c r="BA85" s="45"/>
      <c r="BB85" s="45"/>
    </row>
    <row r="86" spans="1:54" ht="15" customHeight="1" x14ac:dyDescent="0.25">
      <c r="A86" s="54">
        <v>15529</v>
      </c>
      <c r="B86" s="20" t="s">
        <v>79</v>
      </c>
      <c r="C86" s="20" t="s">
        <v>79</v>
      </c>
      <c r="D86" s="418">
        <v>45995</v>
      </c>
      <c r="E86" s="30">
        <v>46008</v>
      </c>
      <c r="F86" s="84" t="s">
        <v>62</v>
      </c>
      <c r="G86" s="23" t="s">
        <v>80</v>
      </c>
      <c r="H86" s="111" t="s">
        <v>51</v>
      </c>
      <c r="I86" s="87" t="s">
        <v>210</v>
      </c>
      <c r="J86" s="207" t="s">
        <v>118</v>
      </c>
      <c r="K86" s="87" t="s">
        <v>74</v>
      </c>
      <c r="L86" s="3">
        <v>1</v>
      </c>
      <c r="M86" s="40" t="s">
        <v>54</v>
      </c>
      <c r="N86" s="30" t="s">
        <v>55</v>
      </c>
      <c r="O86" s="3">
        <v>4</v>
      </c>
      <c r="P86" s="33" t="s">
        <v>112</v>
      </c>
      <c r="Q86" s="30">
        <v>46000</v>
      </c>
      <c r="R86" s="30">
        <v>46002</v>
      </c>
      <c r="S86" s="3">
        <v>4</v>
      </c>
      <c r="T86" s="37" t="s">
        <v>55</v>
      </c>
      <c r="U86" s="18" t="s">
        <v>55</v>
      </c>
      <c r="V86" s="18" t="s">
        <v>55</v>
      </c>
      <c r="W86" s="18" t="s">
        <v>55</v>
      </c>
      <c r="X86" s="18" t="s">
        <v>55</v>
      </c>
      <c r="Y86" s="18" t="s">
        <v>55</v>
      </c>
      <c r="Z86" s="18" t="s">
        <v>55</v>
      </c>
      <c r="AA86" s="3">
        <v>1</v>
      </c>
      <c r="AB86" s="3">
        <v>1</v>
      </c>
      <c r="AC86" s="3">
        <v>0</v>
      </c>
      <c r="AD86" s="28">
        <v>46009</v>
      </c>
      <c r="AE86" s="28">
        <v>46009</v>
      </c>
      <c r="AF86" s="28">
        <v>46013</v>
      </c>
      <c r="AG86" s="28">
        <v>46024</v>
      </c>
      <c r="AH86" s="28">
        <v>46027</v>
      </c>
      <c r="AI86" s="3">
        <f t="shared" si="14"/>
        <v>1</v>
      </c>
      <c r="AJ86" s="45" t="s">
        <v>340</v>
      </c>
      <c r="AK86" s="45" t="s">
        <v>341</v>
      </c>
      <c r="AL86" s="19">
        <f t="shared" si="13"/>
        <v>1</v>
      </c>
      <c r="AM86" s="67">
        <f>IFERROR(NETWORKDAYS(D86,Q86,Hoja1!$A$1:$A$29),"N/A")</f>
        <v>3</v>
      </c>
      <c r="AN86" s="21">
        <f>IFERROR(NETWORKDAYS(D86,AE86,Hoja1!$A$1:$A$29),"N/A")</f>
        <v>10</v>
      </c>
      <c r="AO86" s="78">
        <v>0</v>
      </c>
      <c r="AP86" s="21">
        <f t="shared" si="10"/>
        <v>10</v>
      </c>
      <c r="AQ86" s="21">
        <f>IFERROR(NETWORKDAYS(AF86,AG86,Hoja1!$A$1:$A$29),"N/A")</f>
        <v>8</v>
      </c>
      <c r="AR86" s="74">
        <v>3</v>
      </c>
      <c r="AS86" s="75">
        <f t="shared" si="9"/>
        <v>5</v>
      </c>
      <c r="AT86" s="21">
        <f>IFERROR(NETWORKDAYS(D86,AG86,Hoja1!$A$1:$A$29),"N/A")</f>
        <v>19</v>
      </c>
      <c r="AU86" s="21">
        <f t="shared" si="12"/>
        <v>16</v>
      </c>
      <c r="AV86" s="69" t="s">
        <v>59</v>
      </c>
      <c r="AW86" s="27" t="s">
        <v>342</v>
      </c>
      <c r="AX86" s="45"/>
      <c r="AY86" s="45"/>
      <c r="AZ86" s="45"/>
      <c r="BA86" s="45"/>
      <c r="BB86" s="45"/>
    </row>
    <row r="87" spans="1:54" ht="15" customHeight="1" x14ac:dyDescent="0.25">
      <c r="A87" s="54">
        <v>15530</v>
      </c>
      <c r="B87" s="20" t="s">
        <v>79</v>
      </c>
      <c r="C87" s="20" t="s">
        <v>79</v>
      </c>
      <c r="D87" s="30">
        <v>45995</v>
      </c>
      <c r="E87" s="30">
        <v>46008</v>
      </c>
      <c r="F87" s="84" t="s">
        <v>62</v>
      </c>
      <c r="G87" s="23" t="s">
        <v>80</v>
      </c>
      <c r="H87" s="111" t="s">
        <v>51</v>
      </c>
      <c r="I87" s="87" t="s">
        <v>210</v>
      </c>
      <c r="J87" s="207" t="s">
        <v>118</v>
      </c>
      <c r="K87" s="87" t="s">
        <v>74</v>
      </c>
      <c r="L87" s="3">
        <v>1</v>
      </c>
      <c r="M87" s="40" t="s">
        <v>54</v>
      </c>
      <c r="N87" s="30" t="s">
        <v>55</v>
      </c>
      <c r="O87" s="3">
        <v>4</v>
      </c>
      <c r="P87" s="33" t="s">
        <v>112</v>
      </c>
      <c r="Q87" s="30">
        <v>46000</v>
      </c>
      <c r="R87" s="30">
        <v>46002</v>
      </c>
      <c r="S87" s="3">
        <v>4</v>
      </c>
      <c r="T87" s="37" t="s">
        <v>55</v>
      </c>
      <c r="U87" s="18" t="s">
        <v>55</v>
      </c>
      <c r="V87" s="18" t="s">
        <v>55</v>
      </c>
      <c r="W87" s="18" t="s">
        <v>55</v>
      </c>
      <c r="X87" s="18" t="s">
        <v>55</v>
      </c>
      <c r="Y87" s="18" t="s">
        <v>55</v>
      </c>
      <c r="Z87" s="18" t="s">
        <v>55</v>
      </c>
      <c r="AA87" s="3">
        <v>1</v>
      </c>
      <c r="AB87" s="3">
        <v>1</v>
      </c>
      <c r="AC87" s="3">
        <v>0</v>
      </c>
      <c r="AD87" s="28">
        <v>46009</v>
      </c>
      <c r="AE87" s="28">
        <v>46009</v>
      </c>
      <c r="AF87" s="28">
        <v>46013</v>
      </c>
      <c r="AG87" s="28">
        <v>46024</v>
      </c>
      <c r="AH87" s="28">
        <v>46027</v>
      </c>
      <c r="AI87" s="3">
        <f t="shared" si="14"/>
        <v>1</v>
      </c>
      <c r="AJ87" s="45" t="s">
        <v>343</v>
      </c>
      <c r="AK87" s="45" t="s">
        <v>344</v>
      </c>
      <c r="AL87" s="19">
        <f t="shared" si="13"/>
        <v>1</v>
      </c>
      <c r="AM87" s="67">
        <f>IFERROR(NETWORKDAYS(D87,Q87,Hoja1!$A$1:$A$29),"N/A")</f>
        <v>3</v>
      </c>
      <c r="AN87" s="21">
        <f>IFERROR(NETWORKDAYS(D87,AE87,Hoja1!$A$1:$A$29),"N/A")</f>
        <v>10</v>
      </c>
      <c r="AO87" s="78">
        <v>0</v>
      </c>
      <c r="AP87" s="21">
        <f t="shared" si="10"/>
        <v>10</v>
      </c>
      <c r="AQ87" s="21">
        <f>IFERROR(NETWORKDAYS(AF87,AG87,Hoja1!$A$1:$A$29),"N/A")</f>
        <v>8</v>
      </c>
      <c r="AR87" s="74">
        <v>3</v>
      </c>
      <c r="AS87" s="75">
        <f t="shared" ref="AS87:AS150" si="15">AQ87-AR87</f>
        <v>5</v>
      </c>
      <c r="AT87" s="21">
        <f>IFERROR(NETWORKDAYS(D87,AG87,Hoja1!$A$1:$A$29),"N/A")</f>
        <v>19</v>
      </c>
      <c r="AU87" s="21">
        <f t="shared" si="12"/>
        <v>16</v>
      </c>
      <c r="AV87" s="69" t="s">
        <v>59</v>
      </c>
      <c r="AW87" s="27" t="s">
        <v>345</v>
      </c>
      <c r="AX87" s="45"/>
      <c r="AY87" s="45"/>
      <c r="AZ87" s="45"/>
      <c r="BA87" s="45"/>
      <c r="BB87" s="45"/>
    </row>
    <row r="88" spans="1:54" ht="15" customHeight="1" x14ac:dyDescent="0.25">
      <c r="A88" s="54">
        <v>15533</v>
      </c>
      <c r="B88" s="20" t="s">
        <v>79</v>
      </c>
      <c r="C88" s="20" t="s">
        <v>79</v>
      </c>
      <c r="D88" s="418">
        <v>46008</v>
      </c>
      <c r="E88" s="30">
        <v>46008</v>
      </c>
      <c r="F88" s="84" t="s">
        <v>62</v>
      </c>
      <c r="G88" s="23" t="s">
        <v>80</v>
      </c>
      <c r="H88" s="87" t="s">
        <v>101</v>
      </c>
      <c r="I88" s="87" t="s">
        <v>346</v>
      </c>
      <c r="J88" s="87" t="s">
        <v>105</v>
      </c>
      <c r="K88" s="87" t="s">
        <v>74</v>
      </c>
      <c r="L88" s="3">
        <v>1</v>
      </c>
      <c r="M88" s="40" t="s">
        <v>54</v>
      </c>
      <c r="N88" s="30" t="s">
        <v>55</v>
      </c>
      <c r="O88" s="3">
        <v>0</v>
      </c>
      <c r="P88" s="33"/>
      <c r="Q88" s="37" t="s">
        <v>55</v>
      </c>
      <c r="R88" s="37" t="s">
        <v>55</v>
      </c>
      <c r="S88" s="3">
        <v>0</v>
      </c>
      <c r="T88" s="37" t="s">
        <v>55</v>
      </c>
      <c r="U88" s="18" t="s">
        <v>55</v>
      </c>
      <c r="V88" s="18" t="s">
        <v>55</v>
      </c>
      <c r="W88" s="18" t="s">
        <v>55</v>
      </c>
      <c r="X88" s="18" t="s">
        <v>55</v>
      </c>
      <c r="Y88" s="18" t="s">
        <v>55</v>
      </c>
      <c r="Z88" s="18" t="s">
        <v>55</v>
      </c>
      <c r="AA88" s="3">
        <v>1</v>
      </c>
      <c r="AB88" s="3">
        <v>1</v>
      </c>
      <c r="AC88" s="3">
        <v>0</v>
      </c>
      <c r="AD88" s="28">
        <v>46010</v>
      </c>
      <c r="AE88" s="28">
        <v>46010</v>
      </c>
      <c r="AF88" s="28">
        <v>46013</v>
      </c>
      <c r="AG88" s="28">
        <v>46024</v>
      </c>
      <c r="AH88" s="28">
        <v>46027</v>
      </c>
      <c r="AI88" s="3">
        <f t="shared" si="14"/>
        <v>1</v>
      </c>
      <c r="AJ88" s="45" t="s">
        <v>347</v>
      </c>
      <c r="AK88" s="45" t="s">
        <v>348</v>
      </c>
      <c r="AL88" s="19" t="str">
        <f t="shared" si="13"/>
        <v>N/A</v>
      </c>
      <c r="AM88" s="67" t="str">
        <f>IFERROR(NETWORKDAYS(D88,Q88,Hoja1!$A$1:$A$29),"N/A")</f>
        <v>N/A</v>
      </c>
      <c r="AN88" s="21">
        <f>IFERROR(NETWORKDAYS(D88,AE88,Hoja1!$A$1:$A$29),"N/A")</f>
        <v>3</v>
      </c>
      <c r="AO88" s="78">
        <v>0</v>
      </c>
      <c r="AP88" s="21">
        <f t="shared" si="10"/>
        <v>3</v>
      </c>
      <c r="AQ88" s="21">
        <f>IFERROR(NETWORKDAYS(AF88,AG88,Hoja1!$A$1:$A$29),"N/A")</f>
        <v>8</v>
      </c>
      <c r="AR88" s="74">
        <v>3</v>
      </c>
      <c r="AS88" s="75">
        <f t="shared" si="15"/>
        <v>5</v>
      </c>
      <c r="AT88" s="21">
        <f>IFERROR(NETWORKDAYS(D88,AG88,Hoja1!$A$1:$A$29),"N/A")</f>
        <v>11</v>
      </c>
      <c r="AU88" s="21">
        <f t="shared" si="12"/>
        <v>8</v>
      </c>
      <c r="AV88" s="69" t="s">
        <v>104</v>
      </c>
      <c r="AW88" s="27" t="s">
        <v>349</v>
      </c>
      <c r="AX88" s="45"/>
      <c r="AY88" s="45"/>
      <c r="AZ88" s="45"/>
      <c r="BA88" s="45"/>
      <c r="BB88" s="45"/>
    </row>
    <row r="89" spans="1:54" ht="15" customHeight="1" x14ac:dyDescent="0.25">
      <c r="A89" s="54">
        <v>15535</v>
      </c>
      <c r="B89" s="20" t="s">
        <v>79</v>
      </c>
      <c r="C89" s="20" t="s">
        <v>79</v>
      </c>
      <c r="D89" s="30">
        <v>46003</v>
      </c>
      <c r="E89" s="30">
        <v>46008</v>
      </c>
      <c r="F89" s="84" t="s">
        <v>62</v>
      </c>
      <c r="G89" s="23" t="s">
        <v>80</v>
      </c>
      <c r="H89" s="111" t="s">
        <v>101</v>
      </c>
      <c r="I89" s="87" t="s">
        <v>350</v>
      </c>
      <c r="J89" s="87" t="s">
        <v>105</v>
      </c>
      <c r="K89" s="87" t="s">
        <v>351</v>
      </c>
      <c r="L89" s="3">
        <v>1</v>
      </c>
      <c r="M89" s="40" t="s">
        <v>54</v>
      </c>
      <c r="N89" s="30" t="s">
        <v>55</v>
      </c>
      <c r="O89" s="3">
        <v>0</v>
      </c>
      <c r="P89" s="33"/>
      <c r="Q89" s="30" t="s">
        <v>55</v>
      </c>
      <c r="R89" s="30" t="s">
        <v>55</v>
      </c>
      <c r="S89" s="3">
        <v>0</v>
      </c>
      <c r="T89" s="37" t="s">
        <v>55</v>
      </c>
      <c r="U89" s="18" t="s">
        <v>55</v>
      </c>
      <c r="V89" s="18" t="s">
        <v>55</v>
      </c>
      <c r="W89" s="18" t="s">
        <v>55</v>
      </c>
      <c r="X89" s="18" t="s">
        <v>55</v>
      </c>
      <c r="Y89" s="18" t="s">
        <v>55</v>
      </c>
      <c r="Z89" s="18" t="s">
        <v>55</v>
      </c>
      <c r="AA89" s="3">
        <v>1</v>
      </c>
      <c r="AB89" s="3">
        <v>1</v>
      </c>
      <c r="AC89" s="3">
        <v>0</v>
      </c>
      <c r="AD89" s="28">
        <v>46009</v>
      </c>
      <c r="AE89" s="28">
        <v>46010</v>
      </c>
      <c r="AF89" s="28">
        <v>46010</v>
      </c>
      <c r="AG89" s="28">
        <v>46027</v>
      </c>
      <c r="AH89" s="28">
        <v>46027</v>
      </c>
      <c r="AI89" s="3">
        <f t="shared" si="14"/>
        <v>1</v>
      </c>
      <c r="AJ89" s="45" t="s">
        <v>352</v>
      </c>
      <c r="AK89" s="45" t="s">
        <v>353</v>
      </c>
      <c r="AL89" s="19" t="str">
        <f t="shared" si="13"/>
        <v>N/A</v>
      </c>
      <c r="AM89" s="67" t="str">
        <f>IFERROR(NETWORKDAYS(D89,Q89,Hoja1!$A$1:$A$29),"N/A")</f>
        <v>N/A</v>
      </c>
      <c r="AN89" s="21">
        <f>IFERROR(NETWORKDAYS(D89,AE89,Hoja1!$A$1:$A$29),"N/A")</f>
        <v>6</v>
      </c>
      <c r="AO89" s="78">
        <v>0</v>
      </c>
      <c r="AP89" s="21">
        <f t="shared" si="10"/>
        <v>6</v>
      </c>
      <c r="AQ89" s="21">
        <f>IFERROR(NETWORKDAYS(AF89,AG89,Hoja1!$A$1:$A$29),"N/A")</f>
        <v>10</v>
      </c>
      <c r="AR89" s="74">
        <v>5</v>
      </c>
      <c r="AS89" s="75">
        <f t="shared" si="15"/>
        <v>5</v>
      </c>
      <c r="AT89" s="21">
        <f>IFERROR(NETWORKDAYS(D89,AG89,Hoja1!$A$1:$A$29),"N/A")</f>
        <v>15</v>
      </c>
      <c r="AU89" s="21">
        <f t="shared" si="12"/>
        <v>10</v>
      </c>
      <c r="AV89" s="69" t="s">
        <v>104</v>
      </c>
      <c r="AW89" s="27" t="s">
        <v>354</v>
      </c>
      <c r="AX89" s="45"/>
      <c r="AY89" s="45"/>
      <c r="AZ89" s="45"/>
      <c r="BA89" s="45"/>
      <c r="BB89" s="45"/>
    </row>
    <row r="90" spans="1:54" ht="15" customHeight="1" x14ac:dyDescent="0.25">
      <c r="A90" s="54">
        <v>15536</v>
      </c>
      <c r="B90" s="20" t="s">
        <v>79</v>
      </c>
      <c r="C90" s="20" t="s">
        <v>79</v>
      </c>
      <c r="D90" s="418">
        <v>45995</v>
      </c>
      <c r="E90" s="30">
        <v>46008</v>
      </c>
      <c r="F90" s="84" t="s">
        <v>62</v>
      </c>
      <c r="G90" s="23" t="s">
        <v>80</v>
      </c>
      <c r="H90" s="111" t="s">
        <v>51</v>
      </c>
      <c r="I90" s="87" t="s">
        <v>350</v>
      </c>
      <c r="J90" s="87" t="s">
        <v>105</v>
      </c>
      <c r="K90" s="87" t="s">
        <v>351</v>
      </c>
      <c r="L90" s="3">
        <v>1</v>
      </c>
      <c r="M90" s="40" t="s">
        <v>54</v>
      </c>
      <c r="N90" s="30" t="s">
        <v>55</v>
      </c>
      <c r="O90" s="3">
        <v>3</v>
      </c>
      <c r="P90" s="33" t="s">
        <v>112</v>
      </c>
      <c r="Q90" s="30">
        <v>46001</v>
      </c>
      <c r="R90" s="30">
        <v>46003</v>
      </c>
      <c r="S90" s="3">
        <v>3</v>
      </c>
      <c r="T90" s="37" t="s">
        <v>55</v>
      </c>
      <c r="U90" s="18" t="s">
        <v>55</v>
      </c>
      <c r="V90" s="18" t="s">
        <v>55</v>
      </c>
      <c r="W90" s="18" t="s">
        <v>55</v>
      </c>
      <c r="X90" s="18" t="s">
        <v>55</v>
      </c>
      <c r="Y90" s="18" t="s">
        <v>55</v>
      </c>
      <c r="Z90" s="18" t="s">
        <v>55</v>
      </c>
      <c r="AA90" s="3">
        <v>1</v>
      </c>
      <c r="AB90" s="3">
        <v>1</v>
      </c>
      <c r="AC90" s="3">
        <v>0</v>
      </c>
      <c r="AD90" s="28">
        <v>46009</v>
      </c>
      <c r="AE90" s="28">
        <v>46010</v>
      </c>
      <c r="AF90" s="28">
        <v>46010</v>
      </c>
      <c r="AG90" s="28">
        <v>46027</v>
      </c>
      <c r="AH90" s="28">
        <v>46027</v>
      </c>
      <c r="AI90" s="3">
        <f t="shared" si="14"/>
        <v>1</v>
      </c>
      <c r="AJ90" s="45" t="s">
        <v>355</v>
      </c>
      <c r="AK90" s="45" t="s">
        <v>356</v>
      </c>
      <c r="AL90" s="19">
        <f t="shared" si="13"/>
        <v>1</v>
      </c>
      <c r="AM90" s="67">
        <f>IFERROR(NETWORKDAYS(D90,Q90,Hoja1!$A$1:$A$29),"N/A")</f>
        <v>4</v>
      </c>
      <c r="AN90" s="21">
        <f>IFERROR(NETWORKDAYS(D90,AE90,Hoja1!$A$1:$A$29),"N/A")</f>
        <v>11</v>
      </c>
      <c r="AO90" s="78">
        <v>0</v>
      </c>
      <c r="AP90" s="21">
        <f t="shared" si="10"/>
        <v>11</v>
      </c>
      <c r="AQ90" s="21">
        <f>IFERROR(NETWORKDAYS(AF90,AG90,Hoja1!$A$1:$A$29),"N/A")</f>
        <v>10</v>
      </c>
      <c r="AR90" s="74">
        <v>5</v>
      </c>
      <c r="AS90" s="75">
        <f t="shared" si="15"/>
        <v>5</v>
      </c>
      <c r="AT90" s="21">
        <f>IFERROR(NETWORKDAYS(D90,AG90,Hoja1!$A$1:$A$29),"N/A")</f>
        <v>20</v>
      </c>
      <c r="AU90" s="21">
        <f t="shared" si="12"/>
        <v>15</v>
      </c>
      <c r="AV90" s="69" t="s">
        <v>59</v>
      </c>
      <c r="AW90" s="27" t="s">
        <v>357</v>
      </c>
      <c r="AX90" s="45"/>
      <c r="AY90" s="45"/>
      <c r="AZ90" s="45"/>
      <c r="BA90" s="45"/>
      <c r="BB90" s="45"/>
    </row>
    <row r="91" spans="1:54" ht="15" customHeight="1" x14ac:dyDescent="0.25">
      <c r="A91" s="54">
        <v>15537</v>
      </c>
      <c r="B91" s="20" t="s">
        <v>79</v>
      </c>
      <c r="C91" s="20" t="s">
        <v>79</v>
      </c>
      <c r="D91" s="30">
        <v>46003</v>
      </c>
      <c r="E91" s="30">
        <v>46008</v>
      </c>
      <c r="F91" s="84" t="s">
        <v>62</v>
      </c>
      <c r="G91" s="23" t="s">
        <v>80</v>
      </c>
      <c r="H91" s="111" t="s">
        <v>101</v>
      </c>
      <c r="I91" s="87" t="s">
        <v>350</v>
      </c>
      <c r="J91" s="87" t="s">
        <v>105</v>
      </c>
      <c r="K91" s="87" t="s">
        <v>351</v>
      </c>
      <c r="L91" s="3">
        <v>1</v>
      </c>
      <c r="M91" s="40" t="s">
        <v>54</v>
      </c>
      <c r="N91" s="30" t="s">
        <v>55</v>
      </c>
      <c r="O91" s="3">
        <v>0</v>
      </c>
      <c r="P91" s="33"/>
      <c r="Q91" s="30" t="s">
        <v>55</v>
      </c>
      <c r="R91" s="30" t="s">
        <v>55</v>
      </c>
      <c r="S91" s="3">
        <v>0</v>
      </c>
      <c r="T91" s="37" t="s">
        <v>55</v>
      </c>
      <c r="U91" s="18" t="s">
        <v>55</v>
      </c>
      <c r="V91" s="18" t="s">
        <v>55</v>
      </c>
      <c r="W91" s="18" t="s">
        <v>55</v>
      </c>
      <c r="X91" s="18" t="s">
        <v>55</v>
      </c>
      <c r="Y91" s="18" t="s">
        <v>55</v>
      </c>
      <c r="Z91" s="18" t="s">
        <v>55</v>
      </c>
      <c r="AA91" s="3">
        <v>1</v>
      </c>
      <c r="AB91" s="3">
        <v>1</v>
      </c>
      <c r="AC91" s="3">
        <v>0</v>
      </c>
      <c r="AD91" s="28">
        <v>46009</v>
      </c>
      <c r="AE91" s="28">
        <v>46010</v>
      </c>
      <c r="AF91" s="28">
        <v>46010</v>
      </c>
      <c r="AG91" s="28">
        <v>46027</v>
      </c>
      <c r="AH91" s="28">
        <v>46027</v>
      </c>
      <c r="AI91" s="3">
        <f t="shared" si="14"/>
        <v>1</v>
      </c>
      <c r="AJ91" s="45" t="s">
        <v>358</v>
      </c>
      <c r="AK91" s="45" t="s">
        <v>359</v>
      </c>
      <c r="AL91" s="19" t="str">
        <f t="shared" si="13"/>
        <v>N/A</v>
      </c>
      <c r="AM91" s="67" t="str">
        <f>IFERROR(NETWORKDAYS(D91,Q91,Hoja1!$A$1:$A$29),"N/A")</f>
        <v>N/A</v>
      </c>
      <c r="AN91" s="21">
        <f>IFERROR(NETWORKDAYS(D91,AE91,Hoja1!$A$1:$A$29),"N/A")</f>
        <v>6</v>
      </c>
      <c r="AO91" s="78">
        <v>0</v>
      </c>
      <c r="AP91" s="21">
        <f t="shared" si="10"/>
        <v>6</v>
      </c>
      <c r="AQ91" s="21">
        <f>IFERROR(NETWORKDAYS(AF91,AG91,Hoja1!$A$1:$A$29),"N/A")</f>
        <v>10</v>
      </c>
      <c r="AR91" s="74">
        <v>5</v>
      </c>
      <c r="AS91" s="75">
        <f t="shared" si="15"/>
        <v>5</v>
      </c>
      <c r="AT91" s="21">
        <f>IFERROR(NETWORKDAYS(D91,AG91,Hoja1!$A$1:$A$29),"N/A")</f>
        <v>15</v>
      </c>
      <c r="AU91" s="21">
        <f t="shared" si="12"/>
        <v>10</v>
      </c>
      <c r="AV91" s="69" t="s">
        <v>104</v>
      </c>
      <c r="AW91" s="27" t="s">
        <v>360</v>
      </c>
      <c r="AX91" s="45"/>
      <c r="AY91" s="45"/>
      <c r="AZ91" s="45"/>
      <c r="BA91" s="45"/>
      <c r="BB91" s="45"/>
    </row>
    <row r="92" spans="1:54" ht="15" customHeight="1" x14ac:dyDescent="0.25">
      <c r="A92" s="54">
        <v>15539</v>
      </c>
      <c r="B92" s="20" t="s">
        <v>79</v>
      </c>
      <c r="C92" s="20" t="s">
        <v>79</v>
      </c>
      <c r="D92" s="418">
        <v>46003</v>
      </c>
      <c r="E92" s="30">
        <v>46008</v>
      </c>
      <c r="F92" s="84" t="s">
        <v>62</v>
      </c>
      <c r="G92" s="23" t="s">
        <v>80</v>
      </c>
      <c r="H92" s="111" t="s">
        <v>101</v>
      </c>
      <c r="I92" s="87" t="s">
        <v>350</v>
      </c>
      <c r="J92" s="87" t="s">
        <v>105</v>
      </c>
      <c r="K92" s="87" t="s">
        <v>351</v>
      </c>
      <c r="L92" s="3">
        <v>1</v>
      </c>
      <c r="M92" s="40" t="s">
        <v>54</v>
      </c>
      <c r="N92" s="30" t="s">
        <v>55</v>
      </c>
      <c r="O92" s="3">
        <v>0</v>
      </c>
      <c r="P92" s="33"/>
      <c r="Q92" s="3" t="s">
        <v>55</v>
      </c>
      <c r="R92" s="3" t="s">
        <v>55</v>
      </c>
      <c r="S92" s="3">
        <v>0</v>
      </c>
      <c r="T92" s="37" t="s">
        <v>55</v>
      </c>
      <c r="U92" s="18" t="s">
        <v>55</v>
      </c>
      <c r="V92" s="18" t="s">
        <v>55</v>
      </c>
      <c r="W92" s="18" t="s">
        <v>55</v>
      </c>
      <c r="X92" s="18" t="s">
        <v>55</v>
      </c>
      <c r="Y92" s="18" t="s">
        <v>55</v>
      </c>
      <c r="Z92" s="18" t="s">
        <v>55</v>
      </c>
      <c r="AA92" s="3">
        <v>2</v>
      </c>
      <c r="AB92" s="3">
        <v>1</v>
      </c>
      <c r="AC92" s="3">
        <v>0</v>
      </c>
      <c r="AD92" s="28">
        <v>46014</v>
      </c>
      <c r="AE92" s="28">
        <v>46014</v>
      </c>
      <c r="AF92" s="28">
        <v>46014</v>
      </c>
      <c r="AG92" s="28">
        <v>46030</v>
      </c>
      <c r="AH92" s="28">
        <v>46035</v>
      </c>
      <c r="AI92" s="3">
        <f t="shared" si="14"/>
        <v>1</v>
      </c>
      <c r="AJ92" s="45" t="s">
        <v>361</v>
      </c>
      <c r="AK92" s="35" t="s">
        <v>447</v>
      </c>
      <c r="AL92" s="19" t="str">
        <f t="shared" si="13"/>
        <v>N/A</v>
      </c>
      <c r="AM92" s="67" t="str">
        <f>IFERROR(NETWORKDAYS(D92,Q92,Hoja1!$A$1:$A$29),"N/A")</f>
        <v>N/A</v>
      </c>
      <c r="AN92" s="21">
        <f>IFERROR(NETWORKDAYS(D92,AE92,Hoja1!$A$1:$A$29),"N/A")</f>
        <v>8</v>
      </c>
      <c r="AO92" s="78">
        <v>0</v>
      </c>
      <c r="AP92" s="21">
        <f t="shared" si="10"/>
        <v>8</v>
      </c>
      <c r="AQ92" s="21">
        <f>IFERROR(NETWORKDAYS(AF92,AG92,Hoja1!$A$1:$A$29),"N/A")</f>
        <v>11</v>
      </c>
      <c r="AR92" s="74">
        <v>6</v>
      </c>
      <c r="AS92" s="75">
        <f t="shared" si="15"/>
        <v>5</v>
      </c>
      <c r="AT92" s="21">
        <f>IFERROR(NETWORKDAYS(D92,AG92,Hoja1!$A$1:$A$29),"N/A")</f>
        <v>18</v>
      </c>
      <c r="AU92" s="21">
        <f t="shared" si="12"/>
        <v>12</v>
      </c>
      <c r="AV92" s="69" t="s">
        <v>104</v>
      </c>
      <c r="AW92" s="27" t="s">
        <v>362</v>
      </c>
      <c r="AX92" s="45" t="s">
        <v>464</v>
      </c>
      <c r="AY92" s="45"/>
      <c r="AZ92" s="45"/>
      <c r="BA92" s="45"/>
      <c r="BB92" s="45"/>
    </row>
    <row r="93" spans="1:54" ht="15" customHeight="1" x14ac:dyDescent="0.25">
      <c r="A93" s="54">
        <v>15540</v>
      </c>
      <c r="B93" s="20" t="s">
        <v>79</v>
      </c>
      <c r="C93" s="20" t="s">
        <v>79</v>
      </c>
      <c r="D93" s="30">
        <v>46003</v>
      </c>
      <c r="E93" s="30">
        <v>46008</v>
      </c>
      <c r="F93" s="84" t="s">
        <v>62</v>
      </c>
      <c r="G93" s="23" t="s">
        <v>80</v>
      </c>
      <c r="H93" s="111" t="s">
        <v>101</v>
      </c>
      <c r="I93" s="87" t="s">
        <v>350</v>
      </c>
      <c r="J93" s="87" t="s">
        <v>105</v>
      </c>
      <c r="K93" s="87" t="s">
        <v>351</v>
      </c>
      <c r="L93" s="3">
        <v>1</v>
      </c>
      <c r="M93" s="40" t="s">
        <v>54</v>
      </c>
      <c r="N93" s="30" t="s">
        <v>55</v>
      </c>
      <c r="O93" s="3">
        <v>0</v>
      </c>
      <c r="P93" s="33"/>
      <c r="Q93" s="30" t="s">
        <v>55</v>
      </c>
      <c r="R93" s="30" t="s">
        <v>55</v>
      </c>
      <c r="S93" s="3">
        <v>0</v>
      </c>
      <c r="T93" s="37" t="s">
        <v>55</v>
      </c>
      <c r="U93" s="18" t="s">
        <v>55</v>
      </c>
      <c r="V93" s="18" t="s">
        <v>55</v>
      </c>
      <c r="W93" s="18" t="s">
        <v>55</v>
      </c>
      <c r="X93" s="18" t="s">
        <v>55</v>
      </c>
      <c r="Y93" s="18" t="s">
        <v>55</v>
      </c>
      <c r="Z93" s="18" t="s">
        <v>55</v>
      </c>
      <c r="AA93" s="3">
        <v>1</v>
      </c>
      <c r="AB93" s="3">
        <v>1</v>
      </c>
      <c r="AC93" s="3">
        <v>0</v>
      </c>
      <c r="AD93" s="28">
        <v>46009</v>
      </c>
      <c r="AE93" s="28">
        <v>46010</v>
      </c>
      <c r="AF93" s="28">
        <v>46010</v>
      </c>
      <c r="AG93" s="28">
        <v>46027</v>
      </c>
      <c r="AH93" s="28">
        <v>46027</v>
      </c>
      <c r="AI93" s="3">
        <f t="shared" si="14"/>
        <v>1</v>
      </c>
      <c r="AJ93" s="45" t="s">
        <v>363</v>
      </c>
      <c r="AK93" s="45" t="s">
        <v>364</v>
      </c>
      <c r="AL93" s="19" t="str">
        <f t="shared" si="13"/>
        <v>N/A</v>
      </c>
      <c r="AM93" s="67" t="str">
        <f>IFERROR(NETWORKDAYS(D93,Q93,Hoja1!$A$1:$A$29),"N/A")</f>
        <v>N/A</v>
      </c>
      <c r="AN93" s="21">
        <f>IFERROR(NETWORKDAYS(D93,AE93,Hoja1!$A$1:$A$29),"N/A")</f>
        <v>6</v>
      </c>
      <c r="AO93" s="78">
        <v>0</v>
      </c>
      <c r="AP93" s="21">
        <f t="shared" si="10"/>
        <v>6</v>
      </c>
      <c r="AQ93" s="21">
        <f>IFERROR(NETWORKDAYS(AF93,AG93,Hoja1!$A$1:$A$29),"N/A")</f>
        <v>10</v>
      </c>
      <c r="AR93" s="74">
        <v>5</v>
      </c>
      <c r="AS93" s="75">
        <f t="shared" si="15"/>
        <v>5</v>
      </c>
      <c r="AT93" s="21">
        <f>IFERROR(NETWORKDAYS(D93,AG93,Hoja1!$A$1:$A$29),"N/A")</f>
        <v>15</v>
      </c>
      <c r="AU93" s="21">
        <f t="shared" si="12"/>
        <v>10</v>
      </c>
      <c r="AV93" s="69" t="s">
        <v>104</v>
      </c>
      <c r="AW93" s="27" t="s">
        <v>365</v>
      </c>
      <c r="AX93" s="45"/>
      <c r="AY93" s="45"/>
      <c r="AZ93" s="45"/>
      <c r="BA93" s="45"/>
      <c r="BB93" s="45"/>
    </row>
    <row r="94" spans="1:54" ht="15" customHeight="1" x14ac:dyDescent="0.25">
      <c r="A94" s="54">
        <v>15543</v>
      </c>
      <c r="B94" s="20" t="s">
        <v>79</v>
      </c>
      <c r="C94" s="20" t="s">
        <v>79</v>
      </c>
      <c r="D94" s="418">
        <v>46010</v>
      </c>
      <c r="E94" s="42">
        <v>46008</v>
      </c>
      <c r="F94" s="84" t="s">
        <v>62</v>
      </c>
      <c r="G94" s="23" t="s">
        <v>80</v>
      </c>
      <c r="H94" s="111" t="s">
        <v>51</v>
      </c>
      <c r="I94" s="159" t="s">
        <v>1624</v>
      </c>
      <c r="J94" s="87" t="s">
        <v>105</v>
      </c>
      <c r="K94" s="87" t="s">
        <v>74</v>
      </c>
      <c r="L94" s="3">
        <v>1</v>
      </c>
      <c r="M94" s="40" t="s">
        <v>54</v>
      </c>
      <c r="N94" s="30" t="s">
        <v>55</v>
      </c>
      <c r="O94" s="3">
        <v>3</v>
      </c>
      <c r="P94" s="33" t="s">
        <v>56</v>
      </c>
      <c r="Q94" s="30">
        <v>46014</v>
      </c>
      <c r="R94" s="30">
        <v>46020</v>
      </c>
      <c r="S94" s="3">
        <v>3</v>
      </c>
      <c r="T94" s="37" t="s">
        <v>55</v>
      </c>
      <c r="U94" s="18" t="s">
        <v>55</v>
      </c>
      <c r="V94" s="18" t="s">
        <v>55</v>
      </c>
      <c r="W94" s="18" t="s">
        <v>55</v>
      </c>
      <c r="X94" s="18" t="s">
        <v>55</v>
      </c>
      <c r="Y94" s="18" t="s">
        <v>55</v>
      </c>
      <c r="Z94" s="18" t="s">
        <v>55</v>
      </c>
      <c r="AA94" s="3">
        <v>2</v>
      </c>
      <c r="AB94" s="3">
        <v>1</v>
      </c>
      <c r="AC94" s="3">
        <v>0</v>
      </c>
      <c r="AD94" s="28">
        <v>46027</v>
      </c>
      <c r="AE94" s="28">
        <v>46027</v>
      </c>
      <c r="AF94" s="28">
        <v>46027</v>
      </c>
      <c r="AG94" s="28">
        <v>46031</v>
      </c>
      <c r="AH94" s="28">
        <v>46035</v>
      </c>
      <c r="AI94" s="3">
        <f t="shared" si="14"/>
        <v>1</v>
      </c>
      <c r="AJ94" s="45" t="s">
        <v>366</v>
      </c>
      <c r="AK94" s="45" t="s">
        <v>367</v>
      </c>
      <c r="AL94" s="19">
        <f t="shared" si="13"/>
        <v>1</v>
      </c>
      <c r="AM94" s="67">
        <f>IFERROR(NETWORKDAYS(D94,Q94,Hoja1!$A$1:$A$29),"N/A")</f>
        <v>3</v>
      </c>
      <c r="AN94" s="21">
        <f>IFERROR(NETWORKDAYS(D94,AE94,Hoja1!$A$1:$A$29),"N/A")</f>
        <v>10</v>
      </c>
      <c r="AO94" s="78">
        <v>0</v>
      </c>
      <c r="AP94" s="21">
        <f t="shared" si="10"/>
        <v>10</v>
      </c>
      <c r="AQ94" s="21">
        <f>IFERROR(NETWORKDAYS(AF94,AG94,Hoja1!$A$1:$A$29),"N/A")</f>
        <v>5</v>
      </c>
      <c r="AR94" s="74">
        <v>0</v>
      </c>
      <c r="AS94" s="75">
        <f t="shared" si="15"/>
        <v>5</v>
      </c>
      <c r="AT94" s="21">
        <f>IFERROR(NETWORKDAYS(D94,AG94,Hoja1!$A$1:$A$29),"N/A")</f>
        <v>14</v>
      </c>
      <c r="AU94" s="21">
        <f t="shared" si="12"/>
        <v>14</v>
      </c>
      <c r="AV94" s="69" t="s">
        <v>59</v>
      </c>
      <c r="AW94" s="27" t="s">
        <v>345</v>
      </c>
      <c r="AX94" s="45"/>
      <c r="AY94" s="45"/>
      <c r="AZ94" s="45"/>
      <c r="BA94" s="45"/>
      <c r="BB94" s="45"/>
    </row>
    <row r="95" spans="1:54" ht="15" customHeight="1" x14ac:dyDescent="0.25">
      <c r="A95" s="54">
        <v>15544</v>
      </c>
      <c r="B95" s="20" t="s">
        <v>79</v>
      </c>
      <c r="C95" s="20" t="s">
        <v>79</v>
      </c>
      <c r="D95" s="30">
        <v>46010</v>
      </c>
      <c r="E95" s="42">
        <v>46008</v>
      </c>
      <c r="F95" s="84" t="s">
        <v>62</v>
      </c>
      <c r="G95" s="23" t="s">
        <v>80</v>
      </c>
      <c r="H95" s="111" t="s">
        <v>51</v>
      </c>
      <c r="I95" s="159" t="s">
        <v>1624</v>
      </c>
      <c r="J95" s="87" t="s">
        <v>105</v>
      </c>
      <c r="K95" s="87" t="s">
        <v>74</v>
      </c>
      <c r="L95" s="3">
        <v>1</v>
      </c>
      <c r="M95" s="40" t="s">
        <v>54</v>
      </c>
      <c r="N95" s="30" t="s">
        <v>55</v>
      </c>
      <c r="O95" s="3">
        <v>3</v>
      </c>
      <c r="P95" s="33" t="s">
        <v>56</v>
      </c>
      <c r="Q95" s="30">
        <v>46014</v>
      </c>
      <c r="R95" s="30">
        <v>46020</v>
      </c>
      <c r="S95" s="3">
        <v>3</v>
      </c>
      <c r="T95" s="37" t="s">
        <v>55</v>
      </c>
      <c r="U95" s="18" t="s">
        <v>55</v>
      </c>
      <c r="V95" s="18" t="s">
        <v>55</v>
      </c>
      <c r="W95" s="18" t="s">
        <v>55</v>
      </c>
      <c r="X95" s="18" t="s">
        <v>55</v>
      </c>
      <c r="Y95" s="18" t="s">
        <v>55</v>
      </c>
      <c r="Z95" s="18" t="s">
        <v>55</v>
      </c>
      <c r="AA95" s="3">
        <v>2</v>
      </c>
      <c r="AB95" s="3">
        <v>1</v>
      </c>
      <c r="AC95" s="3">
        <v>0</v>
      </c>
      <c r="AD95" s="28">
        <v>46027</v>
      </c>
      <c r="AE95" s="28">
        <v>46027</v>
      </c>
      <c r="AF95" s="28">
        <v>46027</v>
      </c>
      <c r="AG95" s="28">
        <v>46031</v>
      </c>
      <c r="AH95" s="28">
        <v>46035</v>
      </c>
      <c r="AI95" s="3">
        <f t="shared" si="14"/>
        <v>1</v>
      </c>
      <c r="AJ95" s="45" t="s">
        <v>368</v>
      </c>
      <c r="AK95" s="45" t="s">
        <v>369</v>
      </c>
      <c r="AL95" s="19">
        <f t="shared" si="13"/>
        <v>1</v>
      </c>
      <c r="AM95" s="67">
        <f>IFERROR(NETWORKDAYS(D95,Q95,Hoja1!$A$1:$A$29),"N/A")</f>
        <v>3</v>
      </c>
      <c r="AN95" s="21">
        <f>IFERROR(NETWORKDAYS(D95,AE95,Hoja1!$A$1:$A$29),"N/A")</f>
        <v>10</v>
      </c>
      <c r="AO95" s="78">
        <v>0</v>
      </c>
      <c r="AP95" s="21">
        <f t="shared" si="10"/>
        <v>10</v>
      </c>
      <c r="AQ95" s="21">
        <f>IFERROR(NETWORKDAYS(AF95,AG95,Hoja1!$A$1:$A$29),"N/A")</f>
        <v>5</v>
      </c>
      <c r="AR95" s="74">
        <v>0</v>
      </c>
      <c r="AS95" s="75">
        <f t="shared" si="15"/>
        <v>5</v>
      </c>
      <c r="AT95" s="21">
        <f>IFERROR(NETWORKDAYS(D95,AG95,Hoja1!$A$1:$A$29),"N/A")</f>
        <v>14</v>
      </c>
      <c r="AU95" s="21">
        <f t="shared" si="12"/>
        <v>14</v>
      </c>
      <c r="AV95" s="69" t="s">
        <v>59</v>
      </c>
      <c r="AW95" s="27" t="s">
        <v>370</v>
      </c>
      <c r="AX95" s="45"/>
      <c r="AY95" s="45"/>
      <c r="AZ95" s="45"/>
      <c r="BA95" s="45"/>
      <c r="BB95" s="45"/>
    </row>
    <row r="96" spans="1:54" ht="15" customHeight="1" x14ac:dyDescent="0.25">
      <c r="A96" s="55">
        <v>15547</v>
      </c>
      <c r="B96" s="20" t="s">
        <v>79</v>
      </c>
      <c r="C96" s="20" t="s">
        <v>79</v>
      </c>
      <c r="D96" s="420">
        <v>45992</v>
      </c>
      <c r="E96" s="16">
        <v>45992</v>
      </c>
      <c r="F96" s="236" t="s">
        <v>62</v>
      </c>
      <c r="G96" s="23" t="s">
        <v>80</v>
      </c>
      <c r="H96" s="234" t="s">
        <v>51</v>
      </c>
      <c r="I96" s="27" t="s">
        <v>72</v>
      </c>
      <c r="J96" s="22" t="s">
        <v>73</v>
      </c>
      <c r="K96" s="234" t="s">
        <v>66</v>
      </c>
      <c r="L96" s="17">
        <v>1</v>
      </c>
      <c r="M96" s="40" t="s">
        <v>54</v>
      </c>
      <c r="N96" s="16" t="s">
        <v>55</v>
      </c>
      <c r="O96" s="1">
        <v>5</v>
      </c>
      <c r="P96" s="16" t="s">
        <v>112</v>
      </c>
      <c r="Q96" s="70">
        <v>45993</v>
      </c>
      <c r="R96" s="70">
        <v>45993</v>
      </c>
      <c r="S96" s="1">
        <v>5</v>
      </c>
      <c r="T96" s="16" t="s">
        <v>55</v>
      </c>
      <c r="U96" s="18" t="s">
        <v>55</v>
      </c>
      <c r="V96" s="18" t="s">
        <v>55</v>
      </c>
      <c r="W96" s="18" t="s">
        <v>55</v>
      </c>
      <c r="X96" s="18" t="s">
        <v>55</v>
      </c>
      <c r="Y96" s="18" t="s">
        <v>55</v>
      </c>
      <c r="Z96" s="18" t="s">
        <v>55</v>
      </c>
      <c r="AA96" s="1">
        <v>1</v>
      </c>
      <c r="AB96" s="1">
        <v>1</v>
      </c>
      <c r="AC96" s="1">
        <v>0</v>
      </c>
      <c r="AD96" s="16">
        <v>46010</v>
      </c>
      <c r="AE96" s="16">
        <v>46013</v>
      </c>
      <c r="AF96" s="16">
        <v>46013</v>
      </c>
      <c r="AG96" s="16">
        <v>46024</v>
      </c>
      <c r="AH96" s="16">
        <v>46027</v>
      </c>
      <c r="AI96" s="3">
        <f t="shared" si="14"/>
        <v>1</v>
      </c>
      <c r="AJ96" s="20" t="s">
        <v>371</v>
      </c>
      <c r="AK96" s="27" t="s">
        <v>372</v>
      </c>
      <c r="AL96" s="19">
        <f t="shared" si="13"/>
        <v>1</v>
      </c>
      <c r="AM96" s="67">
        <f>IFERROR(NETWORKDAYS(D96,Q96,Hoja1!$A$1:$A$29),"N/A")</f>
        <v>2</v>
      </c>
      <c r="AN96" s="21">
        <f>IFERROR(NETWORKDAYS(D96,AE96,Hoja1!$A$1:$A$29),"N/A")</f>
        <v>15</v>
      </c>
      <c r="AO96" s="78">
        <v>0</v>
      </c>
      <c r="AP96" s="21">
        <f t="shared" si="10"/>
        <v>15</v>
      </c>
      <c r="AQ96" s="21">
        <f>IFERROR(NETWORKDAYS(AF96,AG96,Hoja1!$A$1:$A$29),"N/A")</f>
        <v>8</v>
      </c>
      <c r="AR96" s="74">
        <v>3</v>
      </c>
      <c r="AS96" s="75">
        <f t="shared" si="15"/>
        <v>5</v>
      </c>
      <c r="AT96" s="21">
        <f>IFERROR(NETWORKDAYS(D96,AG96,Hoja1!$A$1:$A$29),"N/A")</f>
        <v>22</v>
      </c>
      <c r="AU96" s="21">
        <f t="shared" si="12"/>
        <v>19</v>
      </c>
      <c r="AV96" s="69" t="s">
        <v>77</v>
      </c>
      <c r="AW96" s="27" t="s">
        <v>82</v>
      </c>
      <c r="AX96" s="27"/>
      <c r="AY96" s="27"/>
      <c r="AZ96" s="27"/>
      <c r="BA96" s="27"/>
      <c r="BB96" s="27"/>
    </row>
    <row r="97" spans="1:54" ht="15" customHeight="1" x14ac:dyDescent="0.25">
      <c r="A97" s="54">
        <v>15554</v>
      </c>
      <c r="B97" s="20" t="s">
        <v>79</v>
      </c>
      <c r="C97" s="20" t="s">
        <v>79</v>
      </c>
      <c r="D97" s="30">
        <v>46009</v>
      </c>
      <c r="E97" s="42">
        <v>46009</v>
      </c>
      <c r="F97" s="84" t="s">
        <v>62</v>
      </c>
      <c r="G97" s="207" t="s">
        <v>71</v>
      </c>
      <c r="H97" s="111" t="s">
        <v>51</v>
      </c>
      <c r="I97" s="27" t="s">
        <v>72</v>
      </c>
      <c r="J97" s="22" t="s">
        <v>73</v>
      </c>
      <c r="K97" s="87" t="s">
        <v>74</v>
      </c>
      <c r="L97" s="3">
        <v>1</v>
      </c>
      <c r="M97" s="40" t="s">
        <v>54</v>
      </c>
      <c r="N97" s="30" t="s">
        <v>55</v>
      </c>
      <c r="O97" s="3">
        <v>4</v>
      </c>
      <c r="P97" s="33" t="s">
        <v>112</v>
      </c>
      <c r="Q97" s="30">
        <v>46010</v>
      </c>
      <c r="R97" s="30">
        <v>46013</v>
      </c>
      <c r="S97" s="3">
        <v>4</v>
      </c>
      <c r="T97" s="37" t="s">
        <v>55</v>
      </c>
      <c r="U97" s="18" t="s">
        <v>55</v>
      </c>
      <c r="V97" s="18" t="s">
        <v>55</v>
      </c>
      <c r="W97" s="18" t="s">
        <v>55</v>
      </c>
      <c r="X97" s="18" t="s">
        <v>55</v>
      </c>
      <c r="Y97" s="18" t="s">
        <v>55</v>
      </c>
      <c r="Z97" s="18" t="s">
        <v>55</v>
      </c>
      <c r="AA97" s="3">
        <v>1</v>
      </c>
      <c r="AB97" s="3">
        <v>1</v>
      </c>
      <c r="AC97" s="3">
        <v>0</v>
      </c>
      <c r="AD97" s="28">
        <v>46021</v>
      </c>
      <c r="AE97" s="28">
        <v>46030</v>
      </c>
      <c r="AF97" s="28">
        <v>46031</v>
      </c>
      <c r="AG97" s="28">
        <v>46042</v>
      </c>
      <c r="AH97" s="28">
        <v>46044</v>
      </c>
      <c r="AI97" s="3">
        <f t="shared" si="14"/>
        <v>1</v>
      </c>
      <c r="AJ97" s="45" t="s">
        <v>373</v>
      </c>
      <c r="AK97" s="45" t="s">
        <v>374</v>
      </c>
      <c r="AL97" s="19">
        <f t="shared" si="13"/>
        <v>1</v>
      </c>
      <c r="AM97" s="67">
        <f>IFERROR(NETWORKDAYS(D97,Q97,Hoja1!$A$1:$A$29),"N/A")</f>
        <v>2</v>
      </c>
      <c r="AN97" s="21">
        <f>IFERROR(NETWORKDAYS(D97,AE97,Hoja1!$A$1:$A$29),"N/A")</f>
        <v>14</v>
      </c>
      <c r="AO97" s="78">
        <v>0</v>
      </c>
      <c r="AP97" s="21">
        <f t="shared" si="10"/>
        <v>14</v>
      </c>
      <c r="AQ97" s="21">
        <f>IFERROR(NETWORKDAYS(AF97,AG97,Hoja1!$A$1:$A$29),"N/A")</f>
        <v>7</v>
      </c>
      <c r="AR97" s="74">
        <v>2</v>
      </c>
      <c r="AS97" s="75">
        <f t="shared" si="15"/>
        <v>5</v>
      </c>
      <c r="AT97" s="21">
        <f>IFERROR(NETWORKDAYS(D97,AG97,Hoja1!$A$1:$A$29),"N/A")</f>
        <v>21</v>
      </c>
      <c r="AU97" s="21">
        <f t="shared" si="12"/>
        <v>19</v>
      </c>
      <c r="AV97" s="69" t="s">
        <v>77</v>
      </c>
      <c r="AW97" s="27" t="s">
        <v>78</v>
      </c>
      <c r="AX97" s="45"/>
      <c r="AY97" s="45"/>
      <c r="AZ97" s="45"/>
      <c r="BA97" s="45"/>
      <c r="BB97" s="45"/>
    </row>
    <row r="98" spans="1:54" ht="15" customHeight="1" x14ac:dyDescent="0.25">
      <c r="A98" s="54">
        <v>15564</v>
      </c>
      <c r="B98" s="29" t="s">
        <v>85</v>
      </c>
      <c r="C98" s="29" t="s">
        <v>85</v>
      </c>
      <c r="D98" s="418">
        <v>46013</v>
      </c>
      <c r="E98" s="28">
        <v>46013</v>
      </c>
      <c r="F98" s="202" t="s">
        <v>62</v>
      </c>
      <c r="G98" s="159" t="s">
        <v>375</v>
      </c>
      <c r="H98" s="159" t="s">
        <v>51</v>
      </c>
      <c r="I98" s="48" t="s">
        <v>1406</v>
      </c>
      <c r="J98" s="20" t="s">
        <v>52</v>
      </c>
      <c r="K98" s="87" t="s">
        <v>86</v>
      </c>
      <c r="L98" s="3">
        <v>1</v>
      </c>
      <c r="M98" s="40" t="s">
        <v>54</v>
      </c>
      <c r="N98" s="28" t="s">
        <v>55</v>
      </c>
      <c r="O98" s="33">
        <v>3</v>
      </c>
      <c r="P98" s="33" t="s">
        <v>112</v>
      </c>
      <c r="Q98" s="28">
        <v>46021</v>
      </c>
      <c r="R98" s="28">
        <v>46021</v>
      </c>
      <c r="S98" s="33">
        <v>3</v>
      </c>
      <c r="T98" s="28" t="s">
        <v>55</v>
      </c>
      <c r="U98" s="18" t="s">
        <v>55</v>
      </c>
      <c r="V98" s="18" t="s">
        <v>55</v>
      </c>
      <c r="W98" s="18" t="s">
        <v>55</v>
      </c>
      <c r="X98" s="18" t="s">
        <v>55</v>
      </c>
      <c r="Y98" s="18" t="s">
        <v>55</v>
      </c>
      <c r="Z98" s="18" t="s">
        <v>55</v>
      </c>
      <c r="AA98" s="33">
        <v>1</v>
      </c>
      <c r="AB98" s="33">
        <v>1</v>
      </c>
      <c r="AC98" s="33">
        <v>0</v>
      </c>
      <c r="AD98" s="28">
        <v>46034</v>
      </c>
      <c r="AE98" s="28">
        <v>46034</v>
      </c>
      <c r="AF98" s="28">
        <v>46034</v>
      </c>
      <c r="AG98" s="28">
        <v>46044</v>
      </c>
      <c r="AH98" s="28">
        <v>46045</v>
      </c>
      <c r="AI98" s="3">
        <f t="shared" si="14"/>
        <v>1</v>
      </c>
      <c r="AJ98" s="45" t="s">
        <v>376</v>
      </c>
      <c r="AK98" s="45" t="s">
        <v>377</v>
      </c>
      <c r="AL98" s="19">
        <f t="shared" si="13"/>
        <v>1</v>
      </c>
      <c r="AM98" s="67">
        <f>IFERROR(NETWORKDAYS(D98,Q98,Hoja1!$A$1:$A$29),"N/A")</f>
        <v>6</v>
      </c>
      <c r="AN98" s="21">
        <f>IFERROR(NETWORKDAYS(D98,AE98,Hoja1!$A$1:$A$29),"N/A")</f>
        <v>13</v>
      </c>
      <c r="AO98" s="78">
        <v>0</v>
      </c>
      <c r="AP98" s="21">
        <f t="shared" si="10"/>
        <v>13</v>
      </c>
      <c r="AQ98" s="21">
        <f>IFERROR(NETWORKDAYS(AF98,AG98,Hoja1!$A$1:$A$29),"N/A")</f>
        <v>8</v>
      </c>
      <c r="AR98" s="74">
        <v>3</v>
      </c>
      <c r="AS98" s="75">
        <f t="shared" si="15"/>
        <v>5</v>
      </c>
      <c r="AT98" s="21">
        <f>IFERROR(NETWORKDAYS(D98,AG98,Hoja1!$A$1:$A$29),"N/A")</f>
        <v>21</v>
      </c>
      <c r="AU98" s="21">
        <f t="shared" ref="AU98:AU161" si="16">AT98-AO98-AR98</f>
        <v>18</v>
      </c>
      <c r="AV98" s="69" t="s">
        <v>59</v>
      </c>
      <c r="AW98" s="27" t="s">
        <v>378</v>
      </c>
      <c r="AX98" s="45"/>
      <c r="AY98" s="45"/>
      <c r="AZ98" s="45"/>
      <c r="BA98" s="45"/>
      <c r="BB98" s="45"/>
    </row>
    <row r="99" spans="1:54" ht="15" customHeight="1" x14ac:dyDescent="0.25">
      <c r="A99" s="55">
        <v>15566</v>
      </c>
      <c r="B99" s="14" t="s">
        <v>69</v>
      </c>
      <c r="C99" s="14" t="s">
        <v>122</v>
      </c>
      <c r="D99" s="15">
        <v>46021</v>
      </c>
      <c r="E99" s="16">
        <v>46013</v>
      </c>
      <c r="F99" s="179" t="s">
        <v>62</v>
      </c>
      <c r="G99" s="23" t="s">
        <v>80</v>
      </c>
      <c r="H99" s="22" t="s">
        <v>101</v>
      </c>
      <c r="I99" s="27" t="s">
        <v>379</v>
      </c>
      <c r="J99" s="207" t="s">
        <v>118</v>
      </c>
      <c r="K99" s="23" t="s">
        <v>66</v>
      </c>
      <c r="L99" s="17">
        <v>1</v>
      </c>
      <c r="M99" s="40" t="s">
        <v>54</v>
      </c>
      <c r="N99" s="16" t="s">
        <v>55</v>
      </c>
      <c r="O99" s="1">
        <v>0</v>
      </c>
      <c r="P99" s="1"/>
      <c r="Q99" s="28" t="s">
        <v>55</v>
      </c>
      <c r="R99" s="28" t="s">
        <v>55</v>
      </c>
      <c r="S99" s="1"/>
      <c r="T99" s="28" t="s">
        <v>55</v>
      </c>
      <c r="U99" s="18" t="s">
        <v>55</v>
      </c>
      <c r="V99" s="18" t="s">
        <v>55</v>
      </c>
      <c r="W99" s="18" t="s">
        <v>55</v>
      </c>
      <c r="X99" s="18" t="s">
        <v>55</v>
      </c>
      <c r="Y99" s="18" t="s">
        <v>55</v>
      </c>
      <c r="Z99" s="18" t="s">
        <v>55</v>
      </c>
      <c r="AA99" s="1">
        <v>1</v>
      </c>
      <c r="AB99" s="1">
        <v>1</v>
      </c>
      <c r="AC99" s="1">
        <v>0</v>
      </c>
      <c r="AD99" s="16">
        <v>46030</v>
      </c>
      <c r="AE99" s="16">
        <v>46035</v>
      </c>
      <c r="AF99" s="16">
        <v>46035</v>
      </c>
      <c r="AG99" s="16">
        <v>46044</v>
      </c>
      <c r="AH99" s="16">
        <v>46045</v>
      </c>
      <c r="AI99" s="3">
        <f t="shared" si="14"/>
        <v>1</v>
      </c>
      <c r="AJ99" s="27" t="s">
        <v>380</v>
      </c>
      <c r="AK99" s="49" t="s">
        <v>381</v>
      </c>
      <c r="AL99" s="19" t="str">
        <f t="shared" si="13"/>
        <v>N/A</v>
      </c>
      <c r="AM99" s="67" t="str">
        <f>IFERROR(NETWORKDAYS(D99,Q99,Hoja1!$A$1:$A$29),"N/A")</f>
        <v>N/A</v>
      </c>
      <c r="AN99" s="21">
        <f>IFERROR(NETWORKDAYS(D99,AE99,Hoja1!$A$1:$A$29),"N/A")</f>
        <v>9</v>
      </c>
      <c r="AO99" s="78">
        <v>0</v>
      </c>
      <c r="AP99" s="21">
        <f t="shared" si="10"/>
        <v>9</v>
      </c>
      <c r="AQ99" s="21">
        <f>IFERROR(NETWORKDAYS(AF99,AG99,Hoja1!$A$1:$A$29),"N/A")</f>
        <v>8</v>
      </c>
      <c r="AR99" s="74">
        <v>3</v>
      </c>
      <c r="AS99" s="75">
        <f t="shared" si="15"/>
        <v>5</v>
      </c>
      <c r="AT99" s="21">
        <f>IFERROR(NETWORKDAYS(D99,AG99,Hoja1!$A$1:$A$29),"N/A")</f>
        <v>16</v>
      </c>
      <c r="AU99" s="21">
        <f t="shared" si="16"/>
        <v>13</v>
      </c>
      <c r="AV99" s="69" t="s">
        <v>145</v>
      </c>
      <c r="AW99" s="27" t="s">
        <v>146</v>
      </c>
      <c r="AX99" s="27"/>
      <c r="AY99" s="27"/>
      <c r="AZ99" s="27"/>
      <c r="BA99" s="27"/>
      <c r="BB99" s="27"/>
    </row>
    <row r="100" spans="1:54" ht="15" customHeight="1" x14ac:dyDescent="0.25">
      <c r="A100" s="56">
        <v>15578</v>
      </c>
      <c r="B100" s="29" t="s">
        <v>49</v>
      </c>
      <c r="C100" s="29" t="s">
        <v>49</v>
      </c>
      <c r="D100" s="424">
        <v>46017</v>
      </c>
      <c r="E100" s="38">
        <v>46017</v>
      </c>
      <c r="F100" s="202" t="s">
        <v>62</v>
      </c>
      <c r="G100" s="207" t="s">
        <v>382</v>
      </c>
      <c r="H100" s="159" t="s">
        <v>101</v>
      </c>
      <c r="I100" s="48" t="s">
        <v>383</v>
      </c>
      <c r="J100" s="87" t="s">
        <v>142</v>
      </c>
      <c r="K100" s="87" t="s">
        <v>86</v>
      </c>
      <c r="L100" s="3">
        <v>1</v>
      </c>
      <c r="M100" s="40" t="s">
        <v>54</v>
      </c>
      <c r="N100" s="28" t="s">
        <v>55</v>
      </c>
      <c r="O100" s="33">
        <v>0</v>
      </c>
      <c r="P100" s="33"/>
      <c r="Q100" s="28" t="s">
        <v>55</v>
      </c>
      <c r="R100" s="28" t="s">
        <v>55</v>
      </c>
      <c r="S100" s="33">
        <v>0</v>
      </c>
      <c r="T100" s="28" t="s">
        <v>55</v>
      </c>
      <c r="U100" s="18" t="s">
        <v>55</v>
      </c>
      <c r="V100" s="18" t="s">
        <v>55</v>
      </c>
      <c r="W100" s="18" t="s">
        <v>55</v>
      </c>
      <c r="X100" s="18" t="s">
        <v>55</v>
      </c>
      <c r="Y100" s="18" t="s">
        <v>55</v>
      </c>
      <c r="Z100" s="18" t="s">
        <v>55</v>
      </c>
      <c r="AA100" s="33">
        <v>1</v>
      </c>
      <c r="AB100" s="33">
        <v>1</v>
      </c>
      <c r="AC100" s="33">
        <v>0</v>
      </c>
      <c r="AD100" s="28">
        <v>46035</v>
      </c>
      <c r="AE100" s="28">
        <v>46035</v>
      </c>
      <c r="AF100" s="28">
        <v>46036</v>
      </c>
      <c r="AG100" s="28">
        <v>46042</v>
      </c>
      <c r="AH100" s="28">
        <v>46044</v>
      </c>
      <c r="AI100" s="3">
        <f t="shared" si="14"/>
        <v>1</v>
      </c>
      <c r="AJ100" s="50" t="s">
        <v>384</v>
      </c>
      <c r="AK100" s="45" t="s">
        <v>385</v>
      </c>
      <c r="AL100" s="19" t="str">
        <f t="shared" si="13"/>
        <v>N/A</v>
      </c>
      <c r="AM100" s="67" t="str">
        <f>IFERROR(NETWORKDAYS(D100,Q100,Hoja1!$A$1:$A$29),"N/A")</f>
        <v>N/A</v>
      </c>
      <c r="AN100" s="21">
        <f>IFERROR(NETWORKDAYS(D100,AE100,Hoja1!$A$1:$A$29),"N/A")</f>
        <v>11</v>
      </c>
      <c r="AO100" s="78">
        <v>0</v>
      </c>
      <c r="AP100" s="21">
        <f t="shared" si="10"/>
        <v>11</v>
      </c>
      <c r="AQ100" s="21">
        <f>IFERROR(NETWORKDAYS(AF100,AG100,Hoja1!$A$1:$A$29),"N/A")</f>
        <v>5</v>
      </c>
      <c r="AR100" s="74">
        <v>0</v>
      </c>
      <c r="AS100" s="75">
        <f t="shared" si="15"/>
        <v>5</v>
      </c>
      <c r="AT100" s="21">
        <f>IFERROR(NETWORKDAYS(D100,AG100,Hoja1!$A$1:$A$29),"N/A")</f>
        <v>16</v>
      </c>
      <c r="AU100" s="21">
        <f t="shared" si="16"/>
        <v>16</v>
      </c>
      <c r="AV100" s="69" t="s">
        <v>104</v>
      </c>
      <c r="AW100" s="27" t="s">
        <v>386</v>
      </c>
      <c r="AX100" s="45"/>
      <c r="AY100" s="45"/>
      <c r="AZ100" s="45"/>
      <c r="BA100" s="45"/>
      <c r="BB100" s="45"/>
    </row>
    <row r="101" spans="1:54" ht="15" customHeight="1" x14ac:dyDescent="0.25">
      <c r="A101" s="54">
        <v>15598</v>
      </c>
      <c r="B101" s="29" t="s">
        <v>387</v>
      </c>
      <c r="C101" s="29" t="s">
        <v>387</v>
      </c>
      <c r="D101" s="30">
        <v>46014</v>
      </c>
      <c r="E101" s="28">
        <v>46021</v>
      </c>
      <c r="F101" s="202" t="s">
        <v>62</v>
      </c>
      <c r="G101" s="207" t="s">
        <v>71</v>
      </c>
      <c r="H101" s="159" t="s">
        <v>101</v>
      </c>
      <c r="I101" s="207" t="s">
        <v>388</v>
      </c>
      <c r="J101" s="87" t="s">
        <v>65</v>
      </c>
      <c r="K101" s="87" t="s">
        <v>86</v>
      </c>
      <c r="L101" s="3">
        <v>1</v>
      </c>
      <c r="M101" s="40" t="s">
        <v>54</v>
      </c>
      <c r="N101" s="28" t="s">
        <v>55</v>
      </c>
      <c r="O101" s="33">
        <v>0</v>
      </c>
      <c r="P101" s="33"/>
      <c r="Q101" s="28" t="s">
        <v>55</v>
      </c>
      <c r="R101" s="28" t="s">
        <v>55</v>
      </c>
      <c r="S101" s="33">
        <v>0</v>
      </c>
      <c r="T101" s="28" t="s">
        <v>55</v>
      </c>
      <c r="U101" s="18" t="s">
        <v>55</v>
      </c>
      <c r="V101" s="18" t="s">
        <v>55</v>
      </c>
      <c r="W101" s="18" t="s">
        <v>55</v>
      </c>
      <c r="X101" s="18" t="s">
        <v>55</v>
      </c>
      <c r="Y101" s="18" t="s">
        <v>55</v>
      </c>
      <c r="Z101" s="18" t="s">
        <v>55</v>
      </c>
      <c r="AA101" s="33">
        <v>1</v>
      </c>
      <c r="AB101" s="33">
        <v>1</v>
      </c>
      <c r="AC101" s="33">
        <v>0</v>
      </c>
      <c r="AD101" s="28">
        <v>46020</v>
      </c>
      <c r="AE101" s="28">
        <v>46020</v>
      </c>
      <c r="AF101" s="28">
        <v>46015</v>
      </c>
      <c r="AG101" s="28">
        <v>46024</v>
      </c>
      <c r="AH101" s="28">
        <v>46024</v>
      </c>
      <c r="AI101" s="3">
        <f t="shared" si="14"/>
        <v>1</v>
      </c>
      <c r="AJ101" s="52" t="s">
        <v>389</v>
      </c>
      <c r="AK101" s="35" t="s">
        <v>390</v>
      </c>
      <c r="AL101" s="19" t="str">
        <f t="shared" si="13"/>
        <v>N/A</v>
      </c>
      <c r="AM101" s="67" t="str">
        <f>IFERROR(NETWORKDAYS(D101,Q101,Hoja1!$A$1:$A$29),"N/A")</f>
        <v>N/A</v>
      </c>
      <c r="AN101" s="21">
        <f>IFERROR(NETWORKDAYS(D101,AE101,Hoja1!$A$1:$A$29),"N/A")</f>
        <v>4</v>
      </c>
      <c r="AO101" s="78">
        <v>0</v>
      </c>
      <c r="AP101" s="21">
        <f t="shared" si="10"/>
        <v>4</v>
      </c>
      <c r="AQ101" s="21">
        <f>IFERROR(NETWORKDAYS(AF101,AG101,Hoja1!$A$1:$A$29),"N/A")</f>
        <v>6</v>
      </c>
      <c r="AR101" s="74">
        <v>1</v>
      </c>
      <c r="AS101" s="75">
        <f t="shared" si="15"/>
        <v>5</v>
      </c>
      <c r="AT101" s="21">
        <f>IFERROR(NETWORKDAYS(D101,AG101,Hoja1!$A$1:$A$29),"N/A")</f>
        <v>7</v>
      </c>
      <c r="AU101" s="21">
        <f t="shared" si="16"/>
        <v>6</v>
      </c>
      <c r="AV101" s="69" t="s">
        <v>145</v>
      </c>
      <c r="AW101" s="27" t="s">
        <v>202</v>
      </c>
      <c r="AX101" s="45"/>
      <c r="AY101" s="45"/>
      <c r="AZ101" s="45"/>
      <c r="BA101" s="45"/>
      <c r="BB101" s="45"/>
    </row>
    <row r="102" spans="1:54" ht="15" customHeight="1" x14ac:dyDescent="0.25">
      <c r="A102" s="54">
        <v>15599</v>
      </c>
      <c r="B102" s="29" t="s">
        <v>387</v>
      </c>
      <c r="C102" s="29" t="s">
        <v>387</v>
      </c>
      <c r="D102" s="418">
        <v>46014</v>
      </c>
      <c r="E102" s="28">
        <v>46021</v>
      </c>
      <c r="F102" s="202" t="s">
        <v>62</v>
      </c>
      <c r="G102" s="207" t="s">
        <v>71</v>
      </c>
      <c r="H102" s="159" t="s">
        <v>101</v>
      </c>
      <c r="I102" s="87" t="s">
        <v>391</v>
      </c>
      <c r="J102" s="87" t="s">
        <v>142</v>
      </c>
      <c r="K102" s="87" t="s">
        <v>86</v>
      </c>
      <c r="L102" s="3">
        <v>1</v>
      </c>
      <c r="M102" s="40" t="s">
        <v>54</v>
      </c>
      <c r="N102" s="28" t="s">
        <v>55</v>
      </c>
      <c r="O102" s="33">
        <v>0</v>
      </c>
      <c r="P102" s="33"/>
      <c r="Q102" s="28" t="s">
        <v>55</v>
      </c>
      <c r="R102" s="28" t="s">
        <v>55</v>
      </c>
      <c r="S102" s="33">
        <v>0</v>
      </c>
      <c r="T102" s="28" t="s">
        <v>55</v>
      </c>
      <c r="U102" s="18" t="s">
        <v>55</v>
      </c>
      <c r="V102" s="18" t="s">
        <v>55</v>
      </c>
      <c r="W102" s="18" t="s">
        <v>55</v>
      </c>
      <c r="X102" s="18" t="s">
        <v>55</v>
      </c>
      <c r="Y102" s="18" t="s">
        <v>55</v>
      </c>
      <c r="Z102" s="18" t="s">
        <v>55</v>
      </c>
      <c r="AA102" s="33">
        <v>1</v>
      </c>
      <c r="AB102" s="33">
        <v>1</v>
      </c>
      <c r="AC102" s="33">
        <v>0</v>
      </c>
      <c r="AD102" s="28">
        <v>46020</v>
      </c>
      <c r="AE102" s="28">
        <v>46020</v>
      </c>
      <c r="AF102" s="28">
        <v>46015</v>
      </c>
      <c r="AG102" s="28">
        <v>46024</v>
      </c>
      <c r="AH102" s="28">
        <v>46024</v>
      </c>
      <c r="AI102" s="3">
        <f t="shared" si="14"/>
        <v>1</v>
      </c>
      <c r="AJ102" s="45" t="s">
        <v>392</v>
      </c>
      <c r="AK102" s="46" t="s">
        <v>390</v>
      </c>
      <c r="AL102" s="19" t="str">
        <f t="shared" si="13"/>
        <v>N/A</v>
      </c>
      <c r="AM102" s="67" t="str">
        <f>IFERROR(NETWORKDAYS(D102,Q102,Hoja1!$A$1:$A$29),"N/A")</f>
        <v>N/A</v>
      </c>
      <c r="AN102" s="21">
        <f>IFERROR(NETWORKDAYS(D102,AE102,Hoja1!$A$1:$A$29),"N/A")</f>
        <v>4</v>
      </c>
      <c r="AO102" s="78">
        <v>0</v>
      </c>
      <c r="AP102" s="21">
        <f t="shared" si="10"/>
        <v>4</v>
      </c>
      <c r="AQ102" s="21">
        <f>IFERROR(NETWORKDAYS(AF102,AG102,Hoja1!$A$1:$A$29),"N/A")</f>
        <v>6</v>
      </c>
      <c r="AR102" s="74">
        <v>1</v>
      </c>
      <c r="AS102" s="75">
        <f t="shared" si="15"/>
        <v>5</v>
      </c>
      <c r="AT102" s="21">
        <f>IFERROR(NETWORKDAYS(D102,AG102,Hoja1!$A$1:$A$29),"N/A")</f>
        <v>7</v>
      </c>
      <c r="AU102" s="21">
        <f t="shared" si="16"/>
        <v>6</v>
      </c>
      <c r="AV102" s="69" t="s">
        <v>145</v>
      </c>
      <c r="AW102" s="27" t="s">
        <v>202</v>
      </c>
      <c r="AX102" s="45"/>
      <c r="AY102" s="45"/>
      <c r="AZ102" s="45"/>
      <c r="BA102" s="45"/>
      <c r="BB102" s="45"/>
    </row>
    <row r="103" spans="1:54" ht="15" customHeight="1" x14ac:dyDescent="0.25">
      <c r="A103" s="54">
        <v>15600</v>
      </c>
      <c r="B103" s="29" t="s">
        <v>387</v>
      </c>
      <c r="C103" s="29" t="s">
        <v>387</v>
      </c>
      <c r="D103" s="30">
        <v>46014</v>
      </c>
      <c r="E103" s="28">
        <v>46021</v>
      </c>
      <c r="F103" s="202" t="s">
        <v>62</v>
      </c>
      <c r="G103" s="207" t="s">
        <v>71</v>
      </c>
      <c r="H103" s="159" t="s">
        <v>101</v>
      </c>
      <c r="I103" s="87" t="s">
        <v>393</v>
      </c>
      <c r="J103" s="87" t="s">
        <v>65</v>
      </c>
      <c r="K103" s="87" t="s">
        <v>86</v>
      </c>
      <c r="L103" s="3">
        <v>1</v>
      </c>
      <c r="M103" s="40" t="s">
        <v>54</v>
      </c>
      <c r="N103" s="28" t="s">
        <v>55</v>
      </c>
      <c r="O103" s="33">
        <v>0</v>
      </c>
      <c r="P103" s="33"/>
      <c r="Q103" s="28" t="s">
        <v>55</v>
      </c>
      <c r="R103" s="28" t="s">
        <v>55</v>
      </c>
      <c r="S103" s="33">
        <v>0</v>
      </c>
      <c r="T103" s="28" t="s">
        <v>55</v>
      </c>
      <c r="U103" s="18" t="s">
        <v>55</v>
      </c>
      <c r="V103" s="18" t="s">
        <v>55</v>
      </c>
      <c r="W103" s="18" t="s">
        <v>55</v>
      </c>
      <c r="X103" s="18" t="s">
        <v>55</v>
      </c>
      <c r="Y103" s="18" t="s">
        <v>55</v>
      </c>
      <c r="Z103" s="18" t="s">
        <v>55</v>
      </c>
      <c r="AA103" s="33">
        <v>1</v>
      </c>
      <c r="AB103" s="33">
        <v>1</v>
      </c>
      <c r="AC103" s="33">
        <v>0</v>
      </c>
      <c r="AD103" s="28">
        <v>46020</v>
      </c>
      <c r="AE103" s="28">
        <v>46020</v>
      </c>
      <c r="AF103" s="28">
        <v>46015</v>
      </c>
      <c r="AG103" s="28">
        <v>46024</v>
      </c>
      <c r="AH103" s="28">
        <v>46024</v>
      </c>
      <c r="AI103" s="3">
        <f t="shared" si="14"/>
        <v>1</v>
      </c>
      <c r="AJ103" s="47" t="s">
        <v>394</v>
      </c>
      <c r="AK103" s="35" t="s">
        <v>390</v>
      </c>
      <c r="AL103" s="19" t="str">
        <f t="shared" si="13"/>
        <v>N/A</v>
      </c>
      <c r="AM103" s="67" t="str">
        <f>IFERROR(NETWORKDAYS(D103,Q103,Hoja1!$A$1:$A$29),"N/A")</f>
        <v>N/A</v>
      </c>
      <c r="AN103" s="21">
        <f>IFERROR(NETWORKDAYS(D103,AE103,Hoja1!$A$1:$A$29),"N/A")</f>
        <v>4</v>
      </c>
      <c r="AO103" s="78">
        <v>0</v>
      </c>
      <c r="AP103" s="21">
        <f t="shared" si="10"/>
        <v>4</v>
      </c>
      <c r="AQ103" s="21">
        <f>IFERROR(NETWORKDAYS(AF103,AG103,Hoja1!$A$1:$A$29),"N/A")</f>
        <v>6</v>
      </c>
      <c r="AR103" s="74">
        <v>1</v>
      </c>
      <c r="AS103" s="75">
        <f t="shared" si="15"/>
        <v>5</v>
      </c>
      <c r="AT103" s="21">
        <f>IFERROR(NETWORKDAYS(D103,AG103,Hoja1!$A$1:$A$29),"N/A")</f>
        <v>7</v>
      </c>
      <c r="AU103" s="21">
        <f t="shared" si="16"/>
        <v>6</v>
      </c>
      <c r="AV103" s="69" t="s">
        <v>145</v>
      </c>
      <c r="AW103" s="27" t="s">
        <v>202</v>
      </c>
      <c r="AX103" s="45"/>
      <c r="AY103" s="45"/>
      <c r="AZ103" s="45"/>
      <c r="BA103" s="45"/>
      <c r="BB103" s="45"/>
    </row>
    <row r="104" spans="1:54" ht="15" customHeight="1" x14ac:dyDescent="0.25">
      <c r="A104" s="54">
        <v>15601</v>
      </c>
      <c r="B104" s="29" t="s">
        <v>387</v>
      </c>
      <c r="C104" s="29" t="s">
        <v>387</v>
      </c>
      <c r="D104" s="418">
        <v>46014</v>
      </c>
      <c r="E104" s="28">
        <v>46021</v>
      </c>
      <c r="F104" s="202" t="s">
        <v>62</v>
      </c>
      <c r="G104" s="207" t="s">
        <v>71</v>
      </c>
      <c r="H104" s="159" t="s">
        <v>101</v>
      </c>
      <c r="I104" s="87" t="s">
        <v>250</v>
      </c>
      <c r="J104" s="87" t="s">
        <v>142</v>
      </c>
      <c r="K104" s="87" t="s">
        <v>86</v>
      </c>
      <c r="L104" s="3">
        <v>1</v>
      </c>
      <c r="M104" s="40" t="s">
        <v>54</v>
      </c>
      <c r="N104" s="28" t="s">
        <v>55</v>
      </c>
      <c r="O104" s="33">
        <v>0</v>
      </c>
      <c r="P104" s="33"/>
      <c r="Q104" s="28" t="s">
        <v>55</v>
      </c>
      <c r="R104" s="28" t="s">
        <v>55</v>
      </c>
      <c r="S104" s="33">
        <v>0</v>
      </c>
      <c r="T104" s="28" t="s">
        <v>55</v>
      </c>
      <c r="U104" s="18" t="s">
        <v>55</v>
      </c>
      <c r="V104" s="18" t="s">
        <v>55</v>
      </c>
      <c r="W104" s="18" t="s">
        <v>55</v>
      </c>
      <c r="X104" s="18" t="s">
        <v>55</v>
      </c>
      <c r="Y104" s="18" t="s">
        <v>55</v>
      </c>
      <c r="Z104" s="18" t="s">
        <v>55</v>
      </c>
      <c r="AA104" s="33">
        <v>1</v>
      </c>
      <c r="AB104" s="33">
        <v>1</v>
      </c>
      <c r="AC104" s="33">
        <v>0</v>
      </c>
      <c r="AD104" s="28">
        <v>46020</v>
      </c>
      <c r="AE104" s="28">
        <v>46020</v>
      </c>
      <c r="AF104" s="28">
        <v>46015</v>
      </c>
      <c r="AG104" s="28">
        <v>46024</v>
      </c>
      <c r="AH104" s="28">
        <v>46024</v>
      </c>
      <c r="AI104" s="3">
        <f t="shared" si="14"/>
        <v>1</v>
      </c>
      <c r="AJ104" s="52" t="s">
        <v>395</v>
      </c>
      <c r="AK104" s="45" t="s">
        <v>390</v>
      </c>
      <c r="AL104" s="19" t="str">
        <f t="shared" si="13"/>
        <v>N/A</v>
      </c>
      <c r="AM104" s="67" t="str">
        <f>IFERROR(NETWORKDAYS(D104,Q104,Hoja1!$A$1:$A$29),"N/A")</f>
        <v>N/A</v>
      </c>
      <c r="AN104" s="21">
        <f>IFERROR(NETWORKDAYS(D104,AE104,Hoja1!$A$1:$A$29),"N/A")</f>
        <v>4</v>
      </c>
      <c r="AO104" s="78">
        <v>0</v>
      </c>
      <c r="AP104" s="21">
        <f t="shared" si="10"/>
        <v>4</v>
      </c>
      <c r="AQ104" s="21">
        <f>IFERROR(NETWORKDAYS(AF104,AG104,Hoja1!$A$1:$A$29),"N/A")</f>
        <v>6</v>
      </c>
      <c r="AR104" s="74">
        <v>1</v>
      </c>
      <c r="AS104" s="75">
        <f t="shared" si="15"/>
        <v>5</v>
      </c>
      <c r="AT104" s="21">
        <f>IFERROR(NETWORKDAYS(D104,AG104,Hoja1!$A$1:$A$29),"N/A")</f>
        <v>7</v>
      </c>
      <c r="AU104" s="21">
        <f t="shared" si="16"/>
        <v>6</v>
      </c>
      <c r="AV104" s="69" t="s">
        <v>145</v>
      </c>
      <c r="AW104" s="27" t="s">
        <v>202</v>
      </c>
      <c r="AX104" s="45"/>
      <c r="AY104" s="45"/>
      <c r="AZ104" s="45"/>
      <c r="BA104" s="45"/>
      <c r="BB104" s="45"/>
    </row>
    <row r="105" spans="1:54" ht="15" customHeight="1" x14ac:dyDescent="0.25">
      <c r="A105" s="59">
        <v>15602</v>
      </c>
      <c r="B105" s="40" t="s">
        <v>79</v>
      </c>
      <c r="C105" s="40" t="s">
        <v>79</v>
      </c>
      <c r="D105" s="30">
        <v>45992</v>
      </c>
      <c r="E105" s="28">
        <v>46021</v>
      </c>
      <c r="F105" s="202" t="s">
        <v>879</v>
      </c>
      <c r="G105" s="48" t="s">
        <v>396</v>
      </c>
      <c r="H105" s="111" t="s">
        <v>51</v>
      </c>
      <c r="I105" s="45" t="s">
        <v>397</v>
      </c>
      <c r="J105" s="87" t="s">
        <v>52</v>
      </c>
      <c r="K105" s="48" t="s">
        <v>106</v>
      </c>
      <c r="L105" s="33">
        <v>1</v>
      </c>
      <c r="M105" s="40" t="s">
        <v>54</v>
      </c>
      <c r="N105" s="33" t="s">
        <v>55</v>
      </c>
      <c r="O105" s="33">
        <v>9</v>
      </c>
      <c r="P105" s="33" t="s">
        <v>112</v>
      </c>
      <c r="Q105" s="28">
        <v>45996</v>
      </c>
      <c r="R105" s="28">
        <v>45996</v>
      </c>
      <c r="S105" s="33">
        <v>9</v>
      </c>
      <c r="T105" s="33" t="s">
        <v>55</v>
      </c>
      <c r="U105" s="18" t="s">
        <v>55</v>
      </c>
      <c r="V105" s="18" t="s">
        <v>55</v>
      </c>
      <c r="W105" s="18" t="s">
        <v>55</v>
      </c>
      <c r="X105" s="18" t="s">
        <v>55</v>
      </c>
      <c r="Y105" s="18" t="s">
        <v>55</v>
      </c>
      <c r="Z105" s="18" t="s">
        <v>55</v>
      </c>
      <c r="AA105" s="33">
        <v>3</v>
      </c>
      <c r="AB105" s="33">
        <v>3</v>
      </c>
      <c r="AC105" s="33">
        <v>0</v>
      </c>
      <c r="AD105" s="28">
        <v>46013</v>
      </c>
      <c r="AE105" s="28">
        <v>46020</v>
      </c>
      <c r="AF105" s="28">
        <v>46021</v>
      </c>
      <c r="AG105" s="28">
        <v>46031</v>
      </c>
      <c r="AH105" s="28">
        <v>46035</v>
      </c>
      <c r="AI105" s="3">
        <v>1</v>
      </c>
      <c r="AJ105" s="35" t="s">
        <v>398</v>
      </c>
      <c r="AK105" s="60" t="s">
        <v>399</v>
      </c>
      <c r="AL105" s="19">
        <f t="shared" si="13"/>
        <v>1</v>
      </c>
      <c r="AM105" s="67">
        <f>IFERROR(NETWORKDAYS(D105,Q105,Hoja1!$A$1:$A$29),"N/A")</f>
        <v>5</v>
      </c>
      <c r="AN105" s="21">
        <f>IFERROR(NETWORKDAYS(D105,AE105,Hoja1!$A$1:$A$29),"N/A")</f>
        <v>19</v>
      </c>
      <c r="AO105" s="78">
        <v>9</v>
      </c>
      <c r="AP105" s="21">
        <f t="shared" si="10"/>
        <v>10</v>
      </c>
      <c r="AQ105" s="21">
        <f>IFERROR(NETWORKDAYS(AF105,AG105,Hoja1!$A$1:$A$29),"N/A")</f>
        <v>8</v>
      </c>
      <c r="AR105" s="74">
        <v>3</v>
      </c>
      <c r="AS105" s="75">
        <f t="shared" si="15"/>
        <v>5</v>
      </c>
      <c r="AT105" s="21">
        <f>IFERROR(NETWORKDAYS(D105,AG105,Hoja1!$A$1:$A$29),"N/A")</f>
        <v>27</v>
      </c>
      <c r="AU105" s="21">
        <f t="shared" si="16"/>
        <v>15</v>
      </c>
      <c r="AV105" s="69" t="s">
        <v>127</v>
      </c>
      <c r="AW105" s="27" t="s">
        <v>400</v>
      </c>
      <c r="AX105" s="33"/>
      <c r="AY105" s="33"/>
      <c r="AZ105" s="33"/>
      <c r="BA105" s="27"/>
      <c r="BB105" s="27"/>
    </row>
    <row r="106" spans="1:54" ht="15" customHeight="1" x14ac:dyDescent="0.25">
      <c r="A106" s="54">
        <v>15609</v>
      </c>
      <c r="B106" s="40" t="s">
        <v>401</v>
      </c>
      <c r="C106" s="40" t="s">
        <v>401</v>
      </c>
      <c r="D106" s="418">
        <v>46021</v>
      </c>
      <c r="E106" s="28">
        <v>46021</v>
      </c>
      <c r="F106" s="202" t="s">
        <v>62</v>
      </c>
      <c r="G106" s="207" t="s">
        <v>71</v>
      </c>
      <c r="H106" s="159" t="s">
        <v>101</v>
      </c>
      <c r="I106" s="87" t="s">
        <v>402</v>
      </c>
      <c r="J106" s="87" t="s">
        <v>142</v>
      </c>
      <c r="K106" s="87" t="s">
        <v>86</v>
      </c>
      <c r="L106" s="3">
        <v>1</v>
      </c>
      <c r="M106" s="40" t="s">
        <v>54</v>
      </c>
      <c r="N106" s="28" t="s">
        <v>55</v>
      </c>
      <c r="O106" s="33">
        <v>0</v>
      </c>
      <c r="P106" s="33"/>
      <c r="Q106" s="28" t="s">
        <v>55</v>
      </c>
      <c r="R106" s="28" t="s">
        <v>55</v>
      </c>
      <c r="S106" s="33">
        <v>0</v>
      </c>
      <c r="T106" s="28" t="s">
        <v>55</v>
      </c>
      <c r="U106" s="18" t="s">
        <v>55</v>
      </c>
      <c r="V106" s="18" t="s">
        <v>55</v>
      </c>
      <c r="W106" s="18" t="s">
        <v>55</v>
      </c>
      <c r="X106" s="18" t="s">
        <v>55</v>
      </c>
      <c r="Y106" s="18" t="s">
        <v>55</v>
      </c>
      <c r="Z106" s="18" t="s">
        <v>55</v>
      </c>
      <c r="AA106" s="33">
        <v>1</v>
      </c>
      <c r="AB106" s="33">
        <v>1</v>
      </c>
      <c r="AC106" s="33">
        <v>0</v>
      </c>
      <c r="AD106" s="28">
        <v>46027</v>
      </c>
      <c r="AE106" s="28">
        <v>46027</v>
      </c>
      <c r="AF106" s="28">
        <v>46027</v>
      </c>
      <c r="AG106" s="28">
        <v>46035</v>
      </c>
      <c r="AH106" s="28">
        <v>46036</v>
      </c>
      <c r="AI106" s="3">
        <f>MONTH(AH106)</f>
        <v>1</v>
      </c>
      <c r="AJ106" s="50" t="s">
        <v>403</v>
      </c>
      <c r="AK106" s="45" t="s">
        <v>404</v>
      </c>
      <c r="AL106" s="19" t="str">
        <f t="shared" si="13"/>
        <v>N/A</v>
      </c>
      <c r="AM106" s="67" t="str">
        <f>IFERROR(NETWORKDAYS(D106,Q106,Hoja1!$A$1:$A$29),"N/A")</f>
        <v>N/A</v>
      </c>
      <c r="AN106" s="21">
        <f>IFERROR(NETWORKDAYS(D106,AE106,Hoja1!$A$1:$A$29),"N/A")</f>
        <v>4</v>
      </c>
      <c r="AO106" s="78">
        <v>0</v>
      </c>
      <c r="AP106" s="21">
        <f t="shared" si="10"/>
        <v>4</v>
      </c>
      <c r="AQ106" s="21">
        <f>IFERROR(NETWORKDAYS(AF106,AG106,Hoja1!$A$1:$A$29),"N/A")</f>
        <v>6</v>
      </c>
      <c r="AR106" s="74">
        <v>1</v>
      </c>
      <c r="AS106" s="75">
        <f t="shared" si="15"/>
        <v>5</v>
      </c>
      <c r="AT106" s="21">
        <f>IFERROR(NETWORKDAYS(D106,AG106,Hoja1!$A$1:$A$29),"N/A")</f>
        <v>9</v>
      </c>
      <c r="AU106" s="21">
        <f t="shared" si="16"/>
        <v>8</v>
      </c>
      <c r="AV106" s="69" t="s">
        <v>145</v>
      </c>
      <c r="AW106" s="27" t="s">
        <v>405</v>
      </c>
      <c r="AX106" s="45"/>
      <c r="AY106" s="45"/>
      <c r="AZ106" s="45"/>
      <c r="BA106" s="45"/>
      <c r="BB106" s="45"/>
    </row>
    <row r="107" spans="1:54" ht="15" customHeight="1" x14ac:dyDescent="0.25">
      <c r="A107" s="56">
        <v>15614</v>
      </c>
      <c r="B107" s="40" t="s">
        <v>169</v>
      </c>
      <c r="C107" s="40" t="s">
        <v>169</v>
      </c>
      <c r="D107" s="37">
        <v>46024</v>
      </c>
      <c r="E107" s="38">
        <v>46024</v>
      </c>
      <c r="F107" s="202" t="s">
        <v>62</v>
      </c>
      <c r="G107" s="207" t="s">
        <v>71</v>
      </c>
      <c r="H107" s="159" t="s">
        <v>101</v>
      </c>
      <c r="I107" s="48" t="s">
        <v>406</v>
      </c>
      <c r="J107" s="207" t="s">
        <v>118</v>
      </c>
      <c r="K107" s="87" t="s">
        <v>86</v>
      </c>
      <c r="L107" s="3">
        <v>1</v>
      </c>
      <c r="M107" s="40" t="s">
        <v>54</v>
      </c>
      <c r="N107" s="28" t="s">
        <v>55</v>
      </c>
      <c r="O107" s="33">
        <v>0</v>
      </c>
      <c r="P107" s="33"/>
      <c r="Q107" s="28" t="s">
        <v>55</v>
      </c>
      <c r="R107" s="28" t="s">
        <v>55</v>
      </c>
      <c r="S107" s="33">
        <v>0</v>
      </c>
      <c r="T107" s="28" t="s">
        <v>55</v>
      </c>
      <c r="U107" s="18" t="s">
        <v>55</v>
      </c>
      <c r="V107" s="18" t="s">
        <v>55</v>
      </c>
      <c r="W107" s="18" t="s">
        <v>55</v>
      </c>
      <c r="X107" s="18" t="s">
        <v>55</v>
      </c>
      <c r="Y107" s="18" t="s">
        <v>55</v>
      </c>
      <c r="Z107" s="18" t="s">
        <v>55</v>
      </c>
      <c r="AA107" s="33">
        <v>1</v>
      </c>
      <c r="AB107" s="33">
        <v>1</v>
      </c>
      <c r="AC107" s="33">
        <v>0</v>
      </c>
      <c r="AD107" s="28">
        <v>46030</v>
      </c>
      <c r="AE107" s="28">
        <v>46030</v>
      </c>
      <c r="AF107" s="28">
        <v>46030</v>
      </c>
      <c r="AG107" s="28">
        <v>46043</v>
      </c>
      <c r="AH107" s="28">
        <v>46044</v>
      </c>
      <c r="AI107" s="3">
        <f>MONTH(AH107)</f>
        <v>1</v>
      </c>
      <c r="AJ107" s="50" t="s">
        <v>407</v>
      </c>
      <c r="AK107" s="45" t="s">
        <v>408</v>
      </c>
      <c r="AL107" s="19" t="str">
        <f t="shared" si="13"/>
        <v>N/A</v>
      </c>
      <c r="AM107" s="67" t="str">
        <f>IFERROR(NETWORKDAYS(D107,Q107,Hoja1!$A$1:$A$29),"N/A")</f>
        <v>N/A</v>
      </c>
      <c r="AN107" s="21">
        <f>IFERROR(NETWORKDAYS(D107,AE107,Hoja1!$A$1:$A$29),"N/A")</f>
        <v>5</v>
      </c>
      <c r="AO107" s="78">
        <v>0</v>
      </c>
      <c r="AP107" s="21">
        <f t="shared" si="10"/>
        <v>5</v>
      </c>
      <c r="AQ107" s="21">
        <f>IFERROR(NETWORKDAYS(AF107,AG107,Hoja1!$A$1:$A$29),"N/A")</f>
        <v>9</v>
      </c>
      <c r="AR107" s="74">
        <v>4</v>
      </c>
      <c r="AS107" s="75">
        <f t="shared" si="15"/>
        <v>5</v>
      </c>
      <c r="AT107" s="21">
        <f>IFERROR(NETWORKDAYS(D107,AG107,Hoja1!$A$1:$A$29),"N/A")</f>
        <v>13</v>
      </c>
      <c r="AU107" s="21">
        <f t="shared" si="16"/>
        <v>9</v>
      </c>
      <c r="AV107" s="69" t="s">
        <v>145</v>
      </c>
      <c r="AW107" s="27" t="s">
        <v>405</v>
      </c>
      <c r="AX107" s="45"/>
      <c r="AY107" s="45"/>
      <c r="AZ107" s="45"/>
      <c r="BA107" s="45"/>
      <c r="BB107" s="45"/>
    </row>
    <row r="108" spans="1:54" ht="15" customHeight="1" x14ac:dyDescent="0.25">
      <c r="A108" s="55">
        <v>15644</v>
      </c>
      <c r="B108" s="14" t="s">
        <v>61</v>
      </c>
      <c r="C108" s="14" t="s">
        <v>61</v>
      </c>
      <c r="D108" s="420">
        <v>46030</v>
      </c>
      <c r="E108" s="16">
        <v>46030</v>
      </c>
      <c r="F108" s="179" t="s">
        <v>62</v>
      </c>
      <c r="G108" s="23" t="s">
        <v>63</v>
      </c>
      <c r="H108" s="22" t="s">
        <v>101</v>
      </c>
      <c r="I108" s="27" t="s">
        <v>409</v>
      </c>
      <c r="J108" s="87" t="s">
        <v>142</v>
      </c>
      <c r="K108" s="23" t="s">
        <v>66</v>
      </c>
      <c r="L108" s="17">
        <v>1</v>
      </c>
      <c r="M108" s="40" t="s">
        <v>54</v>
      </c>
      <c r="N108" s="16" t="s">
        <v>55</v>
      </c>
      <c r="O108" s="1">
        <v>0</v>
      </c>
      <c r="P108" s="1"/>
      <c r="Q108" s="28" t="s">
        <v>55</v>
      </c>
      <c r="R108" s="28" t="s">
        <v>55</v>
      </c>
      <c r="S108" s="1">
        <v>0</v>
      </c>
      <c r="T108" s="16" t="s">
        <v>55</v>
      </c>
      <c r="U108" s="18" t="s">
        <v>55</v>
      </c>
      <c r="V108" s="18" t="s">
        <v>55</v>
      </c>
      <c r="W108" s="18" t="s">
        <v>55</v>
      </c>
      <c r="X108" s="18" t="s">
        <v>55</v>
      </c>
      <c r="Y108" s="18" t="s">
        <v>55</v>
      </c>
      <c r="Z108" s="18" t="s">
        <v>55</v>
      </c>
      <c r="AA108" s="1">
        <v>1</v>
      </c>
      <c r="AB108" s="1">
        <v>1</v>
      </c>
      <c r="AC108" s="1">
        <v>0</v>
      </c>
      <c r="AD108" s="16">
        <v>46035</v>
      </c>
      <c r="AE108" s="16">
        <v>46035</v>
      </c>
      <c r="AF108" s="16">
        <v>46036</v>
      </c>
      <c r="AG108" s="16">
        <v>46041</v>
      </c>
      <c r="AH108" s="16">
        <v>46041</v>
      </c>
      <c r="AI108" s="3">
        <f>MONTH(AH108)</f>
        <v>1</v>
      </c>
      <c r="AJ108" s="27" t="s">
        <v>410</v>
      </c>
      <c r="AK108" s="49" t="s">
        <v>411</v>
      </c>
      <c r="AL108" s="19" t="str">
        <f t="shared" si="13"/>
        <v>N/A</v>
      </c>
      <c r="AM108" s="67" t="str">
        <f>IFERROR(NETWORKDAYS(D108,Q108,Hoja1!$A$1:$A$29),"N/A")</f>
        <v>N/A</v>
      </c>
      <c r="AN108" s="21">
        <f>IFERROR(NETWORKDAYS(D108,AE108,Hoja1!$A$1:$A$29),"N/A")</f>
        <v>3</v>
      </c>
      <c r="AO108" s="78">
        <v>0</v>
      </c>
      <c r="AP108" s="21">
        <f t="shared" si="10"/>
        <v>3</v>
      </c>
      <c r="AQ108" s="21">
        <f>IFERROR(NETWORKDAYS(AF108,AG108,Hoja1!$A$1:$A$29),"N/A")</f>
        <v>4</v>
      </c>
      <c r="AR108" s="74">
        <v>0</v>
      </c>
      <c r="AS108" s="75">
        <f t="shared" si="15"/>
        <v>4</v>
      </c>
      <c r="AT108" s="21">
        <f>IFERROR(NETWORKDAYS(D108,AG108,Hoja1!$A$1:$A$29),"N/A")</f>
        <v>7</v>
      </c>
      <c r="AU108" s="21">
        <f t="shared" si="16"/>
        <v>7</v>
      </c>
      <c r="AV108" s="69" t="s">
        <v>104</v>
      </c>
      <c r="AW108" s="27" t="s">
        <v>412</v>
      </c>
      <c r="AX108" s="27"/>
      <c r="AY108" s="27"/>
      <c r="AZ108" s="27"/>
      <c r="BA108" s="27"/>
      <c r="BB108" s="27"/>
    </row>
    <row r="109" spans="1:54" ht="15" customHeight="1" x14ac:dyDescent="0.25">
      <c r="A109" s="55">
        <v>14768</v>
      </c>
      <c r="B109" s="27" t="s">
        <v>69</v>
      </c>
      <c r="C109" s="43" t="s">
        <v>98</v>
      </c>
      <c r="D109" s="30">
        <v>45980</v>
      </c>
      <c r="E109" s="30">
        <v>45980</v>
      </c>
      <c r="F109" s="232" t="s">
        <v>90</v>
      </c>
      <c r="G109" s="87" t="s">
        <v>91</v>
      </c>
      <c r="H109" s="111" t="s">
        <v>51</v>
      </c>
      <c r="I109" s="27" t="s">
        <v>72</v>
      </c>
      <c r="J109" s="27" t="s">
        <v>73</v>
      </c>
      <c r="K109" s="87" t="s">
        <v>171</v>
      </c>
      <c r="L109" s="3">
        <v>1</v>
      </c>
      <c r="M109" s="45" t="s">
        <v>54</v>
      </c>
      <c r="N109" s="3" t="s">
        <v>55</v>
      </c>
      <c r="O109" s="3">
        <v>6</v>
      </c>
      <c r="P109" s="3" t="s">
        <v>112</v>
      </c>
      <c r="Q109" s="30">
        <v>46049</v>
      </c>
      <c r="R109" s="30">
        <v>46049</v>
      </c>
      <c r="S109" s="3">
        <v>6</v>
      </c>
      <c r="T109" s="3" t="s">
        <v>55</v>
      </c>
      <c r="U109" s="3" t="s">
        <v>55</v>
      </c>
      <c r="V109" s="3" t="s">
        <v>55</v>
      </c>
      <c r="W109" s="3" t="s">
        <v>55</v>
      </c>
      <c r="X109" s="3" t="s">
        <v>55</v>
      </c>
      <c r="Y109" s="3" t="s">
        <v>55</v>
      </c>
      <c r="Z109" s="3" t="s">
        <v>55</v>
      </c>
      <c r="AA109" s="3">
        <v>6</v>
      </c>
      <c r="AB109" s="3">
        <v>1</v>
      </c>
      <c r="AC109" s="3">
        <v>0</v>
      </c>
      <c r="AD109" s="30">
        <v>46049</v>
      </c>
      <c r="AE109" s="30">
        <v>46057</v>
      </c>
      <c r="AF109" s="30">
        <v>46064</v>
      </c>
      <c r="AG109" s="16">
        <v>46073</v>
      </c>
      <c r="AH109" s="140">
        <v>46076</v>
      </c>
      <c r="AI109" s="3">
        <f t="shared" ref="AI109:AI172" si="17">MONTH(AH109)</f>
        <v>2</v>
      </c>
      <c r="AJ109" s="85" t="s">
        <v>448</v>
      </c>
      <c r="AK109" s="45" t="s">
        <v>449</v>
      </c>
      <c r="AL109" s="19">
        <f t="shared" si="13"/>
        <v>1</v>
      </c>
      <c r="AM109" s="67">
        <f>IFERROR(NETWORKDAYS(D109,Q109,Hoja1!$A$1:$A$29),"N/A")</f>
        <v>46</v>
      </c>
      <c r="AN109" s="21">
        <f>IFERROR(NETWORKDAYS(D109,AE109,Hoja1!$A$1:$A$29),"N/A")</f>
        <v>52</v>
      </c>
      <c r="AO109" s="78">
        <v>7</v>
      </c>
      <c r="AP109" s="21">
        <f t="shared" si="10"/>
        <v>45</v>
      </c>
      <c r="AQ109" s="21">
        <f>IFERROR(NETWORKDAYS(AF109,AG109,Hoja1!$A$1:$A$29),"N/A")</f>
        <v>8</v>
      </c>
      <c r="AR109" s="78">
        <v>3</v>
      </c>
      <c r="AS109" s="75">
        <f t="shared" si="15"/>
        <v>5</v>
      </c>
      <c r="AT109" s="21">
        <f>IFERROR(NETWORKDAYS(D109,AG109,Hoja1!$A$1:$A$29),"N/A")</f>
        <v>64</v>
      </c>
      <c r="AU109" s="21">
        <f t="shared" si="16"/>
        <v>54</v>
      </c>
      <c r="AV109" s="69" t="s">
        <v>77</v>
      </c>
      <c r="AW109" s="49" t="s">
        <v>110</v>
      </c>
      <c r="AX109" s="1"/>
      <c r="AY109" s="1"/>
      <c r="AZ109" s="1"/>
      <c r="BA109" s="1"/>
      <c r="BB109" s="1"/>
    </row>
    <row r="110" spans="1:54" ht="15" customHeight="1" x14ac:dyDescent="0.25">
      <c r="A110" s="58">
        <v>14771</v>
      </c>
      <c r="B110" s="84" t="s">
        <v>169</v>
      </c>
      <c r="C110" s="84" t="s">
        <v>169</v>
      </c>
      <c r="D110" s="417">
        <v>46051</v>
      </c>
      <c r="E110" s="37">
        <v>45893</v>
      </c>
      <c r="F110" s="202" t="s">
        <v>879</v>
      </c>
      <c r="G110" s="48" t="s">
        <v>50</v>
      </c>
      <c r="H110" s="111" t="s">
        <v>51</v>
      </c>
      <c r="I110" s="111" t="s">
        <v>872</v>
      </c>
      <c r="J110" s="87" t="s">
        <v>105</v>
      </c>
      <c r="K110" s="48" t="s">
        <v>106</v>
      </c>
      <c r="L110" s="3">
        <v>1</v>
      </c>
      <c r="M110" s="45" t="s">
        <v>54</v>
      </c>
      <c r="N110" s="18" t="s">
        <v>55</v>
      </c>
      <c r="O110" s="3">
        <v>12</v>
      </c>
      <c r="P110" s="3" t="s">
        <v>56</v>
      </c>
      <c r="Q110" s="30">
        <v>46058</v>
      </c>
      <c r="R110" s="30">
        <v>46058</v>
      </c>
      <c r="S110" s="3">
        <v>6</v>
      </c>
      <c r="T110" s="18" t="s">
        <v>55</v>
      </c>
      <c r="U110" s="18" t="s">
        <v>55</v>
      </c>
      <c r="V110" s="18" t="s">
        <v>55</v>
      </c>
      <c r="W110" s="18" t="s">
        <v>55</v>
      </c>
      <c r="X110" s="18" t="s">
        <v>55</v>
      </c>
      <c r="Y110" s="18" t="s">
        <v>55</v>
      </c>
      <c r="Z110" s="3" t="s">
        <v>55</v>
      </c>
      <c r="AA110" s="3">
        <v>6</v>
      </c>
      <c r="AB110" s="3">
        <v>4</v>
      </c>
      <c r="AC110" s="3">
        <v>0</v>
      </c>
      <c r="AD110" s="30">
        <v>46063</v>
      </c>
      <c r="AE110" s="30">
        <v>46063</v>
      </c>
      <c r="AF110" s="30">
        <v>46063</v>
      </c>
      <c r="AG110" s="16">
        <v>46073</v>
      </c>
      <c r="AH110" s="140">
        <v>46076</v>
      </c>
      <c r="AI110" s="3">
        <f t="shared" si="17"/>
        <v>2</v>
      </c>
      <c r="AJ110" s="85" t="s">
        <v>450</v>
      </c>
      <c r="AK110" s="35" t="s">
        <v>451</v>
      </c>
      <c r="AL110" s="19">
        <f t="shared" si="13"/>
        <v>0.5</v>
      </c>
      <c r="AM110" s="67">
        <f>IFERROR(NETWORKDAYS(D110,Q110,Hoja1!$A$1:$A$29),"N/A")</f>
        <v>6</v>
      </c>
      <c r="AN110" s="21">
        <f>IFERROR(NETWORKDAYS(D110,AE110,Hoja1!$A$1:$A$29),"N/A")</f>
        <v>9</v>
      </c>
      <c r="AO110" s="78">
        <v>0</v>
      </c>
      <c r="AP110" s="21">
        <f t="shared" si="10"/>
        <v>9</v>
      </c>
      <c r="AQ110" s="21">
        <f>IFERROR(NETWORKDAYS(AF110,AG110,Hoja1!$A$1:$A$29),"N/A")</f>
        <v>9</v>
      </c>
      <c r="AR110" s="74">
        <v>2</v>
      </c>
      <c r="AS110" s="75">
        <f t="shared" si="15"/>
        <v>7</v>
      </c>
      <c r="AT110" s="21">
        <f>IFERROR(NETWORKDAYS(D110,AG110,Hoja1!$A$1:$A$29),"N/A")</f>
        <v>17</v>
      </c>
      <c r="AU110" s="21">
        <f t="shared" si="16"/>
        <v>15</v>
      </c>
      <c r="AV110" s="69" t="s">
        <v>127</v>
      </c>
      <c r="AW110" s="86" t="s">
        <v>452</v>
      </c>
      <c r="AX110" s="46" t="s">
        <v>453</v>
      </c>
      <c r="AY110" s="87" t="s">
        <v>454</v>
      </c>
      <c r="AZ110" s="3"/>
      <c r="BA110" s="3"/>
      <c r="BB110" s="3"/>
    </row>
    <row r="111" spans="1:54" ht="15" customHeight="1" x14ac:dyDescent="0.25">
      <c r="A111" s="55">
        <v>14783</v>
      </c>
      <c r="B111" s="27" t="s">
        <v>69</v>
      </c>
      <c r="C111" s="43" t="s">
        <v>98</v>
      </c>
      <c r="D111" s="44">
        <v>45897</v>
      </c>
      <c r="E111" s="44">
        <v>45897</v>
      </c>
      <c r="F111" s="143" t="s">
        <v>99</v>
      </c>
      <c r="G111" s="111" t="s">
        <v>455</v>
      </c>
      <c r="H111" s="111" t="s">
        <v>51</v>
      </c>
      <c r="I111" s="111" t="s">
        <v>456</v>
      </c>
      <c r="J111" s="111" t="s">
        <v>52</v>
      </c>
      <c r="K111" s="202" t="s">
        <v>1081</v>
      </c>
      <c r="L111" s="2">
        <v>1</v>
      </c>
      <c r="M111" s="45" t="s">
        <v>54</v>
      </c>
      <c r="N111" s="2" t="s">
        <v>55</v>
      </c>
      <c r="O111" s="2">
        <v>16</v>
      </c>
      <c r="P111" s="2" t="s">
        <v>56</v>
      </c>
      <c r="Q111" s="44">
        <v>46055</v>
      </c>
      <c r="R111" s="44">
        <v>46055</v>
      </c>
      <c r="S111" s="88">
        <v>6</v>
      </c>
      <c r="T111" s="2" t="s">
        <v>55</v>
      </c>
      <c r="U111" s="2" t="s">
        <v>55</v>
      </c>
      <c r="V111" s="2" t="s">
        <v>55</v>
      </c>
      <c r="W111" s="2" t="s">
        <v>55</v>
      </c>
      <c r="X111" s="2" t="s">
        <v>55</v>
      </c>
      <c r="Y111" s="2" t="s">
        <v>55</v>
      </c>
      <c r="Z111" s="3" t="s">
        <v>55</v>
      </c>
      <c r="AA111" s="88">
        <v>6</v>
      </c>
      <c r="AB111" s="2">
        <v>1</v>
      </c>
      <c r="AC111" s="2">
        <v>0</v>
      </c>
      <c r="AD111" s="44">
        <v>46063</v>
      </c>
      <c r="AE111" s="44">
        <v>46064</v>
      </c>
      <c r="AF111" s="44">
        <v>46064</v>
      </c>
      <c r="AG111" s="16">
        <v>46073</v>
      </c>
      <c r="AH111" s="140">
        <v>46076</v>
      </c>
      <c r="AI111" s="3">
        <f t="shared" si="17"/>
        <v>2</v>
      </c>
      <c r="AJ111" s="85" t="s">
        <v>457</v>
      </c>
      <c r="AK111" s="46" t="s">
        <v>458</v>
      </c>
      <c r="AL111" s="19">
        <f t="shared" si="13"/>
        <v>0.375</v>
      </c>
      <c r="AM111" s="67">
        <f>IFERROR(NETWORKDAYS(D111,Q111,Hoja1!$A$1:$A$29),"N/A")</f>
        <v>106</v>
      </c>
      <c r="AN111" s="21">
        <f>IFERROR(NETWORKDAYS(D111,AE111,Hoja1!$A$1:$A$29),"N/A")</f>
        <v>113</v>
      </c>
      <c r="AO111" s="78">
        <v>21</v>
      </c>
      <c r="AP111" s="21">
        <f t="shared" si="10"/>
        <v>92</v>
      </c>
      <c r="AQ111" s="21">
        <f>IFERROR(NETWORKDAYS(AF111,AG111,Hoja1!$A$1:$A$29),"N/A")</f>
        <v>8</v>
      </c>
      <c r="AR111" s="78">
        <v>3</v>
      </c>
      <c r="AS111" s="75">
        <f t="shared" si="15"/>
        <v>5</v>
      </c>
      <c r="AT111" s="21">
        <f>IFERROR(NETWORKDAYS(D111,AG111,Hoja1!$A$1:$A$29),"N/A")</f>
        <v>120</v>
      </c>
      <c r="AU111" s="21">
        <f t="shared" si="16"/>
        <v>96</v>
      </c>
      <c r="AV111" s="69" t="s">
        <v>131</v>
      </c>
      <c r="AW111" s="86" t="s">
        <v>139</v>
      </c>
      <c r="AX111" s="43" t="s">
        <v>453</v>
      </c>
      <c r="AY111" s="43"/>
      <c r="AZ111" s="43"/>
      <c r="BA111" s="43"/>
      <c r="BB111" s="43"/>
    </row>
    <row r="112" spans="1:54" ht="15" customHeight="1" x14ac:dyDescent="0.25">
      <c r="A112" s="58">
        <v>14999</v>
      </c>
      <c r="B112" s="84" t="s">
        <v>169</v>
      </c>
      <c r="C112" s="84" t="s">
        <v>169</v>
      </c>
      <c r="D112" s="417">
        <v>45977</v>
      </c>
      <c r="E112" s="37">
        <v>45806</v>
      </c>
      <c r="F112" s="202" t="s">
        <v>879</v>
      </c>
      <c r="G112" s="48" t="s">
        <v>50</v>
      </c>
      <c r="H112" s="111" t="s">
        <v>51</v>
      </c>
      <c r="I112" s="145" t="s">
        <v>487</v>
      </c>
      <c r="J112" s="87" t="s">
        <v>105</v>
      </c>
      <c r="K112" s="48" t="s">
        <v>106</v>
      </c>
      <c r="L112" s="3">
        <v>1</v>
      </c>
      <c r="M112" s="45" t="s">
        <v>54</v>
      </c>
      <c r="N112" s="18" t="s">
        <v>55</v>
      </c>
      <c r="O112" s="93">
        <v>18</v>
      </c>
      <c r="P112" s="3" t="s">
        <v>56</v>
      </c>
      <c r="Q112" s="73">
        <v>45988</v>
      </c>
      <c r="R112" s="73">
        <v>45996</v>
      </c>
      <c r="S112" s="88">
        <v>18</v>
      </c>
      <c r="T112" s="18" t="s">
        <v>55</v>
      </c>
      <c r="U112" s="18" t="s">
        <v>55</v>
      </c>
      <c r="V112" s="18" t="s">
        <v>55</v>
      </c>
      <c r="W112" s="18" t="s">
        <v>55</v>
      </c>
      <c r="X112" s="18" t="s">
        <v>55</v>
      </c>
      <c r="Y112" s="18" t="s">
        <v>55</v>
      </c>
      <c r="Z112" s="3" t="s">
        <v>55</v>
      </c>
      <c r="AA112" s="3">
        <v>6</v>
      </c>
      <c r="AB112" s="3">
        <v>0</v>
      </c>
      <c r="AC112" s="3">
        <v>0</v>
      </c>
      <c r="AD112" s="73">
        <v>46001</v>
      </c>
      <c r="AE112" s="73">
        <v>46001</v>
      </c>
      <c r="AF112" s="94">
        <v>46017</v>
      </c>
      <c r="AG112" s="37">
        <v>46055</v>
      </c>
      <c r="AH112" s="37">
        <v>46065</v>
      </c>
      <c r="AI112" s="3">
        <f t="shared" si="17"/>
        <v>2</v>
      </c>
      <c r="AJ112" s="85" t="s">
        <v>459</v>
      </c>
      <c r="AK112" s="35" t="s">
        <v>869</v>
      </c>
      <c r="AL112" s="19">
        <f t="shared" si="13"/>
        <v>1</v>
      </c>
      <c r="AM112" s="67">
        <f>IFERROR(NETWORKDAYS(D112,Q112,Hoja1!$A$1:$A$29),"N/A")</f>
        <v>8</v>
      </c>
      <c r="AN112" s="21">
        <f>IFERROR(NETWORKDAYS(D112,AE112,Hoja1!$A$1:$A$29),"N/A")</f>
        <v>16</v>
      </c>
      <c r="AO112" s="78">
        <v>0</v>
      </c>
      <c r="AP112" s="21">
        <f t="shared" si="10"/>
        <v>16</v>
      </c>
      <c r="AQ112" s="21">
        <f>IFERROR(NETWORKDAYS(AF112,AG112,Hoja1!$A$1:$A$29),"N/A")</f>
        <v>25</v>
      </c>
      <c r="AR112" s="74">
        <v>20</v>
      </c>
      <c r="AS112" s="75">
        <f t="shared" si="15"/>
        <v>5</v>
      </c>
      <c r="AT112" s="21">
        <f>IFERROR(NETWORKDAYS(D112,AG112,Hoja1!$A$1:$A$29),"N/A")</f>
        <v>51</v>
      </c>
      <c r="AU112" s="21">
        <f t="shared" si="16"/>
        <v>31</v>
      </c>
      <c r="AV112" s="69" t="s">
        <v>59</v>
      </c>
      <c r="AW112" s="86" t="s">
        <v>452</v>
      </c>
      <c r="AX112" s="46" t="s">
        <v>445</v>
      </c>
      <c r="AY112" s="46" t="s">
        <v>454</v>
      </c>
      <c r="AZ112" s="46" t="s">
        <v>454</v>
      </c>
      <c r="BA112" s="3"/>
      <c r="BB112" s="3"/>
    </row>
    <row r="113" spans="1:54" ht="15" customHeight="1" x14ac:dyDescent="0.25">
      <c r="A113" s="95">
        <v>15023</v>
      </c>
      <c r="B113" s="27" t="s">
        <v>69</v>
      </c>
      <c r="C113" s="84" t="s">
        <v>202</v>
      </c>
      <c r="D113" s="28">
        <v>45947</v>
      </c>
      <c r="E113" s="28">
        <v>45938</v>
      </c>
      <c r="F113" s="84" t="s">
        <v>62</v>
      </c>
      <c r="G113" s="84" t="s">
        <v>71</v>
      </c>
      <c r="H113" s="84" t="s">
        <v>116</v>
      </c>
      <c r="I113" s="84" t="s">
        <v>461</v>
      </c>
      <c r="J113" s="84" t="s">
        <v>142</v>
      </c>
      <c r="K113" s="84" t="s">
        <v>351</v>
      </c>
      <c r="L113" s="33">
        <v>1</v>
      </c>
      <c r="M113" s="45" t="s">
        <v>54</v>
      </c>
      <c r="N113" s="21" t="s">
        <v>55</v>
      </c>
      <c r="O113" s="33">
        <v>3</v>
      </c>
      <c r="P113" s="33" t="s">
        <v>112</v>
      </c>
      <c r="Q113" s="53">
        <v>45952</v>
      </c>
      <c r="R113" s="53">
        <v>45963</v>
      </c>
      <c r="S113" s="88">
        <v>3</v>
      </c>
      <c r="T113" s="38">
        <v>45938</v>
      </c>
      <c r="U113" s="38">
        <v>45939</v>
      </c>
      <c r="V113" s="38">
        <v>45944</v>
      </c>
      <c r="W113" s="21" t="s">
        <v>55</v>
      </c>
      <c r="X113" s="21" t="s">
        <v>55</v>
      </c>
      <c r="Y113" s="21" t="s">
        <v>55</v>
      </c>
      <c r="Z113" s="38">
        <v>45967</v>
      </c>
      <c r="AA113" s="88">
        <v>3</v>
      </c>
      <c r="AB113" s="33">
        <v>2</v>
      </c>
      <c r="AC113" s="33">
        <v>0</v>
      </c>
      <c r="AD113" s="28">
        <v>45974</v>
      </c>
      <c r="AE113" s="28">
        <v>46041</v>
      </c>
      <c r="AF113" s="28">
        <v>46048</v>
      </c>
      <c r="AG113" s="16">
        <v>46052</v>
      </c>
      <c r="AH113" s="16">
        <v>46055</v>
      </c>
      <c r="AI113" s="3">
        <f t="shared" si="17"/>
        <v>2</v>
      </c>
      <c r="AJ113" s="85" t="s">
        <v>462</v>
      </c>
      <c r="AK113" s="35" t="s">
        <v>463</v>
      </c>
      <c r="AL113" s="19">
        <f t="shared" si="13"/>
        <v>1</v>
      </c>
      <c r="AM113" s="67">
        <f>IFERROR(NETWORKDAYS(D113,Q113,Hoja1!$A$1:$A$29),"N/A")</f>
        <v>4</v>
      </c>
      <c r="AN113" s="21">
        <f>IFERROR(NETWORKDAYS(D113,AE113,Hoja1!$A$1:$A$29),"N/A")</f>
        <v>61</v>
      </c>
      <c r="AO113" s="78">
        <v>38</v>
      </c>
      <c r="AP113" s="21">
        <f t="shared" si="10"/>
        <v>23</v>
      </c>
      <c r="AQ113" s="21">
        <f>IFERROR(NETWORKDAYS(AF113,AG113,Hoja1!$A$1:$A$29),"N/A")</f>
        <v>5</v>
      </c>
      <c r="AR113" s="74">
        <v>0</v>
      </c>
      <c r="AS113" s="75">
        <f t="shared" si="15"/>
        <v>5</v>
      </c>
      <c r="AT113" s="21">
        <f>IFERROR(NETWORKDAYS(D113,AG113,Hoja1!$A$1:$A$29),"N/A")</f>
        <v>70</v>
      </c>
      <c r="AU113" s="21">
        <f t="shared" si="16"/>
        <v>32</v>
      </c>
      <c r="AV113" s="69" t="s">
        <v>145</v>
      </c>
      <c r="AW113" s="86" t="s">
        <v>180</v>
      </c>
      <c r="AX113" s="46" t="s">
        <v>464</v>
      </c>
      <c r="AY113" s="46"/>
      <c r="AZ113" s="46"/>
      <c r="BA113" s="33"/>
      <c r="BB113" s="33"/>
    </row>
    <row r="114" spans="1:54" ht="15" customHeight="1" x14ac:dyDescent="0.25">
      <c r="A114" s="95">
        <v>15054</v>
      </c>
      <c r="B114" s="87" t="s">
        <v>79</v>
      </c>
      <c r="C114" s="87" t="s">
        <v>79</v>
      </c>
      <c r="D114" s="425">
        <v>46029</v>
      </c>
      <c r="E114" s="44">
        <v>45944</v>
      </c>
      <c r="F114" s="84" t="s">
        <v>62</v>
      </c>
      <c r="G114" s="48" t="s">
        <v>71</v>
      </c>
      <c r="H114" s="111" t="s">
        <v>51</v>
      </c>
      <c r="I114" s="27" t="s">
        <v>72</v>
      </c>
      <c r="J114" s="27" t="s">
        <v>73</v>
      </c>
      <c r="K114" s="87" t="s">
        <v>74</v>
      </c>
      <c r="L114" s="1">
        <v>1</v>
      </c>
      <c r="M114" s="45" t="s">
        <v>54</v>
      </c>
      <c r="N114" s="18" t="s">
        <v>55</v>
      </c>
      <c r="O114" s="1">
        <v>4</v>
      </c>
      <c r="P114" s="1" t="s">
        <v>56</v>
      </c>
      <c r="Q114" s="16">
        <v>46038</v>
      </c>
      <c r="R114" s="16">
        <v>46042</v>
      </c>
      <c r="S114" s="88">
        <v>4</v>
      </c>
      <c r="T114" s="18" t="s">
        <v>55</v>
      </c>
      <c r="U114" s="18" t="s">
        <v>55</v>
      </c>
      <c r="V114" s="18" t="s">
        <v>55</v>
      </c>
      <c r="W114" s="18" t="s">
        <v>55</v>
      </c>
      <c r="X114" s="18" t="s">
        <v>55</v>
      </c>
      <c r="Y114" s="18" t="s">
        <v>55</v>
      </c>
      <c r="Z114" s="3" t="s">
        <v>55</v>
      </c>
      <c r="AA114" s="88">
        <v>6</v>
      </c>
      <c r="AB114" s="1">
        <v>2</v>
      </c>
      <c r="AC114" s="1">
        <v>0</v>
      </c>
      <c r="AD114" s="16">
        <v>46048</v>
      </c>
      <c r="AE114" s="16">
        <v>46048</v>
      </c>
      <c r="AF114" s="16">
        <v>46048</v>
      </c>
      <c r="AG114" s="16">
        <v>46052</v>
      </c>
      <c r="AH114" s="16">
        <v>46055</v>
      </c>
      <c r="AI114" s="3">
        <f t="shared" si="17"/>
        <v>2</v>
      </c>
      <c r="AJ114" s="249" t="s">
        <v>465</v>
      </c>
      <c r="AK114" s="49" t="s">
        <v>466</v>
      </c>
      <c r="AL114" s="19">
        <f t="shared" si="13"/>
        <v>1</v>
      </c>
      <c r="AM114" s="67">
        <f>IFERROR(NETWORKDAYS(D114,Q114,Hoja1!$A$1:$A$29),"N/A")</f>
        <v>7</v>
      </c>
      <c r="AN114" s="21">
        <f>IFERROR(NETWORKDAYS(D114,AE114,Hoja1!$A$1:$A$29),"N/A")</f>
        <v>13</v>
      </c>
      <c r="AO114" s="78">
        <v>0</v>
      </c>
      <c r="AP114" s="21">
        <f t="shared" si="10"/>
        <v>13</v>
      </c>
      <c r="AQ114" s="21">
        <f>IFERROR(NETWORKDAYS(AF114,AG114,Hoja1!$A$1:$A$29),"N/A")</f>
        <v>5</v>
      </c>
      <c r="AR114" s="74">
        <v>0</v>
      </c>
      <c r="AS114" s="75">
        <f t="shared" si="15"/>
        <v>5</v>
      </c>
      <c r="AT114" s="21">
        <f>IFERROR(NETWORKDAYS(D114,AG114,Hoja1!$A$1:$A$29),"N/A")</f>
        <v>17</v>
      </c>
      <c r="AU114" s="21">
        <f t="shared" si="16"/>
        <v>17</v>
      </c>
      <c r="AV114" s="69" t="s">
        <v>77</v>
      </c>
      <c r="AW114" s="86" t="s">
        <v>78</v>
      </c>
      <c r="AX114" s="46" t="s">
        <v>464</v>
      </c>
      <c r="AY114" s="46" t="s">
        <v>453</v>
      </c>
      <c r="AZ114" s="46" t="s">
        <v>453</v>
      </c>
      <c r="BA114" s="1" t="s">
        <v>445</v>
      </c>
      <c r="BB114" s="1" t="s">
        <v>453</v>
      </c>
    </row>
    <row r="115" spans="1:54" ht="15" customHeight="1" x14ac:dyDescent="0.25">
      <c r="A115" s="55">
        <v>15065</v>
      </c>
      <c r="B115" s="84" t="s">
        <v>169</v>
      </c>
      <c r="C115" s="84" t="s">
        <v>169</v>
      </c>
      <c r="D115" s="44">
        <v>45944</v>
      </c>
      <c r="E115" s="44">
        <v>45944</v>
      </c>
      <c r="F115" s="143" t="s">
        <v>99</v>
      </c>
      <c r="G115" s="111" t="s">
        <v>100</v>
      </c>
      <c r="H115" s="111" t="s">
        <v>51</v>
      </c>
      <c r="I115" s="111" t="s">
        <v>467</v>
      </c>
      <c r="J115" s="111" t="s">
        <v>52</v>
      </c>
      <c r="K115" s="111" t="s">
        <v>129</v>
      </c>
      <c r="L115" s="2">
        <v>1</v>
      </c>
      <c r="M115" s="45" t="s">
        <v>54</v>
      </c>
      <c r="N115" s="2" t="s">
        <v>55</v>
      </c>
      <c r="O115" s="2">
        <v>10</v>
      </c>
      <c r="P115" s="2" t="s">
        <v>56</v>
      </c>
      <c r="Q115" s="28">
        <v>46014</v>
      </c>
      <c r="R115" s="28">
        <v>46014</v>
      </c>
      <c r="S115" s="88">
        <v>6</v>
      </c>
      <c r="T115" s="2" t="s">
        <v>55</v>
      </c>
      <c r="U115" s="2" t="s">
        <v>55</v>
      </c>
      <c r="V115" s="2" t="s">
        <v>55</v>
      </c>
      <c r="W115" s="2" t="s">
        <v>55</v>
      </c>
      <c r="X115" s="2" t="s">
        <v>55</v>
      </c>
      <c r="Y115" s="2" t="s">
        <v>55</v>
      </c>
      <c r="Z115" s="3" t="s">
        <v>55</v>
      </c>
      <c r="AA115" s="88">
        <v>4</v>
      </c>
      <c r="AB115" s="2">
        <v>1</v>
      </c>
      <c r="AC115" s="2">
        <v>0</v>
      </c>
      <c r="AD115" s="16">
        <v>46044</v>
      </c>
      <c r="AE115" s="16">
        <v>46044</v>
      </c>
      <c r="AF115" s="16">
        <v>46044</v>
      </c>
      <c r="AG115" s="16">
        <v>46052</v>
      </c>
      <c r="AH115" s="16">
        <v>46055</v>
      </c>
      <c r="AI115" s="3">
        <f t="shared" si="17"/>
        <v>2</v>
      </c>
      <c r="AJ115" s="85" t="s">
        <v>468</v>
      </c>
      <c r="AK115" s="46" t="s">
        <v>469</v>
      </c>
      <c r="AL115" s="19">
        <f t="shared" si="13"/>
        <v>0.6</v>
      </c>
      <c r="AM115" s="67">
        <f>IFERROR(NETWORKDAYS(D115,Q115,Hoja1!$A$1:$A$29),"N/A")</f>
        <v>48</v>
      </c>
      <c r="AN115" s="21">
        <f>IFERROR(NETWORKDAYS(D115,AE115,Hoja1!$A$1:$A$29),"N/A")</f>
        <v>67</v>
      </c>
      <c r="AO115" s="78">
        <v>25</v>
      </c>
      <c r="AP115" s="21">
        <f t="shared" si="10"/>
        <v>42</v>
      </c>
      <c r="AQ115" s="21">
        <f>IFERROR(NETWORKDAYS(AF115,AG115,Hoja1!$A$1:$A$29),"N/A")</f>
        <v>7</v>
      </c>
      <c r="AR115" s="78">
        <v>3</v>
      </c>
      <c r="AS115" s="75">
        <f t="shared" si="15"/>
        <v>4</v>
      </c>
      <c r="AT115" s="21">
        <f>IFERROR(NETWORKDAYS(D115,AG115,Hoja1!$A$1:$A$29),"N/A")</f>
        <v>73</v>
      </c>
      <c r="AU115" s="21">
        <f t="shared" si="16"/>
        <v>45</v>
      </c>
      <c r="AV115" s="69" t="s">
        <v>419</v>
      </c>
      <c r="AW115" s="86" t="s">
        <v>470</v>
      </c>
      <c r="AX115" s="46" t="s">
        <v>453</v>
      </c>
      <c r="AY115" s="46"/>
      <c r="AZ115" s="46"/>
      <c r="BA115" s="43"/>
      <c r="BB115" s="43"/>
    </row>
    <row r="116" spans="1:54" ht="15" customHeight="1" x14ac:dyDescent="0.25">
      <c r="A116" s="57">
        <v>15071</v>
      </c>
      <c r="B116" s="27" t="s">
        <v>69</v>
      </c>
      <c r="C116" s="27" t="s">
        <v>122</v>
      </c>
      <c r="D116" s="420">
        <v>45992</v>
      </c>
      <c r="E116" s="16">
        <v>45945</v>
      </c>
      <c r="F116" s="114" t="s">
        <v>62</v>
      </c>
      <c r="G116" s="114" t="s">
        <v>80</v>
      </c>
      <c r="H116" s="111" t="s">
        <v>51</v>
      </c>
      <c r="I116" s="27" t="s">
        <v>72</v>
      </c>
      <c r="J116" s="27" t="s">
        <v>73</v>
      </c>
      <c r="K116" s="27" t="s">
        <v>66</v>
      </c>
      <c r="L116" s="1">
        <v>1</v>
      </c>
      <c r="M116" s="45" t="s">
        <v>54</v>
      </c>
      <c r="N116" s="2" t="s">
        <v>55</v>
      </c>
      <c r="O116" s="1">
        <v>3</v>
      </c>
      <c r="P116" s="1" t="s">
        <v>56</v>
      </c>
      <c r="Q116" s="16">
        <v>46037</v>
      </c>
      <c r="R116" s="16">
        <v>46038</v>
      </c>
      <c r="S116" s="88">
        <v>3</v>
      </c>
      <c r="T116" s="2" t="s">
        <v>55</v>
      </c>
      <c r="U116" s="2" t="s">
        <v>55</v>
      </c>
      <c r="V116" s="2" t="s">
        <v>55</v>
      </c>
      <c r="W116" s="2" t="s">
        <v>55</v>
      </c>
      <c r="X116" s="2" t="s">
        <v>55</v>
      </c>
      <c r="Y116" s="2" t="s">
        <v>55</v>
      </c>
      <c r="Z116" s="3" t="s">
        <v>55</v>
      </c>
      <c r="AA116" s="88">
        <v>6</v>
      </c>
      <c r="AB116" s="1">
        <v>1</v>
      </c>
      <c r="AC116" s="1">
        <v>0</v>
      </c>
      <c r="AD116" s="16">
        <v>46044</v>
      </c>
      <c r="AE116" s="16">
        <v>46056</v>
      </c>
      <c r="AF116" s="16">
        <v>46057</v>
      </c>
      <c r="AG116" s="16">
        <v>46064</v>
      </c>
      <c r="AH116" s="16">
        <v>46065</v>
      </c>
      <c r="AI116" s="3">
        <f t="shared" si="17"/>
        <v>2</v>
      </c>
      <c r="AJ116" s="108" t="s">
        <v>471</v>
      </c>
      <c r="AK116" s="49" t="s">
        <v>472</v>
      </c>
      <c r="AL116" s="19">
        <f t="shared" si="13"/>
        <v>1</v>
      </c>
      <c r="AM116" s="67">
        <f>IFERROR(NETWORKDAYS(D116,Q116,Hoja1!$A$1:$A$29),"N/A")</f>
        <v>30</v>
      </c>
      <c r="AN116" s="21">
        <f>IFERROR(NETWORKDAYS(D116,AE116,Hoja1!$A$1:$A$29),"N/A")</f>
        <v>43</v>
      </c>
      <c r="AO116" s="78">
        <v>17</v>
      </c>
      <c r="AP116" s="21">
        <f t="shared" si="10"/>
        <v>26</v>
      </c>
      <c r="AQ116" s="21">
        <f>IFERROR(NETWORKDAYS(AF116,AG116,Hoja1!$A$1:$A$29),"N/A")</f>
        <v>6</v>
      </c>
      <c r="AR116" s="74">
        <v>1</v>
      </c>
      <c r="AS116" s="75">
        <f t="shared" si="15"/>
        <v>5</v>
      </c>
      <c r="AT116" s="21">
        <f>IFERROR(NETWORKDAYS(D116,AG116,Hoja1!$A$1:$A$29),"N/A")</f>
        <v>49</v>
      </c>
      <c r="AU116" s="21">
        <f t="shared" si="16"/>
        <v>31</v>
      </c>
      <c r="AV116" s="69" t="s">
        <v>77</v>
      </c>
      <c r="AW116" s="86" t="s">
        <v>82</v>
      </c>
      <c r="AX116" s="46"/>
      <c r="AY116" s="46"/>
      <c r="AZ116" s="46"/>
      <c r="BA116" s="1"/>
      <c r="BB116" s="1"/>
    </row>
    <row r="117" spans="1:54" ht="15" customHeight="1" x14ac:dyDescent="0.25">
      <c r="A117" s="58">
        <v>15079</v>
      </c>
      <c r="B117" s="84" t="s">
        <v>169</v>
      </c>
      <c r="C117" s="84" t="s">
        <v>169</v>
      </c>
      <c r="D117" s="37">
        <v>45993</v>
      </c>
      <c r="E117" s="37">
        <v>45946</v>
      </c>
      <c r="F117" s="202" t="s">
        <v>879</v>
      </c>
      <c r="G117" s="48" t="s">
        <v>50</v>
      </c>
      <c r="H117" s="111" t="s">
        <v>51</v>
      </c>
      <c r="I117" s="48" t="s">
        <v>473</v>
      </c>
      <c r="J117" s="87" t="s">
        <v>52</v>
      </c>
      <c r="K117" s="48" t="s">
        <v>106</v>
      </c>
      <c r="L117" s="3">
        <v>1</v>
      </c>
      <c r="M117" s="45" t="s">
        <v>54</v>
      </c>
      <c r="N117" s="18" t="s">
        <v>55</v>
      </c>
      <c r="O117" s="3">
        <v>12</v>
      </c>
      <c r="P117" s="3" t="s">
        <v>56</v>
      </c>
      <c r="Q117" s="30">
        <v>46009</v>
      </c>
      <c r="R117" s="53">
        <v>46009</v>
      </c>
      <c r="S117" s="3">
        <v>6</v>
      </c>
      <c r="T117" s="18" t="s">
        <v>55</v>
      </c>
      <c r="U117" s="18" t="s">
        <v>55</v>
      </c>
      <c r="V117" s="18" t="s">
        <v>55</v>
      </c>
      <c r="W117" s="18" t="s">
        <v>55</v>
      </c>
      <c r="X117" s="18" t="s">
        <v>55</v>
      </c>
      <c r="Y117" s="18" t="s">
        <v>55</v>
      </c>
      <c r="Z117" s="3" t="s">
        <v>55</v>
      </c>
      <c r="AA117" s="88">
        <v>3</v>
      </c>
      <c r="AB117" s="3">
        <v>4</v>
      </c>
      <c r="AC117" s="3">
        <v>0</v>
      </c>
      <c r="AD117" s="30">
        <v>46013</v>
      </c>
      <c r="AE117" s="30">
        <v>46013</v>
      </c>
      <c r="AF117" s="30">
        <v>46013</v>
      </c>
      <c r="AG117" s="44">
        <v>46059</v>
      </c>
      <c r="AH117" s="104">
        <v>46065</v>
      </c>
      <c r="AI117" s="3">
        <f t="shared" si="17"/>
        <v>2</v>
      </c>
      <c r="AJ117" s="85" t="s">
        <v>474</v>
      </c>
      <c r="AK117" s="35" t="s">
        <v>475</v>
      </c>
      <c r="AL117" s="19">
        <f t="shared" si="13"/>
        <v>0.5</v>
      </c>
      <c r="AM117" s="67">
        <f>IFERROR(NETWORKDAYS(D117,Q117,Hoja1!$A$1:$A$29),"N/A")</f>
        <v>12</v>
      </c>
      <c r="AN117" s="21">
        <f>IFERROR(NETWORKDAYS(D117,AE117,Hoja1!$A$1:$A$29),"N/A")</f>
        <v>14</v>
      </c>
      <c r="AO117" s="78">
        <v>0</v>
      </c>
      <c r="AP117" s="21">
        <f t="shared" si="10"/>
        <v>14</v>
      </c>
      <c r="AQ117" s="21">
        <f>IFERROR(NETWORKDAYS(AF117,AG117,Hoja1!$A$1:$A$29),"N/A")</f>
        <v>32</v>
      </c>
      <c r="AR117" s="74">
        <v>26</v>
      </c>
      <c r="AS117" s="75">
        <f t="shared" si="15"/>
        <v>6</v>
      </c>
      <c r="AT117" s="21">
        <f>IFERROR(NETWORKDAYS(D117,AG117,Hoja1!$A$1:$A$29),"N/A")</f>
        <v>45</v>
      </c>
      <c r="AU117" s="21">
        <f t="shared" si="16"/>
        <v>19</v>
      </c>
      <c r="AV117" s="69" t="s">
        <v>419</v>
      </c>
      <c r="AW117" s="86" t="s">
        <v>476</v>
      </c>
      <c r="AX117" s="46" t="s">
        <v>445</v>
      </c>
      <c r="AY117" s="46"/>
      <c r="AZ117" s="46"/>
      <c r="BA117" s="3"/>
      <c r="BB117" s="3"/>
    </row>
    <row r="118" spans="1:54" ht="15" customHeight="1" x14ac:dyDescent="0.25">
      <c r="A118" s="95">
        <v>15152</v>
      </c>
      <c r="B118" s="84" t="s">
        <v>85</v>
      </c>
      <c r="C118" s="84" t="s">
        <v>85</v>
      </c>
      <c r="D118" s="421">
        <v>46020</v>
      </c>
      <c r="E118" s="28">
        <v>45957</v>
      </c>
      <c r="F118" s="84" t="s">
        <v>62</v>
      </c>
      <c r="G118" s="84" t="s">
        <v>71</v>
      </c>
      <c r="H118" s="87" t="s">
        <v>101</v>
      </c>
      <c r="I118" s="84" t="s">
        <v>477</v>
      </c>
      <c r="J118" s="84" t="s">
        <v>142</v>
      </c>
      <c r="K118" s="84" t="s">
        <v>86</v>
      </c>
      <c r="L118" s="33">
        <v>1</v>
      </c>
      <c r="M118" s="45" t="s">
        <v>54</v>
      </c>
      <c r="N118" s="21" t="s">
        <v>55</v>
      </c>
      <c r="O118" s="33">
        <v>0</v>
      </c>
      <c r="P118" s="33"/>
      <c r="Q118" s="21" t="s">
        <v>55</v>
      </c>
      <c r="R118" s="21" t="s">
        <v>55</v>
      </c>
      <c r="S118" s="33">
        <v>0</v>
      </c>
      <c r="T118" s="36" t="s">
        <v>55</v>
      </c>
      <c r="U118" s="36" t="s">
        <v>55</v>
      </c>
      <c r="V118" s="36" t="s">
        <v>55</v>
      </c>
      <c r="W118" s="36" t="s">
        <v>55</v>
      </c>
      <c r="X118" s="36" t="s">
        <v>55</v>
      </c>
      <c r="Y118" s="36" t="s">
        <v>55</v>
      </c>
      <c r="Z118" s="3" t="s">
        <v>55</v>
      </c>
      <c r="AA118" s="88">
        <v>6</v>
      </c>
      <c r="AB118" s="33">
        <v>1</v>
      </c>
      <c r="AC118" s="33">
        <v>0</v>
      </c>
      <c r="AD118" s="28">
        <v>46029</v>
      </c>
      <c r="AE118" s="28">
        <v>46045</v>
      </c>
      <c r="AF118" s="28">
        <v>46048</v>
      </c>
      <c r="AG118" s="28">
        <v>46051</v>
      </c>
      <c r="AH118" s="16">
        <v>46055</v>
      </c>
      <c r="AI118" s="3">
        <f t="shared" si="17"/>
        <v>2</v>
      </c>
      <c r="AJ118" s="85" t="s">
        <v>478</v>
      </c>
      <c r="AK118" s="35" t="s">
        <v>479</v>
      </c>
      <c r="AL118" s="19" t="str">
        <f t="shared" si="13"/>
        <v>N/A</v>
      </c>
      <c r="AM118" s="67" t="str">
        <f>IFERROR(NETWORKDAYS(D118,Q118,Hoja1!$A$1:$A$29),"N/A")</f>
        <v>N/A</v>
      </c>
      <c r="AN118" s="21">
        <f>IFERROR(NETWORKDAYS(D118,AE118,Hoja1!$A$1:$A$29),"N/A")</f>
        <v>18</v>
      </c>
      <c r="AO118" s="78">
        <v>13</v>
      </c>
      <c r="AP118" s="21">
        <f t="shared" si="10"/>
        <v>5</v>
      </c>
      <c r="AQ118" s="21">
        <f>IFERROR(NETWORKDAYS(AF118,AG118,Hoja1!$A$1:$A$29),"N/A")</f>
        <v>4</v>
      </c>
      <c r="AR118" s="74">
        <v>0</v>
      </c>
      <c r="AS118" s="75">
        <f t="shared" si="15"/>
        <v>4</v>
      </c>
      <c r="AT118" s="21">
        <f>IFERROR(NETWORKDAYS(D118,AG118,Hoja1!$A$1:$A$29),"N/A")</f>
        <v>22</v>
      </c>
      <c r="AU118" s="21">
        <f t="shared" si="16"/>
        <v>9</v>
      </c>
      <c r="AV118" s="69" t="s">
        <v>104</v>
      </c>
      <c r="AW118" s="86" t="s">
        <v>480</v>
      </c>
      <c r="AX118" s="46"/>
      <c r="AY118" s="46"/>
      <c r="AZ118" s="46"/>
      <c r="BA118" s="33"/>
      <c r="BB118" s="33"/>
    </row>
    <row r="119" spans="1:54" ht="15" customHeight="1" x14ac:dyDescent="0.25">
      <c r="A119" s="55">
        <v>15182</v>
      </c>
      <c r="B119" s="27" t="s">
        <v>69</v>
      </c>
      <c r="C119" s="43" t="s">
        <v>98</v>
      </c>
      <c r="D119" s="30">
        <v>46010</v>
      </c>
      <c r="E119" s="30">
        <v>45965</v>
      </c>
      <c r="F119" s="232" t="s">
        <v>90</v>
      </c>
      <c r="G119" s="87" t="s">
        <v>91</v>
      </c>
      <c r="H119" s="111" t="s">
        <v>51</v>
      </c>
      <c r="I119" s="111" t="s">
        <v>102</v>
      </c>
      <c r="J119" s="87" t="s">
        <v>52</v>
      </c>
      <c r="K119" s="87" t="s">
        <v>111</v>
      </c>
      <c r="L119" s="3">
        <v>1</v>
      </c>
      <c r="M119" s="45" t="s">
        <v>54</v>
      </c>
      <c r="N119" s="3" t="s">
        <v>55</v>
      </c>
      <c r="O119" s="3">
        <v>6</v>
      </c>
      <c r="P119" s="3" t="s">
        <v>112</v>
      </c>
      <c r="Q119" s="30">
        <v>46062</v>
      </c>
      <c r="R119" s="30">
        <v>46062</v>
      </c>
      <c r="S119" s="3">
        <v>6</v>
      </c>
      <c r="T119" s="3" t="s">
        <v>55</v>
      </c>
      <c r="U119" s="3" t="s">
        <v>55</v>
      </c>
      <c r="V119" s="3" t="s">
        <v>55</v>
      </c>
      <c r="W119" s="3" t="s">
        <v>55</v>
      </c>
      <c r="X119" s="3" t="s">
        <v>55</v>
      </c>
      <c r="Y119" s="3" t="s">
        <v>55</v>
      </c>
      <c r="Z119" s="3" t="s">
        <v>55</v>
      </c>
      <c r="AA119" s="3">
        <v>6</v>
      </c>
      <c r="AB119" s="3">
        <v>1</v>
      </c>
      <c r="AC119" s="3">
        <v>0</v>
      </c>
      <c r="AD119" s="30">
        <v>46065</v>
      </c>
      <c r="AE119" s="30">
        <v>46066</v>
      </c>
      <c r="AF119" s="30">
        <v>46069</v>
      </c>
      <c r="AG119" s="16">
        <v>46073</v>
      </c>
      <c r="AH119" s="140">
        <v>46076</v>
      </c>
      <c r="AI119" s="3">
        <f t="shared" si="17"/>
        <v>2</v>
      </c>
      <c r="AJ119" s="85" t="s">
        <v>481</v>
      </c>
      <c r="AK119" s="45" t="s">
        <v>482</v>
      </c>
      <c r="AL119" s="19">
        <f t="shared" si="13"/>
        <v>1</v>
      </c>
      <c r="AM119" s="67">
        <f>IFERROR(NETWORKDAYS(D119,Q119,Hoja1!$A$1:$A$29),"N/A")</f>
        <v>34</v>
      </c>
      <c r="AN119" s="21">
        <f>IFERROR(NETWORKDAYS(D119,AE119,Hoja1!$A$1:$A$29),"N/A")</f>
        <v>38</v>
      </c>
      <c r="AO119" s="78">
        <v>15</v>
      </c>
      <c r="AP119" s="21">
        <f t="shared" si="10"/>
        <v>23</v>
      </c>
      <c r="AQ119" s="21">
        <f>IFERROR(NETWORKDAYS(AF119,AG119,Hoja1!$A$1:$A$29),"N/A")</f>
        <v>5</v>
      </c>
      <c r="AR119" s="74">
        <v>0</v>
      </c>
      <c r="AS119" s="75">
        <f t="shared" si="15"/>
        <v>5</v>
      </c>
      <c r="AT119" s="21">
        <f>IFERROR(NETWORKDAYS(D119,AG119,Hoja1!$A$1:$A$29),"N/A")</f>
        <v>43</v>
      </c>
      <c r="AU119" s="21">
        <f t="shared" si="16"/>
        <v>28</v>
      </c>
      <c r="AV119" s="69" t="s">
        <v>127</v>
      </c>
      <c r="AW119" s="86" t="s">
        <v>483</v>
      </c>
      <c r="AX119" s="46"/>
      <c r="AY119" s="46"/>
      <c r="AZ119" s="46"/>
      <c r="BA119" s="1"/>
      <c r="BB119" s="1"/>
    </row>
    <row r="120" spans="1:54" ht="15" customHeight="1" x14ac:dyDescent="0.25">
      <c r="A120" s="55">
        <v>15184</v>
      </c>
      <c r="B120" s="87" t="s">
        <v>79</v>
      </c>
      <c r="C120" s="87" t="s">
        <v>79</v>
      </c>
      <c r="D120" s="418">
        <v>46037</v>
      </c>
      <c r="E120" s="30">
        <v>45965</v>
      </c>
      <c r="F120" s="232" t="s">
        <v>90</v>
      </c>
      <c r="G120" s="87" t="s">
        <v>91</v>
      </c>
      <c r="H120" s="111" t="s">
        <v>51</v>
      </c>
      <c r="I120" s="159" t="s">
        <v>1624</v>
      </c>
      <c r="J120" s="87" t="s">
        <v>105</v>
      </c>
      <c r="K120" s="87" t="s">
        <v>111</v>
      </c>
      <c r="L120" s="3">
        <v>1</v>
      </c>
      <c r="M120" s="45" t="s">
        <v>54</v>
      </c>
      <c r="N120" s="3" t="s">
        <v>55</v>
      </c>
      <c r="O120" s="3">
        <v>6</v>
      </c>
      <c r="P120" s="3" t="s">
        <v>112</v>
      </c>
      <c r="Q120" s="30">
        <v>46038</v>
      </c>
      <c r="R120" s="30">
        <v>46038</v>
      </c>
      <c r="S120" s="3">
        <v>6</v>
      </c>
      <c r="T120" s="3" t="s">
        <v>55</v>
      </c>
      <c r="U120" s="3" t="s">
        <v>55</v>
      </c>
      <c r="V120" s="3" t="s">
        <v>55</v>
      </c>
      <c r="W120" s="3" t="s">
        <v>55</v>
      </c>
      <c r="X120" s="3" t="s">
        <v>55</v>
      </c>
      <c r="Y120" s="3" t="s">
        <v>55</v>
      </c>
      <c r="Z120" s="3" t="s">
        <v>55</v>
      </c>
      <c r="AA120" s="3">
        <v>6</v>
      </c>
      <c r="AB120" s="3">
        <v>1</v>
      </c>
      <c r="AC120" s="3">
        <v>0</v>
      </c>
      <c r="AD120" s="16">
        <v>46045</v>
      </c>
      <c r="AE120" s="16">
        <v>46045</v>
      </c>
      <c r="AF120" s="16">
        <v>46048</v>
      </c>
      <c r="AG120" s="16">
        <v>46052</v>
      </c>
      <c r="AH120" s="16">
        <v>46055</v>
      </c>
      <c r="AI120" s="3">
        <f t="shared" si="17"/>
        <v>2</v>
      </c>
      <c r="AJ120" s="85" t="s">
        <v>484</v>
      </c>
      <c r="AK120" s="45" t="s">
        <v>485</v>
      </c>
      <c r="AL120" s="19">
        <f t="shared" si="13"/>
        <v>1</v>
      </c>
      <c r="AM120" s="67">
        <f>IFERROR(NETWORKDAYS(D120,Q120,Hoja1!$A$1:$A$29),"N/A")</f>
        <v>2</v>
      </c>
      <c r="AN120" s="21">
        <f>IFERROR(NETWORKDAYS(D120,AE120,Hoja1!$A$1:$A$29),"N/A")</f>
        <v>7</v>
      </c>
      <c r="AO120" s="78">
        <v>0</v>
      </c>
      <c r="AP120" s="21">
        <f t="shared" si="10"/>
        <v>7</v>
      </c>
      <c r="AQ120" s="21">
        <f>IFERROR(NETWORKDAYS(AF120,AG120,Hoja1!$A$1:$A$29),"N/A")</f>
        <v>5</v>
      </c>
      <c r="AR120" s="74">
        <v>0</v>
      </c>
      <c r="AS120" s="75">
        <f t="shared" si="15"/>
        <v>5</v>
      </c>
      <c r="AT120" s="21">
        <f>IFERROR(NETWORKDAYS(D120,AG120,Hoja1!$A$1:$A$29),"N/A")</f>
        <v>12</v>
      </c>
      <c r="AU120" s="21">
        <f t="shared" si="16"/>
        <v>12</v>
      </c>
      <c r="AV120" s="69" t="s">
        <v>131</v>
      </c>
      <c r="AW120" s="86" t="s">
        <v>486</v>
      </c>
      <c r="AX120" s="46" t="s">
        <v>453</v>
      </c>
      <c r="AY120" s="46" t="s">
        <v>453</v>
      </c>
      <c r="AZ120" s="46" t="s">
        <v>464</v>
      </c>
      <c r="BA120" s="107" t="s">
        <v>445</v>
      </c>
      <c r="BB120" s="1"/>
    </row>
    <row r="121" spans="1:54" ht="15" customHeight="1" x14ac:dyDescent="0.25">
      <c r="A121" s="55">
        <v>15210</v>
      </c>
      <c r="B121" s="84" t="s">
        <v>169</v>
      </c>
      <c r="C121" s="84" t="s">
        <v>169</v>
      </c>
      <c r="D121" s="30">
        <v>46007</v>
      </c>
      <c r="E121" s="30">
        <v>45979</v>
      </c>
      <c r="F121" s="232" t="s">
        <v>90</v>
      </c>
      <c r="G121" s="87" t="s">
        <v>91</v>
      </c>
      <c r="H121" s="111" t="s">
        <v>51</v>
      </c>
      <c r="I121" s="145" t="s">
        <v>487</v>
      </c>
      <c r="J121" s="27" t="s">
        <v>105</v>
      </c>
      <c r="K121" s="87" t="s">
        <v>171</v>
      </c>
      <c r="L121" s="3">
        <v>1</v>
      </c>
      <c r="M121" s="45" t="s">
        <v>54</v>
      </c>
      <c r="N121" s="3" t="s">
        <v>55</v>
      </c>
      <c r="O121" s="3">
        <v>6</v>
      </c>
      <c r="P121" s="3" t="s">
        <v>112</v>
      </c>
      <c r="Q121" s="30">
        <v>46028</v>
      </c>
      <c r="R121" s="30">
        <v>46028</v>
      </c>
      <c r="S121" s="3">
        <v>6</v>
      </c>
      <c r="T121" s="3" t="s">
        <v>55</v>
      </c>
      <c r="U121" s="3" t="s">
        <v>55</v>
      </c>
      <c r="V121" s="3" t="s">
        <v>55</v>
      </c>
      <c r="W121" s="3" t="s">
        <v>55</v>
      </c>
      <c r="X121" s="3" t="s">
        <v>55</v>
      </c>
      <c r="Y121" s="3" t="s">
        <v>55</v>
      </c>
      <c r="Z121" s="3" t="s">
        <v>55</v>
      </c>
      <c r="AA121" s="3">
        <v>6</v>
      </c>
      <c r="AB121" s="3">
        <v>1</v>
      </c>
      <c r="AC121" s="3">
        <v>0</v>
      </c>
      <c r="AD121" s="30">
        <v>46028</v>
      </c>
      <c r="AE121" s="30">
        <v>46028</v>
      </c>
      <c r="AF121" s="30">
        <v>46069</v>
      </c>
      <c r="AG121" s="16">
        <v>46073</v>
      </c>
      <c r="AH121" s="140">
        <v>46076</v>
      </c>
      <c r="AI121" s="3">
        <f t="shared" si="17"/>
        <v>2</v>
      </c>
      <c r="AJ121" s="85" t="s">
        <v>488</v>
      </c>
      <c r="AK121" s="45" t="s">
        <v>489</v>
      </c>
      <c r="AL121" s="19">
        <f t="shared" si="13"/>
        <v>1</v>
      </c>
      <c r="AM121" s="67">
        <f>IFERROR(NETWORKDAYS(D121,Q121,Hoja1!$A$1:$A$29),"N/A")</f>
        <v>14</v>
      </c>
      <c r="AN121" s="21">
        <f>IFERROR(NETWORKDAYS(D121,AE121,Hoja1!$A$1:$A$29),"N/A")</f>
        <v>14</v>
      </c>
      <c r="AO121" s="78">
        <v>0</v>
      </c>
      <c r="AP121" s="21">
        <f t="shared" si="10"/>
        <v>14</v>
      </c>
      <c r="AQ121" s="21">
        <f>IFERROR(NETWORKDAYS(AF121,AG121,Hoja1!$A$1:$A$29),"N/A")</f>
        <v>5</v>
      </c>
      <c r="AR121" s="74">
        <v>0</v>
      </c>
      <c r="AS121" s="75">
        <f t="shared" si="15"/>
        <v>5</v>
      </c>
      <c r="AT121" s="21">
        <f>IFERROR(NETWORKDAYS(D121,AG121,Hoja1!$A$1:$A$29),"N/A")</f>
        <v>46</v>
      </c>
      <c r="AU121" s="21">
        <f t="shared" si="16"/>
        <v>46</v>
      </c>
      <c r="AV121" s="69" t="s">
        <v>59</v>
      </c>
      <c r="AW121" s="86" t="s">
        <v>490</v>
      </c>
      <c r="AX121" s="46" t="s">
        <v>453</v>
      </c>
      <c r="AY121" s="46"/>
      <c r="AZ121" s="46"/>
      <c r="BA121" s="107"/>
      <c r="BB121" s="1"/>
    </row>
    <row r="122" spans="1:54" ht="15" customHeight="1" x14ac:dyDescent="0.25">
      <c r="A122" s="58">
        <v>15270</v>
      </c>
      <c r="B122" s="84" t="s">
        <v>169</v>
      </c>
      <c r="C122" s="84" t="s">
        <v>169</v>
      </c>
      <c r="D122" s="417">
        <v>46013</v>
      </c>
      <c r="E122" s="37">
        <v>45972</v>
      </c>
      <c r="F122" s="202" t="s">
        <v>879</v>
      </c>
      <c r="G122" s="48" t="s">
        <v>50</v>
      </c>
      <c r="H122" s="111" t="s">
        <v>51</v>
      </c>
      <c r="I122" s="145" t="s">
        <v>487</v>
      </c>
      <c r="J122" s="87" t="s">
        <v>105</v>
      </c>
      <c r="K122" s="48" t="s">
        <v>106</v>
      </c>
      <c r="L122" s="3">
        <v>1</v>
      </c>
      <c r="M122" s="45" t="s">
        <v>54</v>
      </c>
      <c r="N122" s="18" t="s">
        <v>55</v>
      </c>
      <c r="O122" s="3">
        <v>7</v>
      </c>
      <c r="P122" s="3" t="s">
        <v>112</v>
      </c>
      <c r="Q122" s="30">
        <v>46020</v>
      </c>
      <c r="R122" s="30">
        <v>46020</v>
      </c>
      <c r="S122" s="3">
        <v>6</v>
      </c>
      <c r="T122" s="18" t="s">
        <v>55</v>
      </c>
      <c r="U122" s="18" t="s">
        <v>55</v>
      </c>
      <c r="V122" s="18" t="s">
        <v>55</v>
      </c>
      <c r="W122" s="18" t="s">
        <v>55</v>
      </c>
      <c r="X122" s="18" t="s">
        <v>55</v>
      </c>
      <c r="Y122" s="18" t="s">
        <v>55</v>
      </c>
      <c r="Z122" s="3" t="s">
        <v>55</v>
      </c>
      <c r="AA122" s="3">
        <v>4</v>
      </c>
      <c r="AB122" s="3">
        <v>4</v>
      </c>
      <c r="AC122" s="3">
        <v>0</v>
      </c>
      <c r="AD122" s="30">
        <v>46029</v>
      </c>
      <c r="AE122" s="28">
        <v>46038</v>
      </c>
      <c r="AF122" s="28">
        <v>46038</v>
      </c>
      <c r="AG122" s="37">
        <v>46071</v>
      </c>
      <c r="AH122" s="140">
        <v>46076</v>
      </c>
      <c r="AI122" s="3">
        <f t="shared" si="17"/>
        <v>2</v>
      </c>
      <c r="AJ122" s="85" t="s">
        <v>491</v>
      </c>
      <c r="AK122" s="35" t="s">
        <v>492</v>
      </c>
      <c r="AL122" s="19">
        <f t="shared" si="13"/>
        <v>0.8571428571428571</v>
      </c>
      <c r="AM122" s="67">
        <f>IFERROR(NETWORKDAYS(D122,Q122,Hoja1!$A$1:$A$29),"N/A")</f>
        <v>5</v>
      </c>
      <c r="AN122" s="21">
        <f>IFERROR(NETWORKDAYS(D122,AE122,Hoja1!$A$1:$A$29),"N/A")</f>
        <v>17</v>
      </c>
      <c r="AO122" s="78">
        <v>7</v>
      </c>
      <c r="AP122" s="21">
        <f t="shared" si="10"/>
        <v>10</v>
      </c>
      <c r="AQ122" s="21">
        <f>IFERROR(NETWORKDAYS(AF122,AG122,Hoja1!$A$1:$A$29),"N/A")</f>
        <v>24</v>
      </c>
      <c r="AR122" s="74">
        <v>18</v>
      </c>
      <c r="AS122" s="75">
        <f t="shared" si="15"/>
        <v>6</v>
      </c>
      <c r="AT122" s="21">
        <f>IFERROR(NETWORKDAYS(D122,AG122,Hoja1!$A$1:$A$29),"N/A")</f>
        <v>40</v>
      </c>
      <c r="AU122" s="21">
        <f t="shared" si="16"/>
        <v>15</v>
      </c>
      <c r="AV122" s="69" t="s">
        <v>127</v>
      </c>
      <c r="AW122" s="86" t="s">
        <v>493</v>
      </c>
      <c r="AX122" s="46" t="s">
        <v>453</v>
      </c>
      <c r="AY122" s="46"/>
      <c r="AZ122" s="46"/>
      <c r="BA122" s="3"/>
      <c r="BB122" s="3"/>
    </row>
    <row r="123" spans="1:54" ht="15" customHeight="1" x14ac:dyDescent="0.25">
      <c r="A123" s="57">
        <v>15282</v>
      </c>
      <c r="B123" s="27" t="s">
        <v>69</v>
      </c>
      <c r="C123" s="27" t="s">
        <v>122</v>
      </c>
      <c r="D123" s="15">
        <v>45992</v>
      </c>
      <c r="E123" s="16">
        <v>45973</v>
      </c>
      <c r="F123" s="114" t="s">
        <v>62</v>
      </c>
      <c r="G123" s="114" t="s">
        <v>71</v>
      </c>
      <c r="H123" s="111" t="s">
        <v>51</v>
      </c>
      <c r="I123" s="27" t="s">
        <v>72</v>
      </c>
      <c r="J123" s="27" t="s">
        <v>73</v>
      </c>
      <c r="K123" s="27" t="s">
        <v>66</v>
      </c>
      <c r="L123" s="1">
        <v>1</v>
      </c>
      <c r="M123" s="45" t="s">
        <v>54</v>
      </c>
      <c r="N123" s="2" t="s">
        <v>55</v>
      </c>
      <c r="O123" s="1">
        <v>11</v>
      </c>
      <c r="P123" s="1" t="s">
        <v>56</v>
      </c>
      <c r="Q123" s="16">
        <v>45993</v>
      </c>
      <c r="R123" s="16">
        <v>46037</v>
      </c>
      <c r="S123" s="88">
        <v>6</v>
      </c>
      <c r="T123" s="2" t="s">
        <v>55</v>
      </c>
      <c r="U123" s="2" t="s">
        <v>55</v>
      </c>
      <c r="V123" s="2" t="s">
        <v>55</v>
      </c>
      <c r="W123" s="2" t="s">
        <v>55</v>
      </c>
      <c r="X123" s="2" t="s">
        <v>55</v>
      </c>
      <c r="Y123" s="2" t="s">
        <v>55</v>
      </c>
      <c r="Z123" s="3" t="s">
        <v>55</v>
      </c>
      <c r="AA123" s="88">
        <v>4</v>
      </c>
      <c r="AB123" s="1">
        <v>2</v>
      </c>
      <c r="AC123" s="1">
        <v>0</v>
      </c>
      <c r="AD123" s="16">
        <v>46048</v>
      </c>
      <c r="AE123" s="16">
        <v>46049</v>
      </c>
      <c r="AF123" s="28">
        <v>46050</v>
      </c>
      <c r="AG123" s="16">
        <v>46063</v>
      </c>
      <c r="AH123" s="16">
        <v>46065</v>
      </c>
      <c r="AI123" s="3">
        <f t="shared" si="17"/>
        <v>2</v>
      </c>
      <c r="AJ123" s="108" t="s">
        <v>494</v>
      </c>
      <c r="AK123" s="49" t="s">
        <v>495</v>
      </c>
      <c r="AL123" s="19">
        <f t="shared" si="13"/>
        <v>0.54545454545454541</v>
      </c>
      <c r="AM123" s="67">
        <f>IFERROR(NETWORKDAYS(D123,Q123,Hoja1!$A$1:$A$29),"N/A")</f>
        <v>2</v>
      </c>
      <c r="AN123" s="21">
        <f>IFERROR(NETWORKDAYS(D123,AE123,Hoja1!$A$1:$A$29),"N/A")</f>
        <v>38</v>
      </c>
      <c r="AO123" s="78">
        <v>22</v>
      </c>
      <c r="AP123" s="21">
        <f t="shared" si="10"/>
        <v>16</v>
      </c>
      <c r="AQ123" s="21">
        <f>IFERROR(NETWORKDAYS(AF123,AG123,Hoja1!$A$1:$A$29),"N/A")</f>
        <v>10</v>
      </c>
      <c r="AR123" s="74">
        <v>5</v>
      </c>
      <c r="AS123" s="75">
        <f t="shared" si="15"/>
        <v>5</v>
      </c>
      <c r="AT123" s="21">
        <f>IFERROR(NETWORKDAYS(D123,AG123,Hoja1!$A$1:$A$29),"N/A")</f>
        <v>48</v>
      </c>
      <c r="AU123" s="21">
        <f t="shared" si="16"/>
        <v>21</v>
      </c>
      <c r="AV123" s="69" t="s">
        <v>77</v>
      </c>
      <c r="AW123" s="86" t="s">
        <v>82</v>
      </c>
      <c r="AX123" s="46" t="s">
        <v>454</v>
      </c>
      <c r="AY123" s="46"/>
      <c r="AZ123" s="46"/>
      <c r="BA123" s="1"/>
      <c r="BB123" s="1"/>
    </row>
    <row r="124" spans="1:54" ht="15" customHeight="1" x14ac:dyDescent="0.25">
      <c r="A124" s="95">
        <v>15290</v>
      </c>
      <c r="B124" s="84" t="s">
        <v>401</v>
      </c>
      <c r="C124" s="84" t="s">
        <v>401</v>
      </c>
      <c r="D124" s="421">
        <v>45973</v>
      </c>
      <c r="E124" s="28">
        <v>45973</v>
      </c>
      <c r="F124" s="84" t="s">
        <v>62</v>
      </c>
      <c r="G124" s="84" t="s">
        <v>80</v>
      </c>
      <c r="H124" s="111" t="s">
        <v>51</v>
      </c>
      <c r="I124" s="27" t="s">
        <v>72</v>
      </c>
      <c r="J124" s="27" t="s">
        <v>73</v>
      </c>
      <c r="K124" s="84" t="s">
        <v>86</v>
      </c>
      <c r="L124" s="33">
        <v>1</v>
      </c>
      <c r="M124" s="45" t="s">
        <v>54</v>
      </c>
      <c r="N124" s="21" t="s">
        <v>55</v>
      </c>
      <c r="O124" s="33">
        <v>4</v>
      </c>
      <c r="P124" s="33" t="s">
        <v>56</v>
      </c>
      <c r="Q124" s="28">
        <v>45975</v>
      </c>
      <c r="R124" s="28">
        <v>46041</v>
      </c>
      <c r="S124" s="88">
        <v>3</v>
      </c>
      <c r="T124" s="36" t="s">
        <v>55</v>
      </c>
      <c r="U124" s="36" t="s">
        <v>55</v>
      </c>
      <c r="V124" s="36" t="s">
        <v>55</v>
      </c>
      <c r="W124" s="36" t="s">
        <v>55</v>
      </c>
      <c r="X124" s="36" t="s">
        <v>55</v>
      </c>
      <c r="Y124" s="36" t="s">
        <v>55</v>
      </c>
      <c r="Z124" s="3" t="s">
        <v>55</v>
      </c>
      <c r="AA124" s="88">
        <v>3</v>
      </c>
      <c r="AB124" s="33">
        <v>2</v>
      </c>
      <c r="AC124" s="33">
        <v>0</v>
      </c>
      <c r="AD124" s="28">
        <v>46045</v>
      </c>
      <c r="AE124" s="28">
        <v>46045</v>
      </c>
      <c r="AF124" s="28">
        <v>46045</v>
      </c>
      <c r="AG124" s="16">
        <v>46052</v>
      </c>
      <c r="AH124" s="16">
        <v>46055</v>
      </c>
      <c r="AI124" s="3">
        <f t="shared" si="17"/>
        <v>2</v>
      </c>
      <c r="AJ124" s="85" t="s">
        <v>496</v>
      </c>
      <c r="AK124" s="35" t="s">
        <v>497</v>
      </c>
      <c r="AL124" s="19">
        <f t="shared" si="13"/>
        <v>0.75</v>
      </c>
      <c r="AM124" s="67">
        <f>IFERROR(NETWORKDAYS(D124,Q124,Hoja1!$A$1:$A$29),"N/A")</f>
        <v>3</v>
      </c>
      <c r="AN124" s="21">
        <f>IFERROR(NETWORKDAYS(D124,AE124,Hoja1!$A$1:$A$29),"N/A")</f>
        <v>48</v>
      </c>
      <c r="AO124" s="78">
        <v>30</v>
      </c>
      <c r="AP124" s="21">
        <f t="shared" si="10"/>
        <v>18</v>
      </c>
      <c r="AQ124" s="21">
        <f>IFERROR(NETWORKDAYS(AF124,AG124,Hoja1!$A$1:$A$29),"N/A")</f>
        <v>6</v>
      </c>
      <c r="AR124" s="74">
        <v>1</v>
      </c>
      <c r="AS124" s="75">
        <f t="shared" si="15"/>
        <v>5</v>
      </c>
      <c r="AT124" s="21">
        <f>IFERROR(NETWORKDAYS(D124,AG124,Hoja1!$A$1:$A$29),"N/A")</f>
        <v>53</v>
      </c>
      <c r="AU124" s="21">
        <f t="shared" si="16"/>
        <v>22</v>
      </c>
      <c r="AV124" s="69" t="s">
        <v>417</v>
      </c>
      <c r="AW124" s="86" t="s">
        <v>82</v>
      </c>
      <c r="AX124" s="46"/>
      <c r="AY124" s="46"/>
      <c r="AZ124" s="46"/>
      <c r="BA124" s="33"/>
      <c r="BB124" s="33"/>
    </row>
    <row r="125" spans="1:54" ht="15" customHeight="1" x14ac:dyDescent="0.25">
      <c r="A125" s="95">
        <v>15293</v>
      </c>
      <c r="B125" s="87" t="s">
        <v>79</v>
      </c>
      <c r="C125" s="87" t="s">
        <v>79</v>
      </c>
      <c r="D125" s="15">
        <v>45993</v>
      </c>
      <c r="E125" s="15">
        <v>45974</v>
      </c>
      <c r="F125" s="84" t="s">
        <v>62</v>
      </c>
      <c r="G125" s="23" t="s">
        <v>80</v>
      </c>
      <c r="H125" s="111" t="s">
        <v>51</v>
      </c>
      <c r="I125" s="87" t="s">
        <v>92</v>
      </c>
      <c r="J125" s="48" t="s">
        <v>52</v>
      </c>
      <c r="K125" s="87" t="s">
        <v>74</v>
      </c>
      <c r="L125" s="1">
        <v>1</v>
      </c>
      <c r="M125" s="45" t="s">
        <v>54</v>
      </c>
      <c r="N125" s="18" t="s">
        <v>55</v>
      </c>
      <c r="O125" s="1">
        <v>4</v>
      </c>
      <c r="P125" s="1" t="s">
        <v>56</v>
      </c>
      <c r="Q125" s="16">
        <v>46002</v>
      </c>
      <c r="R125" s="16">
        <v>46017</v>
      </c>
      <c r="S125" s="88">
        <v>4</v>
      </c>
      <c r="T125" s="18" t="s">
        <v>55</v>
      </c>
      <c r="U125" s="18" t="s">
        <v>55</v>
      </c>
      <c r="V125" s="18" t="s">
        <v>55</v>
      </c>
      <c r="W125" s="18" t="s">
        <v>55</v>
      </c>
      <c r="X125" s="18" t="s">
        <v>55</v>
      </c>
      <c r="Y125" s="18" t="s">
        <v>55</v>
      </c>
      <c r="Z125" s="3" t="s">
        <v>55</v>
      </c>
      <c r="AA125" s="88">
        <v>3</v>
      </c>
      <c r="AB125" s="1">
        <v>2</v>
      </c>
      <c r="AC125" s="1">
        <v>0</v>
      </c>
      <c r="AD125" s="16">
        <v>46027</v>
      </c>
      <c r="AE125" s="16">
        <v>46027</v>
      </c>
      <c r="AF125" s="16">
        <v>46028</v>
      </c>
      <c r="AG125" s="16">
        <v>46041</v>
      </c>
      <c r="AH125" s="16">
        <v>46055</v>
      </c>
      <c r="AI125" s="3">
        <f t="shared" si="17"/>
        <v>2</v>
      </c>
      <c r="AJ125" s="249" t="s">
        <v>498</v>
      </c>
      <c r="AK125" s="49" t="s">
        <v>499</v>
      </c>
      <c r="AL125" s="19">
        <f t="shared" si="13"/>
        <v>1</v>
      </c>
      <c r="AM125" s="67">
        <f>IFERROR(NETWORKDAYS(D125,Q125,Hoja1!$A$1:$A$29),"N/A")</f>
        <v>7</v>
      </c>
      <c r="AN125" s="21">
        <f>IFERROR(NETWORKDAYS(D125,AE125,Hoja1!$A$1:$A$29),"N/A")</f>
        <v>22</v>
      </c>
      <c r="AO125" s="78">
        <v>7</v>
      </c>
      <c r="AP125" s="21">
        <f t="shared" si="10"/>
        <v>15</v>
      </c>
      <c r="AQ125" s="21">
        <f>IFERROR(NETWORKDAYS(AF125,AG125,Hoja1!$A$1:$A$29),"N/A")</f>
        <v>9</v>
      </c>
      <c r="AR125" s="67">
        <v>4</v>
      </c>
      <c r="AS125" s="75">
        <f t="shared" si="15"/>
        <v>5</v>
      </c>
      <c r="AT125" s="21">
        <f>IFERROR(NETWORKDAYS(D125,AG125,Hoja1!$A$1:$A$29),"N/A")</f>
        <v>31</v>
      </c>
      <c r="AU125" s="21">
        <f t="shared" si="16"/>
        <v>20</v>
      </c>
      <c r="AV125" s="69" t="s">
        <v>59</v>
      </c>
      <c r="AW125" s="86" t="s">
        <v>500</v>
      </c>
      <c r="AX125" s="46" t="s">
        <v>453</v>
      </c>
      <c r="AY125" s="46"/>
      <c r="AZ125" s="46"/>
      <c r="BA125" s="1"/>
      <c r="BB125" s="1"/>
    </row>
    <row r="126" spans="1:54" ht="15" customHeight="1" x14ac:dyDescent="0.25">
      <c r="A126" s="95">
        <v>15318</v>
      </c>
      <c r="B126" s="84" t="s">
        <v>85</v>
      </c>
      <c r="C126" s="84" t="s">
        <v>85</v>
      </c>
      <c r="D126" s="421">
        <v>46003</v>
      </c>
      <c r="E126" s="28">
        <v>45979</v>
      </c>
      <c r="F126" s="84" t="s">
        <v>62</v>
      </c>
      <c r="G126" s="84" t="s">
        <v>71</v>
      </c>
      <c r="H126" s="111" t="s">
        <v>51</v>
      </c>
      <c r="I126" s="84" t="s">
        <v>501</v>
      </c>
      <c r="J126" s="84" t="s">
        <v>142</v>
      </c>
      <c r="K126" s="84" t="s">
        <v>86</v>
      </c>
      <c r="L126" s="33">
        <v>1</v>
      </c>
      <c r="M126" s="45" t="s">
        <v>54</v>
      </c>
      <c r="N126" s="21" t="s">
        <v>55</v>
      </c>
      <c r="O126" s="33">
        <v>8</v>
      </c>
      <c r="P126" s="33" t="s">
        <v>56</v>
      </c>
      <c r="Q126" s="53">
        <v>46013</v>
      </c>
      <c r="R126" s="53">
        <v>46021</v>
      </c>
      <c r="S126" s="88">
        <v>3</v>
      </c>
      <c r="T126" s="36" t="s">
        <v>55</v>
      </c>
      <c r="U126" s="36" t="s">
        <v>55</v>
      </c>
      <c r="V126" s="36" t="s">
        <v>55</v>
      </c>
      <c r="W126" s="36" t="s">
        <v>55</v>
      </c>
      <c r="X126" s="36" t="s">
        <v>55</v>
      </c>
      <c r="Y126" s="36" t="s">
        <v>55</v>
      </c>
      <c r="Z126" s="3" t="s">
        <v>55</v>
      </c>
      <c r="AA126" s="88">
        <v>3</v>
      </c>
      <c r="AB126" s="33">
        <v>1</v>
      </c>
      <c r="AC126" s="33">
        <v>0</v>
      </c>
      <c r="AD126" s="28">
        <v>46028</v>
      </c>
      <c r="AE126" s="28">
        <v>46036</v>
      </c>
      <c r="AF126" s="28">
        <v>46036</v>
      </c>
      <c r="AG126" s="28">
        <v>46049</v>
      </c>
      <c r="AH126" s="16">
        <v>46055</v>
      </c>
      <c r="AI126" s="3">
        <f t="shared" si="17"/>
        <v>2</v>
      </c>
      <c r="AJ126" s="85" t="s">
        <v>502</v>
      </c>
      <c r="AK126" s="35" t="s">
        <v>503</v>
      </c>
      <c r="AL126" s="19">
        <f t="shared" si="13"/>
        <v>0.375</v>
      </c>
      <c r="AM126" s="67">
        <f>IFERROR(NETWORKDAYS(D126,Q126,Hoja1!$A$1:$A$29),"N/A")</f>
        <v>7</v>
      </c>
      <c r="AN126" s="21">
        <f>IFERROR(NETWORKDAYS(D126,AE126,Hoja1!$A$1:$A$29),"N/A")</f>
        <v>21</v>
      </c>
      <c r="AO126" s="78">
        <v>4</v>
      </c>
      <c r="AP126" s="21">
        <f t="shared" si="10"/>
        <v>17</v>
      </c>
      <c r="AQ126" s="21">
        <f>IFERROR(NETWORKDAYS(AF126,AG126,Hoja1!$A$1:$A$29),"N/A")</f>
        <v>10</v>
      </c>
      <c r="AR126" s="74">
        <v>5</v>
      </c>
      <c r="AS126" s="75">
        <f t="shared" si="15"/>
        <v>5</v>
      </c>
      <c r="AT126" s="21">
        <f>IFERROR(NETWORKDAYS(D126,AG126,Hoja1!$A$1:$A$29),"N/A")</f>
        <v>30</v>
      </c>
      <c r="AU126" s="21">
        <f t="shared" si="16"/>
        <v>21</v>
      </c>
      <c r="AV126" s="69" t="s">
        <v>59</v>
      </c>
      <c r="AW126" s="86" t="s">
        <v>504</v>
      </c>
      <c r="AX126" s="46" t="s">
        <v>453</v>
      </c>
      <c r="AY126" s="46"/>
      <c r="AZ126" s="46"/>
      <c r="BA126" s="33"/>
      <c r="BB126" s="33"/>
    </row>
    <row r="127" spans="1:54" ht="15" customHeight="1" x14ac:dyDescent="0.25">
      <c r="A127" s="95">
        <v>15319</v>
      </c>
      <c r="B127" s="84" t="s">
        <v>85</v>
      </c>
      <c r="C127" s="84" t="s">
        <v>85</v>
      </c>
      <c r="D127" s="28">
        <v>45981</v>
      </c>
      <c r="E127" s="28">
        <v>45979</v>
      </c>
      <c r="F127" s="84" t="s">
        <v>62</v>
      </c>
      <c r="G127" s="84" t="s">
        <v>71</v>
      </c>
      <c r="H127" s="111" t="s">
        <v>51</v>
      </c>
      <c r="I127" s="143" t="s">
        <v>96</v>
      </c>
      <c r="J127" s="27" t="s">
        <v>73</v>
      </c>
      <c r="K127" s="84" t="s">
        <v>86</v>
      </c>
      <c r="L127" s="33">
        <v>1</v>
      </c>
      <c r="M127" s="45" t="s">
        <v>54</v>
      </c>
      <c r="N127" s="21" t="s">
        <v>55</v>
      </c>
      <c r="O127" s="33">
        <v>8</v>
      </c>
      <c r="P127" s="33" t="s">
        <v>56</v>
      </c>
      <c r="Q127" s="28">
        <v>45985</v>
      </c>
      <c r="R127" s="28">
        <v>46031</v>
      </c>
      <c r="S127" s="88">
        <v>3</v>
      </c>
      <c r="T127" s="36" t="s">
        <v>55</v>
      </c>
      <c r="U127" s="36" t="s">
        <v>55</v>
      </c>
      <c r="V127" s="36" t="s">
        <v>55</v>
      </c>
      <c r="W127" s="36" t="s">
        <v>55</v>
      </c>
      <c r="X127" s="36" t="s">
        <v>55</v>
      </c>
      <c r="Y127" s="36" t="s">
        <v>55</v>
      </c>
      <c r="Z127" s="3" t="s">
        <v>55</v>
      </c>
      <c r="AA127" s="88">
        <v>3</v>
      </c>
      <c r="AB127" s="33">
        <v>1</v>
      </c>
      <c r="AC127" s="33">
        <v>0</v>
      </c>
      <c r="AD127" s="28">
        <v>46037</v>
      </c>
      <c r="AE127" s="28">
        <v>46038</v>
      </c>
      <c r="AF127" s="28">
        <v>46038</v>
      </c>
      <c r="AG127" s="16">
        <v>46052</v>
      </c>
      <c r="AH127" s="16">
        <v>46055</v>
      </c>
      <c r="AI127" s="3">
        <f t="shared" si="17"/>
        <v>2</v>
      </c>
      <c r="AJ127" s="85" t="s">
        <v>505</v>
      </c>
      <c r="AK127" s="35" t="s">
        <v>506</v>
      </c>
      <c r="AL127" s="19">
        <f t="shared" si="13"/>
        <v>0.375</v>
      </c>
      <c r="AM127" s="67">
        <f>IFERROR(NETWORKDAYS(D127,Q127,Hoja1!$A$1:$A$29),"N/A")</f>
        <v>3</v>
      </c>
      <c r="AN127" s="21">
        <f>IFERROR(NETWORKDAYS(D127,AE127,Hoja1!$A$1:$A$29),"N/A")</f>
        <v>38</v>
      </c>
      <c r="AO127" s="78">
        <v>20</v>
      </c>
      <c r="AP127" s="21">
        <f t="shared" ref="AP127:AP190" si="18">AN127-AO127</f>
        <v>18</v>
      </c>
      <c r="AQ127" s="21">
        <f>IFERROR(NETWORKDAYS(AF127,AG127,Hoja1!$A$1:$A$29),"N/A")</f>
        <v>11</v>
      </c>
      <c r="AR127" s="74">
        <v>6</v>
      </c>
      <c r="AS127" s="75">
        <f t="shared" si="15"/>
        <v>5</v>
      </c>
      <c r="AT127" s="21">
        <f>IFERROR(NETWORKDAYS(D127,AG127,Hoja1!$A$1:$A$29),"N/A")</f>
        <v>48</v>
      </c>
      <c r="AU127" s="21">
        <f t="shared" si="16"/>
        <v>22</v>
      </c>
      <c r="AV127" s="69" t="s">
        <v>417</v>
      </c>
      <c r="AW127" s="86" t="s">
        <v>82</v>
      </c>
      <c r="AX127" s="46"/>
      <c r="AY127" s="46"/>
      <c r="AZ127" s="46"/>
      <c r="BA127" s="33"/>
      <c r="BB127" s="33"/>
    </row>
    <row r="128" spans="1:54" ht="15" customHeight="1" x14ac:dyDescent="0.25">
      <c r="A128" s="55">
        <v>15337</v>
      </c>
      <c r="B128" s="27" t="s">
        <v>69</v>
      </c>
      <c r="C128" s="43" t="s">
        <v>98</v>
      </c>
      <c r="D128" s="418">
        <v>45982</v>
      </c>
      <c r="E128" s="30">
        <v>45982</v>
      </c>
      <c r="F128" s="232" t="s">
        <v>90</v>
      </c>
      <c r="G128" s="87" t="s">
        <v>91</v>
      </c>
      <c r="H128" s="111" t="s">
        <v>51</v>
      </c>
      <c r="I128" s="159" t="s">
        <v>507</v>
      </c>
      <c r="J128" s="27" t="s">
        <v>118</v>
      </c>
      <c r="K128" s="87" t="s">
        <v>171</v>
      </c>
      <c r="L128" s="3">
        <v>1</v>
      </c>
      <c r="M128" s="45" t="s">
        <v>54</v>
      </c>
      <c r="N128" s="3" t="s">
        <v>55</v>
      </c>
      <c r="O128" s="3">
        <v>3</v>
      </c>
      <c r="P128" s="3" t="s">
        <v>112</v>
      </c>
      <c r="Q128" s="30">
        <v>46059</v>
      </c>
      <c r="R128" s="30">
        <v>46062</v>
      </c>
      <c r="S128" s="3">
        <v>3</v>
      </c>
      <c r="T128" s="3" t="s">
        <v>55</v>
      </c>
      <c r="U128" s="3" t="s">
        <v>55</v>
      </c>
      <c r="V128" s="3" t="s">
        <v>55</v>
      </c>
      <c r="W128" s="3" t="s">
        <v>55</v>
      </c>
      <c r="X128" s="3" t="s">
        <v>55</v>
      </c>
      <c r="Y128" s="3" t="s">
        <v>55</v>
      </c>
      <c r="Z128" s="3" t="s">
        <v>55</v>
      </c>
      <c r="AA128" s="3">
        <v>3</v>
      </c>
      <c r="AB128" s="3">
        <v>1</v>
      </c>
      <c r="AC128" s="3">
        <v>0</v>
      </c>
      <c r="AD128" s="30">
        <v>46062</v>
      </c>
      <c r="AE128" s="30">
        <v>46062</v>
      </c>
      <c r="AF128" s="30">
        <v>46063</v>
      </c>
      <c r="AG128" s="30">
        <v>46071</v>
      </c>
      <c r="AH128" s="140">
        <v>46076</v>
      </c>
      <c r="AI128" s="3">
        <f t="shared" si="17"/>
        <v>2</v>
      </c>
      <c r="AJ128" s="85" t="s">
        <v>508</v>
      </c>
      <c r="AK128" s="45" t="s">
        <v>509</v>
      </c>
      <c r="AL128" s="19">
        <f t="shared" si="13"/>
        <v>1</v>
      </c>
      <c r="AM128" s="67">
        <f>IFERROR(NETWORKDAYS(D128,Q128,Hoja1!$A$1:$A$29),"N/A")</f>
        <v>52</v>
      </c>
      <c r="AN128" s="21">
        <f>IFERROR(NETWORKDAYS(D128,AE128,Hoja1!$A$1:$A$29),"N/A")</f>
        <v>53</v>
      </c>
      <c r="AO128" s="78">
        <v>25</v>
      </c>
      <c r="AP128" s="21">
        <f t="shared" si="18"/>
        <v>28</v>
      </c>
      <c r="AQ128" s="21">
        <f>IFERROR(NETWORKDAYS(AF128,AG128,Hoja1!$A$1:$A$29),"N/A")</f>
        <v>7</v>
      </c>
      <c r="AR128" s="78">
        <v>2</v>
      </c>
      <c r="AS128" s="75">
        <f t="shared" si="15"/>
        <v>5</v>
      </c>
      <c r="AT128" s="21">
        <f>IFERROR(NETWORKDAYS(D128,AG128,Hoja1!$A$1:$A$29),"N/A")</f>
        <v>60</v>
      </c>
      <c r="AU128" s="21">
        <f t="shared" si="16"/>
        <v>33</v>
      </c>
      <c r="AV128" s="69" t="s">
        <v>59</v>
      </c>
      <c r="AW128" s="86" t="s">
        <v>510</v>
      </c>
      <c r="AX128" s="46"/>
      <c r="AY128" s="46"/>
      <c r="AZ128" s="46"/>
      <c r="BA128" s="107"/>
      <c r="BB128" s="1"/>
    </row>
    <row r="129" spans="1:54" ht="15" customHeight="1" x14ac:dyDescent="0.25">
      <c r="A129" s="55">
        <v>15338</v>
      </c>
      <c r="B129" s="27" t="s">
        <v>69</v>
      </c>
      <c r="C129" s="43" t="s">
        <v>98</v>
      </c>
      <c r="D129" s="30">
        <v>45996</v>
      </c>
      <c r="E129" s="30">
        <v>45981</v>
      </c>
      <c r="F129" s="232" t="s">
        <v>90</v>
      </c>
      <c r="G129" s="87" t="s">
        <v>91</v>
      </c>
      <c r="H129" s="111" t="s">
        <v>51</v>
      </c>
      <c r="I129" s="27" t="s">
        <v>227</v>
      </c>
      <c r="J129" s="87" t="s">
        <v>52</v>
      </c>
      <c r="K129" s="87" t="s">
        <v>171</v>
      </c>
      <c r="L129" s="3">
        <v>1</v>
      </c>
      <c r="M129" s="45" t="s">
        <v>54</v>
      </c>
      <c r="N129" s="3" t="s">
        <v>55</v>
      </c>
      <c r="O129" s="3">
        <v>6</v>
      </c>
      <c r="P129" s="3" t="s">
        <v>112</v>
      </c>
      <c r="Q129" s="30">
        <v>46008</v>
      </c>
      <c r="R129" s="53">
        <v>46009</v>
      </c>
      <c r="S129" s="3">
        <v>6</v>
      </c>
      <c r="T129" s="3" t="s">
        <v>55</v>
      </c>
      <c r="U129" s="3" t="s">
        <v>55</v>
      </c>
      <c r="V129" s="3" t="s">
        <v>55</v>
      </c>
      <c r="W129" s="3" t="s">
        <v>55</v>
      </c>
      <c r="X129" s="3" t="s">
        <v>55</v>
      </c>
      <c r="Y129" s="3" t="s">
        <v>55</v>
      </c>
      <c r="Z129" s="3" t="s">
        <v>55</v>
      </c>
      <c r="AA129" s="3">
        <v>6</v>
      </c>
      <c r="AB129" s="3">
        <v>1</v>
      </c>
      <c r="AC129" s="3">
        <v>0</v>
      </c>
      <c r="AD129" s="30">
        <v>46015</v>
      </c>
      <c r="AE129" s="30">
        <v>46015</v>
      </c>
      <c r="AF129" s="30">
        <v>46048</v>
      </c>
      <c r="AG129" s="16">
        <v>46052</v>
      </c>
      <c r="AH129" s="16">
        <v>46055</v>
      </c>
      <c r="AI129" s="3">
        <f t="shared" si="17"/>
        <v>2</v>
      </c>
      <c r="AJ129" s="85" t="s">
        <v>511</v>
      </c>
      <c r="AK129" s="45" t="s">
        <v>512</v>
      </c>
      <c r="AL129" s="19">
        <f t="shared" si="13"/>
        <v>1</v>
      </c>
      <c r="AM129" s="67">
        <f>IFERROR(NETWORKDAYS(D129,Q129,Hoja1!$A$1:$A$29),"N/A")</f>
        <v>8</v>
      </c>
      <c r="AN129" s="21">
        <f>IFERROR(NETWORKDAYS(D129,AE129,Hoja1!$A$1:$A$29),"N/A")</f>
        <v>13</v>
      </c>
      <c r="AO129" s="78">
        <v>0</v>
      </c>
      <c r="AP129" s="21">
        <f t="shared" si="18"/>
        <v>13</v>
      </c>
      <c r="AQ129" s="21">
        <f>IFERROR(NETWORKDAYS(AF129,AG129,Hoja1!$A$1:$A$29),"N/A")</f>
        <v>5</v>
      </c>
      <c r="AR129" s="78">
        <v>0</v>
      </c>
      <c r="AS129" s="75">
        <f t="shared" si="15"/>
        <v>5</v>
      </c>
      <c r="AT129" s="21">
        <f>IFERROR(NETWORKDAYS(D129,AG129,Hoja1!$A$1:$A$29),"N/A")</f>
        <v>37</v>
      </c>
      <c r="AU129" s="21">
        <f t="shared" si="16"/>
        <v>37</v>
      </c>
      <c r="AV129" s="69" t="s">
        <v>59</v>
      </c>
      <c r="AW129" s="86" t="s">
        <v>139</v>
      </c>
      <c r="AX129" s="46" t="s">
        <v>453</v>
      </c>
      <c r="AY129" s="46"/>
      <c r="AZ129" s="46"/>
      <c r="BA129" s="107"/>
      <c r="BB129" s="1"/>
    </row>
    <row r="130" spans="1:54" ht="15" customHeight="1" x14ac:dyDescent="0.25">
      <c r="A130" s="55">
        <v>15343</v>
      </c>
      <c r="B130" s="27" t="s">
        <v>69</v>
      </c>
      <c r="C130" s="43" t="s">
        <v>98</v>
      </c>
      <c r="D130" s="419">
        <v>45972</v>
      </c>
      <c r="E130" s="44">
        <v>45972</v>
      </c>
      <c r="F130" s="143" t="s">
        <v>99</v>
      </c>
      <c r="G130" s="111" t="s">
        <v>135</v>
      </c>
      <c r="H130" s="111" t="s">
        <v>51</v>
      </c>
      <c r="I130" s="111" t="s">
        <v>456</v>
      </c>
      <c r="J130" s="111" t="s">
        <v>52</v>
      </c>
      <c r="K130" s="202" t="s">
        <v>1081</v>
      </c>
      <c r="L130" s="2">
        <v>1</v>
      </c>
      <c r="M130" s="45" t="s">
        <v>54</v>
      </c>
      <c r="N130" s="2" t="s">
        <v>55</v>
      </c>
      <c r="O130" s="2">
        <v>6</v>
      </c>
      <c r="P130" s="2" t="s">
        <v>112</v>
      </c>
      <c r="Q130" s="53">
        <v>46009</v>
      </c>
      <c r="R130" s="53">
        <v>46009</v>
      </c>
      <c r="S130" s="88">
        <v>3</v>
      </c>
      <c r="T130" s="2" t="s">
        <v>55</v>
      </c>
      <c r="U130" s="2" t="s">
        <v>55</v>
      </c>
      <c r="V130" s="2" t="s">
        <v>55</v>
      </c>
      <c r="W130" s="2" t="s">
        <v>55</v>
      </c>
      <c r="X130" s="2" t="s">
        <v>55</v>
      </c>
      <c r="Y130" s="2" t="s">
        <v>55</v>
      </c>
      <c r="Z130" s="3" t="s">
        <v>55</v>
      </c>
      <c r="AA130" s="88">
        <v>6</v>
      </c>
      <c r="AB130" s="2">
        <v>1</v>
      </c>
      <c r="AC130" s="2">
        <v>0</v>
      </c>
      <c r="AD130" s="28">
        <v>46041</v>
      </c>
      <c r="AE130" s="16">
        <v>46049</v>
      </c>
      <c r="AF130" s="16">
        <v>46049</v>
      </c>
      <c r="AG130" s="44">
        <v>46058</v>
      </c>
      <c r="AH130" s="140">
        <v>46076</v>
      </c>
      <c r="AI130" s="3">
        <f t="shared" si="17"/>
        <v>2</v>
      </c>
      <c r="AJ130" s="85" t="s">
        <v>513</v>
      </c>
      <c r="AK130" s="46" t="s">
        <v>514</v>
      </c>
      <c r="AL130" s="19">
        <f t="shared" si="13"/>
        <v>0.5</v>
      </c>
      <c r="AM130" s="67">
        <f>IFERROR(NETWORKDAYS(D130,Q130,Hoja1!$A$1:$A$29),"N/A")</f>
        <v>26</v>
      </c>
      <c r="AN130" s="21">
        <f>IFERROR(NETWORKDAYS(D130,AE130,Hoja1!$A$1:$A$29),"N/A")</f>
        <v>51</v>
      </c>
      <c r="AO130" s="78">
        <v>19</v>
      </c>
      <c r="AP130" s="21">
        <f t="shared" si="18"/>
        <v>32</v>
      </c>
      <c r="AQ130" s="21">
        <f>IFERROR(NETWORKDAYS(AF130,AG130,Hoja1!$A$1:$A$29),"N/A")</f>
        <v>8</v>
      </c>
      <c r="AR130" s="78">
        <v>3</v>
      </c>
      <c r="AS130" s="75">
        <f t="shared" si="15"/>
        <v>5</v>
      </c>
      <c r="AT130" s="21">
        <f>IFERROR(NETWORKDAYS(D130,AG130,Hoja1!$A$1:$A$29),"N/A")</f>
        <v>58</v>
      </c>
      <c r="AU130" s="21">
        <f t="shared" si="16"/>
        <v>36</v>
      </c>
      <c r="AV130" s="69" t="s">
        <v>131</v>
      </c>
      <c r="AW130" s="86" t="s">
        <v>515</v>
      </c>
      <c r="AX130" s="46"/>
      <c r="AY130" s="46"/>
      <c r="AZ130" s="46"/>
      <c r="BA130" s="43"/>
      <c r="BB130" s="43"/>
    </row>
    <row r="131" spans="1:54" ht="15" customHeight="1" x14ac:dyDescent="0.25">
      <c r="A131" s="95">
        <v>15374</v>
      </c>
      <c r="B131" s="84" t="s">
        <v>85</v>
      </c>
      <c r="C131" s="84" t="s">
        <v>85</v>
      </c>
      <c r="D131" s="28">
        <v>46043</v>
      </c>
      <c r="E131" s="28">
        <v>45985</v>
      </c>
      <c r="F131" s="84" t="s">
        <v>62</v>
      </c>
      <c r="G131" s="84" t="s">
        <v>382</v>
      </c>
      <c r="H131" s="87" t="s">
        <v>101</v>
      </c>
      <c r="I131" s="84" t="s">
        <v>516</v>
      </c>
      <c r="J131" s="202" t="s">
        <v>52</v>
      </c>
      <c r="K131" s="84" t="s">
        <v>86</v>
      </c>
      <c r="L131" s="33">
        <v>1</v>
      </c>
      <c r="M131" s="45" t="s">
        <v>54</v>
      </c>
      <c r="N131" s="21" t="s">
        <v>55</v>
      </c>
      <c r="O131" s="33">
        <v>0</v>
      </c>
      <c r="P131" s="33"/>
      <c r="Q131" s="21" t="s">
        <v>55</v>
      </c>
      <c r="R131" s="21" t="s">
        <v>55</v>
      </c>
      <c r="S131" s="33">
        <v>0</v>
      </c>
      <c r="T131" s="36" t="s">
        <v>55</v>
      </c>
      <c r="U131" s="36" t="s">
        <v>55</v>
      </c>
      <c r="V131" s="36" t="s">
        <v>55</v>
      </c>
      <c r="W131" s="36" t="s">
        <v>55</v>
      </c>
      <c r="X131" s="36" t="s">
        <v>55</v>
      </c>
      <c r="Y131" s="36" t="s">
        <v>55</v>
      </c>
      <c r="Z131" s="3" t="s">
        <v>55</v>
      </c>
      <c r="AA131" s="88">
        <v>3</v>
      </c>
      <c r="AB131" s="33">
        <v>1</v>
      </c>
      <c r="AC131" s="33">
        <v>0</v>
      </c>
      <c r="AD131" s="28">
        <v>46045</v>
      </c>
      <c r="AE131" s="28">
        <v>46045</v>
      </c>
      <c r="AF131" s="28">
        <v>46048</v>
      </c>
      <c r="AG131" s="28">
        <v>46058</v>
      </c>
      <c r="AH131" s="28">
        <v>46065</v>
      </c>
      <c r="AI131" s="3">
        <f t="shared" si="17"/>
        <v>2</v>
      </c>
      <c r="AJ131" s="85" t="s">
        <v>517</v>
      </c>
      <c r="AK131" s="35" t="s">
        <v>518</v>
      </c>
      <c r="AL131" s="19" t="str">
        <f t="shared" ref="AL131:AL194" si="19">IFERROR(S131/O131,"N/A")</f>
        <v>N/A</v>
      </c>
      <c r="AM131" s="67" t="str">
        <f>IFERROR(NETWORKDAYS(D131,Q131,Hoja1!$A$1:$A$29),"N/A")</f>
        <v>N/A</v>
      </c>
      <c r="AN131" s="21">
        <f>IFERROR(NETWORKDAYS(D131,AE131,Hoja1!$A$1:$A$29),"N/A")</f>
        <v>3</v>
      </c>
      <c r="AO131" s="78">
        <v>0</v>
      </c>
      <c r="AP131" s="21">
        <f t="shared" si="18"/>
        <v>3</v>
      </c>
      <c r="AQ131" s="21">
        <f>IFERROR(NETWORKDAYS(AF131,AG131,Hoja1!$A$1:$A$29),"N/A")</f>
        <v>9</v>
      </c>
      <c r="AR131" s="74">
        <v>4</v>
      </c>
      <c r="AS131" s="75">
        <f t="shared" si="15"/>
        <v>5</v>
      </c>
      <c r="AT131" s="21">
        <f>IFERROR(NETWORKDAYS(D131,AG131,Hoja1!$A$1:$A$29),"N/A")</f>
        <v>12</v>
      </c>
      <c r="AU131" s="21">
        <f t="shared" si="16"/>
        <v>8</v>
      </c>
      <c r="AV131" s="69" t="s">
        <v>104</v>
      </c>
      <c r="AW131" s="86" t="s">
        <v>480</v>
      </c>
      <c r="AX131" s="46" t="s">
        <v>454</v>
      </c>
      <c r="AY131" s="46"/>
      <c r="AZ131" s="46"/>
      <c r="BA131" s="33"/>
      <c r="BB131" s="33"/>
    </row>
    <row r="132" spans="1:54" ht="15" customHeight="1" x14ac:dyDescent="0.25">
      <c r="A132" s="57">
        <v>15377</v>
      </c>
      <c r="B132" s="27" t="s">
        <v>69</v>
      </c>
      <c r="C132" s="43" t="s">
        <v>98</v>
      </c>
      <c r="D132" s="420">
        <v>45986</v>
      </c>
      <c r="E132" s="15">
        <v>45986</v>
      </c>
      <c r="F132" s="114" t="s">
        <v>62</v>
      </c>
      <c r="G132" s="114" t="s">
        <v>519</v>
      </c>
      <c r="H132" s="111" t="s">
        <v>51</v>
      </c>
      <c r="I132" s="27" t="s">
        <v>227</v>
      </c>
      <c r="J132" s="27" t="s">
        <v>52</v>
      </c>
      <c r="K132" s="27" t="s">
        <v>66</v>
      </c>
      <c r="L132" s="1">
        <v>1</v>
      </c>
      <c r="M132" s="45" t="s">
        <v>54</v>
      </c>
      <c r="N132" s="2" t="s">
        <v>55</v>
      </c>
      <c r="O132" s="1">
        <v>6</v>
      </c>
      <c r="P132" s="1" t="s">
        <v>56</v>
      </c>
      <c r="Q132" s="16">
        <v>45994</v>
      </c>
      <c r="R132" s="16">
        <v>46006</v>
      </c>
      <c r="S132" s="88">
        <v>6</v>
      </c>
      <c r="T132" s="2" t="s">
        <v>55</v>
      </c>
      <c r="U132" s="2" t="s">
        <v>55</v>
      </c>
      <c r="V132" s="2" t="s">
        <v>55</v>
      </c>
      <c r="W132" s="2" t="s">
        <v>55</v>
      </c>
      <c r="X132" s="2" t="s">
        <v>55</v>
      </c>
      <c r="Y132" s="2" t="s">
        <v>55</v>
      </c>
      <c r="Z132" s="3" t="s">
        <v>55</v>
      </c>
      <c r="AA132" s="88">
        <v>5</v>
      </c>
      <c r="AB132" s="1">
        <v>1</v>
      </c>
      <c r="AC132" s="1">
        <v>0</v>
      </c>
      <c r="AD132" s="16">
        <v>46015</v>
      </c>
      <c r="AE132" s="16">
        <v>46031</v>
      </c>
      <c r="AF132" s="16">
        <v>46031</v>
      </c>
      <c r="AG132" s="16">
        <v>46051</v>
      </c>
      <c r="AH132" s="16">
        <v>46055</v>
      </c>
      <c r="AI132" s="3">
        <f t="shared" si="17"/>
        <v>2</v>
      </c>
      <c r="AJ132" s="108" t="s">
        <v>520</v>
      </c>
      <c r="AK132" s="49" t="s">
        <v>521</v>
      </c>
      <c r="AL132" s="19">
        <f t="shared" si="19"/>
        <v>1</v>
      </c>
      <c r="AM132" s="67">
        <f>IFERROR(NETWORKDAYS(D132,Q132,Hoja1!$A$1:$A$29),"N/A")</f>
        <v>7</v>
      </c>
      <c r="AN132" s="21">
        <f>IFERROR(NETWORKDAYS(D132,AE132,Hoja1!$A$1:$A$29),"N/A")</f>
        <v>31</v>
      </c>
      <c r="AO132" s="78">
        <v>7</v>
      </c>
      <c r="AP132" s="21">
        <f t="shared" si="18"/>
        <v>24</v>
      </c>
      <c r="AQ132" s="21">
        <f>IFERROR(NETWORKDAYS(AF132,AG132,Hoja1!$A$1:$A$29),"N/A")</f>
        <v>14</v>
      </c>
      <c r="AR132" s="74">
        <v>9</v>
      </c>
      <c r="AS132" s="75">
        <f t="shared" si="15"/>
        <v>5</v>
      </c>
      <c r="AT132" s="21">
        <f>IFERROR(NETWORKDAYS(D132,AG132,Hoja1!$A$1:$A$29),"N/A")</f>
        <v>44</v>
      </c>
      <c r="AU132" s="21">
        <f t="shared" si="16"/>
        <v>28</v>
      </c>
      <c r="AV132" s="69" t="s">
        <v>59</v>
      </c>
      <c r="AW132" s="86" t="s">
        <v>522</v>
      </c>
      <c r="AX132" s="46" t="s">
        <v>445</v>
      </c>
      <c r="AY132" s="46"/>
      <c r="AZ132" s="46"/>
      <c r="BA132" s="1"/>
      <c r="BB132" s="1"/>
    </row>
    <row r="133" spans="1:54" ht="15" customHeight="1" x14ac:dyDescent="0.25">
      <c r="A133" s="95">
        <v>15383</v>
      </c>
      <c r="B133" s="29" t="s">
        <v>387</v>
      </c>
      <c r="C133" s="29" t="s">
        <v>387</v>
      </c>
      <c r="D133" s="28">
        <v>45986</v>
      </c>
      <c r="E133" s="15">
        <v>45986</v>
      </c>
      <c r="F133" s="84" t="s">
        <v>62</v>
      </c>
      <c r="G133" s="84" t="s">
        <v>71</v>
      </c>
      <c r="H133" s="111" t="s">
        <v>51</v>
      </c>
      <c r="I133" s="27" t="s">
        <v>72</v>
      </c>
      <c r="J133" s="27" t="s">
        <v>73</v>
      </c>
      <c r="K133" s="84" t="s">
        <v>86</v>
      </c>
      <c r="L133" s="33">
        <v>1</v>
      </c>
      <c r="M133" s="45" t="s">
        <v>54</v>
      </c>
      <c r="N133" s="21" t="s">
        <v>55</v>
      </c>
      <c r="O133" s="33">
        <v>8</v>
      </c>
      <c r="P133" s="33" t="s">
        <v>56</v>
      </c>
      <c r="Q133" s="53">
        <v>46006</v>
      </c>
      <c r="R133" s="28">
        <v>46044</v>
      </c>
      <c r="S133" s="88">
        <v>6</v>
      </c>
      <c r="T133" s="36" t="s">
        <v>55</v>
      </c>
      <c r="U133" s="36" t="s">
        <v>55</v>
      </c>
      <c r="V133" s="36" t="s">
        <v>55</v>
      </c>
      <c r="W133" s="36" t="s">
        <v>55</v>
      </c>
      <c r="X133" s="36" t="s">
        <v>55</v>
      </c>
      <c r="Y133" s="36" t="s">
        <v>55</v>
      </c>
      <c r="Z133" s="3" t="s">
        <v>55</v>
      </c>
      <c r="AA133" s="88">
        <v>5</v>
      </c>
      <c r="AB133" s="33">
        <v>2</v>
      </c>
      <c r="AC133" s="33">
        <v>0</v>
      </c>
      <c r="AD133" s="28">
        <v>46050</v>
      </c>
      <c r="AE133" s="28">
        <v>46051</v>
      </c>
      <c r="AF133" s="28">
        <v>46052</v>
      </c>
      <c r="AG133" s="28">
        <v>46062</v>
      </c>
      <c r="AH133" s="28">
        <v>46065</v>
      </c>
      <c r="AI133" s="3">
        <f t="shared" si="17"/>
        <v>2</v>
      </c>
      <c r="AJ133" s="85" t="s">
        <v>523</v>
      </c>
      <c r="AK133" s="35" t="s">
        <v>524</v>
      </c>
      <c r="AL133" s="19">
        <f t="shared" si="19"/>
        <v>0.75</v>
      </c>
      <c r="AM133" s="67">
        <f>IFERROR(NETWORKDAYS(D133,Q133,Hoja1!$A$1:$A$29),"N/A")</f>
        <v>14</v>
      </c>
      <c r="AN133" s="21">
        <f>IFERROR(NETWORKDAYS(D133,AE133,Hoja1!$A$1:$A$29),"N/A")</f>
        <v>44</v>
      </c>
      <c r="AO133" s="78">
        <v>27</v>
      </c>
      <c r="AP133" s="21">
        <f t="shared" si="18"/>
        <v>17</v>
      </c>
      <c r="AQ133" s="21">
        <f>IFERROR(NETWORKDAYS(AF133,AG133,Hoja1!$A$1:$A$29),"N/A")</f>
        <v>7</v>
      </c>
      <c r="AR133" s="74">
        <v>2</v>
      </c>
      <c r="AS133" s="75">
        <f t="shared" si="15"/>
        <v>5</v>
      </c>
      <c r="AT133" s="21">
        <f>IFERROR(NETWORKDAYS(D133,AG133,Hoja1!$A$1:$A$29),"N/A")</f>
        <v>51</v>
      </c>
      <c r="AU133" s="21">
        <f t="shared" si="16"/>
        <v>22</v>
      </c>
      <c r="AV133" s="69" t="s">
        <v>417</v>
      </c>
      <c r="AW133" s="86" t="s">
        <v>82</v>
      </c>
      <c r="AX133" s="46"/>
      <c r="AY133" s="46"/>
      <c r="AZ133" s="46"/>
      <c r="BA133" s="33"/>
      <c r="BB133" s="33"/>
    </row>
    <row r="134" spans="1:54" ht="15" customHeight="1" x14ac:dyDescent="0.25">
      <c r="A134" s="55">
        <v>15384</v>
      </c>
      <c r="B134" s="27" t="s">
        <v>69</v>
      </c>
      <c r="C134" s="43" t="s">
        <v>98</v>
      </c>
      <c r="D134" s="420">
        <v>45986</v>
      </c>
      <c r="E134" s="15">
        <v>45986</v>
      </c>
      <c r="F134" s="143" t="s">
        <v>99</v>
      </c>
      <c r="G134" s="111" t="s">
        <v>135</v>
      </c>
      <c r="H134" s="111" t="s">
        <v>51</v>
      </c>
      <c r="I134" s="27" t="s">
        <v>72</v>
      </c>
      <c r="J134" s="27" t="s">
        <v>73</v>
      </c>
      <c r="K134" s="202" t="s">
        <v>1081</v>
      </c>
      <c r="L134" s="2">
        <v>1</v>
      </c>
      <c r="M134" s="45" t="s">
        <v>54</v>
      </c>
      <c r="N134" s="2" t="s">
        <v>55</v>
      </c>
      <c r="O134" s="2">
        <v>2</v>
      </c>
      <c r="P134" s="2" t="s">
        <v>112</v>
      </c>
      <c r="Q134" s="28">
        <v>46013</v>
      </c>
      <c r="R134" s="28">
        <v>46013</v>
      </c>
      <c r="S134" s="2">
        <v>2</v>
      </c>
      <c r="T134" s="2" t="s">
        <v>55</v>
      </c>
      <c r="U134" s="2" t="s">
        <v>55</v>
      </c>
      <c r="V134" s="2" t="s">
        <v>55</v>
      </c>
      <c r="W134" s="2" t="s">
        <v>55</v>
      </c>
      <c r="X134" s="2" t="s">
        <v>55</v>
      </c>
      <c r="Y134" s="2" t="s">
        <v>55</v>
      </c>
      <c r="Z134" s="3" t="s">
        <v>55</v>
      </c>
      <c r="AA134" s="2">
        <v>1</v>
      </c>
      <c r="AB134" s="2">
        <v>1</v>
      </c>
      <c r="AC134" s="2">
        <v>0</v>
      </c>
      <c r="AD134" s="44">
        <v>46030</v>
      </c>
      <c r="AE134" s="28">
        <v>46038</v>
      </c>
      <c r="AF134" s="28">
        <v>46038</v>
      </c>
      <c r="AG134" s="28">
        <v>46048</v>
      </c>
      <c r="AH134" s="16">
        <v>46055</v>
      </c>
      <c r="AI134" s="3">
        <f t="shared" si="17"/>
        <v>2</v>
      </c>
      <c r="AJ134" s="85" t="s">
        <v>525</v>
      </c>
      <c r="AK134" s="46" t="s">
        <v>526</v>
      </c>
      <c r="AL134" s="19">
        <f t="shared" si="19"/>
        <v>1</v>
      </c>
      <c r="AM134" s="67">
        <f>IFERROR(NETWORKDAYS(D134,Q134,Hoja1!$A$1:$A$29),"N/A")</f>
        <v>19</v>
      </c>
      <c r="AN134" s="21">
        <f>IFERROR(NETWORKDAYS(D134,AE134,Hoja1!$A$1:$A$29),"N/A")</f>
        <v>35</v>
      </c>
      <c r="AO134" s="78">
        <v>5</v>
      </c>
      <c r="AP134" s="21">
        <f t="shared" si="18"/>
        <v>30</v>
      </c>
      <c r="AQ134" s="21">
        <f>IFERROR(NETWORKDAYS(AF134,AG134,Hoja1!$A$1:$A$29),"N/A")</f>
        <v>7</v>
      </c>
      <c r="AR134" s="78">
        <v>2</v>
      </c>
      <c r="AS134" s="75">
        <f t="shared" si="15"/>
        <v>5</v>
      </c>
      <c r="AT134" s="21">
        <f>IFERROR(NETWORKDAYS(D134,AG134,Hoja1!$A$1:$A$29),"N/A")</f>
        <v>41</v>
      </c>
      <c r="AU134" s="21">
        <f t="shared" si="16"/>
        <v>34</v>
      </c>
      <c r="AV134" s="69" t="s">
        <v>127</v>
      </c>
      <c r="AW134" s="86" t="s">
        <v>82</v>
      </c>
      <c r="AX134" s="46" t="s">
        <v>527</v>
      </c>
      <c r="AY134" s="46"/>
      <c r="AZ134" s="46"/>
      <c r="BA134" s="43"/>
      <c r="BB134" s="43"/>
    </row>
    <row r="135" spans="1:54" ht="15" customHeight="1" x14ac:dyDescent="0.25">
      <c r="A135" s="95">
        <v>15386</v>
      </c>
      <c r="B135" s="84" t="s">
        <v>85</v>
      </c>
      <c r="C135" s="84" t="s">
        <v>85</v>
      </c>
      <c r="D135" s="28">
        <v>45986</v>
      </c>
      <c r="E135" s="15">
        <v>45986</v>
      </c>
      <c r="F135" s="84" t="s">
        <v>62</v>
      </c>
      <c r="G135" s="84" t="s">
        <v>71</v>
      </c>
      <c r="H135" s="111" t="s">
        <v>51</v>
      </c>
      <c r="I135" s="27" t="s">
        <v>72</v>
      </c>
      <c r="J135" s="27" t="s">
        <v>73</v>
      </c>
      <c r="K135" s="84" t="s">
        <v>86</v>
      </c>
      <c r="L135" s="33">
        <v>1</v>
      </c>
      <c r="M135" s="45" t="s">
        <v>54</v>
      </c>
      <c r="N135" s="21" t="s">
        <v>55</v>
      </c>
      <c r="O135" s="33">
        <v>17</v>
      </c>
      <c r="P135" s="33" t="s">
        <v>56</v>
      </c>
      <c r="Q135" s="28">
        <v>45994</v>
      </c>
      <c r="R135" s="28">
        <v>46041</v>
      </c>
      <c r="S135" s="33">
        <v>15</v>
      </c>
      <c r="T135" s="36" t="s">
        <v>55</v>
      </c>
      <c r="U135" s="36" t="s">
        <v>55</v>
      </c>
      <c r="V135" s="36" t="s">
        <v>55</v>
      </c>
      <c r="W135" s="36" t="s">
        <v>55</v>
      </c>
      <c r="X135" s="36" t="s">
        <v>55</v>
      </c>
      <c r="Y135" s="36" t="s">
        <v>55</v>
      </c>
      <c r="Z135" s="3" t="s">
        <v>55</v>
      </c>
      <c r="AA135" s="33">
        <v>3</v>
      </c>
      <c r="AB135" s="33">
        <v>3</v>
      </c>
      <c r="AC135" s="33">
        <v>0</v>
      </c>
      <c r="AD135" s="28">
        <v>46037</v>
      </c>
      <c r="AE135" s="28">
        <v>46041</v>
      </c>
      <c r="AF135" s="28">
        <v>46041</v>
      </c>
      <c r="AG135" s="16">
        <v>46050</v>
      </c>
      <c r="AH135" s="16">
        <v>46055</v>
      </c>
      <c r="AI135" s="3">
        <f t="shared" si="17"/>
        <v>2</v>
      </c>
      <c r="AJ135" s="85" t="s">
        <v>528</v>
      </c>
      <c r="AK135" s="35" t="s">
        <v>529</v>
      </c>
      <c r="AL135" s="19">
        <f t="shared" si="19"/>
        <v>0.88235294117647056</v>
      </c>
      <c r="AM135" s="67">
        <f>IFERROR(NETWORKDAYS(D135,Q135,Hoja1!$A$1:$A$29),"N/A")</f>
        <v>7</v>
      </c>
      <c r="AN135" s="21">
        <f>IFERROR(NETWORKDAYS(D135,AE135,Hoja1!$A$1:$A$29),"N/A")</f>
        <v>36</v>
      </c>
      <c r="AO135" s="78">
        <v>15</v>
      </c>
      <c r="AP135" s="21">
        <f t="shared" si="18"/>
        <v>21</v>
      </c>
      <c r="AQ135" s="21">
        <f>IFERROR(NETWORKDAYS(AF135,AG135,Hoja1!$A$1:$A$29),"N/A")</f>
        <v>8</v>
      </c>
      <c r="AR135" s="74">
        <v>3</v>
      </c>
      <c r="AS135" s="75">
        <f t="shared" si="15"/>
        <v>5</v>
      </c>
      <c r="AT135" s="21">
        <f>IFERROR(NETWORKDAYS(D135,AG135,Hoja1!$A$1:$A$29),"N/A")</f>
        <v>43</v>
      </c>
      <c r="AU135" s="21">
        <f t="shared" si="16"/>
        <v>25</v>
      </c>
      <c r="AV135" s="69" t="s">
        <v>417</v>
      </c>
      <c r="AW135" s="86" t="s">
        <v>530</v>
      </c>
      <c r="AX135" s="46" t="s">
        <v>464</v>
      </c>
      <c r="AY135" s="46"/>
      <c r="AZ135" s="46"/>
      <c r="BA135" s="33"/>
      <c r="BB135" s="33"/>
    </row>
    <row r="136" spans="1:54" ht="15" customHeight="1" x14ac:dyDescent="0.25">
      <c r="A136" s="95">
        <v>15388</v>
      </c>
      <c r="B136" s="84" t="s">
        <v>85</v>
      </c>
      <c r="C136" s="84" t="s">
        <v>85</v>
      </c>
      <c r="D136" s="421">
        <v>45986</v>
      </c>
      <c r="E136" s="15">
        <v>45986</v>
      </c>
      <c r="F136" s="84" t="s">
        <v>62</v>
      </c>
      <c r="G136" s="84" t="s">
        <v>71</v>
      </c>
      <c r="H136" s="111" t="s">
        <v>51</v>
      </c>
      <c r="I136" s="27" t="s">
        <v>72</v>
      </c>
      <c r="J136" s="27" t="s">
        <v>73</v>
      </c>
      <c r="K136" s="84" t="s">
        <v>86</v>
      </c>
      <c r="L136" s="33">
        <v>1</v>
      </c>
      <c r="M136" s="45" t="s">
        <v>54</v>
      </c>
      <c r="N136" s="21" t="s">
        <v>55</v>
      </c>
      <c r="O136" s="33">
        <v>2</v>
      </c>
      <c r="P136" s="33" t="s">
        <v>112</v>
      </c>
      <c r="Q136" s="28">
        <v>45990</v>
      </c>
      <c r="R136" s="28">
        <v>46006</v>
      </c>
      <c r="S136" s="33">
        <v>2</v>
      </c>
      <c r="T136" s="36" t="s">
        <v>55</v>
      </c>
      <c r="U136" s="36" t="s">
        <v>55</v>
      </c>
      <c r="V136" s="36" t="s">
        <v>55</v>
      </c>
      <c r="W136" s="36" t="s">
        <v>55</v>
      </c>
      <c r="X136" s="36" t="s">
        <v>55</v>
      </c>
      <c r="Y136" s="36" t="s">
        <v>55</v>
      </c>
      <c r="Z136" s="3" t="s">
        <v>55</v>
      </c>
      <c r="AA136" s="33">
        <v>1</v>
      </c>
      <c r="AB136" s="33">
        <v>1</v>
      </c>
      <c r="AC136" s="33">
        <v>0</v>
      </c>
      <c r="AD136" s="28">
        <v>46010</v>
      </c>
      <c r="AE136" s="28">
        <v>46036</v>
      </c>
      <c r="AF136" s="28">
        <v>46037</v>
      </c>
      <c r="AG136" s="16">
        <v>46050</v>
      </c>
      <c r="AH136" s="16">
        <v>46055</v>
      </c>
      <c r="AI136" s="3">
        <f t="shared" si="17"/>
        <v>2</v>
      </c>
      <c r="AJ136" s="85" t="s">
        <v>531</v>
      </c>
      <c r="AK136" s="35" t="s">
        <v>532</v>
      </c>
      <c r="AL136" s="19">
        <f t="shared" si="19"/>
        <v>1</v>
      </c>
      <c r="AM136" s="67">
        <f>IFERROR(NETWORKDAYS(D136,Q136,Hoja1!$A$1:$A$29),"N/A")</f>
        <v>4</v>
      </c>
      <c r="AN136" s="21">
        <f>IFERROR(NETWORKDAYS(D136,AE136,Hoja1!$A$1:$A$29),"N/A")</f>
        <v>33</v>
      </c>
      <c r="AO136" s="78">
        <v>16</v>
      </c>
      <c r="AP136" s="21">
        <f t="shared" si="18"/>
        <v>17</v>
      </c>
      <c r="AQ136" s="21">
        <f>IFERROR(NETWORKDAYS(AF136,AG136,Hoja1!$A$1:$A$29),"N/A")</f>
        <v>10</v>
      </c>
      <c r="AR136" s="74">
        <v>5</v>
      </c>
      <c r="AS136" s="75">
        <f t="shared" si="15"/>
        <v>5</v>
      </c>
      <c r="AT136" s="21">
        <f>IFERROR(NETWORKDAYS(D136,AG136,Hoja1!$A$1:$A$29),"N/A")</f>
        <v>43</v>
      </c>
      <c r="AU136" s="21">
        <f t="shared" si="16"/>
        <v>22</v>
      </c>
      <c r="AV136" s="69" t="s">
        <v>417</v>
      </c>
      <c r="AW136" s="86" t="s">
        <v>82</v>
      </c>
      <c r="AX136" s="46"/>
      <c r="AY136" s="46"/>
      <c r="AZ136" s="46"/>
      <c r="BA136" s="33"/>
      <c r="BB136" s="33"/>
    </row>
    <row r="137" spans="1:54" ht="15" customHeight="1" x14ac:dyDescent="0.25">
      <c r="A137" s="55">
        <v>15398</v>
      </c>
      <c r="B137" s="87" t="s">
        <v>79</v>
      </c>
      <c r="C137" s="87" t="s">
        <v>79</v>
      </c>
      <c r="D137" s="44">
        <v>46010</v>
      </c>
      <c r="E137" s="44">
        <v>45992</v>
      </c>
      <c r="F137" s="143" t="s">
        <v>99</v>
      </c>
      <c r="G137" s="111" t="s">
        <v>100</v>
      </c>
      <c r="H137" s="111" t="s">
        <v>51</v>
      </c>
      <c r="I137" s="87" t="s">
        <v>92</v>
      </c>
      <c r="J137" s="111" t="s">
        <v>52</v>
      </c>
      <c r="K137" s="111" t="s">
        <v>129</v>
      </c>
      <c r="L137" s="2">
        <v>1</v>
      </c>
      <c r="M137" s="45" t="s">
        <v>54</v>
      </c>
      <c r="N137" s="2" t="s">
        <v>55</v>
      </c>
      <c r="O137" s="2">
        <v>8</v>
      </c>
      <c r="P137" s="2" t="s">
        <v>56</v>
      </c>
      <c r="Q137" s="44">
        <v>46041</v>
      </c>
      <c r="R137" s="44">
        <v>46041</v>
      </c>
      <c r="S137" s="2">
        <v>8</v>
      </c>
      <c r="T137" s="2" t="s">
        <v>55</v>
      </c>
      <c r="U137" s="2" t="s">
        <v>55</v>
      </c>
      <c r="V137" s="2" t="s">
        <v>55</v>
      </c>
      <c r="W137" s="2" t="s">
        <v>55</v>
      </c>
      <c r="X137" s="2" t="s">
        <v>55</v>
      </c>
      <c r="Y137" s="2" t="s">
        <v>55</v>
      </c>
      <c r="Z137" s="3" t="s">
        <v>55</v>
      </c>
      <c r="AA137" s="2">
        <v>1</v>
      </c>
      <c r="AB137" s="2">
        <v>1</v>
      </c>
      <c r="AC137" s="2">
        <v>0</v>
      </c>
      <c r="AD137" s="44">
        <v>46058</v>
      </c>
      <c r="AE137" s="44">
        <v>46058</v>
      </c>
      <c r="AF137" s="44">
        <v>46058</v>
      </c>
      <c r="AG137" s="44">
        <v>46066</v>
      </c>
      <c r="AH137" s="140">
        <v>46076</v>
      </c>
      <c r="AI137" s="3">
        <f t="shared" si="17"/>
        <v>2</v>
      </c>
      <c r="AJ137" s="109" t="s">
        <v>533</v>
      </c>
      <c r="AK137" s="46" t="s">
        <v>534</v>
      </c>
      <c r="AL137" s="19">
        <f t="shared" si="19"/>
        <v>1</v>
      </c>
      <c r="AM137" s="67">
        <f>IFERROR(NETWORKDAYS(D137,Q137,Hoja1!$A$1:$A$29),"N/A")</f>
        <v>19</v>
      </c>
      <c r="AN137" s="21">
        <f>IFERROR(NETWORKDAYS(D137,AE137,Hoja1!$A$1:$A$29),"N/A")</f>
        <v>32</v>
      </c>
      <c r="AO137" s="78">
        <v>7</v>
      </c>
      <c r="AP137" s="21">
        <f t="shared" si="18"/>
        <v>25</v>
      </c>
      <c r="AQ137" s="21">
        <f>IFERROR(NETWORKDAYS(AF137,AG137,Hoja1!$A$1:$A$29),"N/A")</f>
        <v>7</v>
      </c>
      <c r="AR137" s="78">
        <v>2</v>
      </c>
      <c r="AS137" s="75">
        <f t="shared" si="15"/>
        <v>5</v>
      </c>
      <c r="AT137" s="21">
        <f>IFERROR(NETWORKDAYS(D137,AG137,Hoja1!$A$1:$A$29),"N/A")</f>
        <v>38</v>
      </c>
      <c r="AU137" s="21">
        <f t="shared" si="16"/>
        <v>29</v>
      </c>
      <c r="AV137" s="69" t="s">
        <v>59</v>
      </c>
      <c r="AW137" s="86" t="s">
        <v>535</v>
      </c>
      <c r="AX137" s="46" t="s">
        <v>453</v>
      </c>
      <c r="AY137" s="46"/>
      <c r="AZ137" s="46"/>
      <c r="BA137" s="43"/>
      <c r="BB137" s="43"/>
    </row>
    <row r="138" spans="1:54" ht="15" customHeight="1" x14ac:dyDescent="0.25">
      <c r="A138" s="57">
        <v>15401</v>
      </c>
      <c r="B138" s="27" t="s">
        <v>69</v>
      </c>
      <c r="C138" s="43" t="s">
        <v>98</v>
      </c>
      <c r="D138" s="420">
        <v>45988</v>
      </c>
      <c r="E138" s="15">
        <v>45988</v>
      </c>
      <c r="F138" s="114" t="s">
        <v>62</v>
      </c>
      <c r="G138" s="114" t="s">
        <v>80</v>
      </c>
      <c r="H138" s="111" t="s">
        <v>51</v>
      </c>
      <c r="I138" s="27" t="s">
        <v>72</v>
      </c>
      <c r="J138" s="27" t="s">
        <v>73</v>
      </c>
      <c r="K138" s="27" t="s">
        <v>66</v>
      </c>
      <c r="L138" s="1">
        <v>1</v>
      </c>
      <c r="M138" s="45" t="s">
        <v>54</v>
      </c>
      <c r="N138" s="2" t="s">
        <v>55</v>
      </c>
      <c r="O138" s="1">
        <v>4</v>
      </c>
      <c r="P138" s="1" t="s">
        <v>56</v>
      </c>
      <c r="Q138" s="16">
        <v>45992</v>
      </c>
      <c r="R138" s="16">
        <v>46014</v>
      </c>
      <c r="S138" s="1">
        <v>4</v>
      </c>
      <c r="T138" s="2" t="s">
        <v>55</v>
      </c>
      <c r="U138" s="2" t="s">
        <v>55</v>
      </c>
      <c r="V138" s="2" t="s">
        <v>55</v>
      </c>
      <c r="W138" s="2" t="s">
        <v>55</v>
      </c>
      <c r="X138" s="2" t="s">
        <v>55</v>
      </c>
      <c r="Y138" s="2" t="s">
        <v>55</v>
      </c>
      <c r="Z138" s="3" t="s">
        <v>55</v>
      </c>
      <c r="AA138" s="1">
        <v>2</v>
      </c>
      <c r="AB138" s="1">
        <v>2</v>
      </c>
      <c r="AC138" s="1">
        <v>0</v>
      </c>
      <c r="AD138" s="16">
        <v>46027</v>
      </c>
      <c r="AE138" s="16">
        <v>46027</v>
      </c>
      <c r="AF138" s="16">
        <v>46029</v>
      </c>
      <c r="AG138" s="16">
        <v>46045</v>
      </c>
      <c r="AH138" s="16">
        <v>46055</v>
      </c>
      <c r="AI138" s="3">
        <f t="shared" si="17"/>
        <v>2</v>
      </c>
      <c r="AJ138" s="108" t="s">
        <v>536</v>
      </c>
      <c r="AK138" s="49" t="s">
        <v>537</v>
      </c>
      <c r="AL138" s="19">
        <f t="shared" si="19"/>
        <v>1</v>
      </c>
      <c r="AM138" s="67">
        <f>IFERROR(NETWORKDAYS(D138,Q138,Hoja1!$A$1:$A$29),"N/A")</f>
        <v>3</v>
      </c>
      <c r="AN138" s="21">
        <f>IFERROR(NETWORKDAYS(D138,AE138,Hoja1!$A$1:$A$29),"N/A")</f>
        <v>25</v>
      </c>
      <c r="AO138" s="78">
        <v>10</v>
      </c>
      <c r="AP138" s="21">
        <f t="shared" si="18"/>
        <v>15</v>
      </c>
      <c r="AQ138" s="21">
        <f>IFERROR(NETWORKDAYS(AF138,AG138,Hoja1!$A$1:$A$29),"N/A")</f>
        <v>12</v>
      </c>
      <c r="AR138" s="74">
        <v>6</v>
      </c>
      <c r="AS138" s="75">
        <f t="shared" si="15"/>
        <v>6</v>
      </c>
      <c r="AT138" s="21">
        <f>IFERROR(NETWORKDAYS(D138,AG138,Hoja1!$A$1:$A$29),"N/A")</f>
        <v>38</v>
      </c>
      <c r="AU138" s="21">
        <f t="shared" si="16"/>
        <v>22</v>
      </c>
      <c r="AV138" s="69" t="s">
        <v>77</v>
      </c>
      <c r="AW138" s="86" t="s">
        <v>82</v>
      </c>
      <c r="AX138" s="46" t="s">
        <v>453</v>
      </c>
      <c r="AY138" s="46"/>
      <c r="AZ138" s="46"/>
      <c r="BA138" s="1"/>
      <c r="BB138" s="1"/>
    </row>
    <row r="139" spans="1:54" ht="15" customHeight="1" x14ac:dyDescent="0.25">
      <c r="A139" s="55">
        <v>15432</v>
      </c>
      <c r="B139" s="87" t="s">
        <v>79</v>
      </c>
      <c r="C139" s="87" t="s">
        <v>79</v>
      </c>
      <c r="D139" s="44">
        <v>45993</v>
      </c>
      <c r="E139" s="44">
        <v>45993</v>
      </c>
      <c r="F139" s="143" t="s">
        <v>99</v>
      </c>
      <c r="G139" s="111" t="s">
        <v>100</v>
      </c>
      <c r="H139" s="111" t="s">
        <v>51</v>
      </c>
      <c r="I139" s="87" t="s">
        <v>92</v>
      </c>
      <c r="J139" s="111" t="s">
        <v>52</v>
      </c>
      <c r="K139" s="111" t="s">
        <v>129</v>
      </c>
      <c r="L139" s="2">
        <v>1</v>
      </c>
      <c r="M139" s="45" t="s">
        <v>54</v>
      </c>
      <c r="N139" s="2" t="s">
        <v>55</v>
      </c>
      <c r="O139" s="2">
        <v>10</v>
      </c>
      <c r="P139" s="2" t="s">
        <v>56</v>
      </c>
      <c r="Q139" s="44">
        <v>46041</v>
      </c>
      <c r="R139" s="44">
        <v>46041</v>
      </c>
      <c r="S139" s="2">
        <v>10</v>
      </c>
      <c r="T139" s="2" t="s">
        <v>55</v>
      </c>
      <c r="U139" s="2" t="s">
        <v>55</v>
      </c>
      <c r="V139" s="2" t="s">
        <v>55</v>
      </c>
      <c r="W139" s="2" t="s">
        <v>55</v>
      </c>
      <c r="X139" s="2" t="s">
        <v>55</v>
      </c>
      <c r="Y139" s="2" t="s">
        <v>55</v>
      </c>
      <c r="Z139" s="3" t="s">
        <v>55</v>
      </c>
      <c r="AA139" s="2">
        <v>1</v>
      </c>
      <c r="AB139" s="2">
        <v>1</v>
      </c>
      <c r="AC139" s="2">
        <v>0</v>
      </c>
      <c r="AD139" s="44">
        <v>46058</v>
      </c>
      <c r="AE139" s="44">
        <v>46058</v>
      </c>
      <c r="AF139" s="44">
        <v>46063</v>
      </c>
      <c r="AG139" s="30">
        <v>46072</v>
      </c>
      <c r="AH139" s="140">
        <v>46076</v>
      </c>
      <c r="AI139" s="3">
        <f t="shared" si="17"/>
        <v>2</v>
      </c>
      <c r="AJ139" s="85" t="s">
        <v>538</v>
      </c>
      <c r="AK139" s="46" t="s">
        <v>539</v>
      </c>
      <c r="AL139" s="19">
        <f t="shared" si="19"/>
        <v>1</v>
      </c>
      <c r="AM139" s="67">
        <f>IFERROR(NETWORKDAYS(D139,Q139,Hoja1!$A$1:$A$29),"N/A")</f>
        <v>31</v>
      </c>
      <c r="AN139" s="21">
        <f>IFERROR(NETWORKDAYS(D139,AE139,Hoja1!$A$1:$A$29),"N/A")</f>
        <v>44</v>
      </c>
      <c r="AO139" s="78">
        <v>9</v>
      </c>
      <c r="AP139" s="21">
        <f t="shared" si="18"/>
        <v>35</v>
      </c>
      <c r="AQ139" s="21">
        <f>IFERROR(NETWORKDAYS(AF139,AG139,Hoja1!$A$1:$A$29),"N/A")</f>
        <v>8</v>
      </c>
      <c r="AR139" s="78">
        <v>3</v>
      </c>
      <c r="AS139" s="75">
        <f t="shared" si="15"/>
        <v>5</v>
      </c>
      <c r="AT139" s="21">
        <f>IFERROR(NETWORKDAYS(D139,AG139,Hoja1!$A$1:$A$29),"N/A")</f>
        <v>54</v>
      </c>
      <c r="AU139" s="21">
        <f t="shared" si="16"/>
        <v>42</v>
      </c>
      <c r="AV139" s="69" t="s">
        <v>59</v>
      </c>
      <c r="AW139" s="86" t="s">
        <v>95</v>
      </c>
      <c r="AX139" s="46"/>
      <c r="AY139" s="46"/>
      <c r="AZ139" s="46"/>
      <c r="BA139" s="43"/>
      <c r="BB139" s="43"/>
    </row>
    <row r="140" spans="1:54" ht="15" customHeight="1" x14ac:dyDescent="0.25">
      <c r="A140" s="95">
        <v>15449</v>
      </c>
      <c r="B140" s="27" t="s">
        <v>69</v>
      </c>
      <c r="C140" s="84" t="s">
        <v>202</v>
      </c>
      <c r="D140" s="421">
        <v>46000</v>
      </c>
      <c r="E140" s="28">
        <v>46000</v>
      </c>
      <c r="F140" s="84" t="s">
        <v>62</v>
      </c>
      <c r="G140" s="84" t="s">
        <v>71</v>
      </c>
      <c r="H140" s="111" t="s">
        <v>51</v>
      </c>
      <c r="I140" s="84" t="s">
        <v>96</v>
      </c>
      <c r="J140" s="27" t="s">
        <v>73</v>
      </c>
      <c r="K140" s="84" t="s">
        <v>351</v>
      </c>
      <c r="L140" s="33">
        <v>1</v>
      </c>
      <c r="M140" s="45" t="s">
        <v>54</v>
      </c>
      <c r="N140" s="21" t="s">
        <v>55</v>
      </c>
      <c r="O140" s="33">
        <v>5</v>
      </c>
      <c r="P140" s="33" t="s">
        <v>112</v>
      </c>
      <c r="Q140" s="53">
        <v>46007</v>
      </c>
      <c r="R140" s="53">
        <v>46028</v>
      </c>
      <c r="S140" s="33">
        <v>5</v>
      </c>
      <c r="T140" s="21" t="s">
        <v>55</v>
      </c>
      <c r="U140" s="21" t="s">
        <v>55</v>
      </c>
      <c r="V140" s="21" t="s">
        <v>55</v>
      </c>
      <c r="W140" s="21" t="s">
        <v>55</v>
      </c>
      <c r="X140" s="21" t="s">
        <v>55</v>
      </c>
      <c r="Y140" s="21" t="s">
        <v>55</v>
      </c>
      <c r="Z140" s="3" t="s">
        <v>55</v>
      </c>
      <c r="AA140" s="33">
        <v>3</v>
      </c>
      <c r="AB140" s="33">
        <v>3</v>
      </c>
      <c r="AC140" s="33">
        <v>0</v>
      </c>
      <c r="AD140" s="28">
        <v>46041</v>
      </c>
      <c r="AE140" s="28">
        <v>46057</v>
      </c>
      <c r="AF140" s="28">
        <v>46058</v>
      </c>
      <c r="AG140" s="28">
        <v>46063</v>
      </c>
      <c r="AH140" s="28">
        <v>46065</v>
      </c>
      <c r="AI140" s="3">
        <f t="shared" si="17"/>
        <v>2</v>
      </c>
      <c r="AJ140" s="85" t="s">
        <v>540</v>
      </c>
      <c r="AK140" s="35" t="s">
        <v>541</v>
      </c>
      <c r="AL140" s="19">
        <f t="shared" si="19"/>
        <v>1</v>
      </c>
      <c r="AM140" s="67">
        <f>IFERROR(NETWORKDAYS(D140,Q140,Hoja1!$A$1:$A$29),"N/A")</f>
        <v>6</v>
      </c>
      <c r="AN140" s="21">
        <f>IFERROR(NETWORKDAYS(D140,AE140,Hoja1!$A$1:$A$29),"N/A")</f>
        <v>39</v>
      </c>
      <c r="AO140" s="78">
        <v>20</v>
      </c>
      <c r="AP140" s="21">
        <f t="shared" si="18"/>
        <v>19</v>
      </c>
      <c r="AQ140" s="21">
        <f>IFERROR(NETWORKDAYS(AF140,AG140,Hoja1!$A$1:$A$29),"N/A")</f>
        <v>4</v>
      </c>
      <c r="AR140" s="74">
        <v>0</v>
      </c>
      <c r="AS140" s="75">
        <f t="shared" si="15"/>
        <v>4</v>
      </c>
      <c r="AT140" s="21">
        <f>IFERROR(NETWORKDAYS(D140,AG140,Hoja1!$A$1:$A$29),"N/A")</f>
        <v>43</v>
      </c>
      <c r="AU140" s="21">
        <f t="shared" si="16"/>
        <v>23</v>
      </c>
      <c r="AV140" s="69" t="s">
        <v>77</v>
      </c>
      <c r="AW140" s="86" t="s">
        <v>82</v>
      </c>
      <c r="AX140" s="46" t="s">
        <v>453</v>
      </c>
      <c r="AY140" s="46"/>
      <c r="AZ140" s="46"/>
      <c r="BA140" s="33"/>
      <c r="BB140" s="33"/>
    </row>
    <row r="141" spans="1:54" ht="15" customHeight="1" x14ac:dyDescent="0.25">
      <c r="A141" s="95">
        <v>15450</v>
      </c>
      <c r="B141" s="87" t="s">
        <v>79</v>
      </c>
      <c r="C141" s="87" t="s">
        <v>79</v>
      </c>
      <c r="D141" s="16">
        <v>46000</v>
      </c>
      <c r="E141" s="16">
        <v>46000</v>
      </c>
      <c r="F141" s="84" t="s">
        <v>62</v>
      </c>
      <c r="G141" s="48" t="s">
        <v>71</v>
      </c>
      <c r="H141" s="111" t="s">
        <v>51</v>
      </c>
      <c r="I141" s="240" t="s">
        <v>96</v>
      </c>
      <c r="J141" s="27" t="s">
        <v>73</v>
      </c>
      <c r="K141" s="87" t="s">
        <v>74</v>
      </c>
      <c r="L141" s="1">
        <v>1</v>
      </c>
      <c r="M141" s="45" t="s">
        <v>54</v>
      </c>
      <c r="N141" s="2" t="s">
        <v>55</v>
      </c>
      <c r="O141" s="1">
        <v>7</v>
      </c>
      <c r="P141" s="1" t="s">
        <v>56</v>
      </c>
      <c r="Q141" s="16">
        <v>46037</v>
      </c>
      <c r="R141" s="16">
        <v>46045</v>
      </c>
      <c r="S141" s="1">
        <v>7</v>
      </c>
      <c r="T141" s="18" t="s">
        <v>55</v>
      </c>
      <c r="U141" s="18" t="s">
        <v>55</v>
      </c>
      <c r="V141" s="18" t="s">
        <v>55</v>
      </c>
      <c r="W141" s="18" t="s">
        <v>55</v>
      </c>
      <c r="X141" s="18" t="s">
        <v>55</v>
      </c>
      <c r="Y141" s="18" t="s">
        <v>55</v>
      </c>
      <c r="Z141" s="3" t="s">
        <v>55</v>
      </c>
      <c r="AA141" s="1">
        <v>2</v>
      </c>
      <c r="AB141" s="1">
        <v>1</v>
      </c>
      <c r="AC141" s="1">
        <v>0</v>
      </c>
      <c r="AD141" s="16">
        <v>46051</v>
      </c>
      <c r="AE141" s="16">
        <v>46051</v>
      </c>
      <c r="AF141" s="16">
        <v>46055</v>
      </c>
      <c r="AG141" s="16">
        <v>46064</v>
      </c>
      <c r="AH141" s="140">
        <v>46065</v>
      </c>
      <c r="AI141" s="3">
        <f t="shared" si="17"/>
        <v>2</v>
      </c>
      <c r="AJ141" s="249" t="s">
        <v>542</v>
      </c>
      <c r="AK141" s="49" t="s">
        <v>543</v>
      </c>
      <c r="AL141" s="19">
        <f t="shared" si="19"/>
        <v>1</v>
      </c>
      <c r="AM141" s="67">
        <f>IFERROR(NETWORKDAYS(D141,Q141,Hoja1!$A$1:$A$29),"N/A")</f>
        <v>25</v>
      </c>
      <c r="AN141" s="21">
        <f>IFERROR(NETWORKDAYS(D141,AE141,Hoja1!$A$1:$A$29),"N/A")</f>
        <v>35</v>
      </c>
      <c r="AO141" s="78">
        <v>13</v>
      </c>
      <c r="AP141" s="21">
        <f t="shared" si="18"/>
        <v>22</v>
      </c>
      <c r="AQ141" s="21">
        <f>IFERROR(NETWORKDAYS(AF141,AG141,Hoja1!$A$1:$A$29),"N/A")</f>
        <v>8</v>
      </c>
      <c r="AR141" s="67">
        <v>3</v>
      </c>
      <c r="AS141" s="75">
        <f t="shared" si="15"/>
        <v>5</v>
      </c>
      <c r="AT141" s="21">
        <f>IFERROR(NETWORKDAYS(D141,AG141,Hoja1!$A$1:$A$29),"N/A")</f>
        <v>44</v>
      </c>
      <c r="AU141" s="21">
        <f t="shared" si="16"/>
        <v>28</v>
      </c>
      <c r="AV141" s="69" t="s">
        <v>77</v>
      </c>
      <c r="AW141" s="86" t="s">
        <v>78</v>
      </c>
      <c r="AX141" s="46" t="s">
        <v>464</v>
      </c>
      <c r="AY141" s="46"/>
      <c r="AZ141" s="46"/>
      <c r="BA141" s="1"/>
      <c r="BB141" s="1"/>
    </row>
    <row r="142" spans="1:54" ht="15" customHeight="1" x14ac:dyDescent="0.25">
      <c r="A142" s="58">
        <v>15456</v>
      </c>
      <c r="B142" s="87" t="s">
        <v>79</v>
      </c>
      <c r="C142" s="87" t="s">
        <v>79</v>
      </c>
      <c r="D142" s="417">
        <v>46024</v>
      </c>
      <c r="E142" s="37">
        <v>46000</v>
      </c>
      <c r="F142" s="202" t="s">
        <v>879</v>
      </c>
      <c r="G142" s="48" t="s">
        <v>50</v>
      </c>
      <c r="H142" s="111" t="s">
        <v>51</v>
      </c>
      <c r="I142" s="111" t="s">
        <v>239</v>
      </c>
      <c r="J142" s="87" t="s">
        <v>52</v>
      </c>
      <c r="K142" s="48" t="s">
        <v>106</v>
      </c>
      <c r="L142" s="3">
        <v>1</v>
      </c>
      <c r="M142" s="45" t="s">
        <v>54</v>
      </c>
      <c r="N142" s="18" t="s">
        <v>55</v>
      </c>
      <c r="O142" s="3">
        <v>10</v>
      </c>
      <c r="P142" s="3" t="s">
        <v>56</v>
      </c>
      <c r="Q142" s="30">
        <v>46030</v>
      </c>
      <c r="R142" s="30">
        <v>46030</v>
      </c>
      <c r="S142" s="3">
        <v>10</v>
      </c>
      <c r="T142" s="18" t="s">
        <v>55</v>
      </c>
      <c r="U142" s="18" t="s">
        <v>55</v>
      </c>
      <c r="V142" s="18" t="s">
        <v>55</v>
      </c>
      <c r="W142" s="18" t="s">
        <v>55</v>
      </c>
      <c r="X142" s="18" t="s">
        <v>55</v>
      </c>
      <c r="Y142" s="18" t="s">
        <v>55</v>
      </c>
      <c r="Z142" s="3" t="s">
        <v>55</v>
      </c>
      <c r="AA142" s="3">
        <v>7</v>
      </c>
      <c r="AB142" s="3">
        <v>2</v>
      </c>
      <c r="AC142" s="3">
        <v>0</v>
      </c>
      <c r="AD142" s="16">
        <v>46044</v>
      </c>
      <c r="AE142" s="16">
        <v>46044</v>
      </c>
      <c r="AF142" s="16">
        <v>46044</v>
      </c>
      <c r="AG142" s="37">
        <v>46062</v>
      </c>
      <c r="AH142" s="37">
        <v>46062</v>
      </c>
      <c r="AI142" s="3">
        <f t="shared" si="17"/>
        <v>2</v>
      </c>
      <c r="AJ142" s="85" t="s">
        <v>544</v>
      </c>
      <c r="AK142" s="35" t="s">
        <v>545</v>
      </c>
      <c r="AL142" s="19">
        <f t="shared" si="19"/>
        <v>1</v>
      </c>
      <c r="AM142" s="67">
        <f>IFERROR(NETWORKDAYS(D142,Q142,Hoja1!$A$1:$A$29),"N/A")</f>
        <v>5</v>
      </c>
      <c r="AN142" s="21">
        <f>IFERROR(NETWORKDAYS(D142,AE142,Hoja1!$A$1:$A$29),"N/A")</f>
        <v>14</v>
      </c>
      <c r="AO142" s="78">
        <v>0</v>
      </c>
      <c r="AP142" s="21">
        <f t="shared" si="18"/>
        <v>14</v>
      </c>
      <c r="AQ142" s="21">
        <f>IFERROR(NETWORKDAYS(AF142,AG142,Hoja1!$A$1:$A$29),"N/A")</f>
        <v>13</v>
      </c>
      <c r="AR142" s="74">
        <v>8</v>
      </c>
      <c r="AS142" s="75">
        <f t="shared" si="15"/>
        <v>5</v>
      </c>
      <c r="AT142" s="21">
        <f>IFERROR(NETWORKDAYS(D142,AG142,Hoja1!$A$1:$A$29),"N/A")</f>
        <v>26</v>
      </c>
      <c r="AU142" s="21">
        <f t="shared" si="16"/>
        <v>18</v>
      </c>
      <c r="AV142" s="69" t="s">
        <v>59</v>
      </c>
      <c r="AW142" s="86" t="s">
        <v>546</v>
      </c>
      <c r="AX142" s="46" t="s">
        <v>453</v>
      </c>
      <c r="AY142" s="46"/>
      <c r="AZ142" s="46"/>
      <c r="BA142" s="3"/>
      <c r="BB142" s="3"/>
    </row>
    <row r="143" spans="1:54" ht="15" customHeight="1" x14ac:dyDescent="0.25">
      <c r="A143" s="58">
        <v>15457</v>
      </c>
      <c r="B143" s="87" t="s">
        <v>79</v>
      </c>
      <c r="C143" s="87" t="s">
        <v>79</v>
      </c>
      <c r="D143" s="37">
        <v>46058</v>
      </c>
      <c r="E143" s="37">
        <v>46000</v>
      </c>
      <c r="F143" s="202" t="s">
        <v>879</v>
      </c>
      <c r="G143" s="48" t="s">
        <v>50</v>
      </c>
      <c r="H143" s="111" t="s">
        <v>51</v>
      </c>
      <c r="I143" s="111" t="s">
        <v>547</v>
      </c>
      <c r="J143" s="87" t="s">
        <v>52</v>
      </c>
      <c r="K143" s="48" t="s">
        <v>106</v>
      </c>
      <c r="L143" s="3">
        <v>1</v>
      </c>
      <c r="M143" s="45" t="s">
        <v>54</v>
      </c>
      <c r="N143" s="18" t="s">
        <v>55</v>
      </c>
      <c r="O143" s="3">
        <v>7</v>
      </c>
      <c r="P143" s="3" t="s">
        <v>56</v>
      </c>
      <c r="Q143" s="30">
        <v>46063</v>
      </c>
      <c r="R143" s="30">
        <v>46063</v>
      </c>
      <c r="S143" s="3">
        <v>7</v>
      </c>
      <c r="T143" s="18" t="s">
        <v>55</v>
      </c>
      <c r="U143" s="18" t="s">
        <v>55</v>
      </c>
      <c r="V143" s="18" t="s">
        <v>55</v>
      </c>
      <c r="W143" s="18" t="s">
        <v>55</v>
      </c>
      <c r="X143" s="18" t="s">
        <v>55</v>
      </c>
      <c r="Y143" s="18" t="s">
        <v>55</v>
      </c>
      <c r="Z143" s="3" t="s">
        <v>55</v>
      </c>
      <c r="AA143" s="3">
        <v>3</v>
      </c>
      <c r="AB143" s="3">
        <v>3</v>
      </c>
      <c r="AC143" s="3">
        <v>0</v>
      </c>
      <c r="AD143" s="30">
        <v>46070</v>
      </c>
      <c r="AE143" s="30">
        <v>46070</v>
      </c>
      <c r="AF143" s="30">
        <v>46070</v>
      </c>
      <c r="AG143" s="16">
        <v>46073</v>
      </c>
      <c r="AH143" s="140">
        <v>46076</v>
      </c>
      <c r="AI143" s="3">
        <f t="shared" si="17"/>
        <v>2</v>
      </c>
      <c r="AJ143" s="85" t="s">
        <v>548</v>
      </c>
      <c r="AK143" s="35" t="s">
        <v>549</v>
      </c>
      <c r="AL143" s="19">
        <f t="shared" si="19"/>
        <v>1</v>
      </c>
      <c r="AM143" s="67">
        <f>IFERROR(NETWORKDAYS(D143,Q143,Hoja1!$A$1:$A$29),"N/A")</f>
        <v>4</v>
      </c>
      <c r="AN143" s="21">
        <f>IFERROR(NETWORKDAYS(D143,AE143,Hoja1!$A$1:$A$29),"N/A")</f>
        <v>9</v>
      </c>
      <c r="AO143" s="78">
        <v>0</v>
      </c>
      <c r="AP143" s="21">
        <f t="shared" si="18"/>
        <v>9</v>
      </c>
      <c r="AQ143" s="21">
        <f>IFERROR(NETWORKDAYS(AF143,AG143,Hoja1!$A$1:$A$29),"N/A")</f>
        <v>4</v>
      </c>
      <c r="AR143" s="74">
        <v>0</v>
      </c>
      <c r="AS143" s="75">
        <f t="shared" si="15"/>
        <v>4</v>
      </c>
      <c r="AT143" s="21">
        <f>IFERROR(NETWORKDAYS(D143,AG143,Hoja1!$A$1:$A$29),"N/A")</f>
        <v>12</v>
      </c>
      <c r="AU143" s="21">
        <f t="shared" si="16"/>
        <v>12</v>
      </c>
      <c r="AV143" s="69" t="s">
        <v>265</v>
      </c>
      <c r="AW143" s="86" t="s">
        <v>550</v>
      </c>
      <c r="AX143" s="46" t="s">
        <v>881</v>
      </c>
      <c r="AY143" s="46"/>
      <c r="AZ143" s="46"/>
      <c r="BA143" s="3"/>
      <c r="BB143" s="3"/>
    </row>
    <row r="144" spans="1:54" ht="15" customHeight="1" x14ac:dyDescent="0.25">
      <c r="A144" s="55">
        <v>15465</v>
      </c>
      <c r="B144" s="87" t="s">
        <v>79</v>
      </c>
      <c r="C144" s="87" t="s">
        <v>79</v>
      </c>
      <c r="D144" s="418">
        <v>46044</v>
      </c>
      <c r="E144" s="30">
        <v>46001</v>
      </c>
      <c r="F144" s="232" t="s">
        <v>90</v>
      </c>
      <c r="G144" s="87" t="s">
        <v>91</v>
      </c>
      <c r="H144" s="111" t="s">
        <v>51</v>
      </c>
      <c r="I144" s="111" t="s">
        <v>239</v>
      </c>
      <c r="J144" s="87" t="s">
        <v>52</v>
      </c>
      <c r="K144" s="87" t="s">
        <v>111</v>
      </c>
      <c r="L144" s="3">
        <v>1</v>
      </c>
      <c r="M144" s="45" t="s">
        <v>54</v>
      </c>
      <c r="N144" s="3" t="s">
        <v>55</v>
      </c>
      <c r="O144" s="3">
        <v>4</v>
      </c>
      <c r="P144" s="3" t="s">
        <v>112</v>
      </c>
      <c r="Q144" s="30">
        <v>46068</v>
      </c>
      <c r="R144" s="30">
        <v>46068</v>
      </c>
      <c r="S144" s="3">
        <v>4</v>
      </c>
      <c r="T144" s="3" t="s">
        <v>55</v>
      </c>
      <c r="U144" s="3" t="s">
        <v>55</v>
      </c>
      <c r="V144" s="3" t="s">
        <v>55</v>
      </c>
      <c r="W144" s="3" t="s">
        <v>55</v>
      </c>
      <c r="X144" s="3" t="s">
        <v>55</v>
      </c>
      <c r="Y144" s="3" t="s">
        <v>55</v>
      </c>
      <c r="Z144" s="3" t="s">
        <v>55</v>
      </c>
      <c r="AA144" s="3">
        <v>4</v>
      </c>
      <c r="AB144" s="3">
        <v>1</v>
      </c>
      <c r="AC144" s="3">
        <v>0</v>
      </c>
      <c r="AD144" s="70">
        <v>46069</v>
      </c>
      <c r="AE144" s="16">
        <v>46069</v>
      </c>
      <c r="AF144" s="16">
        <v>46069</v>
      </c>
      <c r="AG144" s="16">
        <v>46073</v>
      </c>
      <c r="AH144" s="140">
        <v>46076</v>
      </c>
      <c r="AI144" s="3">
        <f t="shared" si="17"/>
        <v>2</v>
      </c>
      <c r="AJ144" s="85" t="s">
        <v>552</v>
      </c>
      <c r="AK144" s="45" t="s">
        <v>553</v>
      </c>
      <c r="AL144" s="19">
        <f t="shared" si="19"/>
        <v>1</v>
      </c>
      <c r="AM144" s="67">
        <f>IFERROR(NETWORKDAYS(D144,Q144,Hoja1!$A$1:$A$29),"N/A")</f>
        <v>17</v>
      </c>
      <c r="AN144" s="21">
        <f>IFERROR(NETWORKDAYS(D144,AE144,Hoja1!$A$1:$A$29),"N/A")</f>
        <v>18</v>
      </c>
      <c r="AO144" s="78">
        <v>0</v>
      </c>
      <c r="AP144" s="21">
        <f t="shared" si="18"/>
        <v>18</v>
      </c>
      <c r="AQ144" s="21">
        <f>IFERROR(NETWORKDAYS(AF144,AG144,Hoja1!$A$1:$A$29),"N/A")</f>
        <v>5</v>
      </c>
      <c r="AR144" s="78">
        <v>0</v>
      </c>
      <c r="AS144" s="75">
        <f t="shared" si="15"/>
        <v>5</v>
      </c>
      <c r="AT144" s="21">
        <f>IFERROR(NETWORKDAYS(D144,AG144,Hoja1!$A$1:$A$29),"N/A")</f>
        <v>22</v>
      </c>
      <c r="AU144" s="21">
        <f t="shared" si="16"/>
        <v>22</v>
      </c>
      <c r="AV144" s="69" t="s">
        <v>127</v>
      </c>
      <c r="AW144" s="250" t="s">
        <v>554</v>
      </c>
      <c r="AX144" s="46" t="s">
        <v>453</v>
      </c>
      <c r="AY144" s="46" t="s">
        <v>551</v>
      </c>
      <c r="AZ144" s="46"/>
      <c r="BA144" s="107"/>
      <c r="BB144" s="1"/>
    </row>
    <row r="145" spans="1:54" ht="15" customHeight="1" x14ac:dyDescent="0.25">
      <c r="A145" s="95">
        <v>15470</v>
      </c>
      <c r="B145" s="84" t="s">
        <v>85</v>
      </c>
      <c r="C145" s="84" t="s">
        <v>85</v>
      </c>
      <c r="D145" s="28">
        <v>46001</v>
      </c>
      <c r="E145" s="28">
        <v>46001</v>
      </c>
      <c r="F145" s="84" t="s">
        <v>62</v>
      </c>
      <c r="G145" s="84" t="s">
        <v>71</v>
      </c>
      <c r="H145" s="111" t="s">
        <v>51</v>
      </c>
      <c r="I145" s="27" t="s">
        <v>72</v>
      </c>
      <c r="J145" s="27" t="s">
        <v>73</v>
      </c>
      <c r="K145" s="84" t="s">
        <v>86</v>
      </c>
      <c r="L145" s="33">
        <v>1</v>
      </c>
      <c r="M145" s="45" t="s">
        <v>54</v>
      </c>
      <c r="N145" s="21" t="s">
        <v>55</v>
      </c>
      <c r="O145" s="33">
        <v>4</v>
      </c>
      <c r="P145" s="33" t="s">
        <v>112</v>
      </c>
      <c r="Q145" s="28">
        <v>46010</v>
      </c>
      <c r="R145" s="28">
        <v>46037</v>
      </c>
      <c r="S145" s="33">
        <v>2</v>
      </c>
      <c r="T145" s="36" t="s">
        <v>55</v>
      </c>
      <c r="U145" s="36" t="s">
        <v>55</v>
      </c>
      <c r="V145" s="36" t="s">
        <v>55</v>
      </c>
      <c r="W145" s="36" t="s">
        <v>55</v>
      </c>
      <c r="X145" s="36" t="s">
        <v>55</v>
      </c>
      <c r="Y145" s="36" t="s">
        <v>55</v>
      </c>
      <c r="Z145" s="3" t="s">
        <v>55</v>
      </c>
      <c r="AA145" s="33">
        <v>1</v>
      </c>
      <c r="AB145" s="33">
        <v>1</v>
      </c>
      <c r="AC145" s="33">
        <v>0</v>
      </c>
      <c r="AD145" s="28">
        <v>46041</v>
      </c>
      <c r="AE145" s="28">
        <v>46041</v>
      </c>
      <c r="AF145" s="28">
        <v>46041</v>
      </c>
      <c r="AG145" s="28">
        <v>46055</v>
      </c>
      <c r="AH145" s="16">
        <v>46055</v>
      </c>
      <c r="AI145" s="3">
        <f t="shared" si="17"/>
        <v>2</v>
      </c>
      <c r="AJ145" s="85" t="s">
        <v>555</v>
      </c>
      <c r="AK145" s="35" t="s">
        <v>556</v>
      </c>
      <c r="AL145" s="19">
        <f t="shared" si="19"/>
        <v>0.5</v>
      </c>
      <c r="AM145" s="67">
        <f>IFERROR(NETWORKDAYS(D145,Q145,Hoja1!$A$1:$A$29),"N/A")</f>
        <v>8</v>
      </c>
      <c r="AN145" s="21">
        <f>IFERROR(NETWORKDAYS(D145,AE145,Hoja1!$A$1:$A$29),"N/A")</f>
        <v>26</v>
      </c>
      <c r="AO145" s="78">
        <v>10</v>
      </c>
      <c r="AP145" s="21">
        <f t="shared" si="18"/>
        <v>16</v>
      </c>
      <c r="AQ145" s="21">
        <f>IFERROR(NETWORKDAYS(AF145,AG145,Hoja1!$A$1:$A$29),"N/A")</f>
        <v>11</v>
      </c>
      <c r="AR145" s="74">
        <v>6</v>
      </c>
      <c r="AS145" s="75">
        <f t="shared" si="15"/>
        <v>5</v>
      </c>
      <c r="AT145" s="21">
        <f>IFERROR(NETWORKDAYS(D145,AG145,Hoja1!$A$1:$A$29),"N/A")</f>
        <v>36</v>
      </c>
      <c r="AU145" s="21">
        <f t="shared" si="16"/>
        <v>20</v>
      </c>
      <c r="AV145" s="69" t="s">
        <v>417</v>
      </c>
      <c r="AW145" s="86" t="s">
        <v>82</v>
      </c>
      <c r="AX145" s="46" t="s">
        <v>453</v>
      </c>
      <c r="AY145" s="46"/>
      <c r="AZ145" s="46"/>
      <c r="BA145" s="33"/>
      <c r="BB145" s="33"/>
    </row>
    <row r="146" spans="1:54" ht="15" customHeight="1" x14ac:dyDescent="0.25">
      <c r="A146" s="55">
        <v>15476</v>
      </c>
      <c r="B146" s="84" t="s">
        <v>85</v>
      </c>
      <c r="C146" s="84" t="s">
        <v>85</v>
      </c>
      <c r="D146" s="418">
        <v>46003</v>
      </c>
      <c r="E146" s="30">
        <v>46003</v>
      </c>
      <c r="F146" s="232" t="s">
        <v>90</v>
      </c>
      <c r="G146" s="87" t="s">
        <v>91</v>
      </c>
      <c r="H146" s="111" t="s">
        <v>51</v>
      </c>
      <c r="I146" s="48" t="s">
        <v>1406</v>
      </c>
      <c r="J146" s="87" t="s">
        <v>52</v>
      </c>
      <c r="K146" s="87" t="s">
        <v>171</v>
      </c>
      <c r="L146" s="3">
        <v>1</v>
      </c>
      <c r="M146" s="45" t="s">
        <v>54</v>
      </c>
      <c r="N146" s="3" t="s">
        <v>55</v>
      </c>
      <c r="O146" s="3">
        <v>6</v>
      </c>
      <c r="P146" s="3" t="s">
        <v>112</v>
      </c>
      <c r="Q146" s="16">
        <v>46042</v>
      </c>
      <c r="R146" s="16">
        <v>46042</v>
      </c>
      <c r="S146" s="3">
        <v>6</v>
      </c>
      <c r="T146" s="3" t="s">
        <v>55</v>
      </c>
      <c r="U146" s="3" t="s">
        <v>55</v>
      </c>
      <c r="V146" s="3" t="s">
        <v>55</v>
      </c>
      <c r="W146" s="3" t="s">
        <v>55</v>
      </c>
      <c r="X146" s="3" t="s">
        <v>55</v>
      </c>
      <c r="Y146" s="3" t="s">
        <v>55</v>
      </c>
      <c r="Z146" s="3" t="s">
        <v>55</v>
      </c>
      <c r="AA146" s="3">
        <v>6</v>
      </c>
      <c r="AB146" s="3">
        <v>1</v>
      </c>
      <c r="AC146" s="3">
        <v>0</v>
      </c>
      <c r="AD146" s="30">
        <v>46066</v>
      </c>
      <c r="AE146" s="30">
        <v>46066</v>
      </c>
      <c r="AF146" s="30">
        <v>46066</v>
      </c>
      <c r="AG146" s="30">
        <v>46072</v>
      </c>
      <c r="AH146" s="140">
        <v>46076</v>
      </c>
      <c r="AI146" s="3">
        <f t="shared" si="17"/>
        <v>2</v>
      </c>
      <c r="AJ146" s="85" t="s">
        <v>557</v>
      </c>
      <c r="AK146" s="45" t="s">
        <v>558</v>
      </c>
      <c r="AL146" s="19">
        <f t="shared" si="19"/>
        <v>1</v>
      </c>
      <c r="AM146" s="67">
        <f>IFERROR(NETWORKDAYS(D146,Q146,Hoja1!$A$1:$A$29),"N/A")</f>
        <v>25</v>
      </c>
      <c r="AN146" s="21">
        <f>IFERROR(NETWORKDAYS(D146,AE146,Hoja1!$A$1:$A$29),"N/A")</f>
        <v>43</v>
      </c>
      <c r="AO146" s="78">
        <v>28</v>
      </c>
      <c r="AP146" s="21">
        <f t="shared" si="18"/>
        <v>15</v>
      </c>
      <c r="AQ146" s="21">
        <f>IFERROR(NETWORKDAYS(AF146,AG146,Hoja1!$A$1:$A$29),"N/A")</f>
        <v>5</v>
      </c>
      <c r="AR146" s="78">
        <v>0</v>
      </c>
      <c r="AS146" s="75">
        <f t="shared" si="15"/>
        <v>5</v>
      </c>
      <c r="AT146" s="21">
        <f>IFERROR(NETWORKDAYS(D146,AG146,Hoja1!$A$1:$A$29),"N/A")</f>
        <v>47</v>
      </c>
      <c r="AU146" s="21">
        <f t="shared" si="16"/>
        <v>19</v>
      </c>
      <c r="AV146" s="69" t="s">
        <v>59</v>
      </c>
      <c r="AW146" s="86" t="s">
        <v>559</v>
      </c>
      <c r="AX146" s="46"/>
      <c r="AY146" s="46"/>
      <c r="AZ146" s="46"/>
      <c r="BA146" s="107"/>
      <c r="BB146" s="1"/>
    </row>
    <row r="147" spans="1:54" ht="15" customHeight="1" x14ac:dyDescent="0.25">
      <c r="A147" s="55">
        <v>15481</v>
      </c>
      <c r="B147" s="87" t="s">
        <v>85</v>
      </c>
      <c r="C147" s="87" t="s">
        <v>85</v>
      </c>
      <c r="D147" s="30">
        <v>46003</v>
      </c>
      <c r="E147" s="30">
        <v>46003</v>
      </c>
      <c r="F147" s="202" t="s">
        <v>879</v>
      </c>
      <c r="G147" s="87" t="s">
        <v>50</v>
      </c>
      <c r="H147" s="111" t="s">
        <v>51</v>
      </c>
      <c r="I147" s="27" t="s">
        <v>96</v>
      </c>
      <c r="J147" s="27" t="s">
        <v>73</v>
      </c>
      <c r="K147" s="87" t="s">
        <v>53</v>
      </c>
      <c r="L147" s="3">
        <v>1</v>
      </c>
      <c r="M147" s="45" t="s">
        <v>54</v>
      </c>
      <c r="N147" s="3" t="s">
        <v>55</v>
      </c>
      <c r="O147" s="3">
        <v>9</v>
      </c>
      <c r="P147" s="3" t="s">
        <v>56</v>
      </c>
      <c r="Q147" s="30">
        <v>46035</v>
      </c>
      <c r="R147" s="30">
        <v>46035</v>
      </c>
      <c r="S147" s="3">
        <v>9</v>
      </c>
      <c r="T147" s="3" t="s">
        <v>55</v>
      </c>
      <c r="U147" s="3" t="s">
        <v>55</v>
      </c>
      <c r="V147" s="3" t="s">
        <v>55</v>
      </c>
      <c r="W147" s="3" t="s">
        <v>55</v>
      </c>
      <c r="X147" s="3" t="s">
        <v>55</v>
      </c>
      <c r="Y147" s="3" t="s">
        <v>55</v>
      </c>
      <c r="Z147" s="3" t="s">
        <v>55</v>
      </c>
      <c r="AA147" s="3">
        <v>2</v>
      </c>
      <c r="AB147" s="3">
        <v>2</v>
      </c>
      <c r="AC147" s="3">
        <v>0</v>
      </c>
      <c r="AD147" s="30">
        <v>46051</v>
      </c>
      <c r="AE147" s="30">
        <v>46052</v>
      </c>
      <c r="AF147" s="30">
        <v>46052</v>
      </c>
      <c r="AG147" s="30">
        <v>46065</v>
      </c>
      <c r="AH147" s="30">
        <v>46065</v>
      </c>
      <c r="AI147" s="3">
        <f t="shared" si="17"/>
        <v>2</v>
      </c>
      <c r="AJ147" s="85" t="s">
        <v>560</v>
      </c>
      <c r="AK147" s="35" t="s">
        <v>561</v>
      </c>
      <c r="AL147" s="19">
        <f t="shared" si="19"/>
        <v>1</v>
      </c>
      <c r="AM147" s="67">
        <f>IFERROR(NETWORKDAYS(D147,Q147,Hoja1!$A$1:$A$29),"N/A")</f>
        <v>20</v>
      </c>
      <c r="AN147" s="21">
        <f>IFERROR(NETWORKDAYS(D147,AE147,Hoja1!$A$1:$A$29),"N/A")</f>
        <v>33</v>
      </c>
      <c r="AO147" s="78">
        <v>17</v>
      </c>
      <c r="AP147" s="21">
        <f t="shared" si="18"/>
        <v>16</v>
      </c>
      <c r="AQ147" s="21">
        <f>IFERROR(NETWORKDAYS(AF147,AG147,Hoja1!$A$1:$A$29),"N/A")</f>
        <v>10</v>
      </c>
      <c r="AR147" s="74">
        <v>5</v>
      </c>
      <c r="AS147" s="75">
        <f t="shared" si="15"/>
        <v>5</v>
      </c>
      <c r="AT147" s="21">
        <f>IFERROR(NETWORKDAYS(D147,AG147,Hoja1!$A$1:$A$29),"N/A")</f>
        <v>42</v>
      </c>
      <c r="AU147" s="21">
        <f t="shared" si="16"/>
        <v>20</v>
      </c>
      <c r="AV147" s="69" t="s">
        <v>77</v>
      </c>
      <c r="AW147" s="86" t="s">
        <v>82</v>
      </c>
      <c r="AX147" s="46"/>
      <c r="AY147" s="46"/>
      <c r="AZ147" s="46"/>
      <c r="BA147" s="3"/>
      <c r="BB147" s="3"/>
    </row>
    <row r="148" spans="1:54" ht="15" customHeight="1" x14ac:dyDescent="0.25">
      <c r="A148" s="95">
        <v>15485</v>
      </c>
      <c r="B148" s="29" t="s">
        <v>387</v>
      </c>
      <c r="C148" s="29" t="s">
        <v>387</v>
      </c>
      <c r="D148" s="421">
        <v>46006</v>
      </c>
      <c r="E148" s="28">
        <v>46006</v>
      </c>
      <c r="F148" s="84" t="s">
        <v>62</v>
      </c>
      <c r="G148" s="84" t="s">
        <v>71</v>
      </c>
      <c r="H148" s="111" t="s">
        <v>51</v>
      </c>
      <c r="I148" s="84" t="s">
        <v>562</v>
      </c>
      <c r="J148" s="84" t="s">
        <v>142</v>
      </c>
      <c r="K148" s="84" t="s">
        <v>86</v>
      </c>
      <c r="L148" s="33">
        <v>1</v>
      </c>
      <c r="M148" s="45" t="s">
        <v>54</v>
      </c>
      <c r="N148" s="21" t="s">
        <v>55</v>
      </c>
      <c r="O148" s="33">
        <v>21</v>
      </c>
      <c r="P148" s="33" t="s">
        <v>56</v>
      </c>
      <c r="Q148" s="28">
        <v>46048</v>
      </c>
      <c r="R148" s="28">
        <v>46057</v>
      </c>
      <c r="S148" s="33">
        <v>10</v>
      </c>
      <c r="T148" s="36" t="s">
        <v>55</v>
      </c>
      <c r="U148" s="36" t="s">
        <v>55</v>
      </c>
      <c r="V148" s="36" t="s">
        <v>55</v>
      </c>
      <c r="W148" s="36" t="s">
        <v>55</v>
      </c>
      <c r="X148" s="36" t="s">
        <v>55</v>
      </c>
      <c r="Y148" s="36" t="s">
        <v>55</v>
      </c>
      <c r="Z148" s="3" t="s">
        <v>55</v>
      </c>
      <c r="AA148" s="33">
        <v>3</v>
      </c>
      <c r="AB148" s="33">
        <v>3</v>
      </c>
      <c r="AC148" s="33">
        <v>0</v>
      </c>
      <c r="AD148" s="28">
        <v>46062</v>
      </c>
      <c r="AE148" s="28">
        <v>46064</v>
      </c>
      <c r="AF148" s="28">
        <v>46065</v>
      </c>
      <c r="AG148" s="28">
        <v>46070</v>
      </c>
      <c r="AH148" s="140">
        <v>46076</v>
      </c>
      <c r="AI148" s="3">
        <f t="shared" si="17"/>
        <v>2</v>
      </c>
      <c r="AJ148" s="85" t="s">
        <v>563</v>
      </c>
      <c r="AK148" s="35" t="s">
        <v>564</v>
      </c>
      <c r="AL148" s="19">
        <f t="shared" si="19"/>
        <v>0.47619047619047616</v>
      </c>
      <c r="AM148" s="67">
        <f>IFERROR(NETWORKDAYS(D148,Q148,Hoja1!$A$1:$A$29),"N/A")</f>
        <v>28</v>
      </c>
      <c r="AN148" s="21">
        <f>IFERROR(NETWORKDAYS(D148,AE148,Hoja1!$A$1:$A$29),"N/A")</f>
        <v>40</v>
      </c>
      <c r="AO148" s="78">
        <v>11</v>
      </c>
      <c r="AP148" s="21">
        <f t="shared" si="18"/>
        <v>29</v>
      </c>
      <c r="AQ148" s="21">
        <f>IFERROR(NETWORKDAYS(AF148,AG148,Hoja1!$A$1:$A$29),"N/A")</f>
        <v>4</v>
      </c>
      <c r="AR148" s="74">
        <v>0</v>
      </c>
      <c r="AS148" s="75">
        <f t="shared" si="15"/>
        <v>4</v>
      </c>
      <c r="AT148" s="21">
        <f>IFERROR(NETWORKDAYS(D148,AG148,Hoja1!$A$1:$A$29),"N/A")</f>
        <v>44</v>
      </c>
      <c r="AU148" s="21">
        <f t="shared" si="16"/>
        <v>33</v>
      </c>
      <c r="AV148" s="69" t="s">
        <v>59</v>
      </c>
      <c r="AW148" s="86" t="s">
        <v>565</v>
      </c>
      <c r="AX148" s="46"/>
      <c r="AY148" s="46"/>
      <c r="AZ148" s="46"/>
      <c r="BA148" s="33"/>
      <c r="BB148" s="33"/>
    </row>
    <row r="149" spans="1:54" ht="15" customHeight="1" x14ac:dyDescent="0.25">
      <c r="A149" s="95">
        <v>15489</v>
      </c>
      <c r="B149" s="27" t="s">
        <v>69</v>
      </c>
      <c r="C149" s="84" t="s">
        <v>202</v>
      </c>
      <c r="D149" s="28">
        <v>46007</v>
      </c>
      <c r="E149" s="28">
        <v>46006</v>
      </c>
      <c r="F149" s="84" t="s">
        <v>62</v>
      </c>
      <c r="G149" s="84" t="s">
        <v>71</v>
      </c>
      <c r="H149" s="111" t="s">
        <v>51</v>
      </c>
      <c r="I149" s="84" t="s">
        <v>96</v>
      </c>
      <c r="J149" s="27" t="s">
        <v>73</v>
      </c>
      <c r="K149" s="84" t="s">
        <v>351</v>
      </c>
      <c r="L149" s="33">
        <v>1</v>
      </c>
      <c r="M149" s="45" t="s">
        <v>54</v>
      </c>
      <c r="N149" s="21" t="s">
        <v>55</v>
      </c>
      <c r="O149" s="33">
        <v>4</v>
      </c>
      <c r="P149" s="33" t="s">
        <v>112</v>
      </c>
      <c r="Q149" s="53">
        <v>46009</v>
      </c>
      <c r="R149" s="53">
        <v>46038</v>
      </c>
      <c r="S149" s="33">
        <v>4</v>
      </c>
      <c r="T149" s="21" t="s">
        <v>55</v>
      </c>
      <c r="U149" s="21" t="s">
        <v>55</v>
      </c>
      <c r="V149" s="21" t="s">
        <v>55</v>
      </c>
      <c r="W149" s="21" t="s">
        <v>55</v>
      </c>
      <c r="X149" s="21" t="s">
        <v>55</v>
      </c>
      <c r="Y149" s="21" t="s">
        <v>55</v>
      </c>
      <c r="Z149" s="3" t="s">
        <v>55</v>
      </c>
      <c r="AA149" s="33">
        <v>2</v>
      </c>
      <c r="AB149" s="33">
        <v>2</v>
      </c>
      <c r="AC149" s="33">
        <v>0</v>
      </c>
      <c r="AD149" s="16">
        <v>46044</v>
      </c>
      <c r="AE149" s="28">
        <v>46045</v>
      </c>
      <c r="AF149" s="28">
        <v>46048</v>
      </c>
      <c r="AG149" s="16">
        <v>46052</v>
      </c>
      <c r="AH149" s="16">
        <v>46055</v>
      </c>
      <c r="AI149" s="3">
        <f t="shared" si="17"/>
        <v>2</v>
      </c>
      <c r="AJ149" s="85" t="s">
        <v>566</v>
      </c>
      <c r="AK149" s="35" t="s">
        <v>567</v>
      </c>
      <c r="AL149" s="19">
        <f t="shared" si="19"/>
        <v>1</v>
      </c>
      <c r="AM149" s="67">
        <f>IFERROR(NETWORKDAYS(D149,Q149,Hoja1!$A$1:$A$29),"N/A")</f>
        <v>3</v>
      </c>
      <c r="AN149" s="21">
        <f>IFERROR(NETWORKDAYS(D149,AE149,Hoja1!$A$1:$A$29),"N/A")</f>
        <v>26</v>
      </c>
      <c r="AO149" s="78">
        <v>13</v>
      </c>
      <c r="AP149" s="21">
        <f t="shared" si="18"/>
        <v>13</v>
      </c>
      <c r="AQ149" s="21">
        <f>IFERROR(NETWORKDAYS(AF149,AG149,Hoja1!$A$1:$A$29),"N/A")</f>
        <v>5</v>
      </c>
      <c r="AR149" s="74">
        <v>0</v>
      </c>
      <c r="AS149" s="75">
        <f t="shared" si="15"/>
        <v>5</v>
      </c>
      <c r="AT149" s="21">
        <f>IFERROR(NETWORKDAYS(D149,AG149,Hoja1!$A$1:$A$29),"N/A")</f>
        <v>31</v>
      </c>
      <c r="AU149" s="21">
        <f t="shared" si="16"/>
        <v>18</v>
      </c>
      <c r="AV149" s="69" t="s">
        <v>77</v>
      </c>
      <c r="AW149" s="86" t="s">
        <v>82</v>
      </c>
      <c r="AX149" s="46" t="s">
        <v>464</v>
      </c>
      <c r="AY149" s="46"/>
      <c r="AZ149" s="46"/>
      <c r="BA149" s="33"/>
      <c r="BB149" s="33"/>
    </row>
    <row r="150" spans="1:54" ht="15" customHeight="1" x14ac:dyDescent="0.25">
      <c r="A150" s="95">
        <v>15491</v>
      </c>
      <c r="B150" s="48" t="s">
        <v>49</v>
      </c>
      <c r="C150" s="48" t="s">
        <v>49</v>
      </c>
      <c r="D150" s="425">
        <v>46006</v>
      </c>
      <c r="E150" s="16">
        <v>46006</v>
      </c>
      <c r="F150" s="84" t="s">
        <v>62</v>
      </c>
      <c r="G150" s="23" t="s">
        <v>71</v>
      </c>
      <c r="H150" s="111" t="s">
        <v>51</v>
      </c>
      <c r="I150" s="27" t="s">
        <v>72</v>
      </c>
      <c r="J150" s="27" t="s">
        <v>73</v>
      </c>
      <c r="K150" s="87" t="s">
        <v>74</v>
      </c>
      <c r="L150" s="1">
        <v>1</v>
      </c>
      <c r="M150" s="45" t="s">
        <v>54</v>
      </c>
      <c r="N150" s="2" t="s">
        <v>55</v>
      </c>
      <c r="O150" s="1">
        <v>10</v>
      </c>
      <c r="P150" s="1" t="s">
        <v>56</v>
      </c>
      <c r="Q150" s="16">
        <v>46044</v>
      </c>
      <c r="R150" s="16">
        <v>46050</v>
      </c>
      <c r="S150" s="1">
        <v>10</v>
      </c>
      <c r="T150" s="18" t="s">
        <v>55</v>
      </c>
      <c r="U150" s="18" t="s">
        <v>55</v>
      </c>
      <c r="V150" s="18" t="s">
        <v>55</v>
      </c>
      <c r="W150" s="18" t="s">
        <v>55</v>
      </c>
      <c r="X150" s="18" t="s">
        <v>55</v>
      </c>
      <c r="Y150" s="18" t="s">
        <v>55</v>
      </c>
      <c r="Z150" s="3" t="s">
        <v>55</v>
      </c>
      <c r="AA150" s="1">
        <v>1</v>
      </c>
      <c r="AB150" s="1">
        <v>1</v>
      </c>
      <c r="AC150" s="1">
        <v>0</v>
      </c>
      <c r="AD150" s="16">
        <v>46057</v>
      </c>
      <c r="AE150" s="16">
        <v>46059</v>
      </c>
      <c r="AF150" s="16">
        <v>46064</v>
      </c>
      <c r="AG150" s="16">
        <v>46070</v>
      </c>
      <c r="AH150" s="140">
        <v>46076</v>
      </c>
      <c r="AI150" s="3">
        <f t="shared" si="17"/>
        <v>2</v>
      </c>
      <c r="AJ150" s="249" t="s">
        <v>568</v>
      </c>
      <c r="AK150" s="49" t="s">
        <v>569</v>
      </c>
      <c r="AL150" s="19">
        <f t="shared" si="19"/>
        <v>1</v>
      </c>
      <c r="AM150" s="67">
        <f>IFERROR(NETWORKDAYS(D150,Q150,Hoja1!$A$1:$A$29),"N/A")</f>
        <v>26</v>
      </c>
      <c r="AN150" s="21">
        <f>IFERROR(NETWORKDAYS(D150,AE150,Hoja1!$A$1:$A$29),"N/A")</f>
        <v>37</v>
      </c>
      <c r="AO150" s="78">
        <v>8</v>
      </c>
      <c r="AP150" s="21">
        <f t="shared" si="18"/>
        <v>29</v>
      </c>
      <c r="AQ150" s="21">
        <f>IFERROR(NETWORKDAYS(AF150,AG150,Hoja1!$A$1:$A$29),"N/A")</f>
        <v>5</v>
      </c>
      <c r="AR150" s="74">
        <v>0</v>
      </c>
      <c r="AS150" s="75">
        <f t="shared" si="15"/>
        <v>5</v>
      </c>
      <c r="AT150" s="21">
        <f>IFERROR(NETWORKDAYS(D150,AG150,Hoja1!$A$1:$A$29),"N/A")</f>
        <v>44</v>
      </c>
      <c r="AU150" s="21">
        <f t="shared" si="16"/>
        <v>36</v>
      </c>
      <c r="AV150" s="69" t="s">
        <v>77</v>
      </c>
      <c r="AW150" s="86" t="s">
        <v>78</v>
      </c>
      <c r="AX150" s="46"/>
      <c r="AY150" s="46"/>
      <c r="AZ150" s="46"/>
      <c r="BA150" s="1"/>
      <c r="BB150" s="1"/>
    </row>
    <row r="151" spans="1:54" ht="15" customHeight="1" x14ac:dyDescent="0.25">
      <c r="A151" s="95">
        <v>15495</v>
      </c>
      <c r="B151" s="27" t="s">
        <v>69</v>
      </c>
      <c r="C151" s="84" t="s">
        <v>202</v>
      </c>
      <c r="D151" s="28">
        <v>46057</v>
      </c>
      <c r="E151" s="28">
        <v>46006</v>
      </c>
      <c r="F151" s="84" t="s">
        <v>62</v>
      </c>
      <c r="G151" s="84" t="s">
        <v>71</v>
      </c>
      <c r="H151" s="87" t="s">
        <v>101</v>
      </c>
      <c r="I151" s="84" t="s">
        <v>96</v>
      </c>
      <c r="J151" s="27" t="s">
        <v>73</v>
      </c>
      <c r="K151" s="84" t="s">
        <v>351</v>
      </c>
      <c r="L151" s="33">
        <v>1</v>
      </c>
      <c r="M151" s="45" t="s">
        <v>54</v>
      </c>
      <c r="N151" s="21" t="s">
        <v>55</v>
      </c>
      <c r="O151" s="33">
        <v>0</v>
      </c>
      <c r="P151" s="33"/>
      <c r="Q151" s="21" t="s">
        <v>55</v>
      </c>
      <c r="R151" s="21" t="s">
        <v>55</v>
      </c>
      <c r="S151" s="33">
        <v>0</v>
      </c>
      <c r="T151" s="21" t="s">
        <v>55</v>
      </c>
      <c r="U151" s="21" t="s">
        <v>55</v>
      </c>
      <c r="V151" s="21" t="s">
        <v>55</v>
      </c>
      <c r="W151" s="21" t="s">
        <v>55</v>
      </c>
      <c r="X151" s="21" t="s">
        <v>55</v>
      </c>
      <c r="Y151" s="21" t="s">
        <v>55</v>
      </c>
      <c r="Z151" s="3" t="s">
        <v>55</v>
      </c>
      <c r="AA151" s="33">
        <v>2</v>
      </c>
      <c r="AB151" s="33">
        <v>2</v>
      </c>
      <c r="AC151" s="33">
        <v>0</v>
      </c>
      <c r="AD151" s="28">
        <v>46062</v>
      </c>
      <c r="AE151" s="28">
        <v>46064</v>
      </c>
      <c r="AF151" s="28">
        <v>46065</v>
      </c>
      <c r="AG151" s="30">
        <v>46072</v>
      </c>
      <c r="AH151" s="140">
        <v>46076</v>
      </c>
      <c r="AI151" s="3">
        <f t="shared" si="17"/>
        <v>2</v>
      </c>
      <c r="AJ151" s="85" t="s">
        <v>570</v>
      </c>
      <c r="AK151" s="35" t="s">
        <v>571</v>
      </c>
      <c r="AL151" s="19" t="str">
        <f t="shared" si="19"/>
        <v>N/A</v>
      </c>
      <c r="AM151" s="67" t="str">
        <f>IFERROR(NETWORKDAYS(D151,Q151,Hoja1!$A$1:$A$29),"N/A")</f>
        <v>N/A</v>
      </c>
      <c r="AN151" s="21">
        <f>IFERROR(NETWORKDAYS(D151,AE151,Hoja1!$A$1:$A$29),"N/A")</f>
        <v>6</v>
      </c>
      <c r="AO151" s="78">
        <v>0</v>
      </c>
      <c r="AP151" s="21">
        <f t="shared" si="18"/>
        <v>6</v>
      </c>
      <c r="AQ151" s="21">
        <f>IFERROR(NETWORKDAYS(AF151,AG151,Hoja1!$A$1:$A$29),"N/A")</f>
        <v>6</v>
      </c>
      <c r="AR151" s="74">
        <v>0</v>
      </c>
      <c r="AS151" s="75">
        <f t="shared" ref="AS151:AS187" si="20">AQ151-AR151</f>
        <v>6</v>
      </c>
      <c r="AT151" s="21">
        <f>IFERROR(NETWORKDAYS(D151,AG151,Hoja1!$A$1:$A$29),"N/A")</f>
        <v>12</v>
      </c>
      <c r="AU151" s="21">
        <f t="shared" si="16"/>
        <v>12</v>
      </c>
      <c r="AV151" s="69" t="s">
        <v>104</v>
      </c>
      <c r="AW151" s="86" t="s">
        <v>82</v>
      </c>
      <c r="AX151" s="46"/>
      <c r="AY151" s="46"/>
      <c r="AZ151" s="46"/>
      <c r="BA151" s="33"/>
      <c r="BB151" s="33"/>
    </row>
    <row r="152" spans="1:54" ht="15" customHeight="1" x14ac:dyDescent="0.25">
      <c r="A152" s="55">
        <v>15499</v>
      </c>
      <c r="B152" s="87" t="s">
        <v>79</v>
      </c>
      <c r="C152" s="87" t="s">
        <v>79</v>
      </c>
      <c r="D152" s="418">
        <v>46029</v>
      </c>
      <c r="E152" s="30">
        <v>46006</v>
      </c>
      <c r="F152" s="232" t="s">
        <v>90</v>
      </c>
      <c r="G152" s="87" t="s">
        <v>91</v>
      </c>
      <c r="H152" s="111" t="s">
        <v>51</v>
      </c>
      <c r="I152" s="87" t="s">
        <v>92</v>
      </c>
      <c r="J152" s="87" t="s">
        <v>52</v>
      </c>
      <c r="K152" s="87" t="s">
        <v>111</v>
      </c>
      <c r="L152" s="3">
        <v>1</v>
      </c>
      <c r="M152" s="45" t="s">
        <v>54</v>
      </c>
      <c r="N152" s="3" t="s">
        <v>55</v>
      </c>
      <c r="O152" s="3">
        <v>3</v>
      </c>
      <c r="P152" s="3" t="s">
        <v>112</v>
      </c>
      <c r="Q152" s="30">
        <v>46062</v>
      </c>
      <c r="R152" s="30">
        <v>46038</v>
      </c>
      <c r="S152" s="88">
        <v>3</v>
      </c>
      <c r="T152" s="88" t="s">
        <v>55</v>
      </c>
      <c r="U152" s="88" t="s">
        <v>55</v>
      </c>
      <c r="V152" s="3" t="s">
        <v>55</v>
      </c>
      <c r="W152" s="3" t="s">
        <v>55</v>
      </c>
      <c r="X152" s="3" t="s">
        <v>55</v>
      </c>
      <c r="Y152" s="3" t="s">
        <v>55</v>
      </c>
      <c r="Z152" s="3" t="s">
        <v>55</v>
      </c>
      <c r="AA152" s="3">
        <v>3</v>
      </c>
      <c r="AB152" s="3">
        <v>1</v>
      </c>
      <c r="AC152" s="3">
        <v>0</v>
      </c>
      <c r="AD152" s="73">
        <v>46038</v>
      </c>
      <c r="AE152" s="16">
        <v>46048</v>
      </c>
      <c r="AF152" s="16">
        <v>46048</v>
      </c>
      <c r="AG152" s="16">
        <v>46052</v>
      </c>
      <c r="AH152" s="16">
        <v>46055</v>
      </c>
      <c r="AI152" s="3">
        <f t="shared" si="17"/>
        <v>2</v>
      </c>
      <c r="AJ152" s="85" t="s">
        <v>572</v>
      </c>
      <c r="AK152" s="45" t="s">
        <v>573</v>
      </c>
      <c r="AL152" s="19">
        <f t="shared" si="19"/>
        <v>1</v>
      </c>
      <c r="AM152" s="67">
        <f>IFERROR(NETWORKDAYS(D152,Q152,Hoja1!$A$1:$A$29),"N/A")</f>
        <v>23</v>
      </c>
      <c r="AN152" s="21">
        <f>IFERROR(NETWORKDAYS(D152,AE152,Hoja1!$A$1:$A$29),"N/A")</f>
        <v>13</v>
      </c>
      <c r="AO152" s="78">
        <v>0</v>
      </c>
      <c r="AP152" s="21">
        <f t="shared" si="18"/>
        <v>13</v>
      </c>
      <c r="AQ152" s="21">
        <f>IFERROR(NETWORKDAYS(AF152,AG152,Hoja1!$A$1:$A$29),"N/A")</f>
        <v>5</v>
      </c>
      <c r="AR152" s="78">
        <v>0</v>
      </c>
      <c r="AS152" s="75">
        <f t="shared" si="20"/>
        <v>5</v>
      </c>
      <c r="AT152" s="21">
        <f>IFERROR(NETWORKDAYS(D152,AG152,Hoja1!$A$1:$A$29),"N/A")</f>
        <v>17</v>
      </c>
      <c r="AU152" s="21">
        <f t="shared" si="16"/>
        <v>17</v>
      </c>
      <c r="AV152" s="69" t="s">
        <v>127</v>
      </c>
      <c r="AW152" s="86" t="s">
        <v>139</v>
      </c>
      <c r="AX152" s="46" t="s">
        <v>445</v>
      </c>
      <c r="AY152" s="46"/>
      <c r="AZ152" s="46"/>
      <c r="BA152" s="107"/>
      <c r="BB152" s="1"/>
    </row>
    <row r="153" spans="1:54" ht="15" customHeight="1" x14ac:dyDescent="0.25">
      <c r="A153" s="57">
        <v>15501</v>
      </c>
      <c r="B153" s="27" t="s">
        <v>69</v>
      </c>
      <c r="C153" s="27" t="s">
        <v>122</v>
      </c>
      <c r="D153" s="15">
        <v>46051</v>
      </c>
      <c r="E153" s="16">
        <v>46007</v>
      </c>
      <c r="F153" s="114" t="s">
        <v>62</v>
      </c>
      <c r="G153" s="114" t="s">
        <v>71</v>
      </c>
      <c r="H153" s="87" t="s">
        <v>101</v>
      </c>
      <c r="I153" s="27" t="s">
        <v>574</v>
      </c>
      <c r="J153" s="27" t="s">
        <v>118</v>
      </c>
      <c r="K153" s="27" t="s">
        <v>66</v>
      </c>
      <c r="L153" s="1">
        <v>1</v>
      </c>
      <c r="M153" s="45" t="s">
        <v>54</v>
      </c>
      <c r="N153" s="2" t="s">
        <v>55</v>
      </c>
      <c r="O153" s="33">
        <v>0</v>
      </c>
      <c r="P153" s="1"/>
      <c r="Q153" s="2" t="s">
        <v>55</v>
      </c>
      <c r="R153" s="2" t="s">
        <v>55</v>
      </c>
      <c r="S153" s="33">
        <v>0</v>
      </c>
      <c r="T153" s="2" t="s">
        <v>55</v>
      </c>
      <c r="U153" s="2" t="s">
        <v>55</v>
      </c>
      <c r="V153" s="2" t="s">
        <v>55</v>
      </c>
      <c r="W153" s="2" t="s">
        <v>55</v>
      </c>
      <c r="X153" s="2" t="s">
        <v>55</v>
      </c>
      <c r="Y153" s="2" t="s">
        <v>55</v>
      </c>
      <c r="Z153" s="3" t="s">
        <v>55</v>
      </c>
      <c r="AA153" s="1">
        <v>5</v>
      </c>
      <c r="AB153" s="1">
        <v>5</v>
      </c>
      <c r="AC153" s="1">
        <v>0</v>
      </c>
      <c r="AD153" s="16">
        <v>46042</v>
      </c>
      <c r="AE153" s="16">
        <v>46064</v>
      </c>
      <c r="AF153" s="16">
        <v>46065</v>
      </c>
      <c r="AG153" s="16">
        <v>46070</v>
      </c>
      <c r="AH153" s="140">
        <v>46076</v>
      </c>
      <c r="AI153" s="3">
        <f t="shared" si="17"/>
        <v>2</v>
      </c>
      <c r="AJ153" s="108" t="s">
        <v>575</v>
      </c>
      <c r="AK153" s="49" t="s">
        <v>576</v>
      </c>
      <c r="AL153" s="19" t="str">
        <f t="shared" si="19"/>
        <v>N/A</v>
      </c>
      <c r="AM153" s="67" t="str">
        <f>IFERROR(NETWORKDAYS(D153,Q153,Hoja1!$A$1:$A$29),"N/A")</f>
        <v>N/A</v>
      </c>
      <c r="AN153" s="21">
        <f>IFERROR(NETWORKDAYS(D153,AE153,Hoja1!$A$1:$A$29),"N/A")</f>
        <v>10</v>
      </c>
      <c r="AO153" s="78">
        <v>5</v>
      </c>
      <c r="AP153" s="21">
        <f t="shared" si="18"/>
        <v>5</v>
      </c>
      <c r="AQ153" s="21">
        <f>IFERROR(NETWORKDAYS(AF153,AG153,Hoja1!$A$1:$A$29),"N/A")</f>
        <v>4</v>
      </c>
      <c r="AR153" s="74">
        <v>0</v>
      </c>
      <c r="AS153" s="75">
        <f t="shared" si="20"/>
        <v>4</v>
      </c>
      <c r="AT153" s="21">
        <f>IFERROR(NETWORKDAYS(D153,AG153,Hoja1!$A$1:$A$29),"N/A")</f>
        <v>14</v>
      </c>
      <c r="AU153" s="21">
        <f t="shared" si="16"/>
        <v>9</v>
      </c>
      <c r="AV153" s="69" t="s">
        <v>104</v>
      </c>
      <c r="AW153" s="86" t="s">
        <v>577</v>
      </c>
      <c r="AX153" s="46" t="s">
        <v>464</v>
      </c>
      <c r="AY153" s="46"/>
      <c r="AZ153" s="46"/>
      <c r="BA153" s="1"/>
      <c r="BB153" s="1"/>
    </row>
    <row r="154" spans="1:54" ht="15" customHeight="1" x14ac:dyDescent="0.25">
      <c r="A154" s="95">
        <v>15508</v>
      </c>
      <c r="B154" s="84" t="s">
        <v>49</v>
      </c>
      <c r="C154" s="84" t="s">
        <v>49</v>
      </c>
      <c r="D154" s="421">
        <v>46007</v>
      </c>
      <c r="E154" s="28">
        <v>46007</v>
      </c>
      <c r="F154" s="84" t="s">
        <v>62</v>
      </c>
      <c r="G154" s="84" t="s">
        <v>71</v>
      </c>
      <c r="H154" s="87" t="s">
        <v>101</v>
      </c>
      <c r="I154" s="84" t="s">
        <v>578</v>
      </c>
      <c r="J154" s="84" t="s">
        <v>142</v>
      </c>
      <c r="K154" s="84" t="s">
        <v>86</v>
      </c>
      <c r="L154" s="33">
        <v>1</v>
      </c>
      <c r="M154" s="45" t="s">
        <v>54</v>
      </c>
      <c r="N154" s="21" t="s">
        <v>55</v>
      </c>
      <c r="O154" s="33">
        <v>0</v>
      </c>
      <c r="P154" s="33"/>
      <c r="Q154" s="21" t="s">
        <v>55</v>
      </c>
      <c r="R154" s="21" t="s">
        <v>55</v>
      </c>
      <c r="S154" s="33">
        <v>0</v>
      </c>
      <c r="T154" s="36" t="s">
        <v>55</v>
      </c>
      <c r="U154" s="36" t="s">
        <v>55</v>
      </c>
      <c r="V154" s="36" t="s">
        <v>55</v>
      </c>
      <c r="W154" s="36" t="s">
        <v>55</v>
      </c>
      <c r="X154" s="36" t="s">
        <v>55</v>
      </c>
      <c r="Y154" s="36" t="s">
        <v>55</v>
      </c>
      <c r="Z154" s="3" t="s">
        <v>55</v>
      </c>
      <c r="AA154" s="33">
        <v>1</v>
      </c>
      <c r="AB154" s="33">
        <v>1</v>
      </c>
      <c r="AC154" s="33">
        <v>0</v>
      </c>
      <c r="AD154" s="28">
        <v>46013</v>
      </c>
      <c r="AE154" s="28">
        <v>46045</v>
      </c>
      <c r="AF154" s="28">
        <v>46048</v>
      </c>
      <c r="AG154" s="28">
        <v>46051</v>
      </c>
      <c r="AH154" s="16">
        <v>46055</v>
      </c>
      <c r="AI154" s="3">
        <f t="shared" si="17"/>
        <v>2</v>
      </c>
      <c r="AJ154" s="85" t="s">
        <v>579</v>
      </c>
      <c r="AK154" s="35" t="s">
        <v>580</v>
      </c>
      <c r="AL154" s="19" t="str">
        <f t="shared" si="19"/>
        <v>N/A</v>
      </c>
      <c r="AM154" s="67" t="str">
        <f>IFERROR(NETWORKDAYS(D154,Q154,Hoja1!$A$1:$A$29),"N/A")</f>
        <v>N/A</v>
      </c>
      <c r="AN154" s="21">
        <f>IFERROR(NETWORKDAYS(D154,AE154,Hoja1!$A$1:$A$29),"N/A")</f>
        <v>26</v>
      </c>
      <c r="AO154" s="78">
        <v>20</v>
      </c>
      <c r="AP154" s="21">
        <f t="shared" si="18"/>
        <v>6</v>
      </c>
      <c r="AQ154" s="21">
        <f>IFERROR(NETWORKDAYS(AF154,AG154,Hoja1!$A$1:$A$29),"N/A")</f>
        <v>4</v>
      </c>
      <c r="AR154" s="74">
        <v>0</v>
      </c>
      <c r="AS154" s="75">
        <f t="shared" si="20"/>
        <v>4</v>
      </c>
      <c r="AT154" s="21">
        <f>IFERROR(NETWORKDAYS(D154,AG154,Hoja1!$A$1:$A$29),"N/A")</f>
        <v>30</v>
      </c>
      <c r="AU154" s="21">
        <f t="shared" si="16"/>
        <v>10</v>
      </c>
      <c r="AV154" s="69" t="s">
        <v>104</v>
      </c>
      <c r="AW154" s="86" t="s">
        <v>581</v>
      </c>
      <c r="AX154" s="46"/>
      <c r="AY154" s="46"/>
      <c r="AZ154" s="46"/>
      <c r="BA154" s="33"/>
      <c r="BB154" s="33"/>
    </row>
    <row r="155" spans="1:54" ht="15" customHeight="1" x14ac:dyDescent="0.25">
      <c r="A155" s="57">
        <v>15511</v>
      </c>
      <c r="B155" s="27" t="s">
        <v>69</v>
      </c>
      <c r="C155" s="43" t="s">
        <v>98</v>
      </c>
      <c r="D155" s="15">
        <v>46037</v>
      </c>
      <c r="E155" s="16">
        <v>46007</v>
      </c>
      <c r="F155" s="114" t="s">
        <v>62</v>
      </c>
      <c r="G155" s="114" t="s">
        <v>80</v>
      </c>
      <c r="H155" s="111" t="s">
        <v>51</v>
      </c>
      <c r="I155" s="27" t="s">
        <v>582</v>
      </c>
      <c r="J155" s="27" t="s">
        <v>52</v>
      </c>
      <c r="K155" s="27" t="s">
        <v>66</v>
      </c>
      <c r="L155" s="1">
        <v>1</v>
      </c>
      <c r="M155" s="45" t="s">
        <v>54</v>
      </c>
      <c r="N155" s="2" t="s">
        <v>55</v>
      </c>
      <c r="O155" s="1">
        <v>6</v>
      </c>
      <c r="P155" s="1" t="s">
        <v>56</v>
      </c>
      <c r="Q155" s="16">
        <v>46051</v>
      </c>
      <c r="R155" s="16">
        <v>46052</v>
      </c>
      <c r="S155" s="1">
        <v>6</v>
      </c>
      <c r="T155" s="2" t="s">
        <v>55</v>
      </c>
      <c r="U155" s="2" t="s">
        <v>55</v>
      </c>
      <c r="V155" s="2" t="s">
        <v>55</v>
      </c>
      <c r="W155" s="2" t="s">
        <v>55</v>
      </c>
      <c r="X155" s="2" t="s">
        <v>55</v>
      </c>
      <c r="Y155" s="2" t="s">
        <v>55</v>
      </c>
      <c r="Z155" s="3" t="s">
        <v>55</v>
      </c>
      <c r="AA155" s="1">
        <v>1</v>
      </c>
      <c r="AB155" s="1">
        <v>1</v>
      </c>
      <c r="AC155" s="1">
        <v>0</v>
      </c>
      <c r="AD155" s="16">
        <v>46062</v>
      </c>
      <c r="AE155" s="16">
        <v>46063</v>
      </c>
      <c r="AF155" s="16">
        <v>46064</v>
      </c>
      <c r="AG155" s="16">
        <v>46073</v>
      </c>
      <c r="AH155" s="140">
        <v>46076</v>
      </c>
      <c r="AI155" s="3">
        <f t="shared" si="17"/>
        <v>2</v>
      </c>
      <c r="AJ155" s="108" t="s">
        <v>583</v>
      </c>
      <c r="AK155" s="49" t="s">
        <v>584</v>
      </c>
      <c r="AL155" s="19">
        <f t="shared" si="19"/>
        <v>1</v>
      </c>
      <c r="AM155" s="67">
        <f>IFERROR(NETWORKDAYS(D155,Q155,Hoja1!$A$1:$A$29),"N/A")</f>
        <v>11</v>
      </c>
      <c r="AN155" s="21">
        <f>IFERROR(NETWORKDAYS(D155,AE155,Hoja1!$A$1:$A$29),"N/A")</f>
        <v>19</v>
      </c>
      <c r="AO155" s="78">
        <v>0</v>
      </c>
      <c r="AP155" s="21">
        <f t="shared" si="18"/>
        <v>19</v>
      </c>
      <c r="AQ155" s="21">
        <f>IFERROR(NETWORKDAYS(AF155,AG155,Hoja1!$A$1:$A$29),"N/A")</f>
        <v>8</v>
      </c>
      <c r="AR155" s="74">
        <v>3</v>
      </c>
      <c r="AS155" s="75">
        <f t="shared" si="20"/>
        <v>5</v>
      </c>
      <c r="AT155" s="21">
        <f>IFERROR(NETWORKDAYS(D155,AG155,Hoja1!$A$1:$A$29),"N/A")</f>
        <v>27</v>
      </c>
      <c r="AU155" s="21">
        <f t="shared" si="16"/>
        <v>24</v>
      </c>
      <c r="AV155" s="69" t="s">
        <v>59</v>
      </c>
      <c r="AW155" s="86" t="s">
        <v>585</v>
      </c>
      <c r="AX155" s="46" t="s">
        <v>453</v>
      </c>
      <c r="AY155" s="46"/>
      <c r="AZ155" s="46"/>
      <c r="BA155" s="1"/>
      <c r="BB155" s="1"/>
    </row>
    <row r="156" spans="1:54" ht="15" customHeight="1" x14ac:dyDescent="0.25">
      <c r="A156" s="57">
        <v>15512</v>
      </c>
      <c r="B156" s="27" t="s">
        <v>69</v>
      </c>
      <c r="C156" s="43" t="s">
        <v>98</v>
      </c>
      <c r="D156" s="420">
        <v>46008</v>
      </c>
      <c r="E156" s="16">
        <v>46007</v>
      </c>
      <c r="F156" s="114" t="s">
        <v>62</v>
      </c>
      <c r="G156" s="114" t="s">
        <v>80</v>
      </c>
      <c r="H156" s="111" t="s">
        <v>51</v>
      </c>
      <c r="I156" s="27" t="s">
        <v>582</v>
      </c>
      <c r="J156" s="27" t="s">
        <v>52</v>
      </c>
      <c r="K156" s="27" t="s">
        <v>66</v>
      </c>
      <c r="L156" s="1">
        <v>1</v>
      </c>
      <c r="M156" s="45" t="s">
        <v>54</v>
      </c>
      <c r="N156" s="2" t="s">
        <v>55</v>
      </c>
      <c r="O156" s="1">
        <v>3</v>
      </c>
      <c r="P156" s="1" t="s">
        <v>112</v>
      </c>
      <c r="Q156" s="16">
        <v>46027</v>
      </c>
      <c r="R156" s="16">
        <v>46027</v>
      </c>
      <c r="S156" s="1">
        <v>3</v>
      </c>
      <c r="T156" s="2" t="s">
        <v>55</v>
      </c>
      <c r="U156" s="2" t="s">
        <v>55</v>
      </c>
      <c r="V156" s="2" t="s">
        <v>55</v>
      </c>
      <c r="W156" s="2" t="s">
        <v>55</v>
      </c>
      <c r="X156" s="2" t="s">
        <v>55</v>
      </c>
      <c r="Y156" s="2" t="s">
        <v>55</v>
      </c>
      <c r="Z156" s="3" t="s">
        <v>55</v>
      </c>
      <c r="AA156" s="1">
        <v>1</v>
      </c>
      <c r="AB156" s="1">
        <v>1</v>
      </c>
      <c r="AC156" s="1">
        <v>0</v>
      </c>
      <c r="AD156" s="16">
        <v>46043</v>
      </c>
      <c r="AE156" s="16">
        <v>46048</v>
      </c>
      <c r="AF156" s="16">
        <v>46048</v>
      </c>
      <c r="AG156" s="16">
        <v>46055</v>
      </c>
      <c r="AH156" s="16">
        <v>46056</v>
      </c>
      <c r="AI156" s="3">
        <f t="shared" si="17"/>
        <v>2</v>
      </c>
      <c r="AJ156" s="108" t="s">
        <v>586</v>
      </c>
      <c r="AK156" s="49" t="s">
        <v>587</v>
      </c>
      <c r="AL156" s="19">
        <f t="shared" si="19"/>
        <v>1</v>
      </c>
      <c r="AM156" s="67">
        <f>IFERROR(NETWORKDAYS(D156,Q156,Hoja1!$A$1:$A$29),"N/A")</f>
        <v>12</v>
      </c>
      <c r="AN156" s="21">
        <f>IFERROR(NETWORKDAYS(D156,AE156,Hoja1!$A$1:$A$29),"N/A")</f>
        <v>26</v>
      </c>
      <c r="AO156" s="78">
        <v>2</v>
      </c>
      <c r="AP156" s="21">
        <f t="shared" si="18"/>
        <v>24</v>
      </c>
      <c r="AQ156" s="21">
        <f>IFERROR(NETWORKDAYS(AF156,AG156,Hoja1!$A$1:$A$29),"N/A")</f>
        <v>6</v>
      </c>
      <c r="AR156" s="74">
        <v>1</v>
      </c>
      <c r="AS156" s="75">
        <f t="shared" si="20"/>
        <v>5</v>
      </c>
      <c r="AT156" s="21">
        <f>IFERROR(NETWORKDAYS(D156,AG156,Hoja1!$A$1:$A$29),"N/A")</f>
        <v>31</v>
      </c>
      <c r="AU156" s="21">
        <f t="shared" si="16"/>
        <v>28</v>
      </c>
      <c r="AV156" s="69" t="s">
        <v>59</v>
      </c>
      <c r="AW156" s="86" t="s">
        <v>588</v>
      </c>
      <c r="AX156" s="46" t="s">
        <v>881</v>
      </c>
      <c r="AY156" s="46"/>
      <c r="AZ156" s="46"/>
      <c r="BA156" s="1"/>
      <c r="BB156" s="1"/>
    </row>
    <row r="157" spans="1:54" ht="15" customHeight="1" x14ac:dyDescent="0.25">
      <c r="A157" s="95">
        <v>15516</v>
      </c>
      <c r="B157" s="87" t="s">
        <v>79</v>
      </c>
      <c r="C157" s="87" t="s">
        <v>79</v>
      </c>
      <c r="D157" s="15">
        <v>46007</v>
      </c>
      <c r="E157" s="15">
        <v>46007</v>
      </c>
      <c r="F157" s="84" t="s">
        <v>62</v>
      </c>
      <c r="G157" s="23" t="s">
        <v>80</v>
      </c>
      <c r="H157" s="111" t="s">
        <v>51</v>
      </c>
      <c r="I157" s="87" t="s">
        <v>92</v>
      </c>
      <c r="J157" s="48" t="s">
        <v>52</v>
      </c>
      <c r="K157" s="87" t="s">
        <v>74</v>
      </c>
      <c r="L157" s="1">
        <v>1</v>
      </c>
      <c r="M157" s="45" t="s">
        <v>54</v>
      </c>
      <c r="N157" s="18" t="s">
        <v>55</v>
      </c>
      <c r="O157" s="1">
        <v>16</v>
      </c>
      <c r="P157" s="1" t="s">
        <v>56</v>
      </c>
      <c r="Q157" s="16">
        <v>46059</v>
      </c>
      <c r="R157" s="16">
        <v>46064</v>
      </c>
      <c r="S157" s="1">
        <v>16</v>
      </c>
      <c r="T157" s="18" t="s">
        <v>55</v>
      </c>
      <c r="U157" s="18" t="s">
        <v>55</v>
      </c>
      <c r="V157" s="18" t="s">
        <v>55</v>
      </c>
      <c r="W157" s="18" t="s">
        <v>55</v>
      </c>
      <c r="X157" s="18" t="s">
        <v>55</v>
      </c>
      <c r="Y157" s="18" t="s">
        <v>55</v>
      </c>
      <c r="Z157" s="3" t="s">
        <v>55</v>
      </c>
      <c r="AA157" s="1">
        <v>1</v>
      </c>
      <c r="AB157" s="1">
        <v>1</v>
      </c>
      <c r="AC157" s="1">
        <v>0</v>
      </c>
      <c r="AD157" s="16">
        <v>46072</v>
      </c>
      <c r="AE157" s="16">
        <v>46071</v>
      </c>
      <c r="AF157" s="16">
        <v>46071</v>
      </c>
      <c r="AG157" s="16">
        <v>46073</v>
      </c>
      <c r="AH157" s="140">
        <v>46076</v>
      </c>
      <c r="AI157" s="3">
        <f t="shared" si="17"/>
        <v>2</v>
      </c>
      <c r="AJ157" s="249" t="s">
        <v>589</v>
      </c>
      <c r="AK157" s="49" t="s">
        <v>590</v>
      </c>
      <c r="AL157" s="19">
        <f t="shared" si="19"/>
        <v>1</v>
      </c>
      <c r="AM157" s="67">
        <f>IFERROR(NETWORKDAYS(D157,Q157,Hoja1!$A$1:$A$29),"N/A")</f>
        <v>36</v>
      </c>
      <c r="AN157" s="21">
        <f>IFERROR(NETWORKDAYS(D157,AE157,Hoja1!$A$1:$A$29),"N/A")</f>
        <v>44</v>
      </c>
      <c r="AO157" s="78">
        <v>14</v>
      </c>
      <c r="AP157" s="21">
        <f t="shared" si="18"/>
        <v>30</v>
      </c>
      <c r="AQ157" s="21">
        <f>IFERROR(NETWORKDAYS(AF157,AG157,Hoja1!$A$1:$A$29),"N/A")</f>
        <v>3</v>
      </c>
      <c r="AR157" s="78">
        <v>0</v>
      </c>
      <c r="AS157" s="75">
        <f t="shared" si="20"/>
        <v>3</v>
      </c>
      <c r="AT157" s="21">
        <f>IFERROR(NETWORKDAYS(D157,AG157,Hoja1!$A$1:$A$29),"N/A")</f>
        <v>46</v>
      </c>
      <c r="AU157" s="21">
        <f t="shared" si="16"/>
        <v>32</v>
      </c>
      <c r="AV157" s="69" t="s">
        <v>59</v>
      </c>
      <c r="AW157" s="86" t="s">
        <v>500</v>
      </c>
      <c r="AX157" s="46" t="s">
        <v>464</v>
      </c>
      <c r="AY157" s="46" t="s">
        <v>551</v>
      </c>
      <c r="AZ157" s="46"/>
      <c r="BA157" s="46"/>
      <c r="BB157" s="1"/>
    </row>
    <row r="158" spans="1:54" ht="15" customHeight="1" x14ac:dyDescent="0.25">
      <c r="A158" s="95">
        <v>15517</v>
      </c>
      <c r="B158" s="87" t="s">
        <v>79</v>
      </c>
      <c r="C158" s="87" t="s">
        <v>79</v>
      </c>
      <c r="D158" s="420">
        <v>46059</v>
      </c>
      <c r="E158" s="15">
        <v>46007</v>
      </c>
      <c r="F158" s="84" t="s">
        <v>62</v>
      </c>
      <c r="G158" s="23" t="s">
        <v>80</v>
      </c>
      <c r="H158" s="87" t="s">
        <v>101</v>
      </c>
      <c r="I158" s="87" t="s">
        <v>92</v>
      </c>
      <c r="J158" s="48" t="s">
        <v>52</v>
      </c>
      <c r="K158" s="87" t="s">
        <v>74</v>
      </c>
      <c r="L158" s="1">
        <v>1</v>
      </c>
      <c r="M158" s="45" t="s">
        <v>54</v>
      </c>
      <c r="N158" s="18" t="s">
        <v>55</v>
      </c>
      <c r="O158" s="33">
        <v>0</v>
      </c>
      <c r="P158" s="1"/>
      <c r="Q158" s="2" t="s">
        <v>55</v>
      </c>
      <c r="R158" s="2" t="s">
        <v>55</v>
      </c>
      <c r="S158" s="33">
        <v>0</v>
      </c>
      <c r="T158" s="18" t="s">
        <v>55</v>
      </c>
      <c r="U158" s="18" t="s">
        <v>55</v>
      </c>
      <c r="V158" s="18" t="s">
        <v>55</v>
      </c>
      <c r="W158" s="18" t="s">
        <v>55</v>
      </c>
      <c r="X158" s="18" t="s">
        <v>55</v>
      </c>
      <c r="Y158" s="18" t="s">
        <v>55</v>
      </c>
      <c r="Z158" s="3" t="s">
        <v>55</v>
      </c>
      <c r="AA158" s="1">
        <v>1</v>
      </c>
      <c r="AB158" s="1">
        <v>1</v>
      </c>
      <c r="AC158" s="1">
        <v>0</v>
      </c>
      <c r="AD158" s="16">
        <v>46072</v>
      </c>
      <c r="AE158" s="16">
        <v>46071</v>
      </c>
      <c r="AF158" s="16">
        <v>46071</v>
      </c>
      <c r="AG158" s="16">
        <v>46073</v>
      </c>
      <c r="AH158" s="140">
        <v>46076</v>
      </c>
      <c r="AI158" s="3">
        <f t="shared" si="17"/>
        <v>2</v>
      </c>
      <c r="AJ158" s="249" t="s">
        <v>591</v>
      </c>
      <c r="AK158" s="49" t="s">
        <v>592</v>
      </c>
      <c r="AL158" s="19" t="str">
        <f t="shared" si="19"/>
        <v>N/A</v>
      </c>
      <c r="AM158" s="67" t="str">
        <f>IFERROR(NETWORKDAYS(D158,Q158,Hoja1!$A$1:$A$29),"N/A")</f>
        <v>N/A</v>
      </c>
      <c r="AN158" s="21">
        <f>IFERROR(NETWORKDAYS(D158,AE158,Hoja1!$A$1:$A$29),"N/A")</f>
        <v>9</v>
      </c>
      <c r="AO158" s="78">
        <v>3</v>
      </c>
      <c r="AP158" s="21">
        <f t="shared" si="18"/>
        <v>6</v>
      </c>
      <c r="AQ158" s="21">
        <f>IFERROR(NETWORKDAYS(AF158,AG158,Hoja1!$A$1:$A$29),"N/A")</f>
        <v>3</v>
      </c>
      <c r="AR158" s="78">
        <v>0</v>
      </c>
      <c r="AS158" s="75">
        <f t="shared" si="20"/>
        <v>3</v>
      </c>
      <c r="AT158" s="21">
        <f>IFERROR(NETWORKDAYS(D158,AG158,Hoja1!$A$1:$A$29),"N/A")</f>
        <v>11</v>
      </c>
      <c r="AU158" s="21">
        <f t="shared" si="16"/>
        <v>8</v>
      </c>
      <c r="AV158" s="69" t="s">
        <v>104</v>
      </c>
      <c r="AW158" s="86" t="s">
        <v>593</v>
      </c>
      <c r="AX158" s="46"/>
      <c r="AY158" s="46"/>
      <c r="AZ158" s="46"/>
      <c r="BA158" s="1"/>
      <c r="BB158" s="27"/>
    </row>
    <row r="159" spans="1:54" ht="15" customHeight="1" x14ac:dyDescent="0.25">
      <c r="A159" s="55">
        <v>15522</v>
      </c>
      <c r="B159" s="84" t="s">
        <v>169</v>
      </c>
      <c r="C159" s="84" t="s">
        <v>169</v>
      </c>
      <c r="D159" s="30">
        <v>46008</v>
      </c>
      <c r="E159" s="30">
        <v>46008</v>
      </c>
      <c r="F159" s="232" t="s">
        <v>90</v>
      </c>
      <c r="G159" s="87" t="s">
        <v>91</v>
      </c>
      <c r="H159" s="111" t="s">
        <v>51</v>
      </c>
      <c r="I159" s="152" t="s">
        <v>1837</v>
      </c>
      <c r="J159" s="27" t="s">
        <v>105</v>
      </c>
      <c r="K159" s="87" t="s">
        <v>171</v>
      </c>
      <c r="L159" s="3">
        <v>1</v>
      </c>
      <c r="M159" s="45" t="s">
        <v>54</v>
      </c>
      <c r="N159" s="3" t="s">
        <v>55</v>
      </c>
      <c r="O159" s="3">
        <v>6</v>
      </c>
      <c r="P159" s="3" t="s">
        <v>112</v>
      </c>
      <c r="Q159" s="30">
        <v>46027</v>
      </c>
      <c r="R159" s="30">
        <v>46027</v>
      </c>
      <c r="S159" s="3">
        <v>6</v>
      </c>
      <c r="T159" s="3" t="s">
        <v>55</v>
      </c>
      <c r="U159" s="3" t="s">
        <v>55</v>
      </c>
      <c r="V159" s="3" t="s">
        <v>55</v>
      </c>
      <c r="W159" s="3" t="s">
        <v>55</v>
      </c>
      <c r="X159" s="3" t="s">
        <v>55</v>
      </c>
      <c r="Y159" s="3" t="s">
        <v>55</v>
      </c>
      <c r="Z159" s="3" t="s">
        <v>55</v>
      </c>
      <c r="AA159" s="3">
        <v>6</v>
      </c>
      <c r="AB159" s="3">
        <v>1</v>
      </c>
      <c r="AC159" s="3">
        <v>0</v>
      </c>
      <c r="AD159" s="30">
        <v>46030</v>
      </c>
      <c r="AE159" s="30">
        <v>46030</v>
      </c>
      <c r="AF159" s="30">
        <v>46044</v>
      </c>
      <c r="AG159" s="16">
        <v>46050</v>
      </c>
      <c r="AH159" s="16">
        <v>46055</v>
      </c>
      <c r="AI159" s="3">
        <f t="shared" si="17"/>
        <v>2</v>
      </c>
      <c r="AJ159" s="85" t="s">
        <v>594</v>
      </c>
      <c r="AK159" s="45" t="s">
        <v>595</v>
      </c>
      <c r="AL159" s="19">
        <f t="shared" si="19"/>
        <v>1</v>
      </c>
      <c r="AM159" s="67">
        <f>IFERROR(NETWORKDAYS(D159,Q159,Hoja1!$A$1:$A$29),"N/A")</f>
        <v>12</v>
      </c>
      <c r="AN159" s="21">
        <f>IFERROR(NETWORKDAYS(D159,AE159,Hoja1!$A$1:$A$29),"N/A")</f>
        <v>15</v>
      </c>
      <c r="AO159" s="78">
        <v>3</v>
      </c>
      <c r="AP159" s="21">
        <f t="shared" si="18"/>
        <v>12</v>
      </c>
      <c r="AQ159" s="21">
        <f>IFERROR(NETWORKDAYS(AF159,AG159,Hoja1!$A$1:$A$29),"N/A")</f>
        <v>5</v>
      </c>
      <c r="AR159" s="78">
        <v>0</v>
      </c>
      <c r="AS159" s="75">
        <f t="shared" si="20"/>
        <v>5</v>
      </c>
      <c r="AT159" s="21">
        <f>IFERROR(NETWORKDAYS(D159,AG159,Hoja1!$A$1:$A$29),"N/A")</f>
        <v>28</v>
      </c>
      <c r="AU159" s="21">
        <f t="shared" si="16"/>
        <v>25</v>
      </c>
      <c r="AV159" s="69" t="s">
        <v>59</v>
      </c>
      <c r="AW159" s="86" t="s">
        <v>596</v>
      </c>
      <c r="AX159" s="46"/>
      <c r="AY159" s="46"/>
      <c r="AZ159" s="46"/>
      <c r="BA159" s="107"/>
      <c r="BB159" s="1"/>
    </row>
    <row r="160" spans="1:54" ht="15" customHeight="1" x14ac:dyDescent="0.25">
      <c r="A160" s="95">
        <v>15526</v>
      </c>
      <c r="B160" s="84" t="s">
        <v>597</v>
      </c>
      <c r="C160" s="84" t="s">
        <v>597</v>
      </c>
      <c r="D160" s="421">
        <v>46008</v>
      </c>
      <c r="E160" s="28">
        <v>46008</v>
      </c>
      <c r="F160" s="84" t="s">
        <v>62</v>
      </c>
      <c r="G160" s="84" t="s">
        <v>71</v>
      </c>
      <c r="H160" s="111" t="s">
        <v>51</v>
      </c>
      <c r="I160" s="27" t="s">
        <v>72</v>
      </c>
      <c r="J160" s="27" t="s">
        <v>73</v>
      </c>
      <c r="K160" s="84" t="s">
        <v>351</v>
      </c>
      <c r="L160" s="33">
        <v>1</v>
      </c>
      <c r="M160" s="45" t="s">
        <v>54</v>
      </c>
      <c r="N160" s="21" t="s">
        <v>55</v>
      </c>
      <c r="O160" s="33">
        <v>7</v>
      </c>
      <c r="P160" s="33" t="s">
        <v>56</v>
      </c>
      <c r="Q160" s="53">
        <v>46037</v>
      </c>
      <c r="R160" s="53">
        <v>46043</v>
      </c>
      <c r="S160" s="33">
        <v>7</v>
      </c>
      <c r="T160" s="21" t="s">
        <v>55</v>
      </c>
      <c r="U160" s="21" t="s">
        <v>55</v>
      </c>
      <c r="V160" s="21" t="s">
        <v>55</v>
      </c>
      <c r="W160" s="21" t="s">
        <v>55</v>
      </c>
      <c r="X160" s="21" t="s">
        <v>55</v>
      </c>
      <c r="Y160" s="21" t="s">
        <v>55</v>
      </c>
      <c r="Z160" s="3" t="s">
        <v>55</v>
      </c>
      <c r="AA160" s="33">
        <v>2</v>
      </c>
      <c r="AB160" s="33">
        <v>2</v>
      </c>
      <c r="AC160" s="33">
        <v>0</v>
      </c>
      <c r="AD160" s="28">
        <v>46050</v>
      </c>
      <c r="AE160" s="28">
        <v>46064</v>
      </c>
      <c r="AF160" s="28">
        <v>46065</v>
      </c>
      <c r="AG160" s="28">
        <v>46070</v>
      </c>
      <c r="AH160" s="140">
        <v>46076</v>
      </c>
      <c r="AI160" s="3">
        <f t="shared" si="17"/>
        <v>2</v>
      </c>
      <c r="AJ160" s="85" t="s">
        <v>598</v>
      </c>
      <c r="AK160" s="35" t="s">
        <v>599</v>
      </c>
      <c r="AL160" s="19">
        <f t="shared" si="19"/>
        <v>1</v>
      </c>
      <c r="AM160" s="67">
        <f>IFERROR(NETWORKDAYS(D160,Q160,Hoja1!$A$1:$A$29),"N/A")</f>
        <v>19</v>
      </c>
      <c r="AN160" s="21">
        <f>IFERROR(NETWORKDAYS(D160,AE160,Hoja1!$A$1:$A$29),"N/A")</f>
        <v>38</v>
      </c>
      <c r="AO160" s="78">
        <v>18</v>
      </c>
      <c r="AP160" s="21">
        <f t="shared" si="18"/>
        <v>20</v>
      </c>
      <c r="AQ160" s="21">
        <f>IFERROR(NETWORKDAYS(AF160,AG160,Hoja1!$A$1:$A$29),"N/A")</f>
        <v>4</v>
      </c>
      <c r="AR160" s="74">
        <v>0</v>
      </c>
      <c r="AS160" s="75">
        <f t="shared" si="20"/>
        <v>4</v>
      </c>
      <c r="AT160" s="21">
        <f>IFERROR(NETWORKDAYS(D160,AG160,Hoja1!$A$1:$A$29),"N/A")</f>
        <v>42</v>
      </c>
      <c r="AU160" s="21">
        <f t="shared" si="16"/>
        <v>24</v>
      </c>
      <c r="AV160" s="69" t="s">
        <v>77</v>
      </c>
      <c r="AW160" s="86" t="s">
        <v>82</v>
      </c>
      <c r="AX160" s="46"/>
      <c r="AY160" s="46"/>
      <c r="AZ160" s="46"/>
      <c r="BA160" s="33"/>
      <c r="BB160" s="33"/>
    </row>
    <row r="161" spans="1:54" ht="15" customHeight="1" x14ac:dyDescent="0.25">
      <c r="A161" s="95">
        <v>15527</v>
      </c>
      <c r="B161" s="27" t="s">
        <v>69</v>
      </c>
      <c r="C161" s="84" t="s">
        <v>202</v>
      </c>
      <c r="D161" s="28">
        <v>46008</v>
      </c>
      <c r="E161" s="28">
        <v>46008</v>
      </c>
      <c r="F161" s="84" t="s">
        <v>62</v>
      </c>
      <c r="G161" s="84" t="s">
        <v>71</v>
      </c>
      <c r="H161" s="111" t="s">
        <v>51</v>
      </c>
      <c r="I161" s="84" t="s">
        <v>96</v>
      </c>
      <c r="J161" s="27" t="s">
        <v>73</v>
      </c>
      <c r="K161" s="84" t="s">
        <v>351</v>
      </c>
      <c r="L161" s="33">
        <v>1</v>
      </c>
      <c r="M161" s="45" t="s">
        <v>54</v>
      </c>
      <c r="N161" s="21" t="s">
        <v>55</v>
      </c>
      <c r="O161" s="33">
        <v>3</v>
      </c>
      <c r="P161" s="33" t="s">
        <v>112</v>
      </c>
      <c r="Q161" s="53">
        <v>46015</v>
      </c>
      <c r="R161" s="53">
        <v>46038</v>
      </c>
      <c r="S161" s="33">
        <v>3</v>
      </c>
      <c r="T161" s="21" t="s">
        <v>55</v>
      </c>
      <c r="U161" s="21" t="s">
        <v>55</v>
      </c>
      <c r="V161" s="21" t="s">
        <v>55</v>
      </c>
      <c r="W161" s="21" t="s">
        <v>55</v>
      </c>
      <c r="X161" s="21" t="s">
        <v>55</v>
      </c>
      <c r="Y161" s="21" t="s">
        <v>55</v>
      </c>
      <c r="Z161" s="3" t="s">
        <v>55</v>
      </c>
      <c r="AA161" s="33">
        <v>1</v>
      </c>
      <c r="AB161" s="33">
        <v>1</v>
      </c>
      <c r="AC161" s="33">
        <v>0</v>
      </c>
      <c r="AD161" s="28">
        <v>46045</v>
      </c>
      <c r="AE161" s="16">
        <v>46049</v>
      </c>
      <c r="AF161" s="16">
        <v>46049</v>
      </c>
      <c r="AG161" s="16">
        <v>46052</v>
      </c>
      <c r="AH161" s="16">
        <v>46055</v>
      </c>
      <c r="AI161" s="3">
        <f t="shared" si="17"/>
        <v>2</v>
      </c>
      <c r="AJ161" s="85" t="s">
        <v>600</v>
      </c>
      <c r="AK161" s="35" t="s">
        <v>601</v>
      </c>
      <c r="AL161" s="19">
        <f t="shared" si="19"/>
        <v>1</v>
      </c>
      <c r="AM161" s="67">
        <f>IFERROR(NETWORKDAYS(D161,Q161,Hoja1!$A$1:$A$29),"N/A")</f>
        <v>6</v>
      </c>
      <c r="AN161" s="21">
        <f>IFERROR(NETWORKDAYS(D161,AE161,Hoja1!$A$1:$A$29),"N/A")</f>
        <v>27</v>
      </c>
      <c r="AO161" s="78">
        <v>9</v>
      </c>
      <c r="AP161" s="21">
        <f t="shared" si="18"/>
        <v>18</v>
      </c>
      <c r="AQ161" s="21">
        <f>IFERROR(NETWORKDAYS(AF161,AG161,Hoja1!$A$1:$A$29),"N/A")</f>
        <v>4</v>
      </c>
      <c r="AR161" s="74">
        <v>0</v>
      </c>
      <c r="AS161" s="75">
        <f t="shared" si="20"/>
        <v>4</v>
      </c>
      <c r="AT161" s="21">
        <f>IFERROR(NETWORKDAYS(D161,AG161,Hoja1!$A$1:$A$29),"N/A")</f>
        <v>30</v>
      </c>
      <c r="AU161" s="21">
        <f t="shared" si="16"/>
        <v>21</v>
      </c>
      <c r="AV161" s="69" t="s">
        <v>59</v>
      </c>
      <c r="AW161" s="86" t="s">
        <v>82</v>
      </c>
      <c r="AX161" s="46"/>
      <c r="AY161" s="46"/>
      <c r="AZ161" s="46"/>
      <c r="BA161" s="33"/>
      <c r="BB161" s="33"/>
    </row>
    <row r="162" spans="1:54" ht="15" customHeight="1" x14ac:dyDescent="0.25">
      <c r="A162" s="95">
        <v>15538</v>
      </c>
      <c r="B162" s="87" t="s">
        <v>79</v>
      </c>
      <c r="C162" s="87" t="s">
        <v>79</v>
      </c>
      <c r="D162" s="420">
        <v>46059</v>
      </c>
      <c r="E162" s="16">
        <v>46008</v>
      </c>
      <c r="F162" s="84" t="s">
        <v>62</v>
      </c>
      <c r="G162" s="23" t="s">
        <v>80</v>
      </c>
      <c r="H162" s="87" t="s">
        <v>101</v>
      </c>
      <c r="I162" s="240" t="s">
        <v>350</v>
      </c>
      <c r="J162" s="87" t="s">
        <v>105</v>
      </c>
      <c r="K162" s="87" t="s">
        <v>74</v>
      </c>
      <c r="L162" s="1">
        <v>1</v>
      </c>
      <c r="M162" s="45" t="s">
        <v>54</v>
      </c>
      <c r="N162" s="2" t="s">
        <v>55</v>
      </c>
      <c r="O162" s="33">
        <v>0</v>
      </c>
      <c r="P162" s="1"/>
      <c r="Q162" s="2" t="s">
        <v>55</v>
      </c>
      <c r="R162" s="2" t="s">
        <v>55</v>
      </c>
      <c r="S162" s="33">
        <v>0</v>
      </c>
      <c r="T162" s="18" t="s">
        <v>55</v>
      </c>
      <c r="U162" s="18" t="s">
        <v>55</v>
      </c>
      <c r="V162" s="18" t="s">
        <v>55</v>
      </c>
      <c r="W162" s="18" t="s">
        <v>55</v>
      </c>
      <c r="X162" s="18" t="s">
        <v>55</v>
      </c>
      <c r="Y162" s="18" t="s">
        <v>55</v>
      </c>
      <c r="Z162" s="3" t="s">
        <v>55</v>
      </c>
      <c r="AA162" s="1">
        <v>1</v>
      </c>
      <c r="AB162" s="1">
        <v>1</v>
      </c>
      <c r="AC162" s="1">
        <v>0</v>
      </c>
      <c r="AD162" s="16">
        <v>46065</v>
      </c>
      <c r="AE162" s="16">
        <v>46065</v>
      </c>
      <c r="AF162" s="16">
        <v>46069</v>
      </c>
      <c r="AG162" s="16">
        <v>46073</v>
      </c>
      <c r="AH162" s="140">
        <v>46076</v>
      </c>
      <c r="AI162" s="3">
        <f t="shared" si="17"/>
        <v>2</v>
      </c>
      <c r="AJ162" s="249" t="s">
        <v>602</v>
      </c>
      <c r="AK162" s="49" t="s">
        <v>603</v>
      </c>
      <c r="AL162" s="19" t="str">
        <f t="shared" si="19"/>
        <v>N/A</v>
      </c>
      <c r="AM162" s="67" t="str">
        <f>IFERROR(NETWORKDAYS(D162,Q162,Hoja1!$A$1:$A$29),"N/A")</f>
        <v>N/A</v>
      </c>
      <c r="AN162" s="21">
        <f>IFERROR(NETWORKDAYS(D162,AE162,Hoja1!$A$1:$A$29),"N/A")</f>
        <v>5</v>
      </c>
      <c r="AO162" s="78">
        <v>0</v>
      </c>
      <c r="AP162" s="21">
        <f t="shared" si="18"/>
        <v>5</v>
      </c>
      <c r="AQ162" s="21">
        <f>IFERROR(NETWORKDAYS(AF162,AG162,Hoja1!$A$1:$A$29),"N/A")</f>
        <v>5</v>
      </c>
      <c r="AR162" s="78">
        <v>0</v>
      </c>
      <c r="AS162" s="75">
        <f t="shared" si="20"/>
        <v>5</v>
      </c>
      <c r="AT162" s="21">
        <f>IFERROR(NETWORKDAYS(D162,AG162,Hoja1!$A$1:$A$29),"N/A")</f>
        <v>11</v>
      </c>
      <c r="AU162" s="21">
        <f t="shared" ref="AU162:AU225" si="21">AT162-AO162-AR162</f>
        <v>11</v>
      </c>
      <c r="AV162" s="69" t="s">
        <v>104</v>
      </c>
      <c r="AW162" s="86" t="s">
        <v>604</v>
      </c>
      <c r="AX162" s="46" t="s">
        <v>453</v>
      </c>
      <c r="AY162" s="46" t="s">
        <v>551</v>
      </c>
      <c r="AZ162" s="46"/>
      <c r="BA162" s="1"/>
      <c r="BB162" s="1"/>
    </row>
    <row r="163" spans="1:54" ht="15" customHeight="1" x14ac:dyDescent="0.25">
      <c r="A163" s="55">
        <v>15541</v>
      </c>
      <c r="B163" s="27" t="s">
        <v>69</v>
      </c>
      <c r="C163" s="43" t="s">
        <v>98</v>
      </c>
      <c r="D163" s="30">
        <v>46008</v>
      </c>
      <c r="E163" s="30">
        <v>46008</v>
      </c>
      <c r="F163" s="232" t="s">
        <v>90</v>
      </c>
      <c r="G163" s="87" t="s">
        <v>91</v>
      </c>
      <c r="H163" s="111" t="s">
        <v>51</v>
      </c>
      <c r="I163" s="159" t="s">
        <v>456</v>
      </c>
      <c r="J163" s="87" t="s">
        <v>52</v>
      </c>
      <c r="K163" s="87" t="s">
        <v>111</v>
      </c>
      <c r="L163" s="3">
        <v>1</v>
      </c>
      <c r="M163" s="45" t="s">
        <v>54</v>
      </c>
      <c r="N163" s="3" t="s">
        <v>55</v>
      </c>
      <c r="O163" s="3">
        <v>4</v>
      </c>
      <c r="P163" s="3" t="s">
        <v>112</v>
      </c>
      <c r="Q163" s="30">
        <v>46062</v>
      </c>
      <c r="R163" s="30">
        <v>46062</v>
      </c>
      <c r="S163" s="3">
        <v>4</v>
      </c>
      <c r="T163" s="3" t="s">
        <v>55</v>
      </c>
      <c r="U163" s="3" t="s">
        <v>55</v>
      </c>
      <c r="V163" s="3" t="s">
        <v>55</v>
      </c>
      <c r="W163" s="3" t="s">
        <v>55</v>
      </c>
      <c r="X163" s="3" t="s">
        <v>55</v>
      </c>
      <c r="Y163" s="3" t="s">
        <v>55</v>
      </c>
      <c r="Z163" s="3" t="s">
        <v>55</v>
      </c>
      <c r="AA163" s="3">
        <v>4</v>
      </c>
      <c r="AB163" s="3">
        <v>1</v>
      </c>
      <c r="AC163" s="3">
        <v>0</v>
      </c>
      <c r="AD163" s="30">
        <v>46069</v>
      </c>
      <c r="AE163" s="30">
        <v>46069</v>
      </c>
      <c r="AF163" s="30">
        <v>46069</v>
      </c>
      <c r="AG163" s="16">
        <v>46073</v>
      </c>
      <c r="AH163" s="140">
        <v>46076</v>
      </c>
      <c r="AI163" s="3">
        <f t="shared" si="17"/>
        <v>2</v>
      </c>
      <c r="AJ163" s="85" t="s">
        <v>605</v>
      </c>
      <c r="AK163" s="45" t="s">
        <v>606</v>
      </c>
      <c r="AL163" s="19">
        <f t="shared" si="19"/>
        <v>1</v>
      </c>
      <c r="AM163" s="67">
        <f>IFERROR(NETWORKDAYS(D163,Q163,Hoja1!$A$1:$A$29),"N/A")</f>
        <v>36</v>
      </c>
      <c r="AN163" s="21">
        <f>IFERROR(NETWORKDAYS(D163,AE163,Hoja1!$A$1:$A$29),"N/A")</f>
        <v>41</v>
      </c>
      <c r="AO163" s="78">
        <v>20</v>
      </c>
      <c r="AP163" s="21">
        <f t="shared" si="18"/>
        <v>21</v>
      </c>
      <c r="AQ163" s="21">
        <f>IFERROR(NETWORKDAYS(AF163,AG163,Hoja1!$A$1:$A$29),"N/A")</f>
        <v>5</v>
      </c>
      <c r="AR163" s="78">
        <v>0</v>
      </c>
      <c r="AS163" s="75">
        <f t="shared" si="20"/>
        <v>5</v>
      </c>
      <c r="AT163" s="21">
        <f>IFERROR(NETWORKDAYS(D163,AG163,Hoja1!$A$1:$A$29),"N/A")</f>
        <v>45</v>
      </c>
      <c r="AU163" s="21">
        <f t="shared" si="21"/>
        <v>25</v>
      </c>
      <c r="AV163" s="69" t="s">
        <v>127</v>
      </c>
      <c r="AW163" s="86" t="s">
        <v>139</v>
      </c>
      <c r="AX163" s="46"/>
      <c r="AY163" s="46"/>
      <c r="AZ163" s="46"/>
      <c r="BA163" s="107"/>
      <c r="BB163" s="1"/>
    </row>
    <row r="164" spans="1:54" ht="15" customHeight="1" x14ac:dyDescent="0.25">
      <c r="A164" s="95">
        <v>15545</v>
      </c>
      <c r="B164" s="84" t="s">
        <v>597</v>
      </c>
      <c r="C164" s="84" t="s">
        <v>597</v>
      </c>
      <c r="D164" s="421">
        <v>46013</v>
      </c>
      <c r="E164" s="28">
        <v>46009</v>
      </c>
      <c r="F164" s="84" t="s">
        <v>62</v>
      </c>
      <c r="G164" s="84" t="s">
        <v>71</v>
      </c>
      <c r="H164" s="84" t="s">
        <v>116</v>
      </c>
      <c r="I164" s="84" t="s">
        <v>607</v>
      </c>
      <c r="J164" s="84" t="s">
        <v>118</v>
      </c>
      <c r="K164" s="84" t="s">
        <v>351</v>
      </c>
      <c r="L164" s="33">
        <v>1</v>
      </c>
      <c r="M164" s="45" t="s">
        <v>54</v>
      </c>
      <c r="N164" s="21" t="s">
        <v>55</v>
      </c>
      <c r="O164" s="33">
        <v>4</v>
      </c>
      <c r="P164" s="33" t="s">
        <v>112</v>
      </c>
      <c r="Q164" s="53">
        <v>46024</v>
      </c>
      <c r="R164" s="53">
        <v>46042</v>
      </c>
      <c r="S164" s="33">
        <v>4</v>
      </c>
      <c r="T164" s="38">
        <v>46013</v>
      </c>
      <c r="U164" s="38">
        <v>46014</v>
      </c>
      <c r="V164" s="38">
        <v>46024</v>
      </c>
      <c r="W164" s="38">
        <v>46042</v>
      </c>
      <c r="X164" s="38">
        <v>46048</v>
      </c>
      <c r="Y164" s="38">
        <v>46048</v>
      </c>
      <c r="Z164" s="38">
        <v>46050</v>
      </c>
      <c r="AA164" s="33">
        <v>3</v>
      </c>
      <c r="AB164" s="33">
        <v>3</v>
      </c>
      <c r="AC164" s="33">
        <v>0</v>
      </c>
      <c r="AD164" s="28">
        <v>46057</v>
      </c>
      <c r="AE164" s="28">
        <v>46058</v>
      </c>
      <c r="AF164" s="28">
        <v>46059</v>
      </c>
      <c r="AG164" s="28">
        <v>46064</v>
      </c>
      <c r="AH164" s="28">
        <v>46065</v>
      </c>
      <c r="AI164" s="3">
        <f t="shared" si="17"/>
        <v>2</v>
      </c>
      <c r="AJ164" s="85" t="s">
        <v>608</v>
      </c>
      <c r="AK164" s="35" t="s">
        <v>609</v>
      </c>
      <c r="AL164" s="19">
        <f t="shared" si="19"/>
        <v>1</v>
      </c>
      <c r="AM164" s="67">
        <f>IFERROR(NETWORKDAYS(D164,Q164,Hoja1!$A$1:$A$29),"N/A")</f>
        <v>8</v>
      </c>
      <c r="AN164" s="21">
        <f>IFERROR(NETWORKDAYS(D164,AE164,Hoja1!$A$1:$A$29),"N/A")</f>
        <v>31</v>
      </c>
      <c r="AO164" s="78">
        <v>8</v>
      </c>
      <c r="AP164" s="21">
        <f t="shared" si="18"/>
        <v>23</v>
      </c>
      <c r="AQ164" s="21">
        <f>IFERROR(NETWORKDAYS(AF164,AG164,Hoja1!$A$1:$A$29),"N/A")</f>
        <v>4</v>
      </c>
      <c r="AR164" s="74">
        <v>0</v>
      </c>
      <c r="AS164" s="75">
        <f t="shared" si="20"/>
        <v>4</v>
      </c>
      <c r="AT164" s="21">
        <f>IFERROR(NETWORKDAYS(D164,AG164,Hoja1!$A$1:$A$29),"N/A")</f>
        <v>35</v>
      </c>
      <c r="AU164" s="21">
        <f t="shared" si="21"/>
        <v>27</v>
      </c>
      <c r="AV164" s="69" t="s">
        <v>145</v>
      </c>
      <c r="AW164" s="86" t="s">
        <v>610</v>
      </c>
      <c r="AX164" s="46"/>
      <c r="AY164" s="46"/>
      <c r="AZ164" s="46"/>
      <c r="BA164" s="33"/>
      <c r="BB164" s="33"/>
    </row>
    <row r="165" spans="1:54" ht="15" customHeight="1" x14ac:dyDescent="0.25">
      <c r="A165" s="55">
        <v>15546</v>
      </c>
      <c r="B165" s="87" t="s">
        <v>79</v>
      </c>
      <c r="C165" s="87" t="s">
        <v>79</v>
      </c>
      <c r="D165" s="30">
        <v>46038</v>
      </c>
      <c r="E165" s="30">
        <v>46009</v>
      </c>
      <c r="F165" s="232" t="s">
        <v>90</v>
      </c>
      <c r="G165" s="87" t="s">
        <v>91</v>
      </c>
      <c r="H165" s="111" t="s">
        <v>51</v>
      </c>
      <c r="I165" s="27" t="s">
        <v>96</v>
      </c>
      <c r="J165" s="27" t="s">
        <v>73</v>
      </c>
      <c r="K165" s="87" t="s">
        <v>111</v>
      </c>
      <c r="L165" s="3">
        <v>1</v>
      </c>
      <c r="M165" s="45" t="s">
        <v>54</v>
      </c>
      <c r="N165" s="3" t="s">
        <v>55</v>
      </c>
      <c r="O165" s="3">
        <v>3</v>
      </c>
      <c r="P165" s="3" t="s">
        <v>112</v>
      </c>
      <c r="Q165" s="30">
        <v>46050</v>
      </c>
      <c r="R165" s="30">
        <v>46050</v>
      </c>
      <c r="S165" s="3">
        <v>3</v>
      </c>
      <c r="T165" s="3" t="s">
        <v>55</v>
      </c>
      <c r="U165" s="3" t="s">
        <v>55</v>
      </c>
      <c r="V165" s="3" t="s">
        <v>55</v>
      </c>
      <c r="W165" s="3" t="s">
        <v>55</v>
      </c>
      <c r="X165" s="3" t="s">
        <v>55</v>
      </c>
      <c r="Y165" s="3" t="s">
        <v>55</v>
      </c>
      <c r="Z165" s="3" t="s">
        <v>55</v>
      </c>
      <c r="AA165" s="3">
        <v>3</v>
      </c>
      <c r="AB165" s="3">
        <v>1</v>
      </c>
      <c r="AC165" s="3">
        <v>0</v>
      </c>
      <c r="AD165" s="30">
        <v>46058</v>
      </c>
      <c r="AE165" s="30">
        <v>46058</v>
      </c>
      <c r="AF165" s="30">
        <v>46058</v>
      </c>
      <c r="AG165" s="30">
        <v>46063</v>
      </c>
      <c r="AH165" s="30">
        <v>46065</v>
      </c>
      <c r="AI165" s="3">
        <f t="shared" si="17"/>
        <v>2</v>
      </c>
      <c r="AJ165" s="85" t="s">
        <v>611</v>
      </c>
      <c r="AK165" s="45" t="s">
        <v>612</v>
      </c>
      <c r="AL165" s="19">
        <f t="shared" si="19"/>
        <v>1</v>
      </c>
      <c r="AM165" s="67">
        <f>IFERROR(NETWORKDAYS(D165,Q165,Hoja1!$A$1:$A$29),"N/A")</f>
        <v>9</v>
      </c>
      <c r="AN165" s="21">
        <f>IFERROR(NETWORKDAYS(D165,AE165,Hoja1!$A$1:$A$29),"N/A")</f>
        <v>15</v>
      </c>
      <c r="AO165" s="78">
        <v>0</v>
      </c>
      <c r="AP165" s="21">
        <f t="shared" si="18"/>
        <v>15</v>
      </c>
      <c r="AQ165" s="21">
        <f>IFERROR(NETWORKDAYS(AF165,AG165,Hoja1!$A$1:$A$29),"N/A")</f>
        <v>4</v>
      </c>
      <c r="AR165" s="78">
        <v>0</v>
      </c>
      <c r="AS165" s="75">
        <f t="shared" si="20"/>
        <v>4</v>
      </c>
      <c r="AT165" s="21">
        <f>IFERROR(NETWORKDAYS(D165,AG165,Hoja1!$A$1:$A$29),"N/A")</f>
        <v>18</v>
      </c>
      <c r="AU165" s="21">
        <f t="shared" si="21"/>
        <v>18</v>
      </c>
      <c r="AV165" s="69" t="s">
        <v>77</v>
      </c>
      <c r="AW165" s="86" t="s">
        <v>110</v>
      </c>
      <c r="AX165" s="46" t="s">
        <v>453</v>
      </c>
      <c r="AY165" s="46" t="s">
        <v>464</v>
      </c>
      <c r="AZ165" s="46"/>
      <c r="BA165" s="107"/>
      <c r="BB165" s="1"/>
    </row>
    <row r="166" spans="1:54" ht="15" customHeight="1" x14ac:dyDescent="0.25">
      <c r="A166" s="95">
        <v>15551</v>
      </c>
      <c r="B166" s="84" t="s">
        <v>85</v>
      </c>
      <c r="C166" s="84" t="s">
        <v>85</v>
      </c>
      <c r="D166" s="421">
        <v>46009</v>
      </c>
      <c r="E166" s="28">
        <v>46009</v>
      </c>
      <c r="F166" s="84" t="s">
        <v>62</v>
      </c>
      <c r="G166" s="84" t="s">
        <v>71</v>
      </c>
      <c r="H166" s="111" t="s">
        <v>51</v>
      </c>
      <c r="I166" s="84" t="s">
        <v>613</v>
      </c>
      <c r="J166" s="84" t="s">
        <v>142</v>
      </c>
      <c r="K166" s="84" t="s">
        <v>86</v>
      </c>
      <c r="L166" s="33">
        <v>1</v>
      </c>
      <c r="M166" s="45" t="s">
        <v>54</v>
      </c>
      <c r="N166" s="53">
        <v>46009</v>
      </c>
      <c r="O166" s="33">
        <v>6</v>
      </c>
      <c r="P166" s="33" t="s">
        <v>112</v>
      </c>
      <c r="Q166" s="28">
        <v>46013</v>
      </c>
      <c r="R166" s="28">
        <v>46044</v>
      </c>
      <c r="S166" s="33">
        <v>6</v>
      </c>
      <c r="T166" s="36" t="s">
        <v>55</v>
      </c>
      <c r="U166" s="36" t="s">
        <v>55</v>
      </c>
      <c r="V166" s="36" t="s">
        <v>55</v>
      </c>
      <c r="W166" s="36" t="s">
        <v>55</v>
      </c>
      <c r="X166" s="36" t="s">
        <v>55</v>
      </c>
      <c r="Y166" s="36" t="s">
        <v>55</v>
      </c>
      <c r="Z166" s="3" t="s">
        <v>55</v>
      </c>
      <c r="AA166" s="33">
        <v>3</v>
      </c>
      <c r="AB166" s="33">
        <v>3</v>
      </c>
      <c r="AC166" s="33">
        <v>0</v>
      </c>
      <c r="AD166" s="28">
        <v>46050</v>
      </c>
      <c r="AE166" s="28">
        <v>46056</v>
      </c>
      <c r="AF166" s="28">
        <v>46057</v>
      </c>
      <c r="AG166" s="28">
        <v>46064</v>
      </c>
      <c r="AH166" s="28">
        <v>46065</v>
      </c>
      <c r="AI166" s="3">
        <f t="shared" si="17"/>
        <v>2</v>
      </c>
      <c r="AJ166" s="85" t="s">
        <v>614</v>
      </c>
      <c r="AK166" s="35" t="s">
        <v>615</v>
      </c>
      <c r="AL166" s="19">
        <f t="shared" si="19"/>
        <v>1</v>
      </c>
      <c r="AM166" s="67">
        <f>IFERROR(NETWORKDAYS(D166,Q166,Hoja1!$A$1:$A$29),"N/A")</f>
        <v>3</v>
      </c>
      <c r="AN166" s="21">
        <f>IFERROR(NETWORKDAYS(D166,AE166,Hoja1!$A$1:$A$29),"N/A")</f>
        <v>31</v>
      </c>
      <c r="AO166" s="78">
        <v>15</v>
      </c>
      <c r="AP166" s="21">
        <f t="shared" si="18"/>
        <v>16</v>
      </c>
      <c r="AQ166" s="21">
        <f>IFERROR(NETWORKDAYS(AF166,AG166,Hoja1!$A$1:$A$29),"N/A")</f>
        <v>6</v>
      </c>
      <c r="AR166" s="74">
        <v>1</v>
      </c>
      <c r="AS166" s="75">
        <f t="shared" si="20"/>
        <v>5</v>
      </c>
      <c r="AT166" s="21">
        <f>IFERROR(NETWORKDAYS(D166,AG166,Hoja1!$A$1:$A$29),"N/A")</f>
        <v>37</v>
      </c>
      <c r="AU166" s="21">
        <f t="shared" si="21"/>
        <v>21</v>
      </c>
      <c r="AV166" s="69" t="s">
        <v>419</v>
      </c>
      <c r="AW166" s="86" t="s">
        <v>616</v>
      </c>
      <c r="AX166" s="46"/>
      <c r="AY166" s="46"/>
      <c r="AZ166" s="46"/>
      <c r="BA166" s="33"/>
      <c r="BB166" s="33"/>
    </row>
    <row r="167" spans="1:54" ht="15" customHeight="1" x14ac:dyDescent="0.25">
      <c r="A167" s="55">
        <v>15558</v>
      </c>
      <c r="B167" s="87" t="s">
        <v>79</v>
      </c>
      <c r="C167" s="87" t="s">
        <v>79</v>
      </c>
      <c r="D167" s="30">
        <v>46049</v>
      </c>
      <c r="E167" s="30">
        <v>46010</v>
      </c>
      <c r="F167" s="232" t="s">
        <v>90</v>
      </c>
      <c r="G167" s="87" t="s">
        <v>91</v>
      </c>
      <c r="H167" s="111" t="s">
        <v>51</v>
      </c>
      <c r="I167" s="111" t="s">
        <v>239</v>
      </c>
      <c r="J167" s="87" t="s">
        <v>52</v>
      </c>
      <c r="K167" s="87" t="s">
        <v>111</v>
      </c>
      <c r="L167" s="3">
        <v>1</v>
      </c>
      <c r="M167" s="45" t="s">
        <v>54</v>
      </c>
      <c r="N167" s="3" t="s">
        <v>55</v>
      </c>
      <c r="O167" s="3">
        <v>3</v>
      </c>
      <c r="P167" s="3" t="s">
        <v>112</v>
      </c>
      <c r="Q167" s="30">
        <v>46056</v>
      </c>
      <c r="R167" s="30">
        <v>46056</v>
      </c>
      <c r="S167" s="3">
        <v>2</v>
      </c>
      <c r="T167" s="3" t="s">
        <v>55</v>
      </c>
      <c r="U167" s="3" t="s">
        <v>55</v>
      </c>
      <c r="V167" s="3" t="s">
        <v>55</v>
      </c>
      <c r="W167" s="3" t="s">
        <v>55</v>
      </c>
      <c r="X167" s="3" t="s">
        <v>55</v>
      </c>
      <c r="Y167" s="3" t="s">
        <v>55</v>
      </c>
      <c r="Z167" s="3" t="s">
        <v>55</v>
      </c>
      <c r="AA167" s="3">
        <v>2</v>
      </c>
      <c r="AB167" s="3">
        <v>1</v>
      </c>
      <c r="AC167" s="3">
        <v>0</v>
      </c>
      <c r="AD167" s="30">
        <v>46058</v>
      </c>
      <c r="AE167" s="30">
        <v>46058</v>
      </c>
      <c r="AF167" s="30">
        <v>46058</v>
      </c>
      <c r="AG167" s="30">
        <v>46064</v>
      </c>
      <c r="AH167" s="30">
        <v>46065</v>
      </c>
      <c r="AI167" s="3">
        <f t="shared" si="17"/>
        <v>2</v>
      </c>
      <c r="AJ167" s="85" t="s">
        <v>617</v>
      </c>
      <c r="AK167" s="45" t="s">
        <v>618</v>
      </c>
      <c r="AL167" s="19">
        <f t="shared" si="19"/>
        <v>0.66666666666666663</v>
      </c>
      <c r="AM167" s="67">
        <f>IFERROR(NETWORKDAYS(D167,Q167,Hoja1!$A$1:$A$29),"N/A")</f>
        <v>6</v>
      </c>
      <c r="AN167" s="21">
        <f>IFERROR(NETWORKDAYS(D167,AE167,Hoja1!$A$1:$A$29),"N/A")</f>
        <v>8</v>
      </c>
      <c r="AO167" s="78">
        <v>0</v>
      </c>
      <c r="AP167" s="21">
        <f t="shared" si="18"/>
        <v>8</v>
      </c>
      <c r="AQ167" s="21">
        <f>IFERROR(NETWORKDAYS(AF167,AG167,Hoja1!$A$1:$A$29),"N/A")</f>
        <v>5</v>
      </c>
      <c r="AR167" s="78">
        <v>0</v>
      </c>
      <c r="AS167" s="75">
        <f t="shared" si="20"/>
        <v>5</v>
      </c>
      <c r="AT167" s="21">
        <f>IFERROR(NETWORKDAYS(D167,AG167,Hoja1!$A$1:$A$29),"N/A")</f>
        <v>12</v>
      </c>
      <c r="AU167" s="21">
        <f t="shared" si="21"/>
        <v>12</v>
      </c>
      <c r="AV167" s="69" t="s">
        <v>127</v>
      </c>
      <c r="AW167" s="86" t="s">
        <v>619</v>
      </c>
      <c r="AX167" s="46" t="s">
        <v>445</v>
      </c>
      <c r="AY167" s="46"/>
      <c r="AZ167" s="46"/>
      <c r="BA167" s="107"/>
      <c r="BB167" s="1"/>
    </row>
    <row r="168" spans="1:54" ht="15" customHeight="1" x14ac:dyDescent="0.25">
      <c r="A168" s="55">
        <v>15559</v>
      </c>
      <c r="B168" s="87" t="s">
        <v>79</v>
      </c>
      <c r="C168" s="87" t="s">
        <v>79</v>
      </c>
      <c r="D168" s="419">
        <v>46051</v>
      </c>
      <c r="E168" s="44">
        <v>46010</v>
      </c>
      <c r="F168" s="232" t="s">
        <v>90</v>
      </c>
      <c r="G168" s="87" t="s">
        <v>91</v>
      </c>
      <c r="H168" s="111" t="s">
        <v>51</v>
      </c>
      <c r="I168" s="111" t="s">
        <v>239</v>
      </c>
      <c r="J168" s="87" t="s">
        <v>52</v>
      </c>
      <c r="K168" s="87" t="s">
        <v>111</v>
      </c>
      <c r="L168" s="3">
        <v>1</v>
      </c>
      <c r="M168" s="45" t="s">
        <v>54</v>
      </c>
      <c r="N168" s="3" t="s">
        <v>55</v>
      </c>
      <c r="O168" s="3">
        <v>6</v>
      </c>
      <c r="P168" s="3" t="s">
        <v>112</v>
      </c>
      <c r="Q168" s="30">
        <v>46062</v>
      </c>
      <c r="R168" s="30">
        <v>46062</v>
      </c>
      <c r="S168" s="3">
        <v>4</v>
      </c>
      <c r="T168" s="3" t="s">
        <v>55</v>
      </c>
      <c r="U168" s="3" t="s">
        <v>55</v>
      </c>
      <c r="V168" s="3" t="s">
        <v>55</v>
      </c>
      <c r="W168" s="3" t="s">
        <v>55</v>
      </c>
      <c r="X168" s="3" t="s">
        <v>55</v>
      </c>
      <c r="Y168" s="3" t="s">
        <v>55</v>
      </c>
      <c r="Z168" s="3" t="s">
        <v>55</v>
      </c>
      <c r="AA168" s="3">
        <v>4</v>
      </c>
      <c r="AB168" s="3">
        <v>1</v>
      </c>
      <c r="AC168" s="3">
        <v>0</v>
      </c>
      <c r="AD168" s="70">
        <v>46069</v>
      </c>
      <c r="AE168" s="16">
        <v>46069</v>
      </c>
      <c r="AF168" s="16">
        <v>46069</v>
      </c>
      <c r="AG168" s="16">
        <v>46073</v>
      </c>
      <c r="AH168" s="140">
        <v>46076</v>
      </c>
      <c r="AI168" s="3">
        <f t="shared" si="17"/>
        <v>2</v>
      </c>
      <c r="AJ168" s="85" t="s">
        <v>620</v>
      </c>
      <c r="AK168" s="45" t="s">
        <v>621</v>
      </c>
      <c r="AL168" s="19">
        <f t="shared" si="19"/>
        <v>0.66666666666666663</v>
      </c>
      <c r="AM168" s="67">
        <f>IFERROR(NETWORKDAYS(D168,Q168,Hoja1!$A$1:$A$29),"N/A")</f>
        <v>8</v>
      </c>
      <c r="AN168" s="21">
        <f>IFERROR(NETWORKDAYS(D168,AE168,Hoja1!$A$1:$A$29),"N/A")</f>
        <v>13</v>
      </c>
      <c r="AO168" s="78">
        <v>0</v>
      </c>
      <c r="AP168" s="21">
        <f t="shared" si="18"/>
        <v>13</v>
      </c>
      <c r="AQ168" s="21">
        <f>IFERROR(NETWORKDAYS(AF168,AG168,Hoja1!$A$1:$A$29),"N/A")</f>
        <v>5</v>
      </c>
      <c r="AR168" s="78">
        <v>0</v>
      </c>
      <c r="AS168" s="75">
        <f t="shared" si="20"/>
        <v>5</v>
      </c>
      <c r="AT168" s="21">
        <f>IFERROR(NETWORKDAYS(D168,AG168,Hoja1!$A$1:$A$29),"N/A")</f>
        <v>17</v>
      </c>
      <c r="AU168" s="21">
        <f t="shared" si="21"/>
        <v>17</v>
      </c>
      <c r="AV168" s="69" t="s">
        <v>127</v>
      </c>
      <c r="AW168" s="86" t="s">
        <v>500</v>
      </c>
      <c r="AX168" s="46" t="s">
        <v>445</v>
      </c>
      <c r="AY168" s="46"/>
      <c r="AZ168" s="46"/>
      <c r="BA168" s="107"/>
      <c r="BB168" s="1"/>
    </row>
    <row r="169" spans="1:54" ht="15" customHeight="1" x14ac:dyDescent="0.25">
      <c r="A169" s="55">
        <v>15563</v>
      </c>
      <c r="B169" s="87" t="s">
        <v>79</v>
      </c>
      <c r="C169" s="87" t="s">
        <v>79</v>
      </c>
      <c r="D169" s="44">
        <v>46036</v>
      </c>
      <c r="E169" s="30">
        <v>46013</v>
      </c>
      <c r="F169" s="232" t="s">
        <v>90</v>
      </c>
      <c r="G169" s="87" t="s">
        <v>91</v>
      </c>
      <c r="H169" s="111" t="s">
        <v>51</v>
      </c>
      <c r="I169" s="87" t="s">
        <v>92</v>
      </c>
      <c r="J169" s="87" t="s">
        <v>52</v>
      </c>
      <c r="K169" s="87" t="s">
        <v>111</v>
      </c>
      <c r="L169" s="3">
        <v>1</v>
      </c>
      <c r="M169" s="45" t="s">
        <v>54</v>
      </c>
      <c r="N169" s="3" t="s">
        <v>55</v>
      </c>
      <c r="O169" s="3">
        <v>4</v>
      </c>
      <c r="P169" s="3" t="s">
        <v>112</v>
      </c>
      <c r="Q169" s="30">
        <v>46051</v>
      </c>
      <c r="R169" s="30">
        <v>46051</v>
      </c>
      <c r="S169" s="3">
        <v>4</v>
      </c>
      <c r="T169" s="3" t="s">
        <v>55</v>
      </c>
      <c r="U169" s="3" t="s">
        <v>55</v>
      </c>
      <c r="V169" s="3" t="s">
        <v>55</v>
      </c>
      <c r="W169" s="3" t="s">
        <v>55</v>
      </c>
      <c r="X169" s="3" t="s">
        <v>55</v>
      </c>
      <c r="Y169" s="3" t="s">
        <v>55</v>
      </c>
      <c r="Z169" s="3" t="s">
        <v>55</v>
      </c>
      <c r="AA169" s="3">
        <v>4</v>
      </c>
      <c r="AB169" s="3">
        <v>1</v>
      </c>
      <c r="AC169" s="3">
        <v>0</v>
      </c>
      <c r="AD169" s="70">
        <v>46069</v>
      </c>
      <c r="AE169" s="16">
        <v>46069</v>
      </c>
      <c r="AF169" s="16">
        <v>46069</v>
      </c>
      <c r="AG169" s="16">
        <v>46073</v>
      </c>
      <c r="AH169" s="140">
        <v>46076</v>
      </c>
      <c r="AI169" s="3">
        <f t="shared" si="17"/>
        <v>2</v>
      </c>
      <c r="AJ169" s="85" t="s">
        <v>622</v>
      </c>
      <c r="AK169" s="45" t="s">
        <v>623</v>
      </c>
      <c r="AL169" s="19">
        <f t="shared" si="19"/>
        <v>1</v>
      </c>
      <c r="AM169" s="67">
        <f>IFERROR(NETWORKDAYS(D169,Q169,Hoja1!$A$1:$A$29),"N/A")</f>
        <v>12</v>
      </c>
      <c r="AN169" s="21">
        <f>IFERROR(NETWORKDAYS(D169,AE169,Hoja1!$A$1:$A$29),"N/A")</f>
        <v>24</v>
      </c>
      <c r="AO169" s="78">
        <v>13</v>
      </c>
      <c r="AP169" s="21">
        <f t="shared" si="18"/>
        <v>11</v>
      </c>
      <c r="AQ169" s="21">
        <f>IFERROR(NETWORKDAYS(AF169,AG169,Hoja1!$A$1:$A$29),"N/A")</f>
        <v>5</v>
      </c>
      <c r="AR169" s="78">
        <v>0</v>
      </c>
      <c r="AS169" s="75">
        <f t="shared" si="20"/>
        <v>5</v>
      </c>
      <c r="AT169" s="21">
        <f>IFERROR(NETWORKDAYS(D169,AG169,Hoja1!$A$1:$A$29),"N/A")</f>
        <v>28</v>
      </c>
      <c r="AU169" s="21">
        <f t="shared" si="21"/>
        <v>15</v>
      </c>
      <c r="AV169" s="69" t="s">
        <v>127</v>
      </c>
      <c r="AW169" s="86" t="s">
        <v>139</v>
      </c>
      <c r="AX169" s="46"/>
      <c r="AY169" s="46"/>
      <c r="AZ169" s="46"/>
      <c r="BA169" s="107"/>
      <c r="BB169" s="1"/>
    </row>
    <row r="170" spans="1:54" ht="15" customHeight="1" x14ac:dyDescent="0.25">
      <c r="A170" s="58">
        <v>15571</v>
      </c>
      <c r="B170" s="84" t="s">
        <v>169</v>
      </c>
      <c r="C170" s="84" t="s">
        <v>169</v>
      </c>
      <c r="D170" s="417">
        <v>46048</v>
      </c>
      <c r="E170" s="37">
        <v>46013</v>
      </c>
      <c r="F170" s="202" t="s">
        <v>879</v>
      </c>
      <c r="G170" s="48" t="s">
        <v>50</v>
      </c>
      <c r="H170" s="111" t="s">
        <v>51</v>
      </c>
      <c r="I170" s="111" t="s">
        <v>624</v>
      </c>
      <c r="J170" s="87" t="s">
        <v>625</v>
      </c>
      <c r="K170" s="48" t="s">
        <v>106</v>
      </c>
      <c r="L170" s="3">
        <v>1</v>
      </c>
      <c r="M170" s="45" t="s">
        <v>54</v>
      </c>
      <c r="N170" s="18" t="s">
        <v>55</v>
      </c>
      <c r="O170" s="3">
        <v>3</v>
      </c>
      <c r="P170" s="3" t="s">
        <v>112</v>
      </c>
      <c r="Q170" s="30">
        <v>46051</v>
      </c>
      <c r="R170" s="30">
        <v>46051</v>
      </c>
      <c r="S170" s="3">
        <v>3</v>
      </c>
      <c r="T170" s="18" t="s">
        <v>55</v>
      </c>
      <c r="U170" s="18" t="s">
        <v>55</v>
      </c>
      <c r="V170" s="18" t="s">
        <v>55</v>
      </c>
      <c r="W170" s="18" t="s">
        <v>55</v>
      </c>
      <c r="X170" s="18" t="s">
        <v>55</v>
      </c>
      <c r="Y170" s="18" t="s">
        <v>55</v>
      </c>
      <c r="Z170" s="3" t="s">
        <v>55</v>
      </c>
      <c r="AA170" s="3">
        <v>3</v>
      </c>
      <c r="AB170" s="3">
        <v>3</v>
      </c>
      <c r="AC170" s="3">
        <v>0</v>
      </c>
      <c r="AD170" s="28">
        <v>46065</v>
      </c>
      <c r="AE170" s="28">
        <v>46065</v>
      </c>
      <c r="AF170" s="28">
        <v>46065</v>
      </c>
      <c r="AG170" s="37">
        <v>46071</v>
      </c>
      <c r="AH170" s="140">
        <v>46076</v>
      </c>
      <c r="AI170" s="3">
        <f t="shared" si="17"/>
        <v>2</v>
      </c>
      <c r="AJ170" s="85" t="s">
        <v>626</v>
      </c>
      <c r="AK170" s="35" t="s">
        <v>627</v>
      </c>
      <c r="AL170" s="19">
        <f t="shared" si="19"/>
        <v>1</v>
      </c>
      <c r="AM170" s="67">
        <f>IFERROR(NETWORKDAYS(D170,Q170,Hoja1!$A$1:$A$29),"N/A")</f>
        <v>4</v>
      </c>
      <c r="AN170" s="21">
        <f>IFERROR(NETWORKDAYS(D170,AE170,Hoja1!$A$1:$A$29),"N/A")</f>
        <v>14</v>
      </c>
      <c r="AO170" s="78">
        <v>0</v>
      </c>
      <c r="AP170" s="21">
        <f t="shared" si="18"/>
        <v>14</v>
      </c>
      <c r="AQ170" s="21">
        <f>IFERROR(NETWORKDAYS(AF170,AG170,Hoja1!$A$1:$A$29),"N/A")</f>
        <v>5</v>
      </c>
      <c r="AR170" s="74">
        <v>0</v>
      </c>
      <c r="AS170" s="75">
        <f t="shared" si="20"/>
        <v>5</v>
      </c>
      <c r="AT170" s="21">
        <f>IFERROR(NETWORKDAYS(D170,AG170,Hoja1!$A$1:$A$29),"N/A")</f>
        <v>18</v>
      </c>
      <c r="AU170" s="21">
        <f t="shared" si="21"/>
        <v>18</v>
      </c>
      <c r="AV170" s="69" t="s">
        <v>419</v>
      </c>
      <c r="AW170" s="86" t="s">
        <v>628</v>
      </c>
      <c r="AX170" s="46" t="s">
        <v>445</v>
      </c>
      <c r="AY170" s="46" t="s">
        <v>445</v>
      </c>
      <c r="AZ170" s="46"/>
      <c r="BA170" s="3"/>
      <c r="BB170" s="3"/>
    </row>
    <row r="171" spans="1:54" ht="15" customHeight="1" x14ac:dyDescent="0.25">
      <c r="A171" s="57">
        <v>15576</v>
      </c>
      <c r="B171" s="27" t="s">
        <v>69</v>
      </c>
      <c r="C171" s="43" t="s">
        <v>98</v>
      </c>
      <c r="D171" s="15">
        <v>46014</v>
      </c>
      <c r="E171" s="16">
        <v>46014</v>
      </c>
      <c r="F171" s="114" t="s">
        <v>163</v>
      </c>
      <c r="G171" s="114" t="s">
        <v>262</v>
      </c>
      <c r="H171" s="111" t="s">
        <v>51</v>
      </c>
      <c r="I171" s="27" t="s">
        <v>289</v>
      </c>
      <c r="J171" s="27" t="s">
        <v>118</v>
      </c>
      <c r="K171" s="27" t="s">
        <v>165</v>
      </c>
      <c r="L171" s="1">
        <v>1</v>
      </c>
      <c r="M171" s="45" t="s">
        <v>54</v>
      </c>
      <c r="N171" s="21" t="s">
        <v>55</v>
      </c>
      <c r="O171" s="1">
        <v>5</v>
      </c>
      <c r="P171" s="1" t="s">
        <v>112</v>
      </c>
      <c r="Q171" s="16">
        <v>46027</v>
      </c>
      <c r="R171" s="16">
        <v>46051</v>
      </c>
      <c r="S171" s="1">
        <v>5</v>
      </c>
      <c r="T171" s="36" t="s">
        <v>55</v>
      </c>
      <c r="U171" s="36" t="s">
        <v>55</v>
      </c>
      <c r="V171" s="36" t="s">
        <v>55</v>
      </c>
      <c r="W171" s="36" t="s">
        <v>55</v>
      </c>
      <c r="X171" s="36" t="s">
        <v>55</v>
      </c>
      <c r="Y171" s="36" t="s">
        <v>55</v>
      </c>
      <c r="Z171" s="3" t="s">
        <v>55</v>
      </c>
      <c r="AA171" s="1">
        <v>3</v>
      </c>
      <c r="AB171" s="1">
        <v>3</v>
      </c>
      <c r="AC171" s="1">
        <v>0</v>
      </c>
      <c r="AD171" s="16">
        <v>46052</v>
      </c>
      <c r="AE171" s="16">
        <v>46052</v>
      </c>
      <c r="AF171" s="16">
        <v>46059</v>
      </c>
      <c r="AG171" s="16">
        <v>46071</v>
      </c>
      <c r="AH171" s="140">
        <v>46076</v>
      </c>
      <c r="AI171" s="3">
        <f t="shared" si="17"/>
        <v>2</v>
      </c>
      <c r="AJ171" s="85" t="s">
        <v>629</v>
      </c>
      <c r="AK171" s="49" t="s">
        <v>630</v>
      </c>
      <c r="AL171" s="19">
        <f t="shared" si="19"/>
        <v>1</v>
      </c>
      <c r="AM171" s="67">
        <f>IFERROR(NETWORKDAYS(D171,Q171,Hoja1!$A$1:$A$29),"N/A")</f>
        <v>8</v>
      </c>
      <c r="AN171" s="21">
        <f>IFERROR(NETWORKDAYS(D171,AE171,Hoja1!$A$1:$A$29),"N/A")</f>
        <v>26</v>
      </c>
      <c r="AO171" s="78">
        <v>14</v>
      </c>
      <c r="AP171" s="21">
        <f t="shared" si="18"/>
        <v>12</v>
      </c>
      <c r="AQ171" s="21">
        <f>IFERROR(NETWORKDAYS(AF171,AG171,Hoja1!$A$1:$A$29),"N/A")</f>
        <v>9</v>
      </c>
      <c r="AR171" s="74">
        <v>4</v>
      </c>
      <c r="AS171" s="75">
        <f t="shared" si="20"/>
        <v>5</v>
      </c>
      <c r="AT171" s="21">
        <f>IFERROR(NETWORKDAYS(D171,AG171,Hoja1!$A$1:$A$29),"N/A")</f>
        <v>39</v>
      </c>
      <c r="AU171" s="21">
        <f t="shared" si="21"/>
        <v>21</v>
      </c>
      <c r="AV171" s="69" t="s">
        <v>265</v>
      </c>
      <c r="AW171" s="86" t="s">
        <v>631</v>
      </c>
      <c r="AX171" s="33"/>
      <c r="AY171" s="33"/>
      <c r="AZ171" s="33"/>
      <c r="BA171" s="33"/>
      <c r="BB171" s="33"/>
    </row>
    <row r="172" spans="1:54" ht="15" customHeight="1" x14ac:dyDescent="0.25">
      <c r="A172" s="58">
        <v>15579</v>
      </c>
      <c r="B172" s="87" t="s">
        <v>79</v>
      </c>
      <c r="C172" s="87" t="s">
        <v>79</v>
      </c>
      <c r="D172" s="417">
        <v>46049</v>
      </c>
      <c r="E172" s="37">
        <v>46015</v>
      </c>
      <c r="F172" s="202" t="s">
        <v>879</v>
      </c>
      <c r="G172" s="48" t="s">
        <v>632</v>
      </c>
      <c r="H172" s="111" t="s">
        <v>51</v>
      </c>
      <c r="I172" s="27" t="s">
        <v>72</v>
      </c>
      <c r="J172" s="27" t="s">
        <v>73</v>
      </c>
      <c r="K172" s="48" t="s">
        <v>106</v>
      </c>
      <c r="L172" s="3">
        <v>1</v>
      </c>
      <c r="M172" s="45" t="s">
        <v>54</v>
      </c>
      <c r="N172" s="18" t="s">
        <v>55</v>
      </c>
      <c r="O172" s="3">
        <v>5</v>
      </c>
      <c r="P172" s="3" t="s">
        <v>56</v>
      </c>
      <c r="Q172" s="30">
        <v>46051</v>
      </c>
      <c r="R172" s="30">
        <v>46051</v>
      </c>
      <c r="S172" s="3">
        <v>5</v>
      </c>
      <c r="T172" s="18" t="s">
        <v>55</v>
      </c>
      <c r="U172" s="18" t="s">
        <v>55</v>
      </c>
      <c r="V172" s="18" t="s">
        <v>55</v>
      </c>
      <c r="W172" s="18" t="s">
        <v>55</v>
      </c>
      <c r="X172" s="18" t="s">
        <v>55</v>
      </c>
      <c r="Y172" s="18" t="s">
        <v>55</v>
      </c>
      <c r="Z172" s="3" t="s">
        <v>55</v>
      </c>
      <c r="AA172" s="3">
        <v>3</v>
      </c>
      <c r="AB172" s="3">
        <v>2</v>
      </c>
      <c r="AC172" s="3">
        <v>0</v>
      </c>
      <c r="AD172" s="30">
        <v>46059</v>
      </c>
      <c r="AE172" s="30">
        <v>46059</v>
      </c>
      <c r="AF172" s="30">
        <v>46059</v>
      </c>
      <c r="AG172" s="30">
        <v>46072</v>
      </c>
      <c r="AH172" s="140">
        <v>46076</v>
      </c>
      <c r="AI172" s="3">
        <f t="shared" si="17"/>
        <v>2</v>
      </c>
      <c r="AJ172" s="85" t="s">
        <v>633</v>
      </c>
      <c r="AK172" s="35" t="s">
        <v>634</v>
      </c>
      <c r="AL172" s="19">
        <f t="shared" si="19"/>
        <v>1</v>
      </c>
      <c r="AM172" s="67">
        <f>IFERROR(NETWORKDAYS(D172,Q172,Hoja1!$A$1:$A$29),"N/A")</f>
        <v>3</v>
      </c>
      <c r="AN172" s="21">
        <f>IFERROR(NETWORKDAYS(D172,AE172,Hoja1!$A$1:$A$29),"N/A")</f>
        <v>9</v>
      </c>
      <c r="AO172" s="78">
        <v>0</v>
      </c>
      <c r="AP172" s="21">
        <f t="shared" si="18"/>
        <v>9</v>
      </c>
      <c r="AQ172" s="21">
        <f>IFERROR(NETWORKDAYS(AF172,AG172,Hoja1!$A$1:$A$29),"N/A")</f>
        <v>10</v>
      </c>
      <c r="AR172" s="74">
        <v>5</v>
      </c>
      <c r="AS172" s="75">
        <f t="shared" si="20"/>
        <v>5</v>
      </c>
      <c r="AT172" s="21">
        <f>IFERROR(NETWORKDAYS(D172,AG172,Hoja1!$A$1:$A$29),"N/A")</f>
        <v>18</v>
      </c>
      <c r="AU172" s="21">
        <f t="shared" si="21"/>
        <v>13</v>
      </c>
      <c r="AV172" s="69" t="s">
        <v>417</v>
      </c>
      <c r="AW172" s="86" t="s">
        <v>82</v>
      </c>
      <c r="AX172" s="87" t="s">
        <v>453</v>
      </c>
      <c r="AY172" s="3"/>
      <c r="AZ172" s="3"/>
      <c r="BA172" s="3"/>
      <c r="BB172" s="3"/>
    </row>
    <row r="173" spans="1:54" ht="15" customHeight="1" x14ac:dyDescent="0.25">
      <c r="A173" s="55">
        <v>15580</v>
      </c>
      <c r="B173" s="27" t="s">
        <v>69</v>
      </c>
      <c r="C173" s="111" t="s">
        <v>122</v>
      </c>
      <c r="D173" s="44">
        <v>46017</v>
      </c>
      <c r="E173" s="44">
        <v>46017</v>
      </c>
      <c r="F173" s="143" t="s">
        <v>99</v>
      </c>
      <c r="G173" s="111" t="s">
        <v>100</v>
      </c>
      <c r="H173" s="111" t="s">
        <v>51</v>
      </c>
      <c r="I173" s="27" t="s">
        <v>72</v>
      </c>
      <c r="J173" s="27" t="s">
        <v>73</v>
      </c>
      <c r="K173" s="111" t="s">
        <v>129</v>
      </c>
      <c r="L173" s="2">
        <v>1</v>
      </c>
      <c r="M173" s="45" t="s">
        <v>54</v>
      </c>
      <c r="N173" s="2" t="s">
        <v>55</v>
      </c>
      <c r="O173" s="2">
        <v>3</v>
      </c>
      <c r="P173" s="2" t="s">
        <v>56</v>
      </c>
      <c r="Q173" s="44">
        <v>46052</v>
      </c>
      <c r="R173" s="44">
        <v>46052</v>
      </c>
      <c r="S173" s="2">
        <v>3</v>
      </c>
      <c r="T173" s="2" t="s">
        <v>55</v>
      </c>
      <c r="U173" s="2" t="s">
        <v>55</v>
      </c>
      <c r="V173" s="2" t="s">
        <v>55</v>
      </c>
      <c r="W173" s="2" t="s">
        <v>55</v>
      </c>
      <c r="X173" s="2" t="s">
        <v>55</v>
      </c>
      <c r="Y173" s="2" t="s">
        <v>55</v>
      </c>
      <c r="Z173" s="3" t="s">
        <v>55</v>
      </c>
      <c r="AA173" s="2">
        <v>1</v>
      </c>
      <c r="AB173" s="2">
        <v>1</v>
      </c>
      <c r="AC173" s="2">
        <v>0</v>
      </c>
      <c r="AD173" s="44">
        <v>46059</v>
      </c>
      <c r="AE173" s="44">
        <v>46059</v>
      </c>
      <c r="AF173" s="44">
        <v>46062</v>
      </c>
      <c r="AG173" s="44">
        <v>46064</v>
      </c>
      <c r="AH173" s="44">
        <v>46065</v>
      </c>
      <c r="AI173" s="3">
        <f t="shared" ref="AI173:AI236" si="22">MONTH(AH173)</f>
        <v>2</v>
      </c>
      <c r="AJ173" s="85" t="s">
        <v>635</v>
      </c>
      <c r="AK173" s="46" t="s">
        <v>636</v>
      </c>
      <c r="AL173" s="19">
        <f t="shared" si="19"/>
        <v>1</v>
      </c>
      <c r="AM173" s="67">
        <f>IFERROR(NETWORKDAYS(D173,Q173,Hoja1!$A$1:$A$29),"N/A")</f>
        <v>24</v>
      </c>
      <c r="AN173" s="21">
        <f>IFERROR(NETWORKDAYS(D173,AE173,Hoja1!$A$1:$A$29),"N/A")</f>
        <v>29</v>
      </c>
      <c r="AO173" s="78">
        <v>0</v>
      </c>
      <c r="AP173" s="21">
        <f t="shared" si="18"/>
        <v>29</v>
      </c>
      <c r="AQ173" s="21">
        <f>IFERROR(NETWORKDAYS(AF173,AG173,Hoja1!$A$1:$A$29),"N/A")</f>
        <v>3</v>
      </c>
      <c r="AR173" s="74">
        <v>0</v>
      </c>
      <c r="AS173" s="75">
        <f t="shared" si="20"/>
        <v>3</v>
      </c>
      <c r="AT173" s="21">
        <f>IFERROR(NETWORKDAYS(D173,AG173,Hoja1!$A$1:$A$29),"N/A")</f>
        <v>32</v>
      </c>
      <c r="AU173" s="21">
        <f t="shared" si="21"/>
        <v>32</v>
      </c>
      <c r="AV173" s="69" t="s">
        <v>417</v>
      </c>
      <c r="AW173" s="86" t="s">
        <v>82</v>
      </c>
      <c r="AX173" s="46" t="s">
        <v>453</v>
      </c>
      <c r="AY173" s="43" t="s">
        <v>453</v>
      </c>
      <c r="AZ173" s="43"/>
      <c r="BA173" s="43"/>
      <c r="BB173" s="43"/>
    </row>
    <row r="174" spans="1:54" ht="15" customHeight="1" x14ac:dyDescent="0.25">
      <c r="A174" s="95">
        <v>15583</v>
      </c>
      <c r="B174" s="84" t="s">
        <v>169</v>
      </c>
      <c r="C174" s="84" t="s">
        <v>169</v>
      </c>
      <c r="D174" s="421">
        <v>46017</v>
      </c>
      <c r="E174" s="28">
        <v>46017</v>
      </c>
      <c r="F174" s="84" t="s">
        <v>62</v>
      </c>
      <c r="G174" s="84" t="s">
        <v>80</v>
      </c>
      <c r="H174" s="111" t="s">
        <v>51</v>
      </c>
      <c r="I174" s="145" t="s">
        <v>487</v>
      </c>
      <c r="J174" s="84" t="s">
        <v>105</v>
      </c>
      <c r="K174" s="84" t="s">
        <v>86</v>
      </c>
      <c r="L174" s="33">
        <v>1</v>
      </c>
      <c r="M174" s="45" t="s">
        <v>54</v>
      </c>
      <c r="N174" s="21" t="s">
        <v>55</v>
      </c>
      <c r="O174" s="33">
        <v>5</v>
      </c>
      <c r="P174" s="33" t="s">
        <v>112</v>
      </c>
      <c r="Q174" s="28">
        <v>46027</v>
      </c>
      <c r="R174" s="28">
        <v>46030</v>
      </c>
      <c r="S174" s="33">
        <v>5</v>
      </c>
      <c r="T174" s="36" t="s">
        <v>55</v>
      </c>
      <c r="U174" s="36" t="s">
        <v>55</v>
      </c>
      <c r="V174" s="36" t="s">
        <v>55</v>
      </c>
      <c r="W174" s="36" t="s">
        <v>55</v>
      </c>
      <c r="X174" s="36" t="s">
        <v>55</v>
      </c>
      <c r="Y174" s="36" t="s">
        <v>55</v>
      </c>
      <c r="Z174" s="3" t="s">
        <v>55</v>
      </c>
      <c r="AA174" s="33">
        <v>2</v>
      </c>
      <c r="AB174" s="33">
        <v>1</v>
      </c>
      <c r="AC174" s="33">
        <v>0</v>
      </c>
      <c r="AD174" s="28">
        <v>46036</v>
      </c>
      <c r="AE174" s="28">
        <v>46045</v>
      </c>
      <c r="AF174" s="28">
        <v>46048</v>
      </c>
      <c r="AG174" s="16">
        <v>46052</v>
      </c>
      <c r="AH174" s="16">
        <v>46055</v>
      </c>
      <c r="AI174" s="3">
        <f t="shared" si="22"/>
        <v>2</v>
      </c>
      <c r="AJ174" s="85" t="s">
        <v>637</v>
      </c>
      <c r="AK174" s="35" t="s">
        <v>638</v>
      </c>
      <c r="AL174" s="19">
        <f t="shared" si="19"/>
        <v>1</v>
      </c>
      <c r="AM174" s="67">
        <f>IFERROR(NETWORKDAYS(D174,Q174,Hoja1!$A$1:$A$29),"N/A")</f>
        <v>6</v>
      </c>
      <c r="AN174" s="21">
        <f>IFERROR(NETWORKDAYS(D174,AE174,Hoja1!$A$1:$A$29),"N/A")</f>
        <v>19</v>
      </c>
      <c r="AO174" s="78">
        <v>0</v>
      </c>
      <c r="AP174" s="21">
        <f t="shared" si="18"/>
        <v>19</v>
      </c>
      <c r="AQ174" s="21">
        <f>IFERROR(NETWORKDAYS(AF174,AG174,Hoja1!$A$1:$A$29),"N/A")</f>
        <v>5</v>
      </c>
      <c r="AR174" s="74">
        <v>0</v>
      </c>
      <c r="AS174" s="75">
        <f t="shared" si="20"/>
        <v>5</v>
      </c>
      <c r="AT174" s="21">
        <f>IFERROR(NETWORKDAYS(D174,AG174,Hoja1!$A$1:$A$29),"N/A")</f>
        <v>24</v>
      </c>
      <c r="AU174" s="21">
        <f t="shared" si="21"/>
        <v>24</v>
      </c>
      <c r="AV174" s="69" t="s">
        <v>59</v>
      </c>
      <c r="AW174" s="86" t="s">
        <v>639</v>
      </c>
      <c r="AX174" s="33"/>
      <c r="AY174" s="33"/>
      <c r="AZ174" s="33"/>
      <c r="BA174" s="33"/>
      <c r="BB174" s="33"/>
    </row>
    <row r="175" spans="1:54" ht="15" customHeight="1" x14ac:dyDescent="0.25">
      <c r="A175" s="55">
        <v>15585</v>
      </c>
      <c r="B175" s="27" t="s">
        <v>69</v>
      </c>
      <c r="C175" s="43" t="s">
        <v>98</v>
      </c>
      <c r="D175" s="30">
        <v>46017</v>
      </c>
      <c r="E175" s="30">
        <v>46017</v>
      </c>
      <c r="F175" s="202" t="s">
        <v>879</v>
      </c>
      <c r="G175" s="87" t="s">
        <v>50</v>
      </c>
      <c r="H175" s="111" t="s">
        <v>51</v>
      </c>
      <c r="I175" s="27" t="s">
        <v>640</v>
      </c>
      <c r="J175" s="87" t="s">
        <v>52</v>
      </c>
      <c r="K175" s="87" t="s">
        <v>53</v>
      </c>
      <c r="L175" s="3">
        <v>1</v>
      </c>
      <c r="M175" s="45" t="s">
        <v>54</v>
      </c>
      <c r="N175" s="3" t="s">
        <v>55</v>
      </c>
      <c r="O175" s="3">
        <v>11</v>
      </c>
      <c r="P175" s="3" t="s">
        <v>56</v>
      </c>
      <c r="Q175" s="73">
        <v>46049</v>
      </c>
      <c r="R175" s="73">
        <v>46049</v>
      </c>
      <c r="S175" s="3">
        <v>11</v>
      </c>
      <c r="T175" s="3" t="s">
        <v>55</v>
      </c>
      <c r="U175" s="3" t="s">
        <v>55</v>
      </c>
      <c r="V175" s="3" t="s">
        <v>55</v>
      </c>
      <c r="W175" s="3" t="s">
        <v>55</v>
      </c>
      <c r="X175" s="3" t="s">
        <v>55</v>
      </c>
      <c r="Y175" s="3" t="s">
        <v>55</v>
      </c>
      <c r="Z175" s="3" t="s">
        <v>55</v>
      </c>
      <c r="AA175" s="3">
        <v>6</v>
      </c>
      <c r="AB175" s="3">
        <v>3</v>
      </c>
      <c r="AC175" s="3">
        <v>0</v>
      </c>
      <c r="AD175" s="30">
        <v>46057</v>
      </c>
      <c r="AE175" s="30">
        <v>46057</v>
      </c>
      <c r="AF175" s="30">
        <v>46057</v>
      </c>
      <c r="AG175" s="30">
        <v>46076</v>
      </c>
      <c r="AH175" s="140">
        <v>46076</v>
      </c>
      <c r="AI175" s="3">
        <f t="shared" si="22"/>
        <v>2</v>
      </c>
      <c r="AJ175" s="85" t="s">
        <v>641</v>
      </c>
      <c r="AK175" s="35" t="s">
        <v>642</v>
      </c>
      <c r="AL175" s="19">
        <f t="shared" si="19"/>
        <v>1</v>
      </c>
      <c r="AM175" s="67">
        <f>IFERROR(NETWORKDAYS(D175,Q175,Hoja1!$A$1:$A$29),"N/A")</f>
        <v>21</v>
      </c>
      <c r="AN175" s="21">
        <f>IFERROR(NETWORKDAYS(D175,AE175,Hoja1!$A$1:$A$29),"N/A")</f>
        <v>27</v>
      </c>
      <c r="AO175" s="78">
        <v>4</v>
      </c>
      <c r="AP175" s="21">
        <f t="shared" si="18"/>
        <v>23</v>
      </c>
      <c r="AQ175" s="21">
        <f>IFERROR(NETWORKDAYS(AF175,AG175,Hoja1!$A$1:$A$29),"N/A")</f>
        <v>14</v>
      </c>
      <c r="AR175" s="74">
        <v>9</v>
      </c>
      <c r="AS175" s="75">
        <f t="shared" si="20"/>
        <v>5</v>
      </c>
      <c r="AT175" s="21">
        <f>IFERROR(NETWORKDAYS(D175,AG175,Hoja1!$A$1:$A$29),"N/A")</f>
        <v>40</v>
      </c>
      <c r="AU175" s="21">
        <f t="shared" si="21"/>
        <v>27</v>
      </c>
      <c r="AV175" s="69" t="s">
        <v>145</v>
      </c>
      <c r="AW175" s="86" t="s">
        <v>643</v>
      </c>
      <c r="AX175" s="3"/>
      <c r="AY175" s="3"/>
      <c r="AZ175" s="3"/>
      <c r="BA175" s="3"/>
      <c r="BB175" s="3"/>
    </row>
    <row r="176" spans="1:54" ht="15" customHeight="1" x14ac:dyDescent="0.25">
      <c r="A176" s="58">
        <v>15586</v>
      </c>
      <c r="B176" s="84" t="s">
        <v>169</v>
      </c>
      <c r="C176" s="84" t="s">
        <v>169</v>
      </c>
      <c r="D176" s="417">
        <v>46020</v>
      </c>
      <c r="E176" s="37">
        <v>46020</v>
      </c>
      <c r="F176" s="202" t="s">
        <v>879</v>
      </c>
      <c r="G176" s="48" t="s">
        <v>50</v>
      </c>
      <c r="H176" s="111" t="s">
        <v>51</v>
      </c>
      <c r="I176" s="111" t="s">
        <v>624</v>
      </c>
      <c r="J176" s="87" t="s">
        <v>625</v>
      </c>
      <c r="K176" s="48" t="s">
        <v>106</v>
      </c>
      <c r="L176" s="3">
        <v>1</v>
      </c>
      <c r="M176" s="45" t="s">
        <v>54</v>
      </c>
      <c r="N176" s="18" t="s">
        <v>55</v>
      </c>
      <c r="O176" s="3">
        <v>3</v>
      </c>
      <c r="P176" s="3" t="s">
        <v>112</v>
      </c>
      <c r="Q176" s="30">
        <v>46028</v>
      </c>
      <c r="R176" s="30">
        <v>46028</v>
      </c>
      <c r="S176" s="3">
        <v>3</v>
      </c>
      <c r="T176" s="18" t="s">
        <v>55</v>
      </c>
      <c r="U176" s="18" t="s">
        <v>55</v>
      </c>
      <c r="V176" s="18" t="s">
        <v>55</v>
      </c>
      <c r="W176" s="18" t="s">
        <v>55</v>
      </c>
      <c r="X176" s="18" t="s">
        <v>55</v>
      </c>
      <c r="Y176" s="18" t="s">
        <v>55</v>
      </c>
      <c r="Z176" s="3" t="s">
        <v>55</v>
      </c>
      <c r="AA176" s="3">
        <v>3</v>
      </c>
      <c r="AB176" s="3">
        <v>3</v>
      </c>
      <c r="AC176" s="3">
        <v>0</v>
      </c>
      <c r="AD176" s="30">
        <v>46038</v>
      </c>
      <c r="AE176" s="30">
        <v>46051</v>
      </c>
      <c r="AF176" s="30">
        <v>46051</v>
      </c>
      <c r="AG176" s="16">
        <v>46073</v>
      </c>
      <c r="AH176" s="140">
        <v>46076</v>
      </c>
      <c r="AI176" s="3">
        <f t="shared" si="22"/>
        <v>2</v>
      </c>
      <c r="AJ176" s="85" t="s">
        <v>644</v>
      </c>
      <c r="AK176" s="35" t="s">
        <v>645</v>
      </c>
      <c r="AL176" s="19">
        <f t="shared" si="19"/>
        <v>1</v>
      </c>
      <c r="AM176" s="67">
        <f>IFERROR(NETWORKDAYS(D176,Q176,Hoja1!$A$1:$A$29),"N/A")</f>
        <v>6</v>
      </c>
      <c r="AN176" s="21">
        <f>IFERROR(NETWORKDAYS(D176,AE176,Hoja1!$A$1:$A$29),"N/A")</f>
        <v>22</v>
      </c>
      <c r="AO176" s="78">
        <v>10</v>
      </c>
      <c r="AP176" s="21">
        <f t="shared" si="18"/>
        <v>12</v>
      </c>
      <c r="AQ176" s="21">
        <f>IFERROR(NETWORKDAYS(AF176,AG176,Hoja1!$A$1:$A$29),"N/A")</f>
        <v>17</v>
      </c>
      <c r="AR176" s="74">
        <v>10</v>
      </c>
      <c r="AS176" s="75">
        <f t="shared" si="20"/>
        <v>7</v>
      </c>
      <c r="AT176" s="21">
        <f>IFERROR(NETWORKDAYS(D176,AG176,Hoja1!$A$1:$A$29),"N/A")</f>
        <v>38</v>
      </c>
      <c r="AU176" s="21">
        <f t="shared" si="21"/>
        <v>18</v>
      </c>
      <c r="AV176" s="69" t="s">
        <v>419</v>
      </c>
      <c r="AW176" s="86" t="s">
        <v>646</v>
      </c>
      <c r="AX176" s="87" t="s">
        <v>453</v>
      </c>
      <c r="AY176" s="3"/>
      <c r="AZ176" s="3"/>
      <c r="BA176" s="3"/>
      <c r="BB176" s="3"/>
    </row>
    <row r="177" spans="1:54" ht="15" customHeight="1" x14ac:dyDescent="0.25">
      <c r="A177" s="55">
        <v>15588</v>
      </c>
      <c r="B177" s="27" t="s">
        <v>69</v>
      </c>
      <c r="C177" s="43" t="s">
        <v>98</v>
      </c>
      <c r="D177" s="30">
        <v>46013</v>
      </c>
      <c r="E177" s="30">
        <v>46020</v>
      </c>
      <c r="F177" s="232" t="s">
        <v>90</v>
      </c>
      <c r="G177" s="87" t="s">
        <v>647</v>
      </c>
      <c r="H177" s="111" t="s">
        <v>51</v>
      </c>
      <c r="I177" s="159" t="s">
        <v>648</v>
      </c>
      <c r="J177" s="27" t="s">
        <v>118</v>
      </c>
      <c r="K177" s="87" t="s">
        <v>171</v>
      </c>
      <c r="L177" s="3">
        <v>1</v>
      </c>
      <c r="M177" s="45" t="s">
        <v>54</v>
      </c>
      <c r="N177" s="3" t="s">
        <v>55</v>
      </c>
      <c r="O177" s="3">
        <v>3</v>
      </c>
      <c r="P177" s="3" t="s">
        <v>112</v>
      </c>
      <c r="Q177" s="30">
        <v>46029</v>
      </c>
      <c r="R177" s="30">
        <v>46029</v>
      </c>
      <c r="S177" s="3">
        <v>3</v>
      </c>
      <c r="T177" s="3" t="s">
        <v>55</v>
      </c>
      <c r="U177" s="3" t="s">
        <v>55</v>
      </c>
      <c r="V177" s="3" t="s">
        <v>55</v>
      </c>
      <c r="W177" s="3" t="s">
        <v>55</v>
      </c>
      <c r="X177" s="3" t="s">
        <v>55</v>
      </c>
      <c r="Y177" s="3" t="s">
        <v>55</v>
      </c>
      <c r="Z177" s="3" t="s">
        <v>55</v>
      </c>
      <c r="AA177" s="3">
        <v>3</v>
      </c>
      <c r="AB177" s="3">
        <v>1</v>
      </c>
      <c r="AC177" s="3">
        <v>0</v>
      </c>
      <c r="AD177" s="30">
        <v>46024</v>
      </c>
      <c r="AE177" s="30">
        <v>46024</v>
      </c>
      <c r="AF177" s="30">
        <v>46049</v>
      </c>
      <c r="AG177" s="30">
        <v>46055</v>
      </c>
      <c r="AH177" s="16">
        <v>46055</v>
      </c>
      <c r="AI177" s="3">
        <f t="shared" si="22"/>
        <v>2</v>
      </c>
      <c r="AJ177" s="85" t="s">
        <v>649</v>
      </c>
      <c r="AK177" s="45" t="s">
        <v>650</v>
      </c>
      <c r="AL177" s="19">
        <f t="shared" si="19"/>
        <v>1</v>
      </c>
      <c r="AM177" s="67">
        <f>IFERROR(NETWORKDAYS(D177,Q177,Hoja1!$A$1:$A$29),"N/A")</f>
        <v>11</v>
      </c>
      <c r="AN177" s="21">
        <f>IFERROR(NETWORKDAYS(D177,AE177,Hoja1!$A$1:$A$29),"N/A")</f>
        <v>8</v>
      </c>
      <c r="AO177" s="78">
        <v>0</v>
      </c>
      <c r="AP177" s="21">
        <f t="shared" si="18"/>
        <v>8</v>
      </c>
      <c r="AQ177" s="21">
        <f>IFERROR(NETWORKDAYS(AF177,AG177,Hoja1!$A$1:$A$29),"N/A")</f>
        <v>5</v>
      </c>
      <c r="AR177" s="74">
        <v>0</v>
      </c>
      <c r="AS177" s="75">
        <f t="shared" si="20"/>
        <v>5</v>
      </c>
      <c r="AT177" s="21">
        <f>IFERROR(NETWORKDAYS(D177,AG177,Hoja1!$A$1:$A$29),"N/A")</f>
        <v>28</v>
      </c>
      <c r="AU177" s="21">
        <f t="shared" si="21"/>
        <v>28</v>
      </c>
      <c r="AV177" s="69" t="s">
        <v>59</v>
      </c>
      <c r="AW177" s="86" t="s">
        <v>651</v>
      </c>
      <c r="AX177" s="107"/>
      <c r="AY177" s="107"/>
      <c r="AZ177" s="107"/>
      <c r="BA177" s="107"/>
      <c r="BB177" s="1"/>
    </row>
    <row r="178" spans="1:54" ht="15" customHeight="1" x14ac:dyDescent="0.25">
      <c r="A178" s="57">
        <v>15589</v>
      </c>
      <c r="B178" s="27" t="s">
        <v>69</v>
      </c>
      <c r="C178" s="43" t="s">
        <v>98</v>
      </c>
      <c r="D178" s="420">
        <v>46050</v>
      </c>
      <c r="E178" s="16">
        <v>46020</v>
      </c>
      <c r="F178" s="114" t="s">
        <v>62</v>
      </c>
      <c r="G178" s="114" t="s">
        <v>275</v>
      </c>
      <c r="H178" s="87" t="s">
        <v>101</v>
      </c>
      <c r="I178" s="27" t="s">
        <v>640</v>
      </c>
      <c r="J178" s="27" t="s">
        <v>52</v>
      </c>
      <c r="K178" s="27" t="s">
        <v>66</v>
      </c>
      <c r="L178" s="1">
        <v>1</v>
      </c>
      <c r="M178" s="45" t="s">
        <v>54</v>
      </c>
      <c r="N178" s="2" t="s">
        <v>55</v>
      </c>
      <c r="O178" s="33">
        <v>0</v>
      </c>
      <c r="P178" s="1"/>
      <c r="Q178" s="2" t="s">
        <v>55</v>
      </c>
      <c r="R178" s="2" t="s">
        <v>55</v>
      </c>
      <c r="S178" s="33">
        <v>0</v>
      </c>
      <c r="T178" s="2" t="s">
        <v>55</v>
      </c>
      <c r="U178" s="2" t="s">
        <v>55</v>
      </c>
      <c r="V178" s="2" t="s">
        <v>55</v>
      </c>
      <c r="W178" s="2" t="s">
        <v>55</v>
      </c>
      <c r="X178" s="2" t="s">
        <v>55</v>
      </c>
      <c r="Y178" s="2" t="s">
        <v>55</v>
      </c>
      <c r="Z178" s="3" t="s">
        <v>55</v>
      </c>
      <c r="AA178" s="1">
        <v>1</v>
      </c>
      <c r="AB178" s="1">
        <v>1</v>
      </c>
      <c r="AC178" s="1">
        <v>0</v>
      </c>
      <c r="AD178" s="16">
        <v>46056</v>
      </c>
      <c r="AE178" s="16">
        <v>46056</v>
      </c>
      <c r="AF178" s="16">
        <v>46062</v>
      </c>
      <c r="AG178" s="30">
        <v>46072</v>
      </c>
      <c r="AH178" s="140">
        <v>46076</v>
      </c>
      <c r="AI178" s="3">
        <f t="shared" si="22"/>
        <v>2</v>
      </c>
      <c r="AJ178" s="108" t="s">
        <v>652</v>
      </c>
      <c r="AK178" s="49" t="s">
        <v>653</v>
      </c>
      <c r="AL178" s="19" t="str">
        <f t="shared" si="19"/>
        <v>N/A</v>
      </c>
      <c r="AM178" s="67" t="str">
        <f>IFERROR(NETWORKDAYS(D178,Q178,Hoja1!$A$1:$A$29),"N/A")</f>
        <v>N/A</v>
      </c>
      <c r="AN178" s="21">
        <f>IFERROR(NETWORKDAYS(D178,AE178,Hoja1!$A$1:$A$29),"N/A")</f>
        <v>5</v>
      </c>
      <c r="AO178" s="78">
        <v>0</v>
      </c>
      <c r="AP178" s="21">
        <f t="shared" si="18"/>
        <v>5</v>
      </c>
      <c r="AQ178" s="21">
        <f>IFERROR(NETWORKDAYS(AF178,AG178,Hoja1!$A$1:$A$29),"N/A")</f>
        <v>9</v>
      </c>
      <c r="AR178" s="74">
        <v>4</v>
      </c>
      <c r="AS178" s="75">
        <f t="shared" si="20"/>
        <v>5</v>
      </c>
      <c r="AT178" s="21">
        <f>IFERROR(NETWORKDAYS(D178,AG178,Hoja1!$A$1:$A$29),"N/A")</f>
        <v>17</v>
      </c>
      <c r="AU178" s="21">
        <f t="shared" si="21"/>
        <v>13</v>
      </c>
      <c r="AV178" s="69" t="s">
        <v>104</v>
      </c>
      <c r="AW178" s="86" t="s">
        <v>654</v>
      </c>
      <c r="AX178" s="1"/>
      <c r="AY178" s="1"/>
      <c r="AZ178" s="1"/>
      <c r="BA178" s="1"/>
      <c r="BB178" s="1"/>
    </row>
    <row r="179" spans="1:54" ht="15" customHeight="1" x14ac:dyDescent="0.25">
      <c r="A179" s="95">
        <v>15594</v>
      </c>
      <c r="B179" s="84" t="s">
        <v>85</v>
      </c>
      <c r="C179" s="84" t="s">
        <v>85</v>
      </c>
      <c r="D179" s="28">
        <v>46021</v>
      </c>
      <c r="E179" s="28">
        <v>46020</v>
      </c>
      <c r="F179" s="84" t="s">
        <v>62</v>
      </c>
      <c r="G179" s="84" t="s">
        <v>71</v>
      </c>
      <c r="H179" s="87" t="s">
        <v>101</v>
      </c>
      <c r="I179" s="143" t="s">
        <v>96</v>
      </c>
      <c r="J179" s="27" t="s">
        <v>73</v>
      </c>
      <c r="K179" s="84" t="s">
        <v>86</v>
      </c>
      <c r="L179" s="33">
        <v>1</v>
      </c>
      <c r="M179" s="45" t="s">
        <v>54</v>
      </c>
      <c r="N179" s="21" t="s">
        <v>55</v>
      </c>
      <c r="O179" s="33">
        <v>0</v>
      </c>
      <c r="P179" s="33"/>
      <c r="Q179" s="21" t="s">
        <v>55</v>
      </c>
      <c r="R179" s="21" t="s">
        <v>55</v>
      </c>
      <c r="S179" s="33">
        <v>0</v>
      </c>
      <c r="T179" s="36" t="s">
        <v>55</v>
      </c>
      <c r="U179" s="36" t="s">
        <v>55</v>
      </c>
      <c r="V179" s="36" t="s">
        <v>55</v>
      </c>
      <c r="W179" s="36" t="s">
        <v>55</v>
      </c>
      <c r="X179" s="36" t="s">
        <v>55</v>
      </c>
      <c r="Y179" s="36" t="s">
        <v>55</v>
      </c>
      <c r="Z179" s="3" t="s">
        <v>55</v>
      </c>
      <c r="AA179" s="33">
        <v>1</v>
      </c>
      <c r="AB179" s="33">
        <v>1</v>
      </c>
      <c r="AC179" s="33">
        <v>0</v>
      </c>
      <c r="AD179" s="28">
        <v>46028</v>
      </c>
      <c r="AE179" s="28">
        <v>46029</v>
      </c>
      <c r="AF179" s="28">
        <v>46029</v>
      </c>
      <c r="AG179" s="28">
        <v>46065</v>
      </c>
      <c r="AH179" s="140">
        <v>46076</v>
      </c>
      <c r="AI179" s="3">
        <f t="shared" si="22"/>
        <v>2</v>
      </c>
      <c r="AJ179" s="85" t="s">
        <v>655</v>
      </c>
      <c r="AK179" s="35" t="s">
        <v>656</v>
      </c>
      <c r="AL179" s="19" t="str">
        <f t="shared" si="19"/>
        <v>N/A</v>
      </c>
      <c r="AM179" s="67" t="str">
        <f>IFERROR(NETWORKDAYS(D179,Q179,Hoja1!$A$1:$A$29),"N/A")</f>
        <v>N/A</v>
      </c>
      <c r="AN179" s="21">
        <f>IFERROR(NETWORKDAYS(D179,AE179,Hoja1!$A$1:$A$29),"N/A")</f>
        <v>6</v>
      </c>
      <c r="AO179" s="78">
        <v>0</v>
      </c>
      <c r="AP179" s="21">
        <f t="shared" si="18"/>
        <v>6</v>
      </c>
      <c r="AQ179" s="21">
        <f>IFERROR(NETWORKDAYS(AF179,AG179,Hoja1!$A$1:$A$29),"N/A")</f>
        <v>26</v>
      </c>
      <c r="AR179" s="74">
        <v>21</v>
      </c>
      <c r="AS179" s="75">
        <f t="shared" si="20"/>
        <v>5</v>
      </c>
      <c r="AT179" s="21">
        <f>IFERROR(NETWORKDAYS(D179,AG179,Hoja1!$A$1:$A$29),"N/A")</f>
        <v>31</v>
      </c>
      <c r="AU179" s="21">
        <f t="shared" si="21"/>
        <v>10</v>
      </c>
      <c r="AV179" s="69" t="s">
        <v>104</v>
      </c>
      <c r="AW179" s="86" t="s">
        <v>657</v>
      </c>
      <c r="AX179" s="33"/>
      <c r="AY179" s="33"/>
      <c r="AZ179" s="33"/>
      <c r="BA179" s="33"/>
      <c r="BB179" s="33"/>
    </row>
    <row r="180" spans="1:54" ht="15" customHeight="1" x14ac:dyDescent="0.25">
      <c r="A180" s="95">
        <v>15597</v>
      </c>
      <c r="B180" s="84" t="s">
        <v>85</v>
      </c>
      <c r="C180" s="84" t="s">
        <v>85</v>
      </c>
      <c r="D180" s="421">
        <v>46051</v>
      </c>
      <c r="E180" s="28">
        <v>46021</v>
      </c>
      <c r="F180" s="84" t="s">
        <v>62</v>
      </c>
      <c r="G180" s="84" t="s">
        <v>80</v>
      </c>
      <c r="H180" s="87" t="s">
        <v>101</v>
      </c>
      <c r="I180" s="84" t="s">
        <v>658</v>
      </c>
      <c r="J180" s="84" t="s">
        <v>52</v>
      </c>
      <c r="K180" s="84" t="s">
        <v>86</v>
      </c>
      <c r="L180" s="33">
        <v>1</v>
      </c>
      <c r="M180" s="45" t="s">
        <v>54</v>
      </c>
      <c r="N180" s="21" t="s">
        <v>55</v>
      </c>
      <c r="O180" s="33">
        <v>0</v>
      </c>
      <c r="P180" s="33"/>
      <c r="Q180" s="21" t="s">
        <v>55</v>
      </c>
      <c r="R180" s="21" t="s">
        <v>55</v>
      </c>
      <c r="S180" s="33">
        <v>0</v>
      </c>
      <c r="T180" s="36" t="s">
        <v>55</v>
      </c>
      <c r="U180" s="36" t="s">
        <v>55</v>
      </c>
      <c r="V180" s="36" t="s">
        <v>55</v>
      </c>
      <c r="W180" s="36" t="s">
        <v>55</v>
      </c>
      <c r="X180" s="36" t="s">
        <v>55</v>
      </c>
      <c r="Y180" s="36" t="s">
        <v>55</v>
      </c>
      <c r="Z180" s="3" t="s">
        <v>55</v>
      </c>
      <c r="AA180" s="33">
        <v>1</v>
      </c>
      <c r="AB180" s="33">
        <v>1</v>
      </c>
      <c r="AC180" s="33">
        <v>0</v>
      </c>
      <c r="AD180" s="28">
        <v>46056</v>
      </c>
      <c r="AE180" s="28">
        <v>46056</v>
      </c>
      <c r="AF180" s="28">
        <v>46057</v>
      </c>
      <c r="AG180" s="28">
        <v>46065</v>
      </c>
      <c r="AH180" s="140">
        <v>46076</v>
      </c>
      <c r="AI180" s="3">
        <f t="shared" si="22"/>
        <v>2</v>
      </c>
      <c r="AJ180" s="85" t="s">
        <v>659</v>
      </c>
      <c r="AK180" s="35" t="s">
        <v>660</v>
      </c>
      <c r="AL180" s="19" t="str">
        <f t="shared" si="19"/>
        <v>N/A</v>
      </c>
      <c r="AM180" s="67" t="str">
        <f>IFERROR(NETWORKDAYS(D180,Q180,Hoja1!$A$1:$A$29),"N/A")</f>
        <v>N/A</v>
      </c>
      <c r="AN180" s="21">
        <f>IFERROR(NETWORKDAYS(D180,AE180,Hoja1!$A$1:$A$29),"N/A")</f>
        <v>4</v>
      </c>
      <c r="AO180" s="78">
        <v>0</v>
      </c>
      <c r="AP180" s="21">
        <f t="shared" si="18"/>
        <v>4</v>
      </c>
      <c r="AQ180" s="21">
        <f>IFERROR(NETWORKDAYS(AF180,AG180,Hoja1!$A$1:$A$29),"N/A")</f>
        <v>7</v>
      </c>
      <c r="AR180" s="74">
        <v>2</v>
      </c>
      <c r="AS180" s="75">
        <f t="shared" si="20"/>
        <v>5</v>
      </c>
      <c r="AT180" s="21">
        <f>IFERROR(NETWORKDAYS(D180,AG180,Hoja1!$A$1:$A$29),"N/A")</f>
        <v>11</v>
      </c>
      <c r="AU180" s="21">
        <f t="shared" si="21"/>
        <v>9</v>
      </c>
      <c r="AV180" s="69" t="s">
        <v>104</v>
      </c>
      <c r="AW180" s="86" t="s">
        <v>661</v>
      </c>
      <c r="AX180" s="33"/>
      <c r="AY180" s="33"/>
      <c r="AZ180" s="33"/>
      <c r="BA180" s="33"/>
      <c r="BB180" s="33"/>
    </row>
    <row r="181" spans="1:54" ht="15" customHeight="1" x14ac:dyDescent="0.25">
      <c r="A181" s="58">
        <v>15603</v>
      </c>
      <c r="B181" s="87" t="s">
        <v>79</v>
      </c>
      <c r="C181" s="87" t="s">
        <v>79</v>
      </c>
      <c r="D181" s="37">
        <v>46021</v>
      </c>
      <c r="E181" s="37">
        <v>46021</v>
      </c>
      <c r="F181" s="202" t="s">
        <v>879</v>
      </c>
      <c r="G181" s="48" t="s">
        <v>396</v>
      </c>
      <c r="H181" s="111" t="s">
        <v>51</v>
      </c>
      <c r="I181" s="87" t="s">
        <v>92</v>
      </c>
      <c r="J181" s="87" t="s">
        <v>52</v>
      </c>
      <c r="K181" s="48" t="s">
        <v>106</v>
      </c>
      <c r="L181" s="3">
        <v>1</v>
      </c>
      <c r="M181" s="45" t="s">
        <v>54</v>
      </c>
      <c r="N181" s="18" t="s">
        <v>55</v>
      </c>
      <c r="O181" s="3">
        <v>8</v>
      </c>
      <c r="P181" s="3" t="s">
        <v>112</v>
      </c>
      <c r="Q181" s="30">
        <v>46051</v>
      </c>
      <c r="R181" s="30">
        <v>46051</v>
      </c>
      <c r="S181" s="3">
        <v>8</v>
      </c>
      <c r="T181" s="18" t="s">
        <v>55</v>
      </c>
      <c r="U181" s="18" t="s">
        <v>55</v>
      </c>
      <c r="V181" s="18" t="s">
        <v>55</v>
      </c>
      <c r="W181" s="18" t="s">
        <v>55</v>
      </c>
      <c r="X181" s="18" t="s">
        <v>55</v>
      </c>
      <c r="Y181" s="18" t="s">
        <v>55</v>
      </c>
      <c r="Z181" s="3" t="s">
        <v>55</v>
      </c>
      <c r="AA181" s="3">
        <v>2</v>
      </c>
      <c r="AB181" s="3">
        <v>2</v>
      </c>
      <c r="AC181" s="3">
        <v>0</v>
      </c>
      <c r="AD181" s="30">
        <v>46058</v>
      </c>
      <c r="AE181" s="30">
        <v>46065</v>
      </c>
      <c r="AF181" s="30">
        <v>46065</v>
      </c>
      <c r="AG181" s="30">
        <v>46072</v>
      </c>
      <c r="AH181" s="140">
        <v>46076</v>
      </c>
      <c r="AI181" s="3">
        <f t="shared" si="22"/>
        <v>2</v>
      </c>
      <c r="AJ181" s="85" t="s">
        <v>662</v>
      </c>
      <c r="AK181" s="35" t="s">
        <v>663</v>
      </c>
      <c r="AL181" s="19">
        <f t="shared" si="19"/>
        <v>1</v>
      </c>
      <c r="AM181" s="67">
        <f>IFERROR(NETWORKDAYS(D181,Q181,Hoja1!$A$1:$A$29),"N/A")</f>
        <v>21</v>
      </c>
      <c r="AN181" s="21">
        <f>IFERROR(NETWORKDAYS(D181,AE181,Hoja1!$A$1:$A$29),"N/A")</f>
        <v>31</v>
      </c>
      <c r="AO181" s="78">
        <v>13</v>
      </c>
      <c r="AP181" s="21">
        <f t="shared" si="18"/>
        <v>18</v>
      </c>
      <c r="AQ181" s="21">
        <f>IFERROR(NETWORKDAYS(AF181,AG181,Hoja1!$A$1:$A$29),"N/A")</f>
        <v>6</v>
      </c>
      <c r="AR181" s="74">
        <v>1</v>
      </c>
      <c r="AS181" s="75">
        <f t="shared" si="20"/>
        <v>5</v>
      </c>
      <c r="AT181" s="21">
        <f>IFERROR(NETWORKDAYS(D181,AG181,Hoja1!$A$1:$A$29),"N/A")</f>
        <v>36</v>
      </c>
      <c r="AU181" s="21">
        <f t="shared" si="21"/>
        <v>22</v>
      </c>
      <c r="AV181" s="69" t="s">
        <v>59</v>
      </c>
      <c r="AW181" s="86" t="s">
        <v>664</v>
      </c>
      <c r="AX181" s="3"/>
      <c r="AY181" s="3"/>
      <c r="AZ181" s="3"/>
      <c r="BA181" s="3"/>
      <c r="BB181" s="3"/>
    </row>
    <row r="182" spans="1:54" ht="15" customHeight="1" x14ac:dyDescent="0.25">
      <c r="A182" s="58">
        <v>15605</v>
      </c>
      <c r="B182" s="87" t="s">
        <v>79</v>
      </c>
      <c r="C182" s="87" t="s">
        <v>79</v>
      </c>
      <c r="D182" s="417">
        <v>46021</v>
      </c>
      <c r="E182" s="37">
        <v>46021</v>
      </c>
      <c r="F182" s="202" t="s">
        <v>879</v>
      </c>
      <c r="G182" s="48" t="s">
        <v>50</v>
      </c>
      <c r="H182" s="111" t="s">
        <v>51</v>
      </c>
      <c r="I182" s="87" t="s">
        <v>92</v>
      </c>
      <c r="J182" s="87" t="s">
        <v>52</v>
      </c>
      <c r="K182" s="48" t="s">
        <v>106</v>
      </c>
      <c r="L182" s="3">
        <v>1</v>
      </c>
      <c r="M182" s="45" t="s">
        <v>54</v>
      </c>
      <c r="N182" s="18" t="s">
        <v>55</v>
      </c>
      <c r="O182" s="3">
        <v>6</v>
      </c>
      <c r="P182" s="3" t="s">
        <v>56</v>
      </c>
      <c r="Q182" s="16">
        <v>46042</v>
      </c>
      <c r="R182" s="16">
        <v>46042</v>
      </c>
      <c r="S182" s="3">
        <v>6</v>
      </c>
      <c r="T182" s="18" t="s">
        <v>55</v>
      </c>
      <c r="U182" s="18" t="s">
        <v>55</v>
      </c>
      <c r="V182" s="18" t="s">
        <v>55</v>
      </c>
      <c r="W182" s="18" t="s">
        <v>55</v>
      </c>
      <c r="X182" s="18" t="s">
        <v>55</v>
      </c>
      <c r="Y182" s="18" t="s">
        <v>55</v>
      </c>
      <c r="Z182" s="3" t="s">
        <v>55</v>
      </c>
      <c r="AA182" s="3">
        <v>1</v>
      </c>
      <c r="AB182" s="3">
        <v>1</v>
      </c>
      <c r="AC182" s="3">
        <v>0</v>
      </c>
      <c r="AD182" s="30">
        <v>46043</v>
      </c>
      <c r="AE182" s="30">
        <v>46043</v>
      </c>
      <c r="AF182" s="16">
        <v>46044</v>
      </c>
      <c r="AG182" s="37">
        <v>46049</v>
      </c>
      <c r="AH182" s="16">
        <v>46055</v>
      </c>
      <c r="AI182" s="3">
        <f t="shared" si="22"/>
        <v>2</v>
      </c>
      <c r="AJ182" s="85" t="s">
        <v>665</v>
      </c>
      <c r="AK182" s="35" t="s">
        <v>666</v>
      </c>
      <c r="AL182" s="19">
        <f t="shared" si="19"/>
        <v>1</v>
      </c>
      <c r="AM182" s="67">
        <f>IFERROR(NETWORKDAYS(D182,Q182,Hoja1!$A$1:$A$29),"N/A")</f>
        <v>14</v>
      </c>
      <c r="AN182" s="21">
        <f>IFERROR(NETWORKDAYS(D182,AE182,Hoja1!$A$1:$A$29),"N/A")</f>
        <v>15</v>
      </c>
      <c r="AO182" s="78">
        <v>5</v>
      </c>
      <c r="AP182" s="21">
        <f t="shared" si="18"/>
        <v>10</v>
      </c>
      <c r="AQ182" s="21">
        <f>IFERROR(NETWORKDAYS(AF182,AG182,Hoja1!$A$1:$A$29),"N/A")</f>
        <v>4</v>
      </c>
      <c r="AR182" s="74">
        <v>0</v>
      </c>
      <c r="AS182" s="75">
        <f t="shared" si="20"/>
        <v>4</v>
      </c>
      <c r="AT182" s="21">
        <f>IFERROR(NETWORKDAYS(D182,AG182,Hoja1!$A$1:$A$29),"N/A")</f>
        <v>19</v>
      </c>
      <c r="AU182" s="21">
        <f t="shared" si="21"/>
        <v>14</v>
      </c>
      <c r="AV182" s="69" t="s">
        <v>127</v>
      </c>
      <c r="AW182" s="86" t="s">
        <v>667</v>
      </c>
      <c r="AX182" s="3"/>
      <c r="AY182" s="3"/>
      <c r="AZ182" s="3"/>
      <c r="BA182" s="3"/>
      <c r="BB182" s="3"/>
    </row>
    <row r="183" spans="1:54" ht="15" customHeight="1" x14ac:dyDescent="0.25">
      <c r="A183" s="58">
        <v>15606</v>
      </c>
      <c r="B183" s="87" t="s">
        <v>79</v>
      </c>
      <c r="C183" s="87" t="s">
        <v>79</v>
      </c>
      <c r="D183" s="37">
        <v>46021</v>
      </c>
      <c r="E183" s="37">
        <v>46021</v>
      </c>
      <c r="F183" s="202" t="s">
        <v>879</v>
      </c>
      <c r="G183" s="48" t="s">
        <v>50</v>
      </c>
      <c r="H183" s="111" t="s">
        <v>51</v>
      </c>
      <c r="I183" s="87" t="s">
        <v>92</v>
      </c>
      <c r="J183" s="87" t="s">
        <v>52</v>
      </c>
      <c r="K183" s="48" t="s">
        <v>106</v>
      </c>
      <c r="L183" s="3">
        <v>1</v>
      </c>
      <c r="M183" s="45" t="s">
        <v>54</v>
      </c>
      <c r="N183" s="18" t="s">
        <v>55</v>
      </c>
      <c r="O183" s="3">
        <v>6</v>
      </c>
      <c r="P183" s="3" t="s">
        <v>56</v>
      </c>
      <c r="Q183" s="30">
        <v>46044</v>
      </c>
      <c r="R183" s="30">
        <v>46044</v>
      </c>
      <c r="S183" s="3">
        <v>6</v>
      </c>
      <c r="T183" s="18" t="s">
        <v>55</v>
      </c>
      <c r="U183" s="18" t="s">
        <v>55</v>
      </c>
      <c r="V183" s="18" t="s">
        <v>55</v>
      </c>
      <c r="W183" s="18" t="s">
        <v>55</v>
      </c>
      <c r="X183" s="18" t="s">
        <v>55</v>
      </c>
      <c r="Y183" s="18" t="s">
        <v>55</v>
      </c>
      <c r="Z183" s="3" t="s">
        <v>55</v>
      </c>
      <c r="AA183" s="3">
        <v>1</v>
      </c>
      <c r="AB183" s="3">
        <v>1</v>
      </c>
      <c r="AC183" s="3">
        <v>0</v>
      </c>
      <c r="AD183" s="30">
        <v>46050</v>
      </c>
      <c r="AE183" s="30">
        <v>46058</v>
      </c>
      <c r="AF183" s="30">
        <v>46058</v>
      </c>
      <c r="AG183" s="16">
        <v>46073</v>
      </c>
      <c r="AH183" s="140">
        <v>46076</v>
      </c>
      <c r="AI183" s="3">
        <f t="shared" si="22"/>
        <v>2</v>
      </c>
      <c r="AJ183" s="85" t="s">
        <v>668</v>
      </c>
      <c r="AK183" s="35" t="s">
        <v>669</v>
      </c>
      <c r="AL183" s="19">
        <f t="shared" si="19"/>
        <v>1</v>
      </c>
      <c r="AM183" s="67">
        <f>IFERROR(NETWORKDAYS(D183,Q183,Hoja1!$A$1:$A$29),"N/A")</f>
        <v>16</v>
      </c>
      <c r="AN183" s="21">
        <f>IFERROR(NETWORKDAYS(D183,AE183,Hoja1!$A$1:$A$29),"N/A")</f>
        <v>26</v>
      </c>
      <c r="AO183" s="78">
        <v>11</v>
      </c>
      <c r="AP183" s="21">
        <f t="shared" si="18"/>
        <v>15</v>
      </c>
      <c r="AQ183" s="21">
        <f>IFERROR(NETWORKDAYS(AF183,AG183,Hoja1!$A$1:$A$29),"N/A")</f>
        <v>12</v>
      </c>
      <c r="AR183" s="74">
        <v>7</v>
      </c>
      <c r="AS183" s="75">
        <f t="shared" si="20"/>
        <v>5</v>
      </c>
      <c r="AT183" s="21">
        <f>IFERROR(NETWORKDAYS(D183,AG183,Hoja1!$A$1:$A$29),"N/A")</f>
        <v>37</v>
      </c>
      <c r="AU183" s="21">
        <f t="shared" si="21"/>
        <v>19</v>
      </c>
      <c r="AV183" s="69" t="s">
        <v>127</v>
      </c>
      <c r="AW183" s="86" t="s">
        <v>670</v>
      </c>
      <c r="AX183" s="87" t="s">
        <v>881</v>
      </c>
      <c r="AY183" s="3"/>
      <c r="AZ183" s="3"/>
      <c r="BA183" s="3"/>
      <c r="BB183" s="3"/>
    </row>
    <row r="184" spans="1:54" ht="15" customHeight="1" x14ac:dyDescent="0.25">
      <c r="A184" s="95">
        <v>15610</v>
      </c>
      <c r="B184" s="84" t="s">
        <v>169</v>
      </c>
      <c r="C184" s="84" t="s">
        <v>169</v>
      </c>
      <c r="D184" s="421">
        <v>46027</v>
      </c>
      <c r="E184" s="28">
        <v>46022</v>
      </c>
      <c r="F184" s="84" t="s">
        <v>62</v>
      </c>
      <c r="G184" s="84" t="s">
        <v>71</v>
      </c>
      <c r="H184" s="111" t="s">
        <v>51</v>
      </c>
      <c r="I184" s="143" t="s">
        <v>96</v>
      </c>
      <c r="J184" s="27" t="s">
        <v>73</v>
      </c>
      <c r="K184" s="84" t="s">
        <v>86</v>
      </c>
      <c r="L184" s="33">
        <v>1</v>
      </c>
      <c r="M184" s="45" t="s">
        <v>54</v>
      </c>
      <c r="N184" s="21" t="s">
        <v>55</v>
      </c>
      <c r="O184" s="33">
        <v>3</v>
      </c>
      <c r="P184" s="33" t="s">
        <v>112</v>
      </c>
      <c r="Q184" s="28">
        <v>46027</v>
      </c>
      <c r="R184" s="28">
        <v>46035</v>
      </c>
      <c r="S184" s="33">
        <v>3</v>
      </c>
      <c r="T184" s="36" t="s">
        <v>55</v>
      </c>
      <c r="U184" s="36" t="s">
        <v>55</v>
      </c>
      <c r="V184" s="36" t="s">
        <v>55</v>
      </c>
      <c r="W184" s="36" t="s">
        <v>55</v>
      </c>
      <c r="X184" s="36" t="s">
        <v>55</v>
      </c>
      <c r="Y184" s="36" t="s">
        <v>55</v>
      </c>
      <c r="Z184" s="3" t="s">
        <v>55</v>
      </c>
      <c r="AA184" s="33">
        <v>2</v>
      </c>
      <c r="AB184" s="33">
        <v>1</v>
      </c>
      <c r="AC184" s="33">
        <v>0</v>
      </c>
      <c r="AD184" s="28">
        <v>46041</v>
      </c>
      <c r="AE184" s="28">
        <v>46041</v>
      </c>
      <c r="AF184" s="28">
        <v>46042</v>
      </c>
      <c r="AG184" s="16">
        <v>46052</v>
      </c>
      <c r="AH184" s="16">
        <v>46055</v>
      </c>
      <c r="AI184" s="3">
        <f t="shared" si="22"/>
        <v>2</v>
      </c>
      <c r="AJ184" s="85" t="s">
        <v>671</v>
      </c>
      <c r="AK184" s="35" t="s">
        <v>672</v>
      </c>
      <c r="AL184" s="19">
        <f t="shared" si="19"/>
        <v>1</v>
      </c>
      <c r="AM184" s="67">
        <f>IFERROR(NETWORKDAYS(D184,Q184,Hoja1!$A$1:$A$29),"N/A")</f>
        <v>1</v>
      </c>
      <c r="AN184" s="21">
        <f>IFERROR(NETWORKDAYS(D184,AE184,Hoja1!$A$1:$A$29),"N/A")</f>
        <v>10</v>
      </c>
      <c r="AO184" s="78">
        <v>0</v>
      </c>
      <c r="AP184" s="21">
        <f t="shared" si="18"/>
        <v>10</v>
      </c>
      <c r="AQ184" s="21">
        <f>IFERROR(NETWORKDAYS(AF184,AG184,Hoja1!$A$1:$A$29),"N/A")</f>
        <v>9</v>
      </c>
      <c r="AR184" s="74">
        <v>4</v>
      </c>
      <c r="AS184" s="75">
        <f t="shared" si="20"/>
        <v>5</v>
      </c>
      <c r="AT184" s="21">
        <f>IFERROR(NETWORKDAYS(D184,AG184,Hoja1!$A$1:$A$29),"N/A")</f>
        <v>19</v>
      </c>
      <c r="AU184" s="21">
        <f t="shared" si="21"/>
        <v>15</v>
      </c>
      <c r="AV184" s="69" t="s">
        <v>417</v>
      </c>
      <c r="AW184" s="86" t="s">
        <v>82</v>
      </c>
      <c r="AX184" s="33"/>
      <c r="AY184" s="33"/>
      <c r="AZ184" s="33"/>
      <c r="BA184" s="33"/>
      <c r="BB184" s="33"/>
    </row>
    <row r="185" spans="1:54" ht="15" customHeight="1" x14ac:dyDescent="0.25">
      <c r="A185" s="95">
        <v>15611</v>
      </c>
      <c r="B185" s="84" t="s">
        <v>169</v>
      </c>
      <c r="C185" s="84" t="s">
        <v>169</v>
      </c>
      <c r="D185" s="28">
        <v>46027</v>
      </c>
      <c r="E185" s="28">
        <v>46022</v>
      </c>
      <c r="F185" s="84" t="s">
        <v>62</v>
      </c>
      <c r="G185" s="84" t="s">
        <v>71</v>
      </c>
      <c r="H185" s="111" t="s">
        <v>51</v>
      </c>
      <c r="I185" s="143" t="s">
        <v>96</v>
      </c>
      <c r="J185" s="27" t="s">
        <v>73</v>
      </c>
      <c r="K185" s="84" t="s">
        <v>86</v>
      </c>
      <c r="L185" s="33">
        <v>1</v>
      </c>
      <c r="M185" s="45" t="s">
        <v>54</v>
      </c>
      <c r="N185" s="21" t="s">
        <v>55</v>
      </c>
      <c r="O185" s="33">
        <v>5</v>
      </c>
      <c r="P185" s="33" t="s">
        <v>56</v>
      </c>
      <c r="Q185" s="28">
        <v>46037</v>
      </c>
      <c r="R185" s="28">
        <v>46048</v>
      </c>
      <c r="S185" s="33">
        <v>5</v>
      </c>
      <c r="T185" s="36" t="s">
        <v>55</v>
      </c>
      <c r="U185" s="36" t="s">
        <v>55</v>
      </c>
      <c r="V185" s="36" t="s">
        <v>55</v>
      </c>
      <c r="W185" s="36" t="s">
        <v>55</v>
      </c>
      <c r="X185" s="36" t="s">
        <v>55</v>
      </c>
      <c r="Y185" s="36" t="s">
        <v>55</v>
      </c>
      <c r="Z185" s="3" t="s">
        <v>55</v>
      </c>
      <c r="AA185" s="33">
        <v>2</v>
      </c>
      <c r="AB185" s="33">
        <v>2</v>
      </c>
      <c r="AC185" s="33">
        <v>0</v>
      </c>
      <c r="AD185" s="28">
        <v>46049</v>
      </c>
      <c r="AE185" s="16">
        <v>46049</v>
      </c>
      <c r="AF185" s="16">
        <v>46049</v>
      </c>
      <c r="AG185" s="16">
        <v>46052</v>
      </c>
      <c r="AH185" s="16">
        <v>46055</v>
      </c>
      <c r="AI185" s="3">
        <f t="shared" si="22"/>
        <v>2</v>
      </c>
      <c r="AJ185" s="85" t="s">
        <v>673</v>
      </c>
      <c r="AK185" s="35" t="s">
        <v>674</v>
      </c>
      <c r="AL185" s="19">
        <f t="shared" si="19"/>
        <v>1</v>
      </c>
      <c r="AM185" s="67">
        <f>IFERROR(NETWORKDAYS(D185,Q185,Hoja1!$A$1:$A$29),"N/A")</f>
        <v>8</v>
      </c>
      <c r="AN185" s="21">
        <f>IFERROR(NETWORKDAYS(D185,AE185,Hoja1!$A$1:$A$29),"N/A")</f>
        <v>16</v>
      </c>
      <c r="AO185" s="78">
        <v>0</v>
      </c>
      <c r="AP185" s="21">
        <f t="shared" si="18"/>
        <v>16</v>
      </c>
      <c r="AQ185" s="21">
        <f>IFERROR(NETWORKDAYS(AF185,AG185,Hoja1!$A$1:$A$29),"N/A")</f>
        <v>4</v>
      </c>
      <c r="AR185" s="74">
        <v>0</v>
      </c>
      <c r="AS185" s="75">
        <f t="shared" si="20"/>
        <v>4</v>
      </c>
      <c r="AT185" s="21">
        <f>IFERROR(NETWORKDAYS(D185,AG185,Hoja1!$A$1:$A$29),"N/A")</f>
        <v>19</v>
      </c>
      <c r="AU185" s="21">
        <f t="shared" si="21"/>
        <v>19</v>
      </c>
      <c r="AV185" s="69" t="s">
        <v>417</v>
      </c>
      <c r="AW185" s="86" t="s">
        <v>82</v>
      </c>
      <c r="AX185" s="33"/>
      <c r="AY185" s="33"/>
      <c r="AZ185" s="33"/>
      <c r="BA185" s="33"/>
      <c r="BB185" s="33"/>
    </row>
    <row r="186" spans="1:54" ht="15" customHeight="1" x14ac:dyDescent="0.25">
      <c r="A186" s="95">
        <v>15612</v>
      </c>
      <c r="B186" s="84" t="s">
        <v>169</v>
      </c>
      <c r="C186" s="84" t="s">
        <v>169</v>
      </c>
      <c r="D186" s="421">
        <v>46048</v>
      </c>
      <c r="E186" s="28">
        <v>46024</v>
      </c>
      <c r="F186" s="84" t="s">
        <v>62</v>
      </c>
      <c r="G186" s="84" t="s">
        <v>71</v>
      </c>
      <c r="H186" s="87" t="s">
        <v>101</v>
      </c>
      <c r="I186" s="84" t="s">
        <v>675</v>
      </c>
      <c r="J186" s="84" t="s">
        <v>142</v>
      </c>
      <c r="K186" s="84" t="s">
        <v>86</v>
      </c>
      <c r="L186" s="33">
        <v>1</v>
      </c>
      <c r="M186" s="45" t="s">
        <v>54</v>
      </c>
      <c r="N186" s="21" t="s">
        <v>55</v>
      </c>
      <c r="O186" s="33">
        <v>0</v>
      </c>
      <c r="P186" s="33"/>
      <c r="Q186" s="21" t="s">
        <v>55</v>
      </c>
      <c r="R186" s="21" t="s">
        <v>55</v>
      </c>
      <c r="S186" s="33">
        <v>0</v>
      </c>
      <c r="T186" s="36" t="s">
        <v>55</v>
      </c>
      <c r="U186" s="36" t="s">
        <v>55</v>
      </c>
      <c r="V186" s="36" t="s">
        <v>55</v>
      </c>
      <c r="W186" s="36" t="s">
        <v>55</v>
      </c>
      <c r="X186" s="36" t="s">
        <v>55</v>
      </c>
      <c r="Y186" s="36" t="s">
        <v>55</v>
      </c>
      <c r="Z186" s="3" t="s">
        <v>55</v>
      </c>
      <c r="AA186" s="33">
        <v>1</v>
      </c>
      <c r="AB186" s="33">
        <v>1</v>
      </c>
      <c r="AC186" s="33">
        <v>0</v>
      </c>
      <c r="AD186" s="28">
        <v>46052</v>
      </c>
      <c r="AE186" s="28">
        <v>46055</v>
      </c>
      <c r="AF186" s="28">
        <v>46055</v>
      </c>
      <c r="AG186" s="28">
        <v>46063</v>
      </c>
      <c r="AH186" s="28">
        <v>46065</v>
      </c>
      <c r="AI186" s="3">
        <f t="shared" si="22"/>
        <v>2</v>
      </c>
      <c r="AJ186" s="85" t="s">
        <v>676</v>
      </c>
      <c r="AK186" s="35" t="s">
        <v>677</v>
      </c>
      <c r="AL186" s="19" t="str">
        <f t="shared" si="19"/>
        <v>N/A</v>
      </c>
      <c r="AM186" s="67" t="str">
        <f>IFERROR(NETWORKDAYS(D186,Q186,Hoja1!$A$1:$A$29),"N/A")</f>
        <v>N/A</v>
      </c>
      <c r="AN186" s="21">
        <f>IFERROR(NETWORKDAYS(D186,AE186,Hoja1!$A$1:$A$29),"N/A")</f>
        <v>6</v>
      </c>
      <c r="AO186" s="78">
        <v>0</v>
      </c>
      <c r="AP186" s="21">
        <f t="shared" si="18"/>
        <v>6</v>
      </c>
      <c r="AQ186" s="21">
        <f>IFERROR(NETWORKDAYS(AF186,AG186,Hoja1!$A$1:$A$29),"N/A")</f>
        <v>7</v>
      </c>
      <c r="AR186" s="74">
        <v>2</v>
      </c>
      <c r="AS186" s="75">
        <f t="shared" si="20"/>
        <v>5</v>
      </c>
      <c r="AT186" s="21">
        <f>IFERROR(NETWORKDAYS(D186,AG186,Hoja1!$A$1:$A$29),"N/A")</f>
        <v>12</v>
      </c>
      <c r="AU186" s="21">
        <f t="shared" si="21"/>
        <v>10</v>
      </c>
      <c r="AV186" s="69" t="s">
        <v>104</v>
      </c>
      <c r="AW186" s="86" t="s">
        <v>405</v>
      </c>
      <c r="AX186" s="33"/>
      <c r="AY186" s="33"/>
      <c r="AZ186" s="33"/>
      <c r="BA186" s="33"/>
      <c r="BB186" s="33"/>
    </row>
    <row r="187" spans="1:54" ht="15" customHeight="1" x14ac:dyDescent="0.25">
      <c r="A187" s="55">
        <v>15616</v>
      </c>
      <c r="B187" s="87" t="s">
        <v>79</v>
      </c>
      <c r="C187" s="87" t="s">
        <v>79</v>
      </c>
      <c r="D187" s="30">
        <v>46026</v>
      </c>
      <c r="E187" s="30">
        <v>46026</v>
      </c>
      <c r="F187" s="232" t="s">
        <v>90</v>
      </c>
      <c r="G187" s="87" t="s">
        <v>91</v>
      </c>
      <c r="H187" s="111" t="s">
        <v>51</v>
      </c>
      <c r="I187" s="87" t="s">
        <v>92</v>
      </c>
      <c r="J187" s="87" t="s">
        <v>52</v>
      </c>
      <c r="K187" s="87" t="s">
        <v>111</v>
      </c>
      <c r="L187" s="3">
        <v>1</v>
      </c>
      <c r="M187" s="45" t="s">
        <v>54</v>
      </c>
      <c r="N187" s="3" t="s">
        <v>55</v>
      </c>
      <c r="O187" s="3">
        <v>3</v>
      </c>
      <c r="P187" s="3" t="s">
        <v>112</v>
      </c>
      <c r="Q187" s="30">
        <v>46035</v>
      </c>
      <c r="R187" s="30">
        <v>46035</v>
      </c>
      <c r="S187" s="3">
        <v>3</v>
      </c>
      <c r="T187" s="3" t="s">
        <v>55</v>
      </c>
      <c r="U187" s="3" t="s">
        <v>55</v>
      </c>
      <c r="V187" s="3" t="s">
        <v>55</v>
      </c>
      <c r="W187" s="3" t="s">
        <v>55</v>
      </c>
      <c r="X187" s="3" t="s">
        <v>55</v>
      </c>
      <c r="Y187" s="3" t="s">
        <v>55</v>
      </c>
      <c r="Z187" s="3" t="s">
        <v>55</v>
      </c>
      <c r="AA187" s="3">
        <v>3</v>
      </c>
      <c r="AB187" s="3">
        <v>1</v>
      </c>
      <c r="AC187" s="3">
        <v>0</v>
      </c>
      <c r="AD187" s="16">
        <v>46044</v>
      </c>
      <c r="AE187" s="16">
        <v>46044</v>
      </c>
      <c r="AF187" s="30">
        <v>46045</v>
      </c>
      <c r="AG187" s="30">
        <v>46055</v>
      </c>
      <c r="AH187" s="16">
        <v>46055</v>
      </c>
      <c r="AI187" s="3">
        <f t="shared" si="22"/>
        <v>2</v>
      </c>
      <c r="AJ187" s="85" t="s">
        <v>678</v>
      </c>
      <c r="AK187" s="45" t="s">
        <v>679</v>
      </c>
      <c r="AL187" s="19">
        <f t="shared" si="19"/>
        <v>1</v>
      </c>
      <c r="AM187" s="67">
        <f>IFERROR(NETWORKDAYS(D187,Q187,Hoja1!$A$1:$A$29),"N/A")</f>
        <v>6</v>
      </c>
      <c r="AN187" s="21">
        <f>IFERROR(NETWORKDAYS(D187,AE187,Hoja1!$A$1:$A$29),"N/A")</f>
        <v>13</v>
      </c>
      <c r="AO187" s="78">
        <v>0</v>
      </c>
      <c r="AP187" s="21">
        <f t="shared" si="18"/>
        <v>13</v>
      </c>
      <c r="AQ187" s="21">
        <f>IFERROR(NETWORKDAYS(AF187,AG187,Hoja1!$A$1:$A$29),"N/A")</f>
        <v>7</v>
      </c>
      <c r="AR187" s="74">
        <v>0</v>
      </c>
      <c r="AS187" s="75">
        <f t="shared" si="20"/>
        <v>7</v>
      </c>
      <c r="AT187" s="21">
        <f>IFERROR(NETWORKDAYS(D187,AG187,Hoja1!$A$1:$A$29),"N/A")</f>
        <v>20</v>
      </c>
      <c r="AU187" s="21">
        <f t="shared" si="21"/>
        <v>20</v>
      </c>
      <c r="AV187" s="69" t="s">
        <v>59</v>
      </c>
      <c r="AW187" s="86" t="s">
        <v>680</v>
      </c>
      <c r="AX187" s="107"/>
      <c r="AY187" s="107"/>
      <c r="AZ187" s="107"/>
      <c r="BA187" s="107"/>
      <c r="BB187" s="1"/>
    </row>
    <row r="188" spans="1:54" ht="15" customHeight="1" x14ac:dyDescent="0.25">
      <c r="A188" s="95">
        <v>15618</v>
      </c>
      <c r="B188" s="27" t="s">
        <v>69</v>
      </c>
      <c r="C188" s="43" t="s">
        <v>98</v>
      </c>
      <c r="D188" s="425">
        <v>46062</v>
      </c>
      <c r="E188" s="16">
        <v>46027</v>
      </c>
      <c r="F188" s="84" t="s">
        <v>62</v>
      </c>
      <c r="G188" s="84" t="s">
        <v>80</v>
      </c>
      <c r="H188" s="87" t="s">
        <v>101</v>
      </c>
      <c r="I188" s="48" t="s">
        <v>1406</v>
      </c>
      <c r="J188" s="114" t="s">
        <v>52</v>
      </c>
      <c r="K188" s="84" t="s">
        <v>66</v>
      </c>
      <c r="L188" s="1">
        <v>1</v>
      </c>
      <c r="M188" s="159" t="s">
        <v>247</v>
      </c>
      <c r="N188" s="21" t="s">
        <v>55</v>
      </c>
      <c r="O188" s="1">
        <v>0</v>
      </c>
      <c r="P188" s="1"/>
      <c r="Q188" s="16" t="s">
        <v>55</v>
      </c>
      <c r="R188" s="16" t="s">
        <v>55</v>
      </c>
      <c r="S188" s="1">
        <v>0</v>
      </c>
      <c r="T188" s="36" t="s">
        <v>55</v>
      </c>
      <c r="U188" s="36" t="s">
        <v>55</v>
      </c>
      <c r="V188" s="36" t="s">
        <v>55</v>
      </c>
      <c r="W188" s="36" t="s">
        <v>55</v>
      </c>
      <c r="X188" s="36" t="s">
        <v>55</v>
      </c>
      <c r="Y188" s="36" t="s">
        <v>55</v>
      </c>
      <c r="Z188" s="3" t="s">
        <v>55</v>
      </c>
      <c r="AA188" s="1">
        <v>1</v>
      </c>
      <c r="AB188" s="1">
        <v>1</v>
      </c>
      <c r="AC188" s="1">
        <v>0</v>
      </c>
      <c r="AD188" s="28">
        <v>46066</v>
      </c>
      <c r="AE188" s="28">
        <v>46066</v>
      </c>
      <c r="AF188" s="16" t="s">
        <v>55</v>
      </c>
      <c r="AG188" s="16">
        <v>46066</v>
      </c>
      <c r="AH188" s="16">
        <v>46066</v>
      </c>
      <c r="AI188" s="3">
        <f t="shared" si="22"/>
        <v>2</v>
      </c>
      <c r="AJ188" s="85" t="s">
        <v>681</v>
      </c>
      <c r="AK188" s="49" t="s">
        <v>682</v>
      </c>
      <c r="AL188" s="19" t="str">
        <f t="shared" si="19"/>
        <v>N/A</v>
      </c>
      <c r="AM188" s="67" t="str">
        <f>IFERROR(NETWORKDAYS(D188,Q188,Hoja1!$A$1:$A$29),"N/A")</f>
        <v>N/A</v>
      </c>
      <c r="AN188" s="21">
        <f>IFERROR(NETWORKDAYS(D188,AE188,Hoja1!$A$1:$A$29),"N/A")</f>
        <v>5</v>
      </c>
      <c r="AO188" s="78">
        <v>0</v>
      </c>
      <c r="AP188" s="21">
        <f t="shared" si="18"/>
        <v>5</v>
      </c>
      <c r="AQ188" s="21" t="str">
        <f>IFERROR(NETWORKDAYS(AF188,AG188,Hoja1!$A$1:$A$29),"N/A")</f>
        <v>N/A</v>
      </c>
      <c r="AR188" s="67">
        <v>0</v>
      </c>
      <c r="AS188" s="21" t="s">
        <v>82</v>
      </c>
      <c r="AT188" s="21">
        <f>IFERROR(NETWORKDAYS(D188,AG188,Hoja1!$A$1:$A$29),"N/A")</f>
        <v>5</v>
      </c>
      <c r="AU188" s="21">
        <f t="shared" si="21"/>
        <v>5</v>
      </c>
      <c r="AV188" s="69" t="s">
        <v>145</v>
      </c>
      <c r="AW188" s="86" t="s">
        <v>146</v>
      </c>
      <c r="AX188" s="33"/>
      <c r="AY188" s="33"/>
      <c r="AZ188" s="33"/>
      <c r="BA188" s="33"/>
      <c r="BB188" s="33"/>
    </row>
    <row r="189" spans="1:54" ht="15" customHeight="1" x14ac:dyDescent="0.25">
      <c r="A189" s="55">
        <v>15620</v>
      </c>
      <c r="B189" s="27" t="s">
        <v>69</v>
      </c>
      <c r="C189" s="43" t="s">
        <v>98</v>
      </c>
      <c r="D189" s="15">
        <v>46027</v>
      </c>
      <c r="E189" s="16">
        <v>46027</v>
      </c>
      <c r="F189" s="114" t="s">
        <v>163</v>
      </c>
      <c r="G189" s="114" t="s">
        <v>262</v>
      </c>
      <c r="H189" s="111" t="s">
        <v>51</v>
      </c>
      <c r="I189" s="27" t="s">
        <v>72</v>
      </c>
      <c r="J189" s="27" t="s">
        <v>73</v>
      </c>
      <c r="K189" s="27" t="s">
        <v>165</v>
      </c>
      <c r="L189" s="1">
        <v>1</v>
      </c>
      <c r="M189" s="45" t="s">
        <v>54</v>
      </c>
      <c r="N189" s="21" t="s">
        <v>55</v>
      </c>
      <c r="O189" s="1">
        <v>1</v>
      </c>
      <c r="P189" s="1" t="s">
        <v>112</v>
      </c>
      <c r="Q189" s="16">
        <v>46037</v>
      </c>
      <c r="R189" s="16">
        <v>46038</v>
      </c>
      <c r="S189" s="1">
        <v>1</v>
      </c>
      <c r="T189" s="36" t="s">
        <v>55</v>
      </c>
      <c r="U189" s="36" t="s">
        <v>55</v>
      </c>
      <c r="V189" s="36" t="s">
        <v>55</v>
      </c>
      <c r="W189" s="36" t="s">
        <v>55</v>
      </c>
      <c r="X189" s="36" t="s">
        <v>55</v>
      </c>
      <c r="Y189" s="36" t="s">
        <v>55</v>
      </c>
      <c r="Z189" s="3" t="s">
        <v>55</v>
      </c>
      <c r="AA189" s="1">
        <v>1</v>
      </c>
      <c r="AB189" s="1">
        <v>1</v>
      </c>
      <c r="AC189" s="1">
        <v>0</v>
      </c>
      <c r="AD189" s="28">
        <v>46041</v>
      </c>
      <c r="AE189" s="28">
        <v>46041</v>
      </c>
      <c r="AF189" s="16">
        <v>46041</v>
      </c>
      <c r="AG189" s="16">
        <v>46049</v>
      </c>
      <c r="AH189" s="16">
        <v>46055</v>
      </c>
      <c r="AI189" s="3">
        <f t="shared" si="22"/>
        <v>2</v>
      </c>
      <c r="AJ189" s="85" t="s">
        <v>683</v>
      </c>
      <c r="AK189" s="49" t="s">
        <v>684</v>
      </c>
      <c r="AL189" s="19">
        <f t="shared" si="19"/>
        <v>1</v>
      </c>
      <c r="AM189" s="67">
        <f>IFERROR(NETWORKDAYS(D189,Q189,Hoja1!$A$1:$A$29),"N/A")</f>
        <v>8</v>
      </c>
      <c r="AN189" s="21">
        <f>IFERROR(NETWORKDAYS(D189,AE189,Hoja1!$A$1:$A$29),"N/A")</f>
        <v>10</v>
      </c>
      <c r="AO189" s="78">
        <v>0</v>
      </c>
      <c r="AP189" s="21">
        <f t="shared" si="18"/>
        <v>10</v>
      </c>
      <c r="AQ189" s="21">
        <f>IFERROR(NETWORKDAYS(AF189,AG189,Hoja1!$A$1:$A$29),"N/A")</f>
        <v>7</v>
      </c>
      <c r="AR189" s="113">
        <v>3</v>
      </c>
      <c r="AS189" s="75">
        <f t="shared" ref="AS189:AS252" si="23">AQ189-AR189</f>
        <v>4</v>
      </c>
      <c r="AT189" s="21">
        <f>IFERROR(NETWORKDAYS(D189,AG189,Hoja1!$A$1:$A$29),"N/A")</f>
        <v>16</v>
      </c>
      <c r="AU189" s="21">
        <f t="shared" si="21"/>
        <v>13</v>
      </c>
      <c r="AV189" s="69" t="s">
        <v>127</v>
      </c>
      <c r="AW189" s="86" t="s">
        <v>82</v>
      </c>
      <c r="AX189" s="33"/>
      <c r="AY189" s="33"/>
      <c r="AZ189" s="33"/>
      <c r="BA189" s="33"/>
      <c r="BB189" s="33"/>
    </row>
    <row r="190" spans="1:54" ht="15" customHeight="1" x14ac:dyDescent="0.25">
      <c r="A190" s="55">
        <v>15621</v>
      </c>
      <c r="B190" s="87" t="s">
        <v>79</v>
      </c>
      <c r="C190" s="87" t="s">
        <v>79</v>
      </c>
      <c r="D190" s="419">
        <v>46027</v>
      </c>
      <c r="E190" s="44">
        <v>46027</v>
      </c>
      <c r="F190" s="143" t="s">
        <v>99</v>
      </c>
      <c r="G190" s="111" t="s">
        <v>455</v>
      </c>
      <c r="H190" s="111" t="s">
        <v>51</v>
      </c>
      <c r="I190" s="87" t="s">
        <v>92</v>
      </c>
      <c r="J190" s="111" t="s">
        <v>52</v>
      </c>
      <c r="K190" s="111" t="s">
        <v>129</v>
      </c>
      <c r="L190" s="2">
        <v>1</v>
      </c>
      <c r="M190" s="45" t="s">
        <v>54</v>
      </c>
      <c r="N190" s="2" t="s">
        <v>55</v>
      </c>
      <c r="O190" s="2">
        <v>3</v>
      </c>
      <c r="P190" s="2" t="s">
        <v>112</v>
      </c>
      <c r="Q190" s="44">
        <v>46030</v>
      </c>
      <c r="R190" s="44">
        <v>46030</v>
      </c>
      <c r="S190" s="2">
        <v>3</v>
      </c>
      <c r="T190" s="2" t="s">
        <v>55</v>
      </c>
      <c r="U190" s="2" t="s">
        <v>55</v>
      </c>
      <c r="V190" s="2" t="s">
        <v>55</v>
      </c>
      <c r="W190" s="2" t="s">
        <v>55</v>
      </c>
      <c r="X190" s="2" t="s">
        <v>55</v>
      </c>
      <c r="Y190" s="2" t="s">
        <v>55</v>
      </c>
      <c r="Z190" s="3" t="s">
        <v>55</v>
      </c>
      <c r="AA190" s="2">
        <v>1</v>
      </c>
      <c r="AB190" s="2">
        <v>1</v>
      </c>
      <c r="AC190" s="2">
        <v>0</v>
      </c>
      <c r="AD190" s="16">
        <v>46044</v>
      </c>
      <c r="AE190" s="16">
        <v>46049</v>
      </c>
      <c r="AF190" s="16">
        <v>46050</v>
      </c>
      <c r="AG190" s="16">
        <v>46058</v>
      </c>
      <c r="AH190" s="104">
        <v>46065</v>
      </c>
      <c r="AI190" s="3">
        <f t="shared" si="22"/>
        <v>2</v>
      </c>
      <c r="AJ190" s="85" t="s">
        <v>685</v>
      </c>
      <c r="AK190" s="46" t="s">
        <v>686</v>
      </c>
      <c r="AL190" s="19">
        <f t="shared" si="19"/>
        <v>1</v>
      </c>
      <c r="AM190" s="67">
        <f>IFERROR(NETWORKDAYS(D190,Q190,Hoja1!$A$1:$A$29),"N/A")</f>
        <v>4</v>
      </c>
      <c r="AN190" s="21">
        <f>IFERROR(NETWORKDAYS(D190,AE190,Hoja1!$A$1:$A$29),"N/A")</f>
        <v>16</v>
      </c>
      <c r="AO190" s="78">
        <v>2</v>
      </c>
      <c r="AP190" s="21">
        <f t="shared" si="18"/>
        <v>14</v>
      </c>
      <c r="AQ190" s="21">
        <f>IFERROR(NETWORKDAYS(AF190,AG190,Hoja1!$A$1:$A$29),"N/A")</f>
        <v>7</v>
      </c>
      <c r="AR190" s="78">
        <v>2</v>
      </c>
      <c r="AS190" s="75">
        <f t="shared" si="23"/>
        <v>5</v>
      </c>
      <c r="AT190" s="21">
        <f>IFERROR(NETWORKDAYS(D190,AG190,Hoja1!$A$1:$A$29),"N/A")</f>
        <v>23</v>
      </c>
      <c r="AU190" s="21">
        <f t="shared" si="21"/>
        <v>19</v>
      </c>
      <c r="AV190" s="69" t="s">
        <v>131</v>
      </c>
      <c r="AW190" s="86" t="s">
        <v>687</v>
      </c>
      <c r="AX190" s="114"/>
      <c r="AY190" s="43"/>
      <c r="AZ190" s="43"/>
      <c r="BA190" s="43"/>
      <c r="BB190" s="43"/>
    </row>
    <row r="191" spans="1:54" ht="15" customHeight="1" x14ac:dyDescent="0.25">
      <c r="A191" s="55">
        <v>15622</v>
      </c>
      <c r="B191" s="27" t="s">
        <v>69</v>
      </c>
      <c r="C191" s="27" t="s">
        <v>202</v>
      </c>
      <c r="D191" s="15">
        <v>46027</v>
      </c>
      <c r="E191" s="16">
        <v>46027</v>
      </c>
      <c r="F191" s="114" t="s">
        <v>163</v>
      </c>
      <c r="G191" s="114" t="s">
        <v>688</v>
      </c>
      <c r="H191" s="111" t="s">
        <v>51</v>
      </c>
      <c r="I191" s="27" t="s">
        <v>96</v>
      </c>
      <c r="J191" s="27" t="s">
        <v>73</v>
      </c>
      <c r="K191" s="27" t="s">
        <v>165</v>
      </c>
      <c r="L191" s="1">
        <v>1</v>
      </c>
      <c r="M191" s="45" t="s">
        <v>54</v>
      </c>
      <c r="N191" s="21" t="s">
        <v>55</v>
      </c>
      <c r="O191" s="1">
        <v>3</v>
      </c>
      <c r="P191" s="1" t="s">
        <v>112</v>
      </c>
      <c r="Q191" s="16">
        <v>46043</v>
      </c>
      <c r="R191" s="16">
        <v>46049</v>
      </c>
      <c r="S191" s="1">
        <v>3</v>
      </c>
      <c r="T191" s="36" t="s">
        <v>55</v>
      </c>
      <c r="U191" s="36" t="s">
        <v>55</v>
      </c>
      <c r="V191" s="36" t="s">
        <v>55</v>
      </c>
      <c r="W191" s="36" t="s">
        <v>55</v>
      </c>
      <c r="X191" s="36" t="s">
        <v>55</v>
      </c>
      <c r="Y191" s="36" t="s">
        <v>55</v>
      </c>
      <c r="Z191" s="3" t="s">
        <v>55</v>
      </c>
      <c r="AA191" s="1">
        <v>3</v>
      </c>
      <c r="AB191" s="1">
        <v>3</v>
      </c>
      <c r="AC191" s="1">
        <v>0</v>
      </c>
      <c r="AD191" s="16">
        <v>46052</v>
      </c>
      <c r="AE191" s="16">
        <v>46052</v>
      </c>
      <c r="AF191" s="16">
        <v>46052</v>
      </c>
      <c r="AG191" s="16">
        <v>46058</v>
      </c>
      <c r="AH191" s="16">
        <v>46065</v>
      </c>
      <c r="AI191" s="3">
        <f t="shared" si="22"/>
        <v>2</v>
      </c>
      <c r="AJ191" s="85" t="s">
        <v>689</v>
      </c>
      <c r="AK191" s="49" t="s">
        <v>690</v>
      </c>
      <c r="AL191" s="19">
        <f t="shared" si="19"/>
        <v>1</v>
      </c>
      <c r="AM191" s="67">
        <f>IFERROR(NETWORKDAYS(D191,Q191,Hoja1!$A$1:$A$29),"N/A")</f>
        <v>12</v>
      </c>
      <c r="AN191" s="21">
        <f>IFERROR(NETWORKDAYS(D191,AE191,Hoja1!$A$1:$A$29),"N/A")</f>
        <v>19</v>
      </c>
      <c r="AO191" s="78">
        <v>0</v>
      </c>
      <c r="AP191" s="21">
        <f t="shared" ref="AP191:AP224" si="24">AN191-AO191</f>
        <v>19</v>
      </c>
      <c r="AQ191" s="21">
        <f>IFERROR(NETWORKDAYS(AF191,AG191,Hoja1!$A$1:$A$29),"N/A")</f>
        <v>5</v>
      </c>
      <c r="AR191" s="113">
        <v>0</v>
      </c>
      <c r="AS191" s="75">
        <f t="shared" si="23"/>
        <v>5</v>
      </c>
      <c r="AT191" s="21">
        <f>IFERROR(NETWORKDAYS(D191,AG191,Hoja1!$A$1:$A$29),"N/A")</f>
        <v>23</v>
      </c>
      <c r="AU191" s="21">
        <f t="shared" si="21"/>
        <v>23</v>
      </c>
      <c r="AV191" s="69" t="s">
        <v>127</v>
      </c>
      <c r="AW191" s="86" t="s">
        <v>82</v>
      </c>
      <c r="AX191" s="33"/>
      <c r="AY191" s="33"/>
      <c r="AZ191" s="33"/>
      <c r="BA191" s="33"/>
      <c r="BB191" s="33"/>
    </row>
    <row r="192" spans="1:54" ht="15" customHeight="1" x14ac:dyDescent="0.25">
      <c r="A192" s="58">
        <v>15623</v>
      </c>
      <c r="B192" s="84" t="s">
        <v>169</v>
      </c>
      <c r="C192" s="84" t="s">
        <v>169</v>
      </c>
      <c r="D192" s="417">
        <v>46027</v>
      </c>
      <c r="E192" s="37">
        <v>46027</v>
      </c>
      <c r="F192" s="202" t="s">
        <v>879</v>
      </c>
      <c r="G192" s="48" t="s">
        <v>50</v>
      </c>
      <c r="H192" s="111" t="s">
        <v>51</v>
      </c>
      <c r="I192" s="152" t="s">
        <v>1837</v>
      </c>
      <c r="J192" s="87" t="s">
        <v>105</v>
      </c>
      <c r="K192" s="48" t="s">
        <v>106</v>
      </c>
      <c r="L192" s="3">
        <v>1</v>
      </c>
      <c r="M192" s="45" t="s">
        <v>54</v>
      </c>
      <c r="N192" s="18" t="s">
        <v>55</v>
      </c>
      <c r="O192" s="3">
        <v>3</v>
      </c>
      <c r="P192" s="3" t="s">
        <v>112</v>
      </c>
      <c r="Q192" s="30">
        <v>46038</v>
      </c>
      <c r="R192" s="30">
        <v>46038</v>
      </c>
      <c r="S192" s="3">
        <v>3</v>
      </c>
      <c r="T192" s="18" t="s">
        <v>55</v>
      </c>
      <c r="U192" s="18" t="s">
        <v>55</v>
      </c>
      <c r="V192" s="18" t="s">
        <v>55</v>
      </c>
      <c r="W192" s="18" t="s">
        <v>55</v>
      </c>
      <c r="X192" s="18" t="s">
        <v>55</v>
      </c>
      <c r="Y192" s="18" t="s">
        <v>55</v>
      </c>
      <c r="Z192" s="3" t="s">
        <v>55</v>
      </c>
      <c r="AA192" s="3">
        <v>1</v>
      </c>
      <c r="AB192" s="3">
        <v>1</v>
      </c>
      <c r="AC192" s="3">
        <v>0</v>
      </c>
      <c r="AD192" s="30">
        <v>46042</v>
      </c>
      <c r="AE192" s="30">
        <v>46043</v>
      </c>
      <c r="AF192" s="16">
        <v>46044</v>
      </c>
      <c r="AG192" s="16">
        <v>46052</v>
      </c>
      <c r="AH192" s="16">
        <v>46055</v>
      </c>
      <c r="AI192" s="3">
        <f t="shared" si="22"/>
        <v>2</v>
      </c>
      <c r="AJ192" s="85" t="s">
        <v>691</v>
      </c>
      <c r="AK192" s="35" t="s">
        <v>692</v>
      </c>
      <c r="AL192" s="19">
        <f t="shared" si="19"/>
        <v>1</v>
      </c>
      <c r="AM192" s="67">
        <f>IFERROR(NETWORKDAYS(D192,Q192,Hoja1!$A$1:$A$29),"N/A")</f>
        <v>9</v>
      </c>
      <c r="AN192" s="21">
        <f>IFERROR(NETWORKDAYS(D192,AE192,Hoja1!$A$1:$A$29),"N/A")</f>
        <v>12</v>
      </c>
      <c r="AO192" s="78">
        <v>2</v>
      </c>
      <c r="AP192" s="21">
        <f t="shared" si="24"/>
        <v>10</v>
      </c>
      <c r="AQ192" s="21">
        <f>IFERROR(NETWORKDAYS(AF192,AG192,Hoja1!$A$1:$A$29),"N/A")</f>
        <v>7</v>
      </c>
      <c r="AR192" s="67">
        <v>1</v>
      </c>
      <c r="AS192" s="75">
        <f t="shared" si="23"/>
        <v>6</v>
      </c>
      <c r="AT192" s="21">
        <f>IFERROR(NETWORKDAYS(D192,AG192,Hoja1!$A$1:$A$29),"N/A")</f>
        <v>19</v>
      </c>
      <c r="AU192" s="21">
        <f t="shared" si="21"/>
        <v>16</v>
      </c>
      <c r="AV192" s="69" t="s">
        <v>127</v>
      </c>
      <c r="AW192" s="86" t="s">
        <v>693</v>
      </c>
      <c r="AX192" s="3"/>
      <c r="AY192" s="3"/>
      <c r="AZ192" s="3"/>
      <c r="BA192" s="3"/>
      <c r="BB192" s="3"/>
    </row>
    <row r="193" spans="1:54" ht="15" customHeight="1" x14ac:dyDescent="0.25">
      <c r="A193" s="58">
        <v>15624</v>
      </c>
      <c r="B193" s="84" t="s">
        <v>169</v>
      </c>
      <c r="C193" s="84" t="s">
        <v>169</v>
      </c>
      <c r="D193" s="37">
        <v>46027</v>
      </c>
      <c r="E193" s="37">
        <v>46027</v>
      </c>
      <c r="F193" s="202" t="s">
        <v>879</v>
      </c>
      <c r="G193" s="48" t="s">
        <v>50</v>
      </c>
      <c r="H193" s="111" t="s">
        <v>51</v>
      </c>
      <c r="I193" s="152" t="s">
        <v>1837</v>
      </c>
      <c r="J193" s="87" t="s">
        <v>105</v>
      </c>
      <c r="K193" s="48" t="s">
        <v>106</v>
      </c>
      <c r="L193" s="3">
        <v>1</v>
      </c>
      <c r="M193" s="45" t="s">
        <v>54</v>
      </c>
      <c r="N193" s="18" t="s">
        <v>55</v>
      </c>
      <c r="O193" s="3">
        <v>6</v>
      </c>
      <c r="P193" s="3" t="s">
        <v>112</v>
      </c>
      <c r="Q193" s="30">
        <v>46030</v>
      </c>
      <c r="R193" s="30">
        <v>46030</v>
      </c>
      <c r="S193" s="3">
        <v>6</v>
      </c>
      <c r="T193" s="18" t="s">
        <v>55</v>
      </c>
      <c r="U193" s="18" t="s">
        <v>55</v>
      </c>
      <c r="V193" s="18" t="s">
        <v>55</v>
      </c>
      <c r="W193" s="18" t="s">
        <v>55</v>
      </c>
      <c r="X193" s="18" t="s">
        <v>55</v>
      </c>
      <c r="Y193" s="18" t="s">
        <v>55</v>
      </c>
      <c r="Z193" s="3" t="s">
        <v>55</v>
      </c>
      <c r="AA193" s="3">
        <v>1</v>
      </c>
      <c r="AB193" s="3">
        <v>1</v>
      </c>
      <c r="AC193" s="3">
        <v>0</v>
      </c>
      <c r="AD193" s="30">
        <v>46038</v>
      </c>
      <c r="AE193" s="28">
        <v>46038</v>
      </c>
      <c r="AF193" s="37">
        <v>46042</v>
      </c>
      <c r="AG193" s="44">
        <v>46059</v>
      </c>
      <c r="AH193" s="104">
        <v>46065</v>
      </c>
      <c r="AI193" s="3">
        <f t="shared" si="22"/>
        <v>2</v>
      </c>
      <c r="AJ193" s="85" t="s">
        <v>694</v>
      </c>
      <c r="AK193" s="35" t="s">
        <v>695</v>
      </c>
      <c r="AL193" s="19">
        <f t="shared" si="19"/>
        <v>1</v>
      </c>
      <c r="AM193" s="67">
        <f>IFERROR(NETWORKDAYS(D193,Q193,Hoja1!$A$1:$A$29),"N/A")</f>
        <v>4</v>
      </c>
      <c r="AN193" s="21">
        <f>IFERROR(NETWORKDAYS(D193,AE193,Hoja1!$A$1:$A$29),"N/A")</f>
        <v>9</v>
      </c>
      <c r="AO193" s="78">
        <v>0</v>
      </c>
      <c r="AP193" s="21">
        <f t="shared" si="24"/>
        <v>9</v>
      </c>
      <c r="AQ193" s="21">
        <f>IFERROR(NETWORKDAYS(AF193,AG193,Hoja1!$A$1:$A$29),"N/A")</f>
        <v>14</v>
      </c>
      <c r="AR193" s="67">
        <v>8</v>
      </c>
      <c r="AS193" s="75">
        <f t="shared" si="23"/>
        <v>6</v>
      </c>
      <c r="AT193" s="21">
        <f>IFERROR(NETWORKDAYS(D193,AG193,Hoja1!$A$1:$A$29),"N/A")</f>
        <v>24</v>
      </c>
      <c r="AU193" s="21">
        <f t="shared" si="21"/>
        <v>16</v>
      </c>
      <c r="AV193" s="69" t="s">
        <v>265</v>
      </c>
      <c r="AW193" s="86" t="s">
        <v>696</v>
      </c>
      <c r="AX193" s="3"/>
      <c r="AY193" s="3"/>
      <c r="AZ193" s="3"/>
      <c r="BA193" s="3"/>
      <c r="BB193" s="3"/>
    </row>
    <row r="194" spans="1:54" ht="15" customHeight="1" x14ac:dyDescent="0.25">
      <c r="A194" s="95">
        <v>15626</v>
      </c>
      <c r="B194" s="87" t="s">
        <v>79</v>
      </c>
      <c r="C194" s="87" t="s">
        <v>79</v>
      </c>
      <c r="D194" s="421">
        <v>46028</v>
      </c>
      <c r="E194" s="28">
        <v>46028</v>
      </c>
      <c r="F194" s="84" t="s">
        <v>62</v>
      </c>
      <c r="G194" s="84" t="s">
        <v>80</v>
      </c>
      <c r="H194" s="87" t="s">
        <v>101</v>
      </c>
      <c r="I194" s="87" t="s">
        <v>92</v>
      </c>
      <c r="J194" s="202" t="s">
        <v>52</v>
      </c>
      <c r="K194" s="87" t="s">
        <v>74</v>
      </c>
      <c r="L194" s="33">
        <v>1</v>
      </c>
      <c r="M194" s="45" t="s">
        <v>54</v>
      </c>
      <c r="N194" s="21" t="s">
        <v>55</v>
      </c>
      <c r="O194" s="33">
        <v>0</v>
      </c>
      <c r="P194" s="33"/>
      <c r="Q194" s="21" t="s">
        <v>55</v>
      </c>
      <c r="R194" s="21" t="s">
        <v>55</v>
      </c>
      <c r="S194" s="33">
        <v>0</v>
      </c>
      <c r="T194" s="36" t="s">
        <v>55</v>
      </c>
      <c r="U194" s="36" t="s">
        <v>55</v>
      </c>
      <c r="V194" s="36" t="s">
        <v>55</v>
      </c>
      <c r="W194" s="36" t="s">
        <v>55</v>
      </c>
      <c r="X194" s="36" t="s">
        <v>55</v>
      </c>
      <c r="Y194" s="36" t="s">
        <v>55</v>
      </c>
      <c r="Z194" s="3" t="s">
        <v>55</v>
      </c>
      <c r="AA194" s="33">
        <v>1</v>
      </c>
      <c r="AB194" s="33">
        <v>1</v>
      </c>
      <c r="AC194" s="33">
        <v>0</v>
      </c>
      <c r="AD194" s="28">
        <v>46037</v>
      </c>
      <c r="AE194" s="28">
        <v>46037</v>
      </c>
      <c r="AF194" s="28">
        <v>46038</v>
      </c>
      <c r="AG194" s="28">
        <v>46049</v>
      </c>
      <c r="AH194" s="16">
        <v>46055</v>
      </c>
      <c r="AI194" s="3">
        <f t="shared" si="22"/>
        <v>2</v>
      </c>
      <c r="AJ194" s="85" t="s">
        <v>697</v>
      </c>
      <c r="AK194" s="35" t="s">
        <v>698</v>
      </c>
      <c r="AL194" s="19" t="str">
        <f t="shared" si="19"/>
        <v>N/A</v>
      </c>
      <c r="AM194" s="67" t="str">
        <f>IFERROR(NETWORKDAYS(D194,Q194,Hoja1!$A$1:$A$29),"N/A")</f>
        <v>N/A</v>
      </c>
      <c r="AN194" s="21">
        <f>IFERROR(NETWORKDAYS(D194,AE194,Hoja1!$A$1:$A$29),"N/A")</f>
        <v>7</v>
      </c>
      <c r="AO194" s="78">
        <v>2</v>
      </c>
      <c r="AP194" s="21">
        <f t="shared" si="24"/>
        <v>5</v>
      </c>
      <c r="AQ194" s="21">
        <f>IFERROR(NETWORKDAYS(AF194,AG194,Hoja1!$A$1:$A$29),"N/A")</f>
        <v>8</v>
      </c>
      <c r="AR194" s="67">
        <v>3</v>
      </c>
      <c r="AS194" s="75">
        <f t="shared" si="23"/>
        <v>5</v>
      </c>
      <c r="AT194" s="21">
        <f>IFERROR(NETWORKDAYS(D194,AG194,Hoja1!$A$1:$A$29),"N/A")</f>
        <v>15</v>
      </c>
      <c r="AU194" s="21">
        <f t="shared" si="21"/>
        <v>10</v>
      </c>
      <c r="AV194" s="69" t="s">
        <v>104</v>
      </c>
      <c r="AW194" s="86" t="s">
        <v>180</v>
      </c>
      <c r="AX194" s="33"/>
      <c r="AY194" s="33"/>
      <c r="AZ194" s="33"/>
      <c r="BA194" s="33"/>
      <c r="BB194" s="33"/>
    </row>
    <row r="195" spans="1:54" ht="15" customHeight="1" x14ac:dyDescent="0.25">
      <c r="A195" s="95">
        <v>15629</v>
      </c>
      <c r="B195" s="84" t="s">
        <v>85</v>
      </c>
      <c r="C195" s="84" t="s">
        <v>85</v>
      </c>
      <c r="D195" s="28">
        <v>46063</v>
      </c>
      <c r="E195" s="28">
        <v>46028</v>
      </c>
      <c r="F195" s="84" t="s">
        <v>62</v>
      </c>
      <c r="G195" s="84" t="s">
        <v>71</v>
      </c>
      <c r="H195" s="87" t="s">
        <v>101</v>
      </c>
      <c r="I195" s="84" t="s">
        <v>699</v>
      </c>
      <c r="J195" s="84" t="s">
        <v>142</v>
      </c>
      <c r="K195" s="84" t="s">
        <v>86</v>
      </c>
      <c r="L195" s="33">
        <v>1</v>
      </c>
      <c r="M195" s="45" t="s">
        <v>54</v>
      </c>
      <c r="N195" s="21" t="s">
        <v>55</v>
      </c>
      <c r="O195" s="33">
        <v>0</v>
      </c>
      <c r="P195" s="33"/>
      <c r="Q195" s="21" t="s">
        <v>55</v>
      </c>
      <c r="R195" s="21" t="s">
        <v>55</v>
      </c>
      <c r="S195" s="33">
        <v>0</v>
      </c>
      <c r="T195" s="36" t="s">
        <v>55</v>
      </c>
      <c r="U195" s="36" t="s">
        <v>55</v>
      </c>
      <c r="V195" s="36" t="s">
        <v>55</v>
      </c>
      <c r="W195" s="36" t="s">
        <v>55</v>
      </c>
      <c r="X195" s="36" t="s">
        <v>55</v>
      </c>
      <c r="Y195" s="36" t="s">
        <v>55</v>
      </c>
      <c r="Z195" s="3" t="s">
        <v>55</v>
      </c>
      <c r="AA195" s="33">
        <v>1</v>
      </c>
      <c r="AB195" s="33">
        <v>1</v>
      </c>
      <c r="AC195" s="33">
        <v>0</v>
      </c>
      <c r="AD195" s="28">
        <v>46069</v>
      </c>
      <c r="AE195" s="28">
        <v>46070</v>
      </c>
      <c r="AF195" s="28">
        <v>46070</v>
      </c>
      <c r="AG195" s="16">
        <v>46073</v>
      </c>
      <c r="AH195" s="140">
        <v>46076</v>
      </c>
      <c r="AI195" s="3">
        <f t="shared" si="22"/>
        <v>2</v>
      </c>
      <c r="AJ195" s="85" t="s">
        <v>700</v>
      </c>
      <c r="AK195" s="35" t="s">
        <v>701</v>
      </c>
      <c r="AL195" s="19" t="str">
        <f t="shared" ref="AL195:AL258" si="25">IFERROR(S195/O195,"N/A")</f>
        <v>N/A</v>
      </c>
      <c r="AM195" s="67" t="str">
        <f>IFERROR(NETWORKDAYS(D195,Q195,Hoja1!$A$1:$A$29),"N/A")</f>
        <v>N/A</v>
      </c>
      <c r="AN195" s="21">
        <f>IFERROR(NETWORKDAYS(D195,AE195,Hoja1!$A$1:$A$29),"N/A")</f>
        <v>6</v>
      </c>
      <c r="AO195" s="78">
        <v>0</v>
      </c>
      <c r="AP195" s="21">
        <f t="shared" si="24"/>
        <v>6</v>
      </c>
      <c r="AQ195" s="21">
        <f>IFERROR(NETWORKDAYS(AF195,AG195,Hoja1!$A$1:$A$29),"N/A")</f>
        <v>4</v>
      </c>
      <c r="AR195" s="74">
        <v>0</v>
      </c>
      <c r="AS195" s="75">
        <f t="shared" si="23"/>
        <v>4</v>
      </c>
      <c r="AT195" s="21">
        <f>IFERROR(NETWORKDAYS(D195,AG195,Hoja1!$A$1:$A$29),"N/A")</f>
        <v>9</v>
      </c>
      <c r="AU195" s="21">
        <f t="shared" si="21"/>
        <v>9</v>
      </c>
      <c r="AV195" s="69" t="s">
        <v>104</v>
      </c>
      <c r="AW195" s="86" t="s">
        <v>702</v>
      </c>
      <c r="AX195" s="33"/>
      <c r="AY195" s="33"/>
      <c r="AZ195" s="33"/>
      <c r="BA195" s="33"/>
      <c r="BB195" s="33"/>
    </row>
    <row r="196" spans="1:54" ht="15" customHeight="1" x14ac:dyDescent="0.25">
      <c r="A196" s="55">
        <v>15632</v>
      </c>
      <c r="B196" s="84" t="s">
        <v>169</v>
      </c>
      <c r="C196" s="84" t="s">
        <v>169</v>
      </c>
      <c r="D196" s="419">
        <v>46029</v>
      </c>
      <c r="E196" s="44">
        <v>46029</v>
      </c>
      <c r="F196" s="143" t="s">
        <v>99</v>
      </c>
      <c r="G196" s="111" t="s">
        <v>100</v>
      </c>
      <c r="H196" s="111" t="s">
        <v>51</v>
      </c>
      <c r="I196" s="111" t="s">
        <v>624</v>
      </c>
      <c r="J196" s="111" t="s">
        <v>625</v>
      </c>
      <c r="K196" s="111" t="s">
        <v>129</v>
      </c>
      <c r="L196" s="2">
        <v>1</v>
      </c>
      <c r="M196" s="45" t="s">
        <v>54</v>
      </c>
      <c r="N196" s="2" t="s">
        <v>55</v>
      </c>
      <c r="O196" s="2">
        <v>7</v>
      </c>
      <c r="P196" s="2" t="s">
        <v>112</v>
      </c>
      <c r="Q196" s="16">
        <v>46042</v>
      </c>
      <c r="R196" s="16">
        <v>46042</v>
      </c>
      <c r="S196" s="2">
        <v>7</v>
      </c>
      <c r="T196" s="2" t="s">
        <v>55</v>
      </c>
      <c r="U196" s="2" t="s">
        <v>55</v>
      </c>
      <c r="V196" s="2" t="s">
        <v>55</v>
      </c>
      <c r="W196" s="2" t="s">
        <v>55</v>
      </c>
      <c r="X196" s="2" t="s">
        <v>55</v>
      </c>
      <c r="Y196" s="2" t="s">
        <v>55</v>
      </c>
      <c r="Z196" s="3" t="s">
        <v>55</v>
      </c>
      <c r="AA196" s="2">
        <v>1</v>
      </c>
      <c r="AB196" s="2">
        <v>1</v>
      </c>
      <c r="AC196" s="2">
        <v>0</v>
      </c>
      <c r="AD196" s="44">
        <v>46065</v>
      </c>
      <c r="AE196" s="16">
        <v>46071</v>
      </c>
      <c r="AF196" s="16">
        <v>46071</v>
      </c>
      <c r="AG196" s="16">
        <v>46073</v>
      </c>
      <c r="AH196" s="140">
        <v>46076</v>
      </c>
      <c r="AI196" s="3">
        <f t="shared" si="22"/>
        <v>2</v>
      </c>
      <c r="AJ196" s="85" t="s">
        <v>703</v>
      </c>
      <c r="AK196" s="46" t="s">
        <v>704</v>
      </c>
      <c r="AL196" s="19">
        <f t="shared" si="25"/>
        <v>1</v>
      </c>
      <c r="AM196" s="67">
        <f>IFERROR(NETWORKDAYS(D196,Q196,Hoja1!$A$1:$A$29),"N/A")</f>
        <v>9</v>
      </c>
      <c r="AN196" s="21">
        <f>IFERROR(NETWORKDAYS(D196,AE196,Hoja1!$A$1:$A$29),"N/A")</f>
        <v>30</v>
      </c>
      <c r="AO196" s="78">
        <v>7</v>
      </c>
      <c r="AP196" s="21">
        <f t="shared" si="24"/>
        <v>23</v>
      </c>
      <c r="AQ196" s="21">
        <f>IFERROR(NETWORKDAYS(AF196,AG196,Hoja1!$A$1:$A$29),"N/A")</f>
        <v>3</v>
      </c>
      <c r="AR196" s="74">
        <v>0</v>
      </c>
      <c r="AS196" s="75">
        <f t="shared" si="23"/>
        <v>3</v>
      </c>
      <c r="AT196" s="21">
        <f>IFERROR(NETWORKDAYS(D196,AG196,Hoja1!$A$1:$A$29),"N/A")</f>
        <v>32</v>
      </c>
      <c r="AU196" s="21">
        <f t="shared" si="21"/>
        <v>25</v>
      </c>
      <c r="AV196" s="69" t="s">
        <v>421</v>
      </c>
      <c r="AW196" s="86" t="s">
        <v>705</v>
      </c>
      <c r="AX196" s="46" t="s">
        <v>453</v>
      </c>
      <c r="AY196" s="43"/>
      <c r="AZ196" s="43"/>
      <c r="BA196" s="43"/>
      <c r="BB196" s="43"/>
    </row>
    <row r="197" spans="1:54" ht="15" customHeight="1" x14ac:dyDescent="0.25">
      <c r="A197" s="58">
        <v>15635</v>
      </c>
      <c r="B197" s="84" t="s">
        <v>169</v>
      </c>
      <c r="C197" s="84" t="s">
        <v>169</v>
      </c>
      <c r="D197" s="37">
        <v>46024</v>
      </c>
      <c r="E197" s="37">
        <v>46024</v>
      </c>
      <c r="F197" s="202" t="s">
        <v>879</v>
      </c>
      <c r="G197" s="48" t="s">
        <v>50</v>
      </c>
      <c r="H197" s="111" t="s">
        <v>51</v>
      </c>
      <c r="I197" s="145" t="s">
        <v>487</v>
      </c>
      <c r="J197" s="87" t="s">
        <v>105</v>
      </c>
      <c r="K197" s="48" t="s">
        <v>106</v>
      </c>
      <c r="L197" s="3">
        <v>1</v>
      </c>
      <c r="M197" s="45" t="s">
        <v>54</v>
      </c>
      <c r="N197" s="18" t="s">
        <v>55</v>
      </c>
      <c r="O197" s="3">
        <v>4</v>
      </c>
      <c r="P197" s="3" t="s">
        <v>112</v>
      </c>
      <c r="Q197" s="30">
        <v>46029</v>
      </c>
      <c r="R197" s="30">
        <v>46029</v>
      </c>
      <c r="S197" s="3">
        <v>4</v>
      </c>
      <c r="T197" s="18" t="s">
        <v>55</v>
      </c>
      <c r="U197" s="18" t="s">
        <v>55</v>
      </c>
      <c r="V197" s="18" t="s">
        <v>55</v>
      </c>
      <c r="W197" s="18" t="s">
        <v>55</v>
      </c>
      <c r="X197" s="18" t="s">
        <v>55</v>
      </c>
      <c r="Y197" s="18" t="s">
        <v>55</v>
      </c>
      <c r="Z197" s="3" t="s">
        <v>55</v>
      </c>
      <c r="AA197" s="3">
        <v>2</v>
      </c>
      <c r="AB197" s="3">
        <v>2</v>
      </c>
      <c r="AC197" s="3">
        <v>0</v>
      </c>
      <c r="AD197" s="16">
        <v>46044</v>
      </c>
      <c r="AE197" s="30">
        <v>46051</v>
      </c>
      <c r="AF197" s="30">
        <v>46051</v>
      </c>
      <c r="AG197" s="30">
        <v>46072</v>
      </c>
      <c r="AH197" s="140">
        <v>46076</v>
      </c>
      <c r="AI197" s="3">
        <f t="shared" si="22"/>
        <v>2</v>
      </c>
      <c r="AJ197" s="85" t="s">
        <v>706</v>
      </c>
      <c r="AK197" s="35" t="s">
        <v>707</v>
      </c>
      <c r="AL197" s="19">
        <f t="shared" si="25"/>
        <v>1</v>
      </c>
      <c r="AM197" s="67">
        <f>IFERROR(NETWORKDAYS(D197,Q197,Hoja1!$A$1:$A$29),"N/A")</f>
        <v>4</v>
      </c>
      <c r="AN197" s="21">
        <f>IFERROR(NETWORKDAYS(D197,AE197,Hoja1!$A$1:$A$29),"N/A")</f>
        <v>19</v>
      </c>
      <c r="AO197" s="78">
        <v>0</v>
      </c>
      <c r="AP197" s="21">
        <f t="shared" si="24"/>
        <v>19</v>
      </c>
      <c r="AQ197" s="21">
        <f>IFERROR(NETWORKDAYS(AF197,AG197,Hoja1!$A$1:$A$29),"N/A")</f>
        <v>16</v>
      </c>
      <c r="AR197" s="33">
        <v>9</v>
      </c>
      <c r="AS197" s="75">
        <f t="shared" si="23"/>
        <v>7</v>
      </c>
      <c r="AT197" s="21">
        <f>IFERROR(NETWORKDAYS(D197,AG197,Hoja1!$A$1:$A$29),"N/A")</f>
        <v>34</v>
      </c>
      <c r="AU197" s="21">
        <f t="shared" si="21"/>
        <v>25</v>
      </c>
      <c r="AV197" s="69" t="s">
        <v>59</v>
      </c>
      <c r="AW197" s="86" t="s">
        <v>708</v>
      </c>
      <c r="AX197" s="3"/>
      <c r="AY197" s="3"/>
      <c r="AZ197" s="3"/>
      <c r="BA197" s="3"/>
      <c r="BB197" s="3"/>
    </row>
    <row r="198" spans="1:54" ht="15" customHeight="1" x14ac:dyDescent="0.25">
      <c r="A198" s="55">
        <v>15636</v>
      </c>
      <c r="B198" s="87" t="s">
        <v>79</v>
      </c>
      <c r="C198" s="87" t="s">
        <v>79</v>
      </c>
      <c r="D198" s="418">
        <v>46029</v>
      </c>
      <c r="E198" s="30">
        <v>46029</v>
      </c>
      <c r="F198" s="232" t="s">
        <v>90</v>
      </c>
      <c r="G198" s="87" t="s">
        <v>91</v>
      </c>
      <c r="H198" s="111" t="s">
        <v>51</v>
      </c>
      <c r="I198" s="159" t="s">
        <v>1624</v>
      </c>
      <c r="J198" s="87" t="s">
        <v>105</v>
      </c>
      <c r="K198" s="87" t="s">
        <v>111</v>
      </c>
      <c r="L198" s="3">
        <v>1</v>
      </c>
      <c r="M198" s="45" t="s">
        <v>54</v>
      </c>
      <c r="N198" s="3" t="s">
        <v>55</v>
      </c>
      <c r="O198" s="3">
        <v>3</v>
      </c>
      <c r="P198" s="3" t="s">
        <v>112</v>
      </c>
      <c r="Q198" s="30">
        <v>46037</v>
      </c>
      <c r="R198" s="30">
        <v>46037</v>
      </c>
      <c r="S198" s="3">
        <v>3</v>
      </c>
      <c r="T198" s="3" t="s">
        <v>55</v>
      </c>
      <c r="U198" s="3" t="s">
        <v>55</v>
      </c>
      <c r="V198" s="3" t="s">
        <v>55</v>
      </c>
      <c r="W198" s="3" t="s">
        <v>55</v>
      </c>
      <c r="X198" s="3" t="s">
        <v>55</v>
      </c>
      <c r="Y198" s="3" t="s">
        <v>55</v>
      </c>
      <c r="Z198" s="3" t="s">
        <v>55</v>
      </c>
      <c r="AA198" s="3">
        <v>3</v>
      </c>
      <c r="AB198" s="3">
        <v>1</v>
      </c>
      <c r="AC198" s="3">
        <v>0</v>
      </c>
      <c r="AD198" s="30">
        <v>46057</v>
      </c>
      <c r="AE198" s="30">
        <v>46057</v>
      </c>
      <c r="AF198" s="30">
        <v>46058</v>
      </c>
      <c r="AG198" s="30">
        <v>46063</v>
      </c>
      <c r="AH198" s="30">
        <v>46065</v>
      </c>
      <c r="AI198" s="3">
        <f t="shared" si="22"/>
        <v>2</v>
      </c>
      <c r="AJ198" s="85" t="s">
        <v>709</v>
      </c>
      <c r="AK198" s="45" t="s">
        <v>710</v>
      </c>
      <c r="AL198" s="19">
        <f t="shared" si="25"/>
        <v>1</v>
      </c>
      <c r="AM198" s="67">
        <f>IFERROR(NETWORKDAYS(D198,Q198,Hoja1!$A$1:$A$29),"N/A")</f>
        <v>6</v>
      </c>
      <c r="AN198" s="21">
        <f>IFERROR(NETWORKDAYS(D198,AE198,Hoja1!$A$1:$A$29),"N/A")</f>
        <v>20</v>
      </c>
      <c r="AO198" s="78">
        <v>4</v>
      </c>
      <c r="AP198" s="21">
        <f t="shared" si="24"/>
        <v>16</v>
      </c>
      <c r="AQ198" s="21">
        <f>IFERROR(NETWORKDAYS(AF198,AG198,Hoja1!$A$1:$A$29),"N/A")</f>
        <v>4</v>
      </c>
      <c r="AR198" s="123">
        <v>0</v>
      </c>
      <c r="AS198" s="75">
        <f t="shared" si="23"/>
        <v>4</v>
      </c>
      <c r="AT198" s="21">
        <f>IFERROR(NETWORKDAYS(D198,AG198,Hoja1!$A$1:$A$29),"N/A")</f>
        <v>24</v>
      </c>
      <c r="AU198" s="21">
        <f t="shared" si="21"/>
        <v>20</v>
      </c>
      <c r="AV198" s="69" t="s">
        <v>59</v>
      </c>
      <c r="AW198" s="86" t="s">
        <v>711</v>
      </c>
      <c r="AX198" s="107"/>
      <c r="AY198" s="107"/>
      <c r="AZ198" s="107"/>
      <c r="BA198" s="107"/>
      <c r="BB198" s="1"/>
    </row>
    <row r="199" spans="1:54" ht="15" customHeight="1" x14ac:dyDescent="0.25">
      <c r="A199" s="57">
        <v>15637</v>
      </c>
      <c r="B199" s="27" t="s">
        <v>69</v>
      </c>
      <c r="C199" s="27" t="s">
        <v>122</v>
      </c>
      <c r="D199" s="15">
        <v>46031</v>
      </c>
      <c r="E199" s="16">
        <v>46029</v>
      </c>
      <c r="F199" s="114" t="s">
        <v>62</v>
      </c>
      <c r="G199" s="23" t="s">
        <v>80</v>
      </c>
      <c r="H199" s="87" t="s">
        <v>101</v>
      </c>
      <c r="I199" s="27" t="s">
        <v>712</v>
      </c>
      <c r="J199" s="27" t="s">
        <v>118</v>
      </c>
      <c r="K199" s="27" t="s">
        <v>66</v>
      </c>
      <c r="L199" s="1">
        <v>1</v>
      </c>
      <c r="M199" s="45" t="s">
        <v>54</v>
      </c>
      <c r="N199" s="2" t="s">
        <v>55</v>
      </c>
      <c r="O199" s="33">
        <v>0</v>
      </c>
      <c r="P199" s="1"/>
      <c r="Q199" s="2" t="s">
        <v>55</v>
      </c>
      <c r="R199" s="2" t="s">
        <v>55</v>
      </c>
      <c r="S199" s="33">
        <v>0</v>
      </c>
      <c r="T199" s="2" t="s">
        <v>55</v>
      </c>
      <c r="U199" s="2" t="s">
        <v>55</v>
      </c>
      <c r="V199" s="2" t="s">
        <v>55</v>
      </c>
      <c r="W199" s="2" t="s">
        <v>55</v>
      </c>
      <c r="X199" s="2" t="s">
        <v>55</v>
      </c>
      <c r="Y199" s="2" t="s">
        <v>55</v>
      </c>
      <c r="Z199" s="3" t="s">
        <v>55</v>
      </c>
      <c r="AA199" s="1">
        <v>1</v>
      </c>
      <c r="AB199" s="1">
        <v>1</v>
      </c>
      <c r="AC199" s="1">
        <v>0</v>
      </c>
      <c r="AD199" s="16">
        <v>46037</v>
      </c>
      <c r="AE199" s="16">
        <v>46044</v>
      </c>
      <c r="AF199" s="16">
        <v>46044</v>
      </c>
      <c r="AG199" s="16">
        <v>46050</v>
      </c>
      <c r="AH199" s="16">
        <v>46055</v>
      </c>
      <c r="AI199" s="3">
        <f t="shared" si="22"/>
        <v>2</v>
      </c>
      <c r="AJ199" s="108" t="s">
        <v>713</v>
      </c>
      <c r="AK199" s="49" t="s">
        <v>714</v>
      </c>
      <c r="AL199" s="19" t="str">
        <f t="shared" si="25"/>
        <v>N/A</v>
      </c>
      <c r="AM199" s="67" t="str">
        <f>IFERROR(NETWORKDAYS(D199,Q199,Hoja1!$A$1:$A$29),"N/A")</f>
        <v>N/A</v>
      </c>
      <c r="AN199" s="21">
        <f>IFERROR(NETWORKDAYS(D199,AE199,Hoja1!$A$1:$A$29),"N/A")</f>
        <v>9</v>
      </c>
      <c r="AO199" s="78">
        <v>4</v>
      </c>
      <c r="AP199" s="21">
        <f t="shared" si="24"/>
        <v>5</v>
      </c>
      <c r="AQ199" s="21">
        <f>IFERROR(NETWORKDAYS(AF199,AG199,Hoja1!$A$1:$A$29),"N/A")</f>
        <v>5</v>
      </c>
      <c r="AR199" s="67">
        <v>0</v>
      </c>
      <c r="AS199" s="75">
        <f t="shared" si="23"/>
        <v>5</v>
      </c>
      <c r="AT199" s="21">
        <f>IFERROR(NETWORKDAYS(D199,AG199,Hoja1!$A$1:$A$29),"N/A")</f>
        <v>13</v>
      </c>
      <c r="AU199" s="21">
        <f t="shared" si="21"/>
        <v>9</v>
      </c>
      <c r="AV199" s="69" t="s">
        <v>104</v>
      </c>
      <c r="AW199" s="86" t="s">
        <v>715</v>
      </c>
      <c r="AX199" s="1"/>
      <c r="AY199" s="1"/>
      <c r="AZ199" s="1"/>
      <c r="BA199" s="1"/>
      <c r="BB199" s="1"/>
    </row>
    <row r="200" spans="1:54" ht="15" customHeight="1" x14ac:dyDescent="0.25">
      <c r="A200" s="95">
        <v>15639</v>
      </c>
      <c r="B200" s="87" t="s">
        <v>79</v>
      </c>
      <c r="C200" s="87" t="s">
        <v>79</v>
      </c>
      <c r="D200" s="420">
        <v>46030</v>
      </c>
      <c r="E200" s="15">
        <v>46029</v>
      </c>
      <c r="F200" s="84" t="s">
        <v>62</v>
      </c>
      <c r="G200" s="48" t="s">
        <v>71</v>
      </c>
      <c r="H200" s="111" t="s">
        <v>51</v>
      </c>
      <c r="I200" s="240" t="s">
        <v>96</v>
      </c>
      <c r="J200" s="27" t="s">
        <v>73</v>
      </c>
      <c r="K200" s="87" t="s">
        <v>74</v>
      </c>
      <c r="L200" s="1">
        <v>1</v>
      </c>
      <c r="M200" s="45" t="s">
        <v>54</v>
      </c>
      <c r="N200" s="2" t="s">
        <v>55</v>
      </c>
      <c r="O200" s="1">
        <v>2</v>
      </c>
      <c r="P200" s="1" t="s">
        <v>112</v>
      </c>
      <c r="Q200" s="16">
        <v>46042</v>
      </c>
      <c r="R200" s="16">
        <v>46045</v>
      </c>
      <c r="S200" s="1">
        <v>2</v>
      </c>
      <c r="T200" s="18" t="s">
        <v>55</v>
      </c>
      <c r="U200" s="18" t="s">
        <v>55</v>
      </c>
      <c r="V200" s="18" t="s">
        <v>55</v>
      </c>
      <c r="W200" s="18" t="s">
        <v>55</v>
      </c>
      <c r="X200" s="18" t="s">
        <v>55</v>
      </c>
      <c r="Y200" s="18" t="s">
        <v>55</v>
      </c>
      <c r="Z200" s="3" t="s">
        <v>55</v>
      </c>
      <c r="AA200" s="1">
        <v>1</v>
      </c>
      <c r="AB200" s="1">
        <v>1</v>
      </c>
      <c r="AC200" s="1">
        <v>0</v>
      </c>
      <c r="AD200" s="16">
        <v>46051</v>
      </c>
      <c r="AE200" s="16">
        <v>46055</v>
      </c>
      <c r="AF200" s="16">
        <v>46058</v>
      </c>
      <c r="AG200" s="16">
        <v>46064</v>
      </c>
      <c r="AH200" s="140">
        <v>46076</v>
      </c>
      <c r="AI200" s="3">
        <f t="shared" si="22"/>
        <v>2</v>
      </c>
      <c r="AJ200" s="249" t="s">
        <v>716</v>
      </c>
      <c r="AK200" s="49" t="s">
        <v>717</v>
      </c>
      <c r="AL200" s="19">
        <f t="shared" si="25"/>
        <v>1</v>
      </c>
      <c r="AM200" s="67">
        <f>IFERROR(NETWORKDAYS(D200,Q200,Hoja1!$A$1:$A$29),"N/A")</f>
        <v>8</v>
      </c>
      <c r="AN200" s="21">
        <f>IFERROR(NETWORKDAYS(D200,AE200,Hoja1!$A$1:$A$29),"N/A")</f>
        <v>17</v>
      </c>
      <c r="AO200" s="78">
        <v>2</v>
      </c>
      <c r="AP200" s="21">
        <f t="shared" si="24"/>
        <v>15</v>
      </c>
      <c r="AQ200" s="21">
        <f>IFERROR(NETWORKDAYS(AF200,AG200,Hoja1!$A$1:$A$29),"N/A")</f>
        <v>5</v>
      </c>
      <c r="AR200" s="74">
        <v>0</v>
      </c>
      <c r="AS200" s="75">
        <f t="shared" si="23"/>
        <v>5</v>
      </c>
      <c r="AT200" s="21">
        <f>IFERROR(NETWORKDAYS(D200,AG200,Hoja1!$A$1:$A$29),"N/A")</f>
        <v>24</v>
      </c>
      <c r="AU200" s="21">
        <f t="shared" si="21"/>
        <v>22</v>
      </c>
      <c r="AV200" s="69" t="s">
        <v>77</v>
      </c>
      <c r="AW200" s="86" t="s">
        <v>78</v>
      </c>
      <c r="AX200" s="251"/>
      <c r="AY200" s="1"/>
      <c r="AZ200" s="1"/>
      <c r="BA200" s="1"/>
      <c r="BB200" s="1"/>
    </row>
    <row r="201" spans="1:54" ht="15" customHeight="1" x14ac:dyDescent="0.25">
      <c r="A201" s="95">
        <v>15640</v>
      </c>
      <c r="B201" s="87" t="s">
        <v>79</v>
      </c>
      <c r="C201" s="87" t="s">
        <v>79</v>
      </c>
      <c r="D201" s="15">
        <v>46030</v>
      </c>
      <c r="E201" s="15">
        <v>46029</v>
      </c>
      <c r="F201" s="84" t="s">
        <v>62</v>
      </c>
      <c r="G201" s="48" t="s">
        <v>71</v>
      </c>
      <c r="H201" s="111" t="s">
        <v>51</v>
      </c>
      <c r="I201" s="240" t="s">
        <v>96</v>
      </c>
      <c r="J201" s="27" t="s">
        <v>73</v>
      </c>
      <c r="K201" s="87" t="s">
        <v>74</v>
      </c>
      <c r="L201" s="1">
        <v>1</v>
      </c>
      <c r="M201" s="45" t="s">
        <v>54</v>
      </c>
      <c r="N201" s="18" t="s">
        <v>55</v>
      </c>
      <c r="O201" s="1">
        <v>3</v>
      </c>
      <c r="P201" s="1" t="s">
        <v>112</v>
      </c>
      <c r="Q201" s="16">
        <v>46037</v>
      </c>
      <c r="R201" s="16">
        <v>46045</v>
      </c>
      <c r="S201" s="1">
        <v>3</v>
      </c>
      <c r="T201" s="18" t="s">
        <v>55</v>
      </c>
      <c r="U201" s="18" t="s">
        <v>55</v>
      </c>
      <c r="V201" s="18" t="s">
        <v>55</v>
      </c>
      <c r="W201" s="18" t="s">
        <v>55</v>
      </c>
      <c r="X201" s="18" t="s">
        <v>55</v>
      </c>
      <c r="Y201" s="18" t="s">
        <v>55</v>
      </c>
      <c r="Z201" s="3" t="s">
        <v>55</v>
      </c>
      <c r="AA201" s="1">
        <v>1</v>
      </c>
      <c r="AB201" s="1">
        <v>1</v>
      </c>
      <c r="AC201" s="1">
        <v>0</v>
      </c>
      <c r="AD201" s="16">
        <v>46051</v>
      </c>
      <c r="AE201" s="16">
        <v>46055</v>
      </c>
      <c r="AF201" s="16">
        <v>46058</v>
      </c>
      <c r="AG201" s="16">
        <v>46065</v>
      </c>
      <c r="AH201" s="140">
        <v>46076</v>
      </c>
      <c r="AI201" s="3">
        <f t="shared" si="22"/>
        <v>2</v>
      </c>
      <c r="AJ201" s="249" t="s">
        <v>718</v>
      </c>
      <c r="AK201" s="49" t="s">
        <v>719</v>
      </c>
      <c r="AL201" s="19">
        <f t="shared" si="25"/>
        <v>1</v>
      </c>
      <c r="AM201" s="67">
        <f>IFERROR(NETWORKDAYS(D201,Q201,Hoja1!$A$1:$A$29),"N/A")</f>
        <v>5</v>
      </c>
      <c r="AN201" s="21">
        <f>IFERROR(NETWORKDAYS(D201,AE201,Hoja1!$A$1:$A$29),"N/A")</f>
        <v>17</v>
      </c>
      <c r="AO201" s="78">
        <v>2</v>
      </c>
      <c r="AP201" s="21">
        <f t="shared" si="24"/>
        <v>15</v>
      </c>
      <c r="AQ201" s="21">
        <f>IFERROR(NETWORKDAYS(AF201,AG201,Hoja1!$A$1:$A$29),"N/A")</f>
        <v>6</v>
      </c>
      <c r="AR201" s="67">
        <v>1</v>
      </c>
      <c r="AS201" s="75">
        <f t="shared" si="23"/>
        <v>5</v>
      </c>
      <c r="AT201" s="21">
        <f>IFERROR(NETWORKDAYS(D201,AG201,Hoja1!$A$1:$A$29),"N/A")</f>
        <v>25</v>
      </c>
      <c r="AU201" s="21">
        <f t="shared" si="21"/>
        <v>22</v>
      </c>
      <c r="AV201" s="69" t="s">
        <v>77</v>
      </c>
      <c r="AW201" s="86" t="s">
        <v>78</v>
      </c>
      <c r="AX201" s="251"/>
      <c r="AY201" s="1"/>
      <c r="AZ201" s="1"/>
      <c r="BA201" s="1"/>
      <c r="BB201" s="1"/>
    </row>
    <row r="202" spans="1:54" ht="15" customHeight="1" x14ac:dyDescent="0.25">
      <c r="A202" s="95">
        <v>15641</v>
      </c>
      <c r="B202" s="87" t="s">
        <v>79</v>
      </c>
      <c r="C202" s="87" t="s">
        <v>79</v>
      </c>
      <c r="D202" s="420">
        <v>46030</v>
      </c>
      <c r="E202" s="15">
        <v>46029</v>
      </c>
      <c r="F202" s="84" t="s">
        <v>62</v>
      </c>
      <c r="G202" s="48" t="s">
        <v>71</v>
      </c>
      <c r="H202" s="111" t="s">
        <v>51</v>
      </c>
      <c r="I202" s="240" t="s">
        <v>96</v>
      </c>
      <c r="J202" s="27" t="s">
        <v>73</v>
      </c>
      <c r="K202" s="87" t="s">
        <v>74</v>
      </c>
      <c r="L202" s="1">
        <v>1</v>
      </c>
      <c r="M202" s="45" t="s">
        <v>54</v>
      </c>
      <c r="N202" s="2" t="s">
        <v>55</v>
      </c>
      <c r="O202" s="1">
        <v>3</v>
      </c>
      <c r="P202" s="1" t="s">
        <v>112</v>
      </c>
      <c r="Q202" s="16">
        <v>46037</v>
      </c>
      <c r="R202" s="16">
        <v>46045</v>
      </c>
      <c r="S202" s="1">
        <v>3</v>
      </c>
      <c r="T202" s="18" t="s">
        <v>55</v>
      </c>
      <c r="U202" s="18" t="s">
        <v>55</v>
      </c>
      <c r="V202" s="18" t="s">
        <v>55</v>
      </c>
      <c r="W202" s="18" t="s">
        <v>55</v>
      </c>
      <c r="X202" s="18" t="s">
        <v>55</v>
      </c>
      <c r="Y202" s="18" t="s">
        <v>55</v>
      </c>
      <c r="Z202" s="3" t="s">
        <v>55</v>
      </c>
      <c r="AA202" s="1">
        <v>1</v>
      </c>
      <c r="AB202" s="1">
        <v>1</v>
      </c>
      <c r="AC202" s="1">
        <v>0</v>
      </c>
      <c r="AD202" s="16">
        <v>46051</v>
      </c>
      <c r="AE202" s="16">
        <v>46055</v>
      </c>
      <c r="AF202" s="16">
        <v>46058</v>
      </c>
      <c r="AG202" s="16">
        <v>46064</v>
      </c>
      <c r="AH202" s="140">
        <v>46076</v>
      </c>
      <c r="AI202" s="3">
        <f t="shared" si="22"/>
        <v>2</v>
      </c>
      <c r="AJ202" s="249" t="s">
        <v>720</v>
      </c>
      <c r="AK202" s="49" t="s">
        <v>721</v>
      </c>
      <c r="AL202" s="19">
        <f t="shared" si="25"/>
        <v>1</v>
      </c>
      <c r="AM202" s="67">
        <f>IFERROR(NETWORKDAYS(D202,Q202,Hoja1!$A$1:$A$29),"N/A")</f>
        <v>5</v>
      </c>
      <c r="AN202" s="21">
        <f>IFERROR(NETWORKDAYS(D202,AE202,Hoja1!$A$1:$A$29),"N/A")</f>
        <v>17</v>
      </c>
      <c r="AO202" s="78">
        <v>2</v>
      </c>
      <c r="AP202" s="21">
        <f t="shared" si="24"/>
        <v>15</v>
      </c>
      <c r="AQ202" s="21">
        <f>IFERROR(NETWORKDAYS(AF202,AG202,Hoja1!$A$1:$A$29),"N/A")</f>
        <v>5</v>
      </c>
      <c r="AR202" s="74">
        <v>0</v>
      </c>
      <c r="AS202" s="75">
        <f t="shared" si="23"/>
        <v>5</v>
      </c>
      <c r="AT202" s="21">
        <f>IFERROR(NETWORKDAYS(D202,AG202,Hoja1!$A$1:$A$29),"N/A")</f>
        <v>24</v>
      </c>
      <c r="AU202" s="21">
        <f t="shared" si="21"/>
        <v>22</v>
      </c>
      <c r="AV202" s="69" t="s">
        <v>77</v>
      </c>
      <c r="AW202" s="86" t="s">
        <v>78</v>
      </c>
      <c r="AX202" s="251"/>
      <c r="AY202" s="1"/>
      <c r="AZ202" s="1"/>
      <c r="BA202" s="1"/>
      <c r="BB202" s="1"/>
    </row>
    <row r="203" spans="1:54" ht="15" customHeight="1" x14ac:dyDescent="0.25">
      <c r="A203" s="57">
        <v>15646</v>
      </c>
      <c r="B203" s="27" t="s">
        <v>61</v>
      </c>
      <c r="C203" s="27" t="s">
        <v>61</v>
      </c>
      <c r="D203" s="15">
        <v>46030</v>
      </c>
      <c r="E203" s="16">
        <v>46030</v>
      </c>
      <c r="F203" s="114" t="s">
        <v>62</v>
      </c>
      <c r="G203" s="114" t="s">
        <v>63</v>
      </c>
      <c r="H203" s="87" t="s">
        <v>101</v>
      </c>
      <c r="I203" s="27" t="s">
        <v>72</v>
      </c>
      <c r="J203" s="27" t="s">
        <v>73</v>
      </c>
      <c r="K203" s="27" t="s">
        <v>66</v>
      </c>
      <c r="L203" s="1">
        <v>1</v>
      </c>
      <c r="M203" s="45" t="s">
        <v>54</v>
      </c>
      <c r="N203" s="2" t="s">
        <v>55</v>
      </c>
      <c r="O203" s="33">
        <v>0</v>
      </c>
      <c r="P203" s="1"/>
      <c r="Q203" s="2" t="s">
        <v>55</v>
      </c>
      <c r="R203" s="2" t="s">
        <v>55</v>
      </c>
      <c r="S203" s="33">
        <v>0</v>
      </c>
      <c r="T203" s="2" t="s">
        <v>55</v>
      </c>
      <c r="U203" s="116" t="s">
        <v>55</v>
      </c>
      <c r="V203" s="2" t="s">
        <v>55</v>
      </c>
      <c r="W203" s="2" t="s">
        <v>55</v>
      </c>
      <c r="X203" s="2" t="s">
        <v>55</v>
      </c>
      <c r="Y203" s="2" t="s">
        <v>55</v>
      </c>
      <c r="Z203" s="3" t="s">
        <v>55</v>
      </c>
      <c r="AA203" s="1">
        <v>1</v>
      </c>
      <c r="AB203" s="1">
        <v>1</v>
      </c>
      <c r="AC203" s="1">
        <v>0</v>
      </c>
      <c r="AD203" s="16">
        <v>46042</v>
      </c>
      <c r="AE203" s="16">
        <v>46043</v>
      </c>
      <c r="AF203" s="16">
        <v>46045</v>
      </c>
      <c r="AG203" s="16">
        <v>46051</v>
      </c>
      <c r="AH203" s="16">
        <v>46055</v>
      </c>
      <c r="AI203" s="3">
        <f t="shared" si="22"/>
        <v>2</v>
      </c>
      <c r="AJ203" s="108" t="s">
        <v>722</v>
      </c>
      <c r="AK203" s="49" t="s">
        <v>723</v>
      </c>
      <c r="AL203" s="19" t="str">
        <f t="shared" si="25"/>
        <v>N/A</v>
      </c>
      <c r="AM203" s="67" t="str">
        <f>IFERROR(NETWORKDAYS(D203,Q203,Hoja1!$A$1:$A$29),"N/A")</f>
        <v>N/A</v>
      </c>
      <c r="AN203" s="21">
        <f>IFERROR(NETWORKDAYS(D203,AE203,Hoja1!$A$1:$A$29),"N/A")</f>
        <v>9</v>
      </c>
      <c r="AO203" s="78">
        <v>0</v>
      </c>
      <c r="AP203" s="21">
        <f t="shared" si="24"/>
        <v>9</v>
      </c>
      <c r="AQ203" s="21">
        <f>IFERROR(NETWORKDAYS(AF203,AG203,Hoja1!$A$1:$A$29),"N/A")</f>
        <v>5</v>
      </c>
      <c r="AR203" s="67">
        <v>0</v>
      </c>
      <c r="AS203" s="75">
        <f t="shared" si="23"/>
        <v>5</v>
      </c>
      <c r="AT203" s="21">
        <f>IFERROR(NETWORKDAYS(D203,AG203,Hoja1!$A$1:$A$29),"N/A")</f>
        <v>15</v>
      </c>
      <c r="AU203" s="21">
        <f t="shared" si="21"/>
        <v>15</v>
      </c>
      <c r="AV203" s="69" t="s">
        <v>104</v>
      </c>
      <c r="AW203" s="86" t="s">
        <v>82</v>
      </c>
      <c r="AX203" s="1"/>
      <c r="AY203" s="1"/>
      <c r="AZ203" s="1"/>
      <c r="BA203" s="1"/>
      <c r="BB203" s="1"/>
    </row>
    <row r="204" spans="1:54" ht="15" customHeight="1" x14ac:dyDescent="0.25">
      <c r="A204" s="55">
        <v>15651</v>
      </c>
      <c r="B204" s="87" t="s">
        <v>79</v>
      </c>
      <c r="C204" s="87" t="s">
        <v>79</v>
      </c>
      <c r="D204" s="420">
        <v>46050</v>
      </c>
      <c r="E204" s="44">
        <v>46030</v>
      </c>
      <c r="F204" s="143" t="s">
        <v>99</v>
      </c>
      <c r="G204" s="111" t="s">
        <v>100</v>
      </c>
      <c r="H204" s="87" t="s">
        <v>101</v>
      </c>
      <c r="I204" s="111" t="s">
        <v>724</v>
      </c>
      <c r="J204" s="111" t="s">
        <v>65</v>
      </c>
      <c r="K204" s="111" t="s">
        <v>129</v>
      </c>
      <c r="L204" s="2">
        <v>1</v>
      </c>
      <c r="M204" s="45" t="s">
        <v>54</v>
      </c>
      <c r="N204" s="2" t="s">
        <v>55</v>
      </c>
      <c r="O204" s="2">
        <v>0</v>
      </c>
      <c r="P204" s="2"/>
      <c r="Q204" s="2" t="s">
        <v>55</v>
      </c>
      <c r="R204" s="2" t="s">
        <v>55</v>
      </c>
      <c r="S204" s="2">
        <v>0</v>
      </c>
      <c r="T204" s="2" t="s">
        <v>55</v>
      </c>
      <c r="U204" s="2" t="s">
        <v>55</v>
      </c>
      <c r="V204" s="2" t="s">
        <v>55</v>
      </c>
      <c r="W204" s="2" t="s">
        <v>55</v>
      </c>
      <c r="X204" s="2" t="s">
        <v>55</v>
      </c>
      <c r="Y204" s="2" t="s">
        <v>55</v>
      </c>
      <c r="Z204" s="3" t="s">
        <v>55</v>
      </c>
      <c r="AA204" s="2">
        <v>1</v>
      </c>
      <c r="AB204" s="2">
        <v>1</v>
      </c>
      <c r="AC204" s="2">
        <v>0</v>
      </c>
      <c r="AD204" s="44">
        <v>46058</v>
      </c>
      <c r="AE204" s="44">
        <v>46058</v>
      </c>
      <c r="AF204" s="44">
        <v>46057</v>
      </c>
      <c r="AG204" s="44">
        <v>46059</v>
      </c>
      <c r="AH204" s="104">
        <v>46065</v>
      </c>
      <c r="AI204" s="3">
        <f t="shared" si="22"/>
        <v>2</v>
      </c>
      <c r="AJ204" s="85" t="s">
        <v>725</v>
      </c>
      <c r="AK204" s="46" t="s">
        <v>726</v>
      </c>
      <c r="AL204" s="19" t="str">
        <f t="shared" si="25"/>
        <v>N/A</v>
      </c>
      <c r="AM204" s="67" t="str">
        <f>IFERROR(NETWORKDAYS(D204,Q204,Hoja1!$A$1:$A$29),"N/A")</f>
        <v>N/A</v>
      </c>
      <c r="AN204" s="21">
        <f>IFERROR(NETWORKDAYS(D204,AE204,Hoja1!$A$1:$A$29),"N/A")</f>
        <v>7</v>
      </c>
      <c r="AO204" s="78">
        <v>0</v>
      </c>
      <c r="AP204" s="21">
        <f t="shared" si="24"/>
        <v>7</v>
      </c>
      <c r="AQ204" s="21">
        <f>IFERROR(NETWORKDAYS(AF204,AG204,Hoja1!$A$1:$A$29),"N/A")</f>
        <v>3</v>
      </c>
      <c r="AR204" s="78">
        <v>0</v>
      </c>
      <c r="AS204" s="75">
        <f t="shared" si="23"/>
        <v>3</v>
      </c>
      <c r="AT204" s="21">
        <f>IFERROR(NETWORKDAYS(D204,AG204,Hoja1!$A$1:$A$29),"N/A")</f>
        <v>8</v>
      </c>
      <c r="AU204" s="21">
        <f t="shared" si="21"/>
        <v>8</v>
      </c>
      <c r="AV204" s="69" t="s">
        <v>104</v>
      </c>
      <c r="AW204" s="86" t="s">
        <v>727</v>
      </c>
      <c r="AX204" s="46" t="s">
        <v>453</v>
      </c>
      <c r="AY204" s="43"/>
      <c r="AZ204" s="43"/>
      <c r="BA204" s="43"/>
      <c r="BB204" s="43"/>
    </row>
    <row r="205" spans="1:54" ht="15" customHeight="1" x14ac:dyDescent="0.25">
      <c r="A205" s="55">
        <v>15654</v>
      </c>
      <c r="B205" s="87" t="s">
        <v>79</v>
      </c>
      <c r="C205" s="87" t="s">
        <v>79</v>
      </c>
      <c r="D205" s="15">
        <v>46050</v>
      </c>
      <c r="E205" s="44">
        <v>46031</v>
      </c>
      <c r="F205" s="143" t="s">
        <v>99</v>
      </c>
      <c r="G205" s="111" t="s">
        <v>100</v>
      </c>
      <c r="H205" s="87" t="s">
        <v>101</v>
      </c>
      <c r="I205" s="111" t="s">
        <v>239</v>
      </c>
      <c r="J205" s="111" t="s">
        <v>52</v>
      </c>
      <c r="K205" s="111" t="s">
        <v>129</v>
      </c>
      <c r="L205" s="2">
        <v>1</v>
      </c>
      <c r="M205" s="45" t="s">
        <v>54</v>
      </c>
      <c r="N205" s="2" t="s">
        <v>55</v>
      </c>
      <c r="O205" s="2">
        <v>0</v>
      </c>
      <c r="P205" s="2"/>
      <c r="Q205" s="2" t="s">
        <v>55</v>
      </c>
      <c r="R205" s="2" t="s">
        <v>55</v>
      </c>
      <c r="S205" s="2">
        <v>0</v>
      </c>
      <c r="T205" s="2" t="s">
        <v>55</v>
      </c>
      <c r="U205" s="2" t="s">
        <v>55</v>
      </c>
      <c r="V205" s="2" t="s">
        <v>55</v>
      </c>
      <c r="W205" s="2" t="s">
        <v>55</v>
      </c>
      <c r="X205" s="2" t="s">
        <v>55</v>
      </c>
      <c r="Y205" s="2" t="s">
        <v>55</v>
      </c>
      <c r="Z205" s="3" t="s">
        <v>55</v>
      </c>
      <c r="AA205" s="2">
        <v>2</v>
      </c>
      <c r="AB205" s="2">
        <v>2</v>
      </c>
      <c r="AC205" s="2">
        <v>0</v>
      </c>
      <c r="AD205" s="44">
        <v>46059</v>
      </c>
      <c r="AE205" s="44">
        <v>46059</v>
      </c>
      <c r="AF205" s="44">
        <v>46059</v>
      </c>
      <c r="AG205" s="44">
        <v>46064</v>
      </c>
      <c r="AH205" s="44">
        <v>46065</v>
      </c>
      <c r="AI205" s="3">
        <f t="shared" si="22"/>
        <v>2</v>
      </c>
      <c r="AJ205" s="85" t="s">
        <v>728</v>
      </c>
      <c r="AK205" s="46" t="s">
        <v>729</v>
      </c>
      <c r="AL205" s="19" t="str">
        <f t="shared" si="25"/>
        <v>N/A</v>
      </c>
      <c r="AM205" s="67" t="str">
        <f>IFERROR(NETWORKDAYS(D205,Q205,Hoja1!$A$1:$A$29),"N/A")</f>
        <v>N/A</v>
      </c>
      <c r="AN205" s="21">
        <f>IFERROR(NETWORKDAYS(D205,AE205,Hoja1!$A$1:$A$29),"N/A")</f>
        <v>8</v>
      </c>
      <c r="AO205" s="78">
        <v>0</v>
      </c>
      <c r="AP205" s="21">
        <f t="shared" si="24"/>
        <v>8</v>
      </c>
      <c r="AQ205" s="21">
        <f>IFERROR(NETWORKDAYS(AF205,AG205,Hoja1!$A$1:$A$29),"N/A")</f>
        <v>4</v>
      </c>
      <c r="AR205" s="78">
        <v>0</v>
      </c>
      <c r="AS205" s="75">
        <f t="shared" si="23"/>
        <v>4</v>
      </c>
      <c r="AT205" s="21">
        <f>IFERROR(NETWORKDAYS(D205,AG205,Hoja1!$A$1:$A$29),"N/A")</f>
        <v>11</v>
      </c>
      <c r="AU205" s="21">
        <f t="shared" si="21"/>
        <v>11</v>
      </c>
      <c r="AV205" s="69" t="s">
        <v>104</v>
      </c>
      <c r="AW205" s="86" t="s">
        <v>294</v>
      </c>
      <c r="AX205" s="114" t="s">
        <v>445</v>
      </c>
      <c r="AY205" s="43"/>
      <c r="AZ205" s="43"/>
      <c r="BA205" s="43"/>
      <c r="BB205" s="43"/>
    </row>
    <row r="206" spans="1:54" ht="15" customHeight="1" x14ac:dyDescent="0.25">
      <c r="A206" s="55">
        <v>15662</v>
      </c>
      <c r="B206" s="87" t="s">
        <v>79</v>
      </c>
      <c r="C206" s="87" t="s">
        <v>79</v>
      </c>
      <c r="D206" s="420">
        <v>46036</v>
      </c>
      <c r="E206" s="16">
        <v>46036</v>
      </c>
      <c r="F206" s="114" t="s">
        <v>163</v>
      </c>
      <c r="G206" s="114" t="s">
        <v>688</v>
      </c>
      <c r="H206" s="111" t="s">
        <v>51</v>
      </c>
      <c r="I206" s="27" t="s">
        <v>72</v>
      </c>
      <c r="J206" s="27" t="s">
        <v>73</v>
      </c>
      <c r="K206" s="27" t="s">
        <v>165</v>
      </c>
      <c r="L206" s="1">
        <v>1</v>
      </c>
      <c r="M206" s="45" t="s">
        <v>54</v>
      </c>
      <c r="N206" s="21" t="s">
        <v>55</v>
      </c>
      <c r="O206" s="1">
        <v>4</v>
      </c>
      <c r="P206" s="1" t="s">
        <v>56</v>
      </c>
      <c r="Q206" s="16">
        <v>46045</v>
      </c>
      <c r="R206" s="16">
        <v>46048</v>
      </c>
      <c r="S206" s="1">
        <v>4</v>
      </c>
      <c r="T206" s="36" t="s">
        <v>55</v>
      </c>
      <c r="U206" s="36" t="s">
        <v>55</v>
      </c>
      <c r="V206" s="36" t="s">
        <v>55</v>
      </c>
      <c r="W206" s="36" t="s">
        <v>55</v>
      </c>
      <c r="X206" s="36" t="s">
        <v>55</v>
      </c>
      <c r="Y206" s="36" t="s">
        <v>55</v>
      </c>
      <c r="Z206" s="3" t="s">
        <v>55</v>
      </c>
      <c r="AA206" s="1">
        <v>1</v>
      </c>
      <c r="AB206" s="1">
        <v>1</v>
      </c>
      <c r="AC206" s="1">
        <v>0</v>
      </c>
      <c r="AD206" s="16">
        <v>46049</v>
      </c>
      <c r="AE206" s="16">
        <v>46049</v>
      </c>
      <c r="AF206" s="16">
        <v>46049</v>
      </c>
      <c r="AG206" s="16">
        <v>46052</v>
      </c>
      <c r="AH206" s="16">
        <v>46055</v>
      </c>
      <c r="AI206" s="3">
        <f t="shared" si="22"/>
        <v>2</v>
      </c>
      <c r="AJ206" s="85" t="s">
        <v>730</v>
      </c>
      <c r="AK206" s="49" t="s">
        <v>731</v>
      </c>
      <c r="AL206" s="19">
        <f t="shared" si="25"/>
        <v>1</v>
      </c>
      <c r="AM206" s="67">
        <f>IFERROR(NETWORKDAYS(D206,Q206,Hoja1!$A$1:$A$29),"N/A")</f>
        <v>8</v>
      </c>
      <c r="AN206" s="21">
        <f>IFERROR(NETWORKDAYS(D206,AE206,Hoja1!$A$1:$A$29),"N/A")</f>
        <v>10</v>
      </c>
      <c r="AO206" s="78">
        <v>0</v>
      </c>
      <c r="AP206" s="21">
        <f t="shared" si="24"/>
        <v>10</v>
      </c>
      <c r="AQ206" s="21">
        <f>IFERROR(NETWORKDAYS(AF206,AG206,Hoja1!$A$1:$A$29),"N/A")</f>
        <v>4</v>
      </c>
      <c r="AR206" s="113">
        <v>0</v>
      </c>
      <c r="AS206" s="75">
        <f t="shared" si="23"/>
        <v>4</v>
      </c>
      <c r="AT206" s="21">
        <f>IFERROR(NETWORKDAYS(D206,AG206,Hoja1!$A$1:$A$29),"N/A")</f>
        <v>13</v>
      </c>
      <c r="AU206" s="21">
        <f t="shared" si="21"/>
        <v>13</v>
      </c>
      <c r="AV206" s="69" t="s">
        <v>127</v>
      </c>
      <c r="AW206" s="86" t="s">
        <v>82</v>
      </c>
      <c r="AX206" s="46" t="s">
        <v>453</v>
      </c>
      <c r="AY206" s="33"/>
      <c r="AZ206" s="33"/>
      <c r="BA206" s="33"/>
      <c r="BB206" s="33"/>
    </row>
    <row r="207" spans="1:54" ht="15" customHeight="1" x14ac:dyDescent="0.25">
      <c r="A207" s="95">
        <v>15666</v>
      </c>
      <c r="B207" s="84" t="s">
        <v>597</v>
      </c>
      <c r="C207" s="84" t="s">
        <v>597</v>
      </c>
      <c r="D207" s="28">
        <v>46037</v>
      </c>
      <c r="E207" s="28">
        <v>46036</v>
      </c>
      <c r="F207" s="84" t="s">
        <v>62</v>
      </c>
      <c r="G207" s="84" t="s">
        <v>71</v>
      </c>
      <c r="H207" s="111" t="s">
        <v>51</v>
      </c>
      <c r="I207" s="27" t="s">
        <v>72</v>
      </c>
      <c r="J207" s="27" t="s">
        <v>73</v>
      </c>
      <c r="K207" s="84" t="s">
        <v>351</v>
      </c>
      <c r="L207" s="33">
        <v>1</v>
      </c>
      <c r="M207" s="45" t="s">
        <v>54</v>
      </c>
      <c r="N207" s="21" t="s">
        <v>55</v>
      </c>
      <c r="O207" s="33">
        <v>4</v>
      </c>
      <c r="P207" s="33" t="s">
        <v>112</v>
      </c>
      <c r="Q207" s="16">
        <v>46042</v>
      </c>
      <c r="R207" s="53">
        <v>46044</v>
      </c>
      <c r="S207" s="33">
        <v>4</v>
      </c>
      <c r="T207" s="21" t="s">
        <v>55</v>
      </c>
      <c r="U207" s="21" t="s">
        <v>55</v>
      </c>
      <c r="V207" s="21" t="s">
        <v>55</v>
      </c>
      <c r="W207" s="21" t="s">
        <v>55</v>
      </c>
      <c r="X207" s="21" t="s">
        <v>55</v>
      </c>
      <c r="Y207" s="21" t="s">
        <v>55</v>
      </c>
      <c r="Z207" s="3" t="s">
        <v>55</v>
      </c>
      <c r="AA207" s="33">
        <v>3</v>
      </c>
      <c r="AB207" s="33">
        <v>3</v>
      </c>
      <c r="AC207" s="33">
        <v>0</v>
      </c>
      <c r="AD207" s="28">
        <v>46055</v>
      </c>
      <c r="AE207" s="28">
        <v>46057</v>
      </c>
      <c r="AF207" s="28">
        <v>46058</v>
      </c>
      <c r="AG207" s="28">
        <v>46071</v>
      </c>
      <c r="AH207" s="140">
        <v>46076</v>
      </c>
      <c r="AI207" s="3">
        <f t="shared" si="22"/>
        <v>2</v>
      </c>
      <c r="AJ207" s="85" t="s">
        <v>732</v>
      </c>
      <c r="AK207" s="35" t="s">
        <v>733</v>
      </c>
      <c r="AL207" s="19">
        <f t="shared" si="25"/>
        <v>1</v>
      </c>
      <c r="AM207" s="67">
        <f>IFERROR(NETWORKDAYS(D207,Q207,Hoja1!$A$1:$A$29),"N/A")</f>
        <v>4</v>
      </c>
      <c r="AN207" s="21">
        <f>IFERROR(NETWORKDAYS(D207,AE207,Hoja1!$A$1:$A$29),"N/A")</f>
        <v>15</v>
      </c>
      <c r="AO207" s="78">
        <v>0</v>
      </c>
      <c r="AP207" s="21">
        <f t="shared" si="24"/>
        <v>15</v>
      </c>
      <c r="AQ207" s="21">
        <f>IFERROR(NETWORKDAYS(AF207,AG207,Hoja1!$A$1:$A$29),"N/A")</f>
        <v>10</v>
      </c>
      <c r="AR207" s="124">
        <v>5</v>
      </c>
      <c r="AS207" s="75">
        <f t="shared" si="23"/>
        <v>5</v>
      </c>
      <c r="AT207" s="21">
        <f>IFERROR(NETWORKDAYS(D207,AG207,Hoja1!$A$1:$A$29),"N/A")</f>
        <v>25</v>
      </c>
      <c r="AU207" s="21">
        <f t="shared" si="21"/>
        <v>20</v>
      </c>
      <c r="AV207" s="69" t="s">
        <v>77</v>
      </c>
      <c r="AW207" s="86" t="s">
        <v>82</v>
      </c>
      <c r="AX207" s="33"/>
      <c r="AY207" s="33"/>
      <c r="AZ207" s="33"/>
      <c r="BA207" s="33"/>
      <c r="BB207" s="33"/>
    </row>
    <row r="208" spans="1:54" ht="15" customHeight="1" x14ac:dyDescent="0.25">
      <c r="A208" s="95">
        <v>15668</v>
      </c>
      <c r="B208" s="84" t="s">
        <v>169</v>
      </c>
      <c r="C208" s="84" t="s">
        <v>169</v>
      </c>
      <c r="D208" s="420">
        <v>46050</v>
      </c>
      <c r="E208" s="28">
        <v>46038</v>
      </c>
      <c r="F208" s="84" t="s">
        <v>62</v>
      </c>
      <c r="G208" s="84" t="s">
        <v>71</v>
      </c>
      <c r="H208" s="87" t="s">
        <v>101</v>
      </c>
      <c r="I208" s="84" t="s">
        <v>96</v>
      </c>
      <c r="J208" s="27" t="s">
        <v>73</v>
      </c>
      <c r="K208" s="84" t="s">
        <v>86</v>
      </c>
      <c r="L208" s="33">
        <v>1</v>
      </c>
      <c r="M208" s="45" t="s">
        <v>54</v>
      </c>
      <c r="N208" s="21" t="s">
        <v>55</v>
      </c>
      <c r="O208" s="33">
        <v>0</v>
      </c>
      <c r="P208" s="33"/>
      <c r="Q208" s="21" t="s">
        <v>55</v>
      </c>
      <c r="R208" s="21" t="s">
        <v>55</v>
      </c>
      <c r="S208" s="33">
        <v>0</v>
      </c>
      <c r="T208" s="36" t="s">
        <v>55</v>
      </c>
      <c r="U208" s="36" t="s">
        <v>55</v>
      </c>
      <c r="V208" s="36" t="s">
        <v>55</v>
      </c>
      <c r="W208" s="36" t="s">
        <v>55</v>
      </c>
      <c r="X208" s="36" t="s">
        <v>55</v>
      </c>
      <c r="Y208" s="36" t="s">
        <v>55</v>
      </c>
      <c r="Z208" s="3" t="s">
        <v>55</v>
      </c>
      <c r="AA208" s="33">
        <v>1</v>
      </c>
      <c r="AB208" s="33">
        <v>1</v>
      </c>
      <c r="AC208" s="33">
        <v>0</v>
      </c>
      <c r="AD208" s="28">
        <v>46056</v>
      </c>
      <c r="AE208" s="28">
        <v>46056</v>
      </c>
      <c r="AF208" s="28">
        <v>46056</v>
      </c>
      <c r="AG208" s="28">
        <v>46071</v>
      </c>
      <c r="AH208" s="140">
        <v>46076</v>
      </c>
      <c r="AI208" s="3">
        <f t="shared" si="22"/>
        <v>2</v>
      </c>
      <c r="AJ208" s="85" t="s">
        <v>734</v>
      </c>
      <c r="AK208" s="35" t="s">
        <v>735</v>
      </c>
      <c r="AL208" s="19" t="str">
        <f t="shared" si="25"/>
        <v>N/A</v>
      </c>
      <c r="AM208" s="67" t="str">
        <f>IFERROR(NETWORKDAYS(D208,Q208,Hoja1!$A$1:$A$29),"N/A")</f>
        <v>N/A</v>
      </c>
      <c r="AN208" s="21">
        <f>IFERROR(NETWORKDAYS(D208,AE208,Hoja1!$A$1:$A$29),"N/A")</f>
        <v>5</v>
      </c>
      <c r="AO208" s="78">
        <v>0</v>
      </c>
      <c r="AP208" s="21">
        <f t="shared" si="24"/>
        <v>5</v>
      </c>
      <c r="AQ208" s="21">
        <f>IFERROR(NETWORKDAYS(AF208,AG208,Hoja1!$A$1:$A$29),"N/A")</f>
        <v>12</v>
      </c>
      <c r="AR208" s="74">
        <v>7</v>
      </c>
      <c r="AS208" s="75">
        <f t="shared" si="23"/>
        <v>5</v>
      </c>
      <c r="AT208" s="21">
        <f>IFERROR(NETWORKDAYS(D208,AG208,Hoja1!$A$1:$A$29),"N/A")</f>
        <v>16</v>
      </c>
      <c r="AU208" s="21">
        <f t="shared" si="21"/>
        <v>9</v>
      </c>
      <c r="AV208" s="69" t="s">
        <v>104</v>
      </c>
      <c r="AW208" s="86" t="s">
        <v>736</v>
      </c>
      <c r="AX208" s="33"/>
      <c r="AY208" s="33"/>
      <c r="AZ208" s="33"/>
      <c r="BA208" s="33"/>
      <c r="BB208" s="33"/>
    </row>
    <row r="209" spans="1:54" ht="15" customHeight="1" x14ac:dyDescent="0.25">
      <c r="A209" s="55">
        <v>15674</v>
      </c>
      <c r="B209" s="87" t="s">
        <v>85</v>
      </c>
      <c r="C209" s="87" t="s">
        <v>85</v>
      </c>
      <c r="D209" s="44">
        <v>46038</v>
      </c>
      <c r="E209" s="44">
        <v>46038</v>
      </c>
      <c r="F209" s="202" t="s">
        <v>879</v>
      </c>
      <c r="G209" s="87" t="s">
        <v>50</v>
      </c>
      <c r="H209" s="111" t="s">
        <v>51</v>
      </c>
      <c r="I209" s="84" t="s">
        <v>276</v>
      </c>
      <c r="J209" s="87" t="s">
        <v>52</v>
      </c>
      <c r="K209" s="87" t="s">
        <v>53</v>
      </c>
      <c r="L209" s="3">
        <v>1</v>
      </c>
      <c r="M209" s="45" t="s">
        <v>54</v>
      </c>
      <c r="N209" s="3" t="s">
        <v>55</v>
      </c>
      <c r="O209" s="3">
        <v>7</v>
      </c>
      <c r="P209" s="3" t="s">
        <v>112</v>
      </c>
      <c r="Q209" s="44">
        <v>46041</v>
      </c>
      <c r="R209" s="44">
        <v>46041</v>
      </c>
      <c r="S209" s="3">
        <v>7</v>
      </c>
      <c r="T209" s="3" t="s">
        <v>55</v>
      </c>
      <c r="U209" s="3" t="s">
        <v>55</v>
      </c>
      <c r="V209" s="3" t="s">
        <v>55</v>
      </c>
      <c r="W209" s="3" t="s">
        <v>55</v>
      </c>
      <c r="X209" s="3" t="s">
        <v>55</v>
      </c>
      <c r="Y209" s="3" t="s">
        <v>55</v>
      </c>
      <c r="Z209" s="3" t="s">
        <v>55</v>
      </c>
      <c r="AA209" s="3">
        <v>2</v>
      </c>
      <c r="AB209" s="3">
        <v>2</v>
      </c>
      <c r="AC209" s="3">
        <v>0</v>
      </c>
      <c r="AD209" s="30">
        <v>46049</v>
      </c>
      <c r="AE209" s="16">
        <v>46049</v>
      </c>
      <c r="AF209" s="16">
        <v>46049</v>
      </c>
      <c r="AG209" s="30">
        <v>46055</v>
      </c>
      <c r="AH209" s="16">
        <v>46055</v>
      </c>
      <c r="AI209" s="3">
        <f t="shared" si="22"/>
        <v>2</v>
      </c>
      <c r="AJ209" s="85" t="s">
        <v>737</v>
      </c>
      <c r="AK209" s="35" t="s">
        <v>738</v>
      </c>
      <c r="AL209" s="19">
        <f t="shared" si="25"/>
        <v>1</v>
      </c>
      <c r="AM209" s="67">
        <f>IFERROR(NETWORKDAYS(D209,Q209,Hoja1!$A$1:$A$29),"N/A")</f>
        <v>2</v>
      </c>
      <c r="AN209" s="21">
        <f>IFERROR(NETWORKDAYS(D209,AE209,Hoja1!$A$1:$A$29),"N/A")</f>
        <v>8</v>
      </c>
      <c r="AO209" s="78">
        <v>0</v>
      </c>
      <c r="AP209" s="21">
        <f t="shared" si="24"/>
        <v>8</v>
      </c>
      <c r="AQ209" s="21">
        <f>IFERROR(NETWORKDAYS(AF209,AG209,Hoja1!$A$1:$A$29),"N/A")</f>
        <v>5</v>
      </c>
      <c r="AR209" s="113">
        <v>0</v>
      </c>
      <c r="AS209" s="75">
        <f t="shared" si="23"/>
        <v>5</v>
      </c>
      <c r="AT209" s="21">
        <f>IFERROR(NETWORKDAYS(D209,AG209,Hoja1!$A$1:$A$29),"N/A")</f>
        <v>12</v>
      </c>
      <c r="AU209" s="21">
        <f t="shared" si="21"/>
        <v>12</v>
      </c>
      <c r="AV209" s="69" t="s">
        <v>131</v>
      </c>
      <c r="AW209" s="86" t="s">
        <v>229</v>
      </c>
      <c r="AX209" s="3"/>
      <c r="AY209" s="3"/>
      <c r="AZ209" s="3"/>
      <c r="BA209" s="3"/>
      <c r="BB209" s="3"/>
    </row>
    <row r="210" spans="1:54" ht="15" customHeight="1" x14ac:dyDescent="0.25">
      <c r="A210" s="55">
        <v>15676</v>
      </c>
      <c r="B210" s="87" t="s">
        <v>79</v>
      </c>
      <c r="C210" s="87" t="s">
        <v>79</v>
      </c>
      <c r="D210" s="419">
        <v>46038</v>
      </c>
      <c r="E210" s="44">
        <v>46038</v>
      </c>
      <c r="F210" s="143" t="s">
        <v>99</v>
      </c>
      <c r="G210" s="111" t="s">
        <v>135</v>
      </c>
      <c r="H210" s="87" t="s">
        <v>101</v>
      </c>
      <c r="I210" s="87" t="s">
        <v>92</v>
      </c>
      <c r="J210" s="111" t="s">
        <v>52</v>
      </c>
      <c r="K210" s="111" t="s">
        <v>129</v>
      </c>
      <c r="L210" s="2">
        <v>1</v>
      </c>
      <c r="M210" s="45" t="s">
        <v>54</v>
      </c>
      <c r="N210" s="2" t="s">
        <v>55</v>
      </c>
      <c r="O210" s="2">
        <v>0</v>
      </c>
      <c r="P210" s="2"/>
      <c r="Q210" s="2" t="s">
        <v>55</v>
      </c>
      <c r="R210" s="2" t="s">
        <v>55</v>
      </c>
      <c r="S210" s="2">
        <v>0</v>
      </c>
      <c r="T210" s="2" t="s">
        <v>55</v>
      </c>
      <c r="U210" s="2" t="s">
        <v>55</v>
      </c>
      <c r="V210" s="2" t="s">
        <v>55</v>
      </c>
      <c r="W210" s="2" t="s">
        <v>55</v>
      </c>
      <c r="X210" s="2" t="s">
        <v>55</v>
      </c>
      <c r="Y210" s="2" t="s">
        <v>55</v>
      </c>
      <c r="Z210" s="3" t="s">
        <v>55</v>
      </c>
      <c r="AA210" s="2">
        <v>1</v>
      </c>
      <c r="AB210" s="2">
        <v>1</v>
      </c>
      <c r="AC210" s="2">
        <v>0</v>
      </c>
      <c r="AD210" s="16">
        <v>46044</v>
      </c>
      <c r="AE210" s="28">
        <v>46050</v>
      </c>
      <c r="AF210" s="28">
        <v>46050</v>
      </c>
      <c r="AG210" s="16">
        <v>46052</v>
      </c>
      <c r="AH210" s="16">
        <v>46055</v>
      </c>
      <c r="AI210" s="3">
        <f t="shared" si="22"/>
        <v>2</v>
      </c>
      <c r="AJ210" s="85" t="s">
        <v>739</v>
      </c>
      <c r="AK210" s="46" t="s">
        <v>740</v>
      </c>
      <c r="AL210" s="19" t="str">
        <f t="shared" si="25"/>
        <v>N/A</v>
      </c>
      <c r="AM210" s="67" t="str">
        <f>IFERROR(NETWORKDAYS(D210,Q210,Hoja1!$A$1:$A$29),"N/A")</f>
        <v>N/A</v>
      </c>
      <c r="AN210" s="21">
        <f>IFERROR(NETWORKDAYS(D210,AE210,Hoja1!$A$1:$A$29),"N/A")</f>
        <v>9</v>
      </c>
      <c r="AO210" s="78">
        <v>0</v>
      </c>
      <c r="AP210" s="21">
        <f t="shared" si="24"/>
        <v>9</v>
      </c>
      <c r="AQ210" s="21">
        <f>IFERROR(NETWORKDAYS(AF210,AG210,Hoja1!$A$1:$A$29),"N/A")</f>
        <v>3</v>
      </c>
      <c r="AR210" s="78">
        <v>0</v>
      </c>
      <c r="AS210" s="75">
        <f t="shared" si="23"/>
        <v>3</v>
      </c>
      <c r="AT210" s="21">
        <f>IFERROR(NETWORKDAYS(D210,AG210,Hoja1!$A$1:$A$29),"N/A")</f>
        <v>11</v>
      </c>
      <c r="AU210" s="21">
        <f t="shared" si="21"/>
        <v>11</v>
      </c>
      <c r="AV210" s="69" t="s">
        <v>104</v>
      </c>
      <c r="AW210" s="86" t="s">
        <v>588</v>
      </c>
      <c r="AX210" s="43"/>
      <c r="AY210" s="43"/>
      <c r="AZ210" s="43"/>
      <c r="BA210" s="43"/>
      <c r="BB210" s="43"/>
    </row>
    <row r="211" spans="1:54" ht="15" customHeight="1" x14ac:dyDescent="0.25">
      <c r="A211" s="58">
        <v>15677</v>
      </c>
      <c r="B211" s="87" t="s">
        <v>79</v>
      </c>
      <c r="C211" s="87" t="s">
        <v>79</v>
      </c>
      <c r="D211" s="37">
        <v>46041</v>
      </c>
      <c r="E211" s="37">
        <v>46041</v>
      </c>
      <c r="F211" s="202" t="s">
        <v>879</v>
      </c>
      <c r="G211" s="48" t="s">
        <v>50</v>
      </c>
      <c r="H211" s="111" t="s">
        <v>51</v>
      </c>
      <c r="I211" s="87" t="s">
        <v>92</v>
      </c>
      <c r="J211" s="87" t="s">
        <v>52</v>
      </c>
      <c r="K211" s="48" t="s">
        <v>106</v>
      </c>
      <c r="L211" s="3">
        <v>1</v>
      </c>
      <c r="M211" s="45" t="s">
        <v>54</v>
      </c>
      <c r="N211" s="18" t="s">
        <v>55</v>
      </c>
      <c r="O211" s="3">
        <v>6</v>
      </c>
      <c r="P211" s="3" t="s">
        <v>112</v>
      </c>
      <c r="Q211" s="44">
        <v>46042</v>
      </c>
      <c r="R211" s="44">
        <v>46042</v>
      </c>
      <c r="S211" s="3">
        <v>6</v>
      </c>
      <c r="T211" s="18" t="s">
        <v>55</v>
      </c>
      <c r="U211" s="18" t="s">
        <v>55</v>
      </c>
      <c r="V211" s="18" t="s">
        <v>55</v>
      </c>
      <c r="W211" s="18" t="s">
        <v>55</v>
      </c>
      <c r="X211" s="18" t="s">
        <v>55</v>
      </c>
      <c r="Y211" s="18" t="s">
        <v>55</v>
      </c>
      <c r="Z211" s="3" t="s">
        <v>55</v>
      </c>
      <c r="AA211" s="3">
        <v>2</v>
      </c>
      <c r="AB211" s="3">
        <v>2</v>
      </c>
      <c r="AC211" s="3">
        <v>0</v>
      </c>
      <c r="AD211" s="30">
        <v>46045</v>
      </c>
      <c r="AE211" s="30">
        <v>46058</v>
      </c>
      <c r="AF211" s="30">
        <v>46058</v>
      </c>
      <c r="AG211" s="37">
        <v>46063</v>
      </c>
      <c r="AH211" s="37">
        <v>46063</v>
      </c>
      <c r="AI211" s="3">
        <f t="shared" si="22"/>
        <v>2</v>
      </c>
      <c r="AJ211" s="85" t="s">
        <v>741</v>
      </c>
      <c r="AK211" s="35" t="s">
        <v>742</v>
      </c>
      <c r="AL211" s="19">
        <f t="shared" si="25"/>
        <v>1</v>
      </c>
      <c r="AM211" s="67">
        <f>IFERROR(NETWORKDAYS(D211,Q211,Hoja1!$A$1:$A$29),"N/A")</f>
        <v>2</v>
      </c>
      <c r="AN211" s="21">
        <f>IFERROR(NETWORKDAYS(D211,AE211,Hoja1!$A$1:$A$29),"N/A")</f>
        <v>14</v>
      </c>
      <c r="AO211" s="78">
        <v>7</v>
      </c>
      <c r="AP211" s="21">
        <f t="shared" si="24"/>
        <v>7</v>
      </c>
      <c r="AQ211" s="21">
        <f>IFERROR(NETWORKDAYS(AF211,AG211,Hoja1!$A$1:$A$29),"N/A")</f>
        <v>4</v>
      </c>
      <c r="AR211" s="33">
        <v>0</v>
      </c>
      <c r="AS211" s="75">
        <f t="shared" si="23"/>
        <v>4</v>
      </c>
      <c r="AT211" s="21">
        <f>IFERROR(NETWORKDAYS(D211,AG211,Hoja1!$A$1:$A$29),"N/A")</f>
        <v>17</v>
      </c>
      <c r="AU211" s="21">
        <f t="shared" si="21"/>
        <v>10</v>
      </c>
      <c r="AV211" s="69" t="s">
        <v>59</v>
      </c>
      <c r="AW211" s="86" t="s">
        <v>743</v>
      </c>
      <c r="AX211" s="3"/>
      <c r="AY211" s="3"/>
      <c r="AZ211" s="3"/>
      <c r="BA211" s="3"/>
      <c r="BB211" s="3"/>
    </row>
    <row r="212" spans="1:54" ht="15" customHeight="1" x14ac:dyDescent="0.25">
      <c r="A212" s="55">
        <v>15678</v>
      </c>
      <c r="B212" s="84" t="s">
        <v>85</v>
      </c>
      <c r="C212" s="84" t="s">
        <v>85</v>
      </c>
      <c r="D212" s="418">
        <v>46038</v>
      </c>
      <c r="E212" s="30">
        <v>46041</v>
      </c>
      <c r="F212" s="232" t="s">
        <v>90</v>
      </c>
      <c r="G212" s="87" t="s">
        <v>91</v>
      </c>
      <c r="H212" s="111" t="s">
        <v>51</v>
      </c>
      <c r="I212" s="159" t="s">
        <v>744</v>
      </c>
      <c r="J212" s="87" t="s">
        <v>52</v>
      </c>
      <c r="K212" s="87" t="s">
        <v>171</v>
      </c>
      <c r="L212" s="3">
        <v>1</v>
      </c>
      <c r="M212" s="45" t="s">
        <v>54</v>
      </c>
      <c r="N212" s="3" t="s">
        <v>55</v>
      </c>
      <c r="O212" s="3">
        <v>3</v>
      </c>
      <c r="P212" s="3" t="s">
        <v>112</v>
      </c>
      <c r="Q212" s="16">
        <v>46042</v>
      </c>
      <c r="R212" s="16">
        <v>46042</v>
      </c>
      <c r="S212" s="3">
        <v>3</v>
      </c>
      <c r="T212" s="3" t="s">
        <v>55</v>
      </c>
      <c r="U212" s="3" t="s">
        <v>55</v>
      </c>
      <c r="V212" s="3" t="s">
        <v>55</v>
      </c>
      <c r="W212" s="3" t="s">
        <v>55</v>
      </c>
      <c r="X212" s="3" t="s">
        <v>55</v>
      </c>
      <c r="Y212" s="3" t="s">
        <v>55</v>
      </c>
      <c r="Z212" s="3" t="s">
        <v>55</v>
      </c>
      <c r="AA212" s="3">
        <v>3</v>
      </c>
      <c r="AB212" s="3">
        <v>1</v>
      </c>
      <c r="AC212" s="3">
        <v>0</v>
      </c>
      <c r="AD212" s="30">
        <v>46042</v>
      </c>
      <c r="AE212" s="30">
        <v>46057</v>
      </c>
      <c r="AF212" s="30">
        <v>46064</v>
      </c>
      <c r="AG212" s="16">
        <v>46073</v>
      </c>
      <c r="AH212" s="140">
        <v>46076</v>
      </c>
      <c r="AI212" s="3">
        <f t="shared" si="22"/>
        <v>2</v>
      </c>
      <c r="AJ212" s="85" t="s">
        <v>745</v>
      </c>
      <c r="AK212" s="45" t="s">
        <v>746</v>
      </c>
      <c r="AL212" s="19">
        <f t="shared" si="25"/>
        <v>1</v>
      </c>
      <c r="AM212" s="67">
        <f>IFERROR(NETWORKDAYS(D212,Q212,Hoja1!$A$1:$A$29),"N/A")</f>
        <v>3</v>
      </c>
      <c r="AN212" s="21">
        <f>IFERROR(NETWORKDAYS(D212,AE212,Hoja1!$A$1:$A$29),"N/A")</f>
        <v>14</v>
      </c>
      <c r="AO212" s="78">
        <v>0</v>
      </c>
      <c r="AP212" s="21">
        <f t="shared" si="24"/>
        <v>14</v>
      </c>
      <c r="AQ212" s="21">
        <f>IFERROR(NETWORKDAYS(AF212,AG212,Hoja1!$A$1:$A$29),"N/A")</f>
        <v>8</v>
      </c>
      <c r="AR212" s="123">
        <v>3</v>
      </c>
      <c r="AS212" s="75">
        <f t="shared" si="23"/>
        <v>5</v>
      </c>
      <c r="AT212" s="21">
        <f>IFERROR(NETWORKDAYS(D212,AG212,Hoja1!$A$1:$A$29),"N/A")</f>
        <v>26</v>
      </c>
      <c r="AU212" s="21">
        <f t="shared" si="21"/>
        <v>23</v>
      </c>
      <c r="AV212" s="69" t="s">
        <v>59</v>
      </c>
      <c r="AW212" s="86" t="s">
        <v>747</v>
      </c>
      <c r="AX212" s="107"/>
      <c r="AY212" s="107"/>
      <c r="AZ212" s="107"/>
      <c r="BA212" s="107"/>
      <c r="BB212" s="1"/>
    </row>
    <row r="213" spans="1:54" ht="15" customHeight="1" x14ac:dyDescent="0.25">
      <c r="A213" s="55">
        <v>15685</v>
      </c>
      <c r="B213" s="87" t="s">
        <v>85</v>
      </c>
      <c r="C213" s="87" t="s">
        <v>85</v>
      </c>
      <c r="D213" s="30">
        <v>46042</v>
      </c>
      <c r="E213" s="30">
        <v>46042</v>
      </c>
      <c r="F213" s="202" t="s">
        <v>879</v>
      </c>
      <c r="G213" s="87" t="s">
        <v>50</v>
      </c>
      <c r="H213" s="87" t="s">
        <v>101</v>
      </c>
      <c r="I213" s="48" t="s">
        <v>1406</v>
      </c>
      <c r="J213" s="87" t="s">
        <v>52</v>
      </c>
      <c r="K213" s="87" t="s">
        <v>53</v>
      </c>
      <c r="L213" s="3">
        <v>1</v>
      </c>
      <c r="M213" s="45" t="s">
        <v>54</v>
      </c>
      <c r="N213" s="3" t="s">
        <v>55</v>
      </c>
      <c r="O213" s="3">
        <v>0</v>
      </c>
      <c r="P213" s="3"/>
      <c r="Q213" s="3" t="s">
        <v>55</v>
      </c>
      <c r="R213" s="3" t="s">
        <v>55</v>
      </c>
      <c r="S213" s="3">
        <v>0</v>
      </c>
      <c r="T213" s="3" t="s">
        <v>55</v>
      </c>
      <c r="U213" s="3" t="s">
        <v>55</v>
      </c>
      <c r="V213" s="3" t="s">
        <v>55</v>
      </c>
      <c r="W213" s="3" t="s">
        <v>55</v>
      </c>
      <c r="X213" s="3" t="s">
        <v>55</v>
      </c>
      <c r="Y213" s="3" t="s">
        <v>55</v>
      </c>
      <c r="Z213" s="3" t="s">
        <v>55</v>
      </c>
      <c r="AA213" s="3">
        <v>1</v>
      </c>
      <c r="AB213" s="3">
        <v>1</v>
      </c>
      <c r="AC213" s="3">
        <v>0</v>
      </c>
      <c r="AD213" s="30">
        <v>46050</v>
      </c>
      <c r="AE213" s="28">
        <v>46050</v>
      </c>
      <c r="AF213" s="30">
        <v>46051</v>
      </c>
      <c r="AG213" s="30">
        <v>46065</v>
      </c>
      <c r="AH213" s="30">
        <v>46065</v>
      </c>
      <c r="AI213" s="3">
        <f t="shared" si="22"/>
        <v>2</v>
      </c>
      <c r="AJ213" s="85" t="s">
        <v>748</v>
      </c>
      <c r="AK213" s="35" t="s">
        <v>749</v>
      </c>
      <c r="AL213" s="19" t="str">
        <f t="shared" si="25"/>
        <v>N/A</v>
      </c>
      <c r="AM213" s="67" t="str">
        <f>IFERROR(NETWORKDAYS(D213,Q213,Hoja1!$A$1:$A$29),"N/A")</f>
        <v>N/A</v>
      </c>
      <c r="AN213" s="21">
        <f>IFERROR(NETWORKDAYS(D213,AE213,Hoja1!$A$1:$A$29),"N/A")</f>
        <v>7</v>
      </c>
      <c r="AO213" s="78">
        <v>0</v>
      </c>
      <c r="AP213" s="21">
        <f t="shared" si="24"/>
        <v>7</v>
      </c>
      <c r="AQ213" s="21">
        <f>IFERROR(NETWORKDAYS(AF213,AG213,Hoja1!$A$1:$A$29),"N/A")</f>
        <v>11</v>
      </c>
      <c r="AR213" s="113">
        <v>6</v>
      </c>
      <c r="AS213" s="75">
        <f t="shared" si="23"/>
        <v>5</v>
      </c>
      <c r="AT213" s="21">
        <f>IFERROR(NETWORKDAYS(D213,AG213,Hoja1!$A$1:$A$29),"N/A")</f>
        <v>18</v>
      </c>
      <c r="AU213" s="21">
        <f t="shared" si="21"/>
        <v>12</v>
      </c>
      <c r="AV213" s="69" t="s">
        <v>145</v>
      </c>
      <c r="AW213" s="86" t="s">
        <v>242</v>
      </c>
      <c r="AX213" s="3"/>
      <c r="AY213" s="3"/>
      <c r="AZ213" s="3"/>
      <c r="BA213" s="3"/>
      <c r="BB213" s="3"/>
    </row>
    <row r="214" spans="1:54" ht="15" customHeight="1" x14ac:dyDescent="0.25">
      <c r="A214" s="55">
        <v>15687</v>
      </c>
      <c r="B214" s="87" t="s">
        <v>79</v>
      </c>
      <c r="C214" s="87" t="s">
        <v>79</v>
      </c>
      <c r="D214" s="420">
        <v>46035</v>
      </c>
      <c r="E214" s="16">
        <v>46042</v>
      </c>
      <c r="F214" s="114" t="s">
        <v>163</v>
      </c>
      <c r="G214" s="114" t="s">
        <v>688</v>
      </c>
      <c r="H214" s="111" t="s">
        <v>51</v>
      </c>
      <c r="I214" s="27" t="s">
        <v>210</v>
      </c>
      <c r="J214" s="27" t="s">
        <v>118</v>
      </c>
      <c r="K214" s="27" t="s">
        <v>165</v>
      </c>
      <c r="L214" s="1">
        <v>1</v>
      </c>
      <c r="M214" s="45" t="s">
        <v>54</v>
      </c>
      <c r="N214" s="21" t="s">
        <v>55</v>
      </c>
      <c r="O214" s="1">
        <v>4</v>
      </c>
      <c r="P214" s="1" t="s">
        <v>112</v>
      </c>
      <c r="Q214" s="16">
        <v>46044</v>
      </c>
      <c r="R214" s="16">
        <v>46045</v>
      </c>
      <c r="S214" s="1">
        <v>4</v>
      </c>
      <c r="T214" s="36" t="s">
        <v>55</v>
      </c>
      <c r="U214" s="36" t="s">
        <v>55</v>
      </c>
      <c r="V214" s="36" t="s">
        <v>55</v>
      </c>
      <c r="W214" s="36" t="s">
        <v>55</v>
      </c>
      <c r="X214" s="36" t="s">
        <v>55</v>
      </c>
      <c r="Y214" s="36" t="s">
        <v>55</v>
      </c>
      <c r="Z214" s="3" t="s">
        <v>55</v>
      </c>
      <c r="AA214" s="1">
        <v>2</v>
      </c>
      <c r="AB214" s="1">
        <v>2</v>
      </c>
      <c r="AC214" s="1">
        <v>0</v>
      </c>
      <c r="AD214" s="16">
        <v>46052</v>
      </c>
      <c r="AE214" s="16">
        <v>46064</v>
      </c>
      <c r="AF214" s="16">
        <v>46064</v>
      </c>
      <c r="AG214" s="16">
        <v>46070</v>
      </c>
      <c r="AH214" s="140">
        <v>46076</v>
      </c>
      <c r="AI214" s="3">
        <f t="shared" si="22"/>
        <v>2</v>
      </c>
      <c r="AJ214" s="85" t="s">
        <v>750</v>
      </c>
      <c r="AK214" s="49" t="s">
        <v>751</v>
      </c>
      <c r="AL214" s="19">
        <f t="shared" si="25"/>
        <v>1</v>
      </c>
      <c r="AM214" s="67">
        <f>IFERROR(NETWORKDAYS(D214,Q214,Hoja1!$A$1:$A$29),"N/A")</f>
        <v>8</v>
      </c>
      <c r="AN214" s="21">
        <f>IFERROR(NETWORKDAYS(D214,AE214,Hoja1!$A$1:$A$29),"N/A")</f>
        <v>22</v>
      </c>
      <c r="AO214" s="78">
        <v>8</v>
      </c>
      <c r="AP214" s="21">
        <f t="shared" si="24"/>
        <v>14</v>
      </c>
      <c r="AQ214" s="21">
        <f>IFERROR(NETWORKDAYS(AF214,AG214,Hoja1!$A$1:$A$29),"N/A")</f>
        <v>5</v>
      </c>
      <c r="AR214" s="113">
        <v>0</v>
      </c>
      <c r="AS214" s="75">
        <f t="shared" si="23"/>
        <v>5</v>
      </c>
      <c r="AT214" s="21">
        <f>IFERROR(NETWORKDAYS(D214,AG214,Hoja1!$A$1:$A$29),"N/A")</f>
        <v>26</v>
      </c>
      <c r="AU214" s="21">
        <f t="shared" si="21"/>
        <v>18</v>
      </c>
      <c r="AV214" s="69" t="s">
        <v>131</v>
      </c>
      <c r="AW214" s="86" t="s">
        <v>752</v>
      </c>
      <c r="AX214" s="84" t="s">
        <v>454</v>
      </c>
      <c r="AY214" s="33"/>
      <c r="AZ214" s="33"/>
      <c r="BA214" s="33"/>
      <c r="BB214" s="33"/>
    </row>
    <row r="215" spans="1:54" ht="15" customHeight="1" x14ac:dyDescent="0.25">
      <c r="A215" s="58">
        <v>15688</v>
      </c>
      <c r="B215" s="84" t="s">
        <v>169</v>
      </c>
      <c r="C215" s="84" t="s">
        <v>169</v>
      </c>
      <c r="D215" s="37">
        <v>46042</v>
      </c>
      <c r="E215" s="37">
        <v>46042</v>
      </c>
      <c r="F215" s="202" t="s">
        <v>879</v>
      </c>
      <c r="G215" s="48" t="s">
        <v>50</v>
      </c>
      <c r="H215" s="111" t="s">
        <v>101</v>
      </c>
      <c r="I215" s="48" t="s">
        <v>753</v>
      </c>
      <c r="J215" s="87" t="s">
        <v>105</v>
      </c>
      <c r="K215" s="48" t="s">
        <v>106</v>
      </c>
      <c r="L215" s="3">
        <v>1</v>
      </c>
      <c r="M215" s="45" t="s">
        <v>54</v>
      </c>
      <c r="N215" s="18" t="s">
        <v>55</v>
      </c>
      <c r="O215" s="3">
        <v>1</v>
      </c>
      <c r="P215" s="3" t="s">
        <v>112</v>
      </c>
      <c r="Q215" s="30">
        <v>46043</v>
      </c>
      <c r="R215" s="30">
        <v>46043</v>
      </c>
      <c r="S215" s="3">
        <v>1</v>
      </c>
      <c r="T215" s="18" t="s">
        <v>55</v>
      </c>
      <c r="U215" s="18" t="s">
        <v>55</v>
      </c>
      <c r="V215" s="18" t="s">
        <v>55</v>
      </c>
      <c r="W215" s="18" t="s">
        <v>55</v>
      </c>
      <c r="X215" s="18" t="s">
        <v>55</v>
      </c>
      <c r="Y215" s="18" t="s">
        <v>55</v>
      </c>
      <c r="Z215" s="3" t="s">
        <v>55</v>
      </c>
      <c r="AA215" s="3">
        <v>1</v>
      </c>
      <c r="AB215" s="3">
        <v>1</v>
      </c>
      <c r="AC215" s="3">
        <v>0</v>
      </c>
      <c r="AD215" s="30">
        <v>46045</v>
      </c>
      <c r="AE215" s="30">
        <v>46065</v>
      </c>
      <c r="AF215" s="30">
        <v>46065</v>
      </c>
      <c r="AG215" s="16">
        <v>46073</v>
      </c>
      <c r="AH215" s="140">
        <v>46076</v>
      </c>
      <c r="AI215" s="3">
        <f t="shared" si="22"/>
        <v>2</v>
      </c>
      <c r="AJ215" s="85" t="s">
        <v>754</v>
      </c>
      <c r="AK215" s="35" t="s">
        <v>755</v>
      </c>
      <c r="AL215" s="19">
        <f t="shared" si="25"/>
        <v>1</v>
      </c>
      <c r="AM215" s="67">
        <f>IFERROR(NETWORKDAYS(D215,Q215,Hoja1!$A$1:$A$29),"N/A")</f>
        <v>2</v>
      </c>
      <c r="AN215" s="21">
        <f>IFERROR(NETWORKDAYS(D215,AE215,Hoja1!$A$1:$A$29),"N/A")</f>
        <v>18</v>
      </c>
      <c r="AO215" s="78">
        <v>8</v>
      </c>
      <c r="AP215" s="21">
        <f t="shared" si="24"/>
        <v>10</v>
      </c>
      <c r="AQ215" s="21">
        <f>IFERROR(NETWORKDAYS(AF215,AG215,Hoja1!$A$1:$A$29),"N/A")</f>
        <v>7</v>
      </c>
      <c r="AR215" s="33">
        <v>1</v>
      </c>
      <c r="AS215" s="75">
        <f t="shared" si="23"/>
        <v>6</v>
      </c>
      <c r="AT215" s="21">
        <f>IFERROR(NETWORKDAYS(D215,AG215,Hoja1!$A$1:$A$29),"N/A")</f>
        <v>24</v>
      </c>
      <c r="AU215" s="21">
        <f t="shared" si="21"/>
        <v>15</v>
      </c>
      <c r="AV215" s="69" t="s">
        <v>104</v>
      </c>
      <c r="AW215" s="86" t="s">
        <v>756</v>
      </c>
      <c r="AX215" s="3"/>
      <c r="AY215" s="3"/>
      <c r="AZ215" s="3"/>
      <c r="BA215" s="3"/>
      <c r="BB215" s="3"/>
    </row>
    <row r="216" spans="1:54" ht="15" customHeight="1" x14ac:dyDescent="0.25">
      <c r="A216" s="95">
        <v>15689</v>
      </c>
      <c r="B216" s="84" t="s">
        <v>85</v>
      </c>
      <c r="C216" s="84" t="s">
        <v>85</v>
      </c>
      <c r="D216" s="421">
        <v>46042</v>
      </c>
      <c r="E216" s="28">
        <v>46042</v>
      </c>
      <c r="F216" s="84" t="s">
        <v>62</v>
      </c>
      <c r="G216" s="84" t="s">
        <v>71</v>
      </c>
      <c r="H216" s="111" t="s">
        <v>51</v>
      </c>
      <c r="I216" s="27" t="s">
        <v>72</v>
      </c>
      <c r="J216" s="27" t="s">
        <v>73</v>
      </c>
      <c r="K216" s="84" t="s">
        <v>86</v>
      </c>
      <c r="L216" s="33">
        <v>1</v>
      </c>
      <c r="M216" s="45" t="s">
        <v>54</v>
      </c>
      <c r="N216" s="21" t="s">
        <v>55</v>
      </c>
      <c r="O216" s="33">
        <v>4</v>
      </c>
      <c r="P216" s="33" t="s">
        <v>112</v>
      </c>
      <c r="Q216" s="28">
        <v>46044</v>
      </c>
      <c r="R216" s="28">
        <v>46048</v>
      </c>
      <c r="S216" s="33">
        <v>4</v>
      </c>
      <c r="T216" s="36" t="s">
        <v>55</v>
      </c>
      <c r="U216" s="36" t="s">
        <v>55</v>
      </c>
      <c r="V216" s="36" t="s">
        <v>55</v>
      </c>
      <c r="W216" s="36" t="s">
        <v>55</v>
      </c>
      <c r="X216" s="36" t="s">
        <v>55</v>
      </c>
      <c r="Y216" s="36" t="s">
        <v>55</v>
      </c>
      <c r="Z216" s="3" t="s">
        <v>55</v>
      </c>
      <c r="AA216" s="33">
        <v>1</v>
      </c>
      <c r="AB216" s="33">
        <v>1</v>
      </c>
      <c r="AC216" s="33">
        <v>0</v>
      </c>
      <c r="AD216" s="28">
        <v>46050</v>
      </c>
      <c r="AE216" s="28">
        <v>46051</v>
      </c>
      <c r="AF216" s="28">
        <v>46052</v>
      </c>
      <c r="AG216" s="28">
        <v>46062</v>
      </c>
      <c r="AH216" s="28">
        <v>46065</v>
      </c>
      <c r="AI216" s="3">
        <f t="shared" si="22"/>
        <v>2</v>
      </c>
      <c r="AJ216" s="85" t="s">
        <v>757</v>
      </c>
      <c r="AK216" s="35" t="s">
        <v>758</v>
      </c>
      <c r="AL216" s="19">
        <f t="shared" si="25"/>
        <v>1</v>
      </c>
      <c r="AM216" s="67">
        <f>IFERROR(NETWORKDAYS(D216,Q216,Hoja1!$A$1:$A$29),"N/A")</f>
        <v>3</v>
      </c>
      <c r="AN216" s="21">
        <f>IFERROR(NETWORKDAYS(D216,AE216,Hoja1!$A$1:$A$29),"N/A")</f>
        <v>8</v>
      </c>
      <c r="AO216" s="78">
        <v>0</v>
      </c>
      <c r="AP216" s="21">
        <f t="shared" si="24"/>
        <v>8</v>
      </c>
      <c r="AQ216" s="21">
        <f>IFERROR(NETWORKDAYS(AF216,AG216,Hoja1!$A$1:$A$29),"N/A")</f>
        <v>7</v>
      </c>
      <c r="AR216" s="113">
        <v>2</v>
      </c>
      <c r="AS216" s="75">
        <f t="shared" si="23"/>
        <v>5</v>
      </c>
      <c r="AT216" s="21">
        <f>IFERROR(NETWORKDAYS(D216,AG216,Hoja1!$A$1:$A$29),"N/A")</f>
        <v>15</v>
      </c>
      <c r="AU216" s="21">
        <f t="shared" si="21"/>
        <v>13</v>
      </c>
      <c r="AV216" s="69" t="s">
        <v>417</v>
      </c>
      <c r="AW216" s="141" t="s">
        <v>82</v>
      </c>
      <c r="AX216" s="33"/>
      <c r="AY216" s="33"/>
      <c r="AZ216" s="33"/>
      <c r="BA216" s="33"/>
      <c r="BB216" s="33"/>
    </row>
    <row r="217" spans="1:54" ht="15" customHeight="1" x14ac:dyDescent="0.25">
      <c r="A217" s="95">
        <v>15690</v>
      </c>
      <c r="B217" s="87" t="s">
        <v>79</v>
      </c>
      <c r="C217" s="87" t="s">
        <v>79</v>
      </c>
      <c r="D217" s="15">
        <v>46044</v>
      </c>
      <c r="E217" s="16">
        <v>46042</v>
      </c>
      <c r="F217" s="84" t="s">
        <v>62</v>
      </c>
      <c r="G217" s="23" t="s">
        <v>275</v>
      </c>
      <c r="H217" s="87" t="s">
        <v>101</v>
      </c>
      <c r="I217" s="87" t="s">
        <v>92</v>
      </c>
      <c r="J217" s="48" t="s">
        <v>52</v>
      </c>
      <c r="K217" s="87" t="s">
        <v>74</v>
      </c>
      <c r="L217" s="1">
        <v>1</v>
      </c>
      <c r="M217" s="45" t="s">
        <v>54</v>
      </c>
      <c r="N217" s="2" t="s">
        <v>55</v>
      </c>
      <c r="O217" s="33">
        <v>0</v>
      </c>
      <c r="P217" s="1"/>
      <c r="Q217" s="2" t="s">
        <v>55</v>
      </c>
      <c r="R217" s="2" t="s">
        <v>55</v>
      </c>
      <c r="S217" s="33">
        <v>0</v>
      </c>
      <c r="T217" s="18" t="s">
        <v>55</v>
      </c>
      <c r="U217" s="18" t="s">
        <v>55</v>
      </c>
      <c r="V217" s="18" t="s">
        <v>55</v>
      </c>
      <c r="W217" s="18" t="s">
        <v>55</v>
      </c>
      <c r="X217" s="18" t="s">
        <v>55</v>
      </c>
      <c r="Y217" s="18" t="s">
        <v>55</v>
      </c>
      <c r="Z217" s="3" t="s">
        <v>55</v>
      </c>
      <c r="AA217" s="1">
        <v>1</v>
      </c>
      <c r="AB217" s="1">
        <v>1</v>
      </c>
      <c r="AC217" s="1">
        <v>0</v>
      </c>
      <c r="AD217" s="16">
        <v>46049</v>
      </c>
      <c r="AE217" s="16">
        <v>46049</v>
      </c>
      <c r="AF217" s="16">
        <v>46049</v>
      </c>
      <c r="AG217" s="16">
        <v>46052</v>
      </c>
      <c r="AH217" s="16">
        <v>46055</v>
      </c>
      <c r="AI217" s="3">
        <f t="shared" si="22"/>
        <v>2</v>
      </c>
      <c r="AJ217" s="249" t="s">
        <v>759</v>
      </c>
      <c r="AK217" s="49" t="s">
        <v>760</v>
      </c>
      <c r="AL217" s="19" t="str">
        <f t="shared" si="25"/>
        <v>N/A</v>
      </c>
      <c r="AM217" s="67" t="str">
        <f>IFERROR(NETWORKDAYS(D217,Q217,Hoja1!$A$1:$A$29),"N/A")</f>
        <v>N/A</v>
      </c>
      <c r="AN217" s="21">
        <f>IFERROR(NETWORKDAYS(D217,AE217,Hoja1!$A$1:$A$29),"N/A")</f>
        <v>4</v>
      </c>
      <c r="AO217" s="78">
        <v>0</v>
      </c>
      <c r="AP217" s="21">
        <f t="shared" si="24"/>
        <v>4</v>
      </c>
      <c r="AQ217" s="21">
        <f>IFERROR(NETWORKDAYS(AF217,AG217,Hoja1!$A$1:$A$29),"N/A")</f>
        <v>4</v>
      </c>
      <c r="AR217" s="74">
        <v>0</v>
      </c>
      <c r="AS217" s="75">
        <f t="shared" si="23"/>
        <v>4</v>
      </c>
      <c r="AT217" s="21">
        <f>IFERROR(NETWORKDAYS(D217,AG217,Hoja1!$A$1:$A$29),"N/A")</f>
        <v>7</v>
      </c>
      <c r="AU217" s="21">
        <f t="shared" si="21"/>
        <v>7</v>
      </c>
      <c r="AV217" s="69" t="s">
        <v>104</v>
      </c>
      <c r="AW217" s="86" t="s">
        <v>761</v>
      </c>
      <c r="AX217" s="251"/>
      <c r="AY217" s="1"/>
      <c r="AZ217" s="1"/>
      <c r="BA217" s="1"/>
      <c r="BB217" s="1"/>
    </row>
    <row r="218" spans="1:54" ht="15" customHeight="1" x14ac:dyDescent="0.25">
      <c r="A218" s="57">
        <v>15691</v>
      </c>
      <c r="B218" s="27" t="s">
        <v>69</v>
      </c>
      <c r="C218" s="27" t="s">
        <v>122</v>
      </c>
      <c r="D218" s="420">
        <v>46043</v>
      </c>
      <c r="E218" s="16">
        <v>46042</v>
      </c>
      <c r="F218" s="114" t="s">
        <v>62</v>
      </c>
      <c r="G218" s="114" t="s">
        <v>71</v>
      </c>
      <c r="H218" s="111" t="s">
        <v>51</v>
      </c>
      <c r="I218" s="27" t="s">
        <v>72</v>
      </c>
      <c r="J218" s="27" t="s">
        <v>73</v>
      </c>
      <c r="K218" s="27" t="s">
        <v>66</v>
      </c>
      <c r="L218" s="1">
        <v>1</v>
      </c>
      <c r="M218" s="45" t="s">
        <v>54</v>
      </c>
      <c r="N218" s="2" t="s">
        <v>55</v>
      </c>
      <c r="O218" s="1">
        <v>5</v>
      </c>
      <c r="P218" s="1" t="s">
        <v>112</v>
      </c>
      <c r="Q218" s="16">
        <v>46055</v>
      </c>
      <c r="R218" s="16">
        <v>46058</v>
      </c>
      <c r="S218" s="1">
        <v>5</v>
      </c>
      <c r="T218" s="2" t="s">
        <v>55</v>
      </c>
      <c r="U218" s="2" t="s">
        <v>55</v>
      </c>
      <c r="V218" s="2" t="s">
        <v>55</v>
      </c>
      <c r="W218" s="2" t="s">
        <v>55</v>
      </c>
      <c r="X218" s="2" t="s">
        <v>55</v>
      </c>
      <c r="Y218" s="2" t="s">
        <v>55</v>
      </c>
      <c r="Z218" s="3" t="s">
        <v>55</v>
      </c>
      <c r="AA218" s="1">
        <v>1</v>
      </c>
      <c r="AB218" s="1">
        <v>1</v>
      </c>
      <c r="AC218" s="1">
        <v>0</v>
      </c>
      <c r="AD218" s="16">
        <v>46058</v>
      </c>
      <c r="AE218" s="16">
        <v>46058</v>
      </c>
      <c r="AF218" s="16">
        <v>46058</v>
      </c>
      <c r="AG218" s="16">
        <v>46071</v>
      </c>
      <c r="AH218" s="140">
        <v>46076</v>
      </c>
      <c r="AI218" s="3">
        <f t="shared" si="22"/>
        <v>2</v>
      </c>
      <c r="AJ218" s="108" t="s">
        <v>762</v>
      </c>
      <c r="AK218" s="49" t="s">
        <v>763</v>
      </c>
      <c r="AL218" s="19">
        <f t="shared" si="25"/>
        <v>1</v>
      </c>
      <c r="AM218" s="67">
        <f>IFERROR(NETWORKDAYS(D218,Q218,Hoja1!$A$1:$A$29),"N/A")</f>
        <v>9</v>
      </c>
      <c r="AN218" s="21">
        <f>IFERROR(NETWORKDAYS(D218,AE218,Hoja1!$A$1:$A$29),"N/A")</f>
        <v>12</v>
      </c>
      <c r="AO218" s="78">
        <v>0</v>
      </c>
      <c r="AP218" s="21">
        <f t="shared" si="24"/>
        <v>12</v>
      </c>
      <c r="AQ218" s="21">
        <f>IFERROR(NETWORKDAYS(AF218,AG218,Hoja1!$A$1:$A$29),"N/A")</f>
        <v>10</v>
      </c>
      <c r="AR218" s="67">
        <v>5</v>
      </c>
      <c r="AS218" s="75">
        <f t="shared" si="23"/>
        <v>5</v>
      </c>
      <c r="AT218" s="21">
        <f>IFERROR(NETWORKDAYS(D218,AG218,Hoja1!$A$1:$A$29),"N/A")</f>
        <v>21</v>
      </c>
      <c r="AU218" s="21">
        <f t="shared" si="21"/>
        <v>16</v>
      </c>
      <c r="AV218" s="69" t="s">
        <v>77</v>
      </c>
      <c r="AW218" s="86" t="s">
        <v>82</v>
      </c>
      <c r="AX218" s="1"/>
      <c r="AY218" s="1"/>
      <c r="AZ218" s="1"/>
      <c r="BA218" s="1"/>
      <c r="BB218" s="1"/>
    </row>
    <row r="219" spans="1:54" ht="15" customHeight="1" x14ac:dyDescent="0.25">
      <c r="A219" s="55">
        <v>15695</v>
      </c>
      <c r="B219" s="27" t="s">
        <v>69</v>
      </c>
      <c r="C219" s="43" t="s">
        <v>98</v>
      </c>
      <c r="D219" s="30">
        <v>46043</v>
      </c>
      <c r="E219" s="30">
        <v>46043</v>
      </c>
      <c r="F219" s="232" t="s">
        <v>90</v>
      </c>
      <c r="G219" s="87" t="s">
        <v>91</v>
      </c>
      <c r="H219" s="179" t="s">
        <v>1465</v>
      </c>
      <c r="I219" s="27" t="s">
        <v>640</v>
      </c>
      <c r="J219" s="87" t="s">
        <v>52</v>
      </c>
      <c r="K219" s="87" t="s">
        <v>171</v>
      </c>
      <c r="L219" s="3">
        <v>1</v>
      </c>
      <c r="M219" s="45" t="s">
        <v>54</v>
      </c>
      <c r="N219" s="3" t="s">
        <v>55</v>
      </c>
      <c r="O219" s="3">
        <v>2</v>
      </c>
      <c r="P219" s="3" t="s">
        <v>56</v>
      </c>
      <c r="Q219" s="30">
        <v>46057</v>
      </c>
      <c r="R219" s="30">
        <v>46057</v>
      </c>
      <c r="S219" s="3">
        <v>2</v>
      </c>
      <c r="T219" s="3" t="s">
        <v>55</v>
      </c>
      <c r="U219" s="3" t="s">
        <v>55</v>
      </c>
      <c r="V219" s="3" t="s">
        <v>55</v>
      </c>
      <c r="W219" s="3" t="s">
        <v>55</v>
      </c>
      <c r="X219" s="3" t="s">
        <v>55</v>
      </c>
      <c r="Y219" s="3" t="s">
        <v>55</v>
      </c>
      <c r="Z219" s="3" t="s">
        <v>55</v>
      </c>
      <c r="AA219" s="3">
        <v>2</v>
      </c>
      <c r="AB219" s="3">
        <v>1</v>
      </c>
      <c r="AC219" s="3">
        <v>0</v>
      </c>
      <c r="AD219" s="30">
        <v>46071</v>
      </c>
      <c r="AE219" s="16">
        <v>46071</v>
      </c>
      <c r="AF219" s="30">
        <v>46069</v>
      </c>
      <c r="AG219" s="16">
        <v>46073</v>
      </c>
      <c r="AH219" s="140">
        <v>46076</v>
      </c>
      <c r="AI219" s="3">
        <f t="shared" si="22"/>
        <v>2</v>
      </c>
      <c r="AJ219" s="85" t="s">
        <v>764</v>
      </c>
      <c r="AK219" s="45" t="s">
        <v>765</v>
      </c>
      <c r="AL219" s="19">
        <f t="shared" si="25"/>
        <v>1</v>
      </c>
      <c r="AM219" s="67">
        <f>IFERROR(NETWORKDAYS(D219,Q219,Hoja1!$A$1:$A$29),"N/A")</f>
        <v>11</v>
      </c>
      <c r="AN219" s="21">
        <f>IFERROR(NETWORKDAYS(D219,AE219,Hoja1!$A$1:$A$29),"N/A")</f>
        <v>21</v>
      </c>
      <c r="AO219" s="272">
        <v>0</v>
      </c>
      <c r="AP219" s="21">
        <f t="shared" si="24"/>
        <v>21</v>
      </c>
      <c r="AQ219" s="21">
        <f>IFERROR(NETWORKDAYS(AF219,AG219,Hoja1!$A$1:$A$29),"N/A")</f>
        <v>5</v>
      </c>
      <c r="AR219" s="123">
        <v>0</v>
      </c>
      <c r="AS219" s="75">
        <f t="shared" si="23"/>
        <v>5</v>
      </c>
      <c r="AT219" s="21">
        <f>IFERROR(NETWORKDAYS(D219,AG219,Hoja1!$A$1:$A$29),"N/A")</f>
        <v>23</v>
      </c>
      <c r="AU219" s="21">
        <f t="shared" si="21"/>
        <v>23</v>
      </c>
      <c r="AV219" s="69" t="s">
        <v>59</v>
      </c>
      <c r="AW219" s="86" t="s">
        <v>766</v>
      </c>
      <c r="AX219" s="1"/>
      <c r="AY219" s="1"/>
      <c r="AZ219" s="1"/>
      <c r="BA219" s="1"/>
      <c r="BB219" s="1"/>
    </row>
    <row r="220" spans="1:54" ht="15" customHeight="1" x14ac:dyDescent="0.25">
      <c r="A220" s="58">
        <v>15696</v>
      </c>
      <c r="B220" s="84" t="s">
        <v>169</v>
      </c>
      <c r="C220" s="84" t="s">
        <v>169</v>
      </c>
      <c r="D220" s="417">
        <v>46043</v>
      </c>
      <c r="E220" s="37">
        <v>46043</v>
      </c>
      <c r="F220" s="202" t="s">
        <v>879</v>
      </c>
      <c r="G220" s="48" t="s">
        <v>50</v>
      </c>
      <c r="H220" s="111" t="s">
        <v>51</v>
      </c>
      <c r="I220" s="111" t="s">
        <v>624</v>
      </c>
      <c r="J220" s="87" t="s">
        <v>625</v>
      </c>
      <c r="K220" s="48" t="s">
        <v>106</v>
      </c>
      <c r="L220" s="3">
        <v>1</v>
      </c>
      <c r="M220" s="45" t="s">
        <v>54</v>
      </c>
      <c r="N220" s="18" t="s">
        <v>55</v>
      </c>
      <c r="O220" s="3">
        <v>9</v>
      </c>
      <c r="P220" s="3" t="s">
        <v>56</v>
      </c>
      <c r="Q220" s="30">
        <v>46062</v>
      </c>
      <c r="R220" s="30">
        <v>46062</v>
      </c>
      <c r="S220" s="3">
        <v>9</v>
      </c>
      <c r="T220" s="18" t="s">
        <v>55</v>
      </c>
      <c r="U220" s="18" t="s">
        <v>55</v>
      </c>
      <c r="V220" s="18" t="s">
        <v>55</v>
      </c>
      <c r="W220" s="18" t="s">
        <v>55</v>
      </c>
      <c r="X220" s="18" t="s">
        <v>55</v>
      </c>
      <c r="Y220" s="18" t="s">
        <v>55</v>
      </c>
      <c r="Z220" s="3" t="s">
        <v>55</v>
      </c>
      <c r="AA220" s="3">
        <v>3</v>
      </c>
      <c r="AB220" s="3">
        <v>3</v>
      </c>
      <c r="AC220" s="3">
        <v>0</v>
      </c>
      <c r="AD220" s="30">
        <v>46065</v>
      </c>
      <c r="AE220" s="30">
        <v>46066</v>
      </c>
      <c r="AF220" s="28">
        <v>46066</v>
      </c>
      <c r="AG220" s="16">
        <v>46073</v>
      </c>
      <c r="AH220" s="140">
        <v>46076</v>
      </c>
      <c r="AI220" s="3">
        <f t="shared" si="22"/>
        <v>2</v>
      </c>
      <c r="AJ220" s="85" t="s">
        <v>767</v>
      </c>
      <c r="AK220" s="119" t="s">
        <v>768</v>
      </c>
      <c r="AL220" s="19">
        <f t="shared" si="25"/>
        <v>1</v>
      </c>
      <c r="AM220" s="67">
        <f>IFERROR(NETWORKDAYS(D220,Q220,Hoja1!$A$1:$A$29),"N/A")</f>
        <v>14</v>
      </c>
      <c r="AN220" s="21">
        <f>IFERROR(NETWORKDAYS(D220,AE220,Hoja1!$A$1:$A$29),"N/A")</f>
        <v>18</v>
      </c>
      <c r="AO220" s="78">
        <v>3</v>
      </c>
      <c r="AP220" s="21">
        <f t="shared" si="24"/>
        <v>15</v>
      </c>
      <c r="AQ220" s="21">
        <f>IFERROR(NETWORKDAYS(AF220,AG220,Hoja1!$A$1:$A$29),"N/A")</f>
        <v>6</v>
      </c>
      <c r="AR220" s="33">
        <v>1</v>
      </c>
      <c r="AS220" s="75">
        <f t="shared" si="23"/>
        <v>5</v>
      </c>
      <c r="AT220" s="21">
        <f>IFERROR(NETWORKDAYS(D220,AG220,Hoja1!$A$1:$A$29),"N/A")</f>
        <v>23</v>
      </c>
      <c r="AU220" s="21">
        <f t="shared" si="21"/>
        <v>19</v>
      </c>
      <c r="AV220" s="69" t="s">
        <v>131</v>
      </c>
      <c r="AW220" s="86" t="s">
        <v>288</v>
      </c>
      <c r="AX220" s="120"/>
      <c r="AY220" s="3"/>
      <c r="AZ220" s="3"/>
      <c r="BA220" s="3"/>
      <c r="BB220" s="3"/>
    </row>
    <row r="221" spans="1:54" ht="15" customHeight="1" x14ac:dyDescent="0.25">
      <c r="A221" s="57">
        <v>15697</v>
      </c>
      <c r="B221" s="27" t="s">
        <v>69</v>
      </c>
      <c r="C221" s="43" t="s">
        <v>98</v>
      </c>
      <c r="D221" s="15">
        <v>46044</v>
      </c>
      <c r="E221" s="16">
        <v>46043</v>
      </c>
      <c r="F221" s="114" t="s">
        <v>62</v>
      </c>
      <c r="G221" s="114" t="s">
        <v>71</v>
      </c>
      <c r="H221" s="87" t="s">
        <v>101</v>
      </c>
      <c r="I221" s="27" t="s">
        <v>769</v>
      </c>
      <c r="J221" s="27" t="s">
        <v>118</v>
      </c>
      <c r="K221" s="27" t="s">
        <v>66</v>
      </c>
      <c r="L221" s="1">
        <v>1</v>
      </c>
      <c r="M221" s="45" t="s">
        <v>54</v>
      </c>
      <c r="N221" s="2" t="s">
        <v>55</v>
      </c>
      <c r="O221" s="33">
        <v>0</v>
      </c>
      <c r="P221" s="1"/>
      <c r="Q221" s="2" t="s">
        <v>55</v>
      </c>
      <c r="R221" s="2" t="s">
        <v>55</v>
      </c>
      <c r="S221" s="33">
        <v>0</v>
      </c>
      <c r="T221" s="2" t="s">
        <v>55</v>
      </c>
      <c r="U221" s="2" t="s">
        <v>55</v>
      </c>
      <c r="V221" s="2" t="s">
        <v>55</v>
      </c>
      <c r="W221" s="2" t="s">
        <v>55</v>
      </c>
      <c r="X221" s="2" t="s">
        <v>55</v>
      </c>
      <c r="Y221" s="2" t="s">
        <v>55</v>
      </c>
      <c r="Z221" s="3" t="s">
        <v>55</v>
      </c>
      <c r="AA221" s="1">
        <v>1</v>
      </c>
      <c r="AB221" s="1">
        <v>1</v>
      </c>
      <c r="AC221" s="1">
        <v>0</v>
      </c>
      <c r="AD221" s="16">
        <v>46052</v>
      </c>
      <c r="AE221" s="16">
        <v>46052</v>
      </c>
      <c r="AF221" s="16">
        <v>46052</v>
      </c>
      <c r="AG221" s="16">
        <v>46058</v>
      </c>
      <c r="AH221" s="16">
        <v>46065</v>
      </c>
      <c r="AI221" s="3">
        <f t="shared" si="22"/>
        <v>2</v>
      </c>
      <c r="AJ221" s="108" t="s">
        <v>770</v>
      </c>
      <c r="AK221" s="49" t="s">
        <v>771</v>
      </c>
      <c r="AL221" s="19" t="str">
        <f t="shared" si="25"/>
        <v>N/A</v>
      </c>
      <c r="AM221" s="67" t="str">
        <f>IFERROR(NETWORKDAYS(D221,Q221,Hoja1!$A$1:$A$29),"N/A")</f>
        <v>N/A</v>
      </c>
      <c r="AN221" s="21">
        <f>IFERROR(NETWORKDAYS(D221,AE221,Hoja1!$A$1:$A$29),"N/A")</f>
        <v>7</v>
      </c>
      <c r="AO221" s="78">
        <v>2</v>
      </c>
      <c r="AP221" s="21">
        <f t="shared" si="24"/>
        <v>5</v>
      </c>
      <c r="AQ221" s="21">
        <f>IFERROR(NETWORKDAYS(AF221,AG221,Hoja1!$A$1:$A$29),"N/A")</f>
        <v>5</v>
      </c>
      <c r="AR221" s="67">
        <v>0</v>
      </c>
      <c r="AS221" s="75">
        <f t="shared" si="23"/>
        <v>5</v>
      </c>
      <c r="AT221" s="21">
        <f>IFERROR(NETWORKDAYS(D221,AG221,Hoja1!$A$1:$A$29),"N/A")</f>
        <v>11</v>
      </c>
      <c r="AU221" s="21">
        <f t="shared" si="21"/>
        <v>9</v>
      </c>
      <c r="AV221" s="69" t="s">
        <v>145</v>
      </c>
      <c r="AW221" s="86" t="s">
        <v>180</v>
      </c>
      <c r="AX221" s="1"/>
      <c r="AY221" s="1"/>
      <c r="AZ221" s="1"/>
      <c r="BA221" s="1"/>
      <c r="BB221" s="1"/>
    </row>
    <row r="222" spans="1:54" ht="15" customHeight="1" x14ac:dyDescent="0.25">
      <c r="A222" s="95">
        <v>15698</v>
      </c>
      <c r="B222" s="87" t="s">
        <v>79</v>
      </c>
      <c r="C222" s="87" t="s">
        <v>79</v>
      </c>
      <c r="D222" s="420">
        <v>46043</v>
      </c>
      <c r="E222" s="15">
        <v>46043</v>
      </c>
      <c r="F222" s="84" t="s">
        <v>62</v>
      </c>
      <c r="G222" s="23" t="s">
        <v>80</v>
      </c>
      <c r="H222" s="87" t="s">
        <v>101</v>
      </c>
      <c r="I222" s="87" t="s">
        <v>92</v>
      </c>
      <c r="J222" s="48" t="s">
        <v>52</v>
      </c>
      <c r="K222" s="87" t="s">
        <v>74</v>
      </c>
      <c r="L222" s="1">
        <v>1</v>
      </c>
      <c r="M222" s="45" t="s">
        <v>54</v>
      </c>
      <c r="N222" s="18" t="s">
        <v>55</v>
      </c>
      <c r="O222" s="33">
        <v>0</v>
      </c>
      <c r="P222" s="1"/>
      <c r="Q222" s="2" t="s">
        <v>55</v>
      </c>
      <c r="R222" s="2" t="s">
        <v>55</v>
      </c>
      <c r="S222" s="33">
        <v>0</v>
      </c>
      <c r="T222" s="18" t="s">
        <v>55</v>
      </c>
      <c r="U222" s="18" t="s">
        <v>55</v>
      </c>
      <c r="V222" s="18" t="s">
        <v>55</v>
      </c>
      <c r="W222" s="18" t="s">
        <v>55</v>
      </c>
      <c r="X222" s="18" t="s">
        <v>55</v>
      </c>
      <c r="Y222" s="18" t="s">
        <v>55</v>
      </c>
      <c r="Z222" s="3" t="s">
        <v>55</v>
      </c>
      <c r="AA222" s="1">
        <v>1</v>
      </c>
      <c r="AB222" s="1">
        <v>1</v>
      </c>
      <c r="AC222" s="1">
        <v>0</v>
      </c>
      <c r="AD222" s="16">
        <v>46052</v>
      </c>
      <c r="AE222" s="16">
        <v>46052</v>
      </c>
      <c r="AF222" s="16">
        <v>46056</v>
      </c>
      <c r="AG222" s="16">
        <v>46063</v>
      </c>
      <c r="AH222" s="140">
        <v>46065</v>
      </c>
      <c r="AI222" s="3">
        <f t="shared" si="22"/>
        <v>2</v>
      </c>
      <c r="AJ222" s="249" t="s">
        <v>772</v>
      </c>
      <c r="AK222" s="49" t="s">
        <v>773</v>
      </c>
      <c r="AL222" s="19" t="str">
        <f t="shared" si="25"/>
        <v>N/A</v>
      </c>
      <c r="AM222" s="67" t="str">
        <f>IFERROR(NETWORKDAYS(D222,Q222,Hoja1!$A$1:$A$29),"N/A")</f>
        <v>N/A</v>
      </c>
      <c r="AN222" s="21">
        <f>IFERROR(NETWORKDAYS(D222,AE222,Hoja1!$A$1:$A$29),"N/A")</f>
        <v>8</v>
      </c>
      <c r="AO222" s="78">
        <v>3</v>
      </c>
      <c r="AP222" s="21">
        <f t="shared" si="24"/>
        <v>5</v>
      </c>
      <c r="AQ222" s="21">
        <f>IFERROR(NETWORKDAYS(AF222,AG222,Hoja1!$A$1:$A$29),"N/A")</f>
        <v>6</v>
      </c>
      <c r="AR222" s="67">
        <v>1</v>
      </c>
      <c r="AS222" s="75">
        <f t="shared" si="23"/>
        <v>5</v>
      </c>
      <c r="AT222" s="21">
        <f>IFERROR(NETWORKDAYS(D222,AG222,Hoja1!$A$1:$A$29),"N/A")</f>
        <v>15</v>
      </c>
      <c r="AU222" s="21">
        <f t="shared" si="21"/>
        <v>11</v>
      </c>
      <c r="AV222" s="69" t="s">
        <v>104</v>
      </c>
      <c r="AW222" s="86" t="s">
        <v>180</v>
      </c>
      <c r="AX222" s="251"/>
      <c r="AY222" s="1"/>
      <c r="AZ222" s="1"/>
      <c r="BA222" s="1"/>
      <c r="BB222" s="1"/>
    </row>
    <row r="223" spans="1:54" ht="15" customHeight="1" x14ac:dyDescent="0.25">
      <c r="A223" s="55">
        <v>15701</v>
      </c>
      <c r="B223" s="87" t="s">
        <v>79</v>
      </c>
      <c r="C223" s="87" t="s">
        <v>79</v>
      </c>
      <c r="D223" s="15">
        <v>46035</v>
      </c>
      <c r="E223" s="16">
        <v>46043</v>
      </c>
      <c r="F223" s="114" t="s">
        <v>163</v>
      </c>
      <c r="G223" s="114" t="s">
        <v>688</v>
      </c>
      <c r="H223" s="111" t="s">
        <v>51</v>
      </c>
      <c r="I223" s="27" t="s">
        <v>210</v>
      </c>
      <c r="J223" s="27" t="s">
        <v>118</v>
      </c>
      <c r="K223" s="27" t="s">
        <v>165</v>
      </c>
      <c r="L223" s="1">
        <v>1</v>
      </c>
      <c r="M223" s="45" t="s">
        <v>54</v>
      </c>
      <c r="N223" s="21" t="s">
        <v>55</v>
      </c>
      <c r="O223" s="1">
        <v>4</v>
      </c>
      <c r="P223" s="1" t="s">
        <v>112</v>
      </c>
      <c r="Q223" s="16">
        <v>46044</v>
      </c>
      <c r="R223" s="16">
        <v>46045</v>
      </c>
      <c r="S223" s="1">
        <v>4</v>
      </c>
      <c r="T223" s="36" t="s">
        <v>55</v>
      </c>
      <c r="U223" s="36" t="s">
        <v>55</v>
      </c>
      <c r="V223" s="36" t="s">
        <v>55</v>
      </c>
      <c r="W223" s="36" t="s">
        <v>55</v>
      </c>
      <c r="X223" s="36" t="s">
        <v>55</v>
      </c>
      <c r="Y223" s="36" t="s">
        <v>55</v>
      </c>
      <c r="Z223" s="3" t="s">
        <v>55</v>
      </c>
      <c r="AA223" s="1">
        <v>1</v>
      </c>
      <c r="AB223" s="1">
        <v>1</v>
      </c>
      <c r="AC223" s="1">
        <v>0</v>
      </c>
      <c r="AD223" s="16">
        <v>46048</v>
      </c>
      <c r="AE223" s="16">
        <v>46048</v>
      </c>
      <c r="AF223" s="16">
        <v>46048</v>
      </c>
      <c r="AG223" s="16">
        <v>46052</v>
      </c>
      <c r="AH223" s="16">
        <v>46055</v>
      </c>
      <c r="AI223" s="3">
        <f t="shared" si="22"/>
        <v>2</v>
      </c>
      <c r="AJ223" s="85" t="s">
        <v>774</v>
      </c>
      <c r="AK223" s="49" t="s">
        <v>775</v>
      </c>
      <c r="AL223" s="19">
        <f t="shared" si="25"/>
        <v>1</v>
      </c>
      <c r="AM223" s="67">
        <f>IFERROR(NETWORKDAYS(D223,Q223,Hoja1!$A$1:$A$29),"N/A")</f>
        <v>8</v>
      </c>
      <c r="AN223" s="21">
        <f>IFERROR(NETWORKDAYS(D223,AE223,Hoja1!$A$1:$A$29),"N/A")</f>
        <v>10</v>
      </c>
      <c r="AO223" s="78">
        <v>0</v>
      </c>
      <c r="AP223" s="21">
        <f t="shared" si="24"/>
        <v>10</v>
      </c>
      <c r="AQ223" s="21">
        <f>IFERROR(NETWORKDAYS(AF223,AG223,Hoja1!$A$1:$A$29),"N/A")</f>
        <v>5</v>
      </c>
      <c r="AR223" s="113">
        <v>0</v>
      </c>
      <c r="AS223" s="75">
        <f t="shared" si="23"/>
        <v>5</v>
      </c>
      <c r="AT223" s="21">
        <f>IFERROR(NETWORKDAYS(D223,AG223,Hoja1!$A$1:$A$29),"N/A")</f>
        <v>14</v>
      </c>
      <c r="AU223" s="21">
        <f t="shared" si="21"/>
        <v>14</v>
      </c>
      <c r="AV223" s="69" t="s">
        <v>421</v>
      </c>
      <c r="AW223" s="86" t="s">
        <v>776</v>
      </c>
      <c r="AX223" s="33"/>
      <c r="AY223" s="33"/>
      <c r="AZ223" s="33"/>
      <c r="BA223" s="33"/>
      <c r="BB223" s="33"/>
    </row>
    <row r="224" spans="1:54" ht="15" customHeight="1" x14ac:dyDescent="0.25">
      <c r="A224" s="95">
        <v>15703</v>
      </c>
      <c r="B224" s="84" t="s">
        <v>85</v>
      </c>
      <c r="C224" s="84" t="s">
        <v>85</v>
      </c>
      <c r="D224" s="421">
        <v>46044</v>
      </c>
      <c r="E224" s="28">
        <v>46043</v>
      </c>
      <c r="F224" s="84" t="s">
        <v>62</v>
      </c>
      <c r="G224" s="84" t="s">
        <v>382</v>
      </c>
      <c r="H224" s="87" t="s">
        <v>101</v>
      </c>
      <c r="I224" s="84" t="s">
        <v>276</v>
      </c>
      <c r="J224" s="202" t="s">
        <v>52</v>
      </c>
      <c r="K224" s="84" t="s">
        <v>86</v>
      </c>
      <c r="L224" s="33">
        <v>1</v>
      </c>
      <c r="M224" s="45" t="s">
        <v>54</v>
      </c>
      <c r="N224" s="21" t="s">
        <v>55</v>
      </c>
      <c r="O224" s="33">
        <v>0</v>
      </c>
      <c r="P224" s="33"/>
      <c r="Q224" s="21" t="s">
        <v>55</v>
      </c>
      <c r="R224" s="21" t="s">
        <v>55</v>
      </c>
      <c r="S224" s="33">
        <v>0</v>
      </c>
      <c r="T224" s="36" t="s">
        <v>55</v>
      </c>
      <c r="U224" s="36" t="s">
        <v>55</v>
      </c>
      <c r="V224" s="36" t="s">
        <v>55</v>
      </c>
      <c r="W224" s="36" t="s">
        <v>55</v>
      </c>
      <c r="X224" s="36" t="s">
        <v>55</v>
      </c>
      <c r="Y224" s="36" t="s">
        <v>55</v>
      </c>
      <c r="Z224" s="3" t="s">
        <v>55</v>
      </c>
      <c r="AA224" s="33">
        <v>1</v>
      </c>
      <c r="AB224" s="33">
        <v>1</v>
      </c>
      <c r="AC224" s="33">
        <v>0</v>
      </c>
      <c r="AD224" s="28">
        <v>46048</v>
      </c>
      <c r="AE224" s="28">
        <v>46048</v>
      </c>
      <c r="AF224" s="28">
        <v>46048</v>
      </c>
      <c r="AG224" s="28">
        <v>46055</v>
      </c>
      <c r="AH224" s="16">
        <v>46055</v>
      </c>
      <c r="AI224" s="3">
        <f t="shared" si="22"/>
        <v>2</v>
      </c>
      <c r="AJ224" s="85" t="s">
        <v>777</v>
      </c>
      <c r="AK224" s="35" t="s">
        <v>778</v>
      </c>
      <c r="AL224" s="19" t="str">
        <f t="shared" si="25"/>
        <v>N/A</v>
      </c>
      <c r="AM224" s="67" t="str">
        <f>IFERROR(NETWORKDAYS(D224,Q224,Hoja1!$A$1:$A$29),"N/A")</f>
        <v>N/A</v>
      </c>
      <c r="AN224" s="21">
        <f>IFERROR(NETWORKDAYS(D224,AE224,Hoja1!$A$1:$A$29),"N/A")</f>
        <v>3</v>
      </c>
      <c r="AO224" s="78">
        <v>0</v>
      </c>
      <c r="AP224" s="21">
        <f t="shared" si="24"/>
        <v>3</v>
      </c>
      <c r="AQ224" s="21">
        <f>IFERROR(NETWORKDAYS(AF224,AG224,Hoja1!$A$1:$A$29),"N/A")</f>
        <v>6</v>
      </c>
      <c r="AR224" s="67">
        <v>1</v>
      </c>
      <c r="AS224" s="75">
        <f t="shared" si="23"/>
        <v>5</v>
      </c>
      <c r="AT224" s="21">
        <f>IFERROR(NETWORKDAYS(D224,AG224,Hoja1!$A$1:$A$29),"N/A")</f>
        <v>8</v>
      </c>
      <c r="AU224" s="21">
        <f t="shared" si="21"/>
        <v>7</v>
      </c>
      <c r="AV224" s="69" t="s">
        <v>104</v>
      </c>
      <c r="AW224" s="86" t="s">
        <v>480</v>
      </c>
      <c r="AX224" s="33"/>
      <c r="AY224" s="33"/>
      <c r="AZ224" s="33"/>
      <c r="BA224" s="33"/>
      <c r="BB224" s="33"/>
    </row>
    <row r="225" spans="1:54" ht="15" customHeight="1" x14ac:dyDescent="0.25">
      <c r="A225" s="58">
        <v>15704</v>
      </c>
      <c r="B225" s="84" t="s">
        <v>169</v>
      </c>
      <c r="C225" s="84" t="s">
        <v>169</v>
      </c>
      <c r="D225" s="37">
        <v>46044</v>
      </c>
      <c r="E225" s="37">
        <v>46044</v>
      </c>
      <c r="F225" s="202" t="s">
        <v>879</v>
      </c>
      <c r="G225" s="48" t="s">
        <v>50</v>
      </c>
      <c r="H225" s="111" t="s">
        <v>51</v>
      </c>
      <c r="I225" s="48" t="s">
        <v>753</v>
      </c>
      <c r="J225" s="87" t="s">
        <v>105</v>
      </c>
      <c r="K225" s="48" t="s">
        <v>106</v>
      </c>
      <c r="L225" s="3">
        <v>1</v>
      </c>
      <c r="M225" s="45" t="s">
        <v>54</v>
      </c>
      <c r="N225" s="18" t="s">
        <v>55</v>
      </c>
      <c r="O225" s="3">
        <v>2</v>
      </c>
      <c r="P225" s="3" t="s">
        <v>112</v>
      </c>
      <c r="Q225" s="30">
        <v>46048</v>
      </c>
      <c r="R225" s="30">
        <v>46048</v>
      </c>
      <c r="S225" s="3">
        <v>2</v>
      </c>
      <c r="T225" s="3" t="s">
        <v>55</v>
      </c>
      <c r="U225" s="18" t="s">
        <v>55</v>
      </c>
      <c r="V225" s="18" t="s">
        <v>55</v>
      </c>
      <c r="W225" s="18" t="s">
        <v>55</v>
      </c>
      <c r="X225" s="18" t="s">
        <v>55</v>
      </c>
      <c r="Y225" s="18" t="s">
        <v>55</v>
      </c>
      <c r="Z225" s="3" t="s">
        <v>55</v>
      </c>
      <c r="AA225" s="3">
        <v>2</v>
      </c>
      <c r="AB225" s="3">
        <v>2</v>
      </c>
      <c r="AC225" s="3">
        <v>0</v>
      </c>
      <c r="AD225" s="30">
        <v>46049</v>
      </c>
      <c r="AE225" s="30">
        <v>46051</v>
      </c>
      <c r="AF225" s="30">
        <v>46051</v>
      </c>
      <c r="AG225" s="37">
        <v>46064</v>
      </c>
      <c r="AH225" s="37">
        <v>46064</v>
      </c>
      <c r="AI225" s="3">
        <f t="shared" si="22"/>
        <v>2</v>
      </c>
      <c r="AJ225" s="85" t="s">
        <v>779</v>
      </c>
      <c r="AK225" s="35" t="s">
        <v>780</v>
      </c>
      <c r="AL225" s="19">
        <f t="shared" si="25"/>
        <v>1</v>
      </c>
      <c r="AM225" s="67">
        <f>IFERROR(NETWORKDAYS(D225,Q225,Hoja1!$A$1:$A$29),"N/A")</f>
        <v>3</v>
      </c>
      <c r="AN225" s="21">
        <f>IFERROR(NETWORKDAYS(D225,AE225,Hoja1!$A$1:$A$29),"N/A")</f>
        <v>6</v>
      </c>
      <c r="AO225" s="78">
        <v>0</v>
      </c>
      <c r="AP225" s="21">
        <v>3</v>
      </c>
      <c r="AQ225" s="21">
        <f>IFERROR(NETWORKDAYS(AF225,AG225,Hoja1!$A$1:$A$29),"N/A")</f>
        <v>10</v>
      </c>
      <c r="AR225" s="33">
        <v>4</v>
      </c>
      <c r="AS225" s="75">
        <f t="shared" si="23"/>
        <v>6</v>
      </c>
      <c r="AT225" s="21">
        <f>IFERROR(NETWORKDAYS(D225,AG225,Hoja1!$A$1:$A$29),"N/A")</f>
        <v>15</v>
      </c>
      <c r="AU225" s="21">
        <f t="shared" si="21"/>
        <v>11</v>
      </c>
      <c r="AV225" s="69" t="s">
        <v>59</v>
      </c>
      <c r="AW225" s="86" t="s">
        <v>781</v>
      </c>
      <c r="AX225" s="3"/>
      <c r="AY225" s="3"/>
      <c r="AZ225" s="3"/>
      <c r="BA225" s="3"/>
      <c r="BB225" s="3"/>
    </row>
    <row r="226" spans="1:54" ht="15" customHeight="1" x14ac:dyDescent="0.25">
      <c r="A226" s="55">
        <v>15709</v>
      </c>
      <c r="B226" s="87" t="s">
        <v>85</v>
      </c>
      <c r="C226" s="87" t="s">
        <v>85</v>
      </c>
      <c r="D226" s="418">
        <v>46001</v>
      </c>
      <c r="E226" s="30">
        <v>46044</v>
      </c>
      <c r="F226" s="202" t="s">
        <v>879</v>
      </c>
      <c r="G226" s="87" t="s">
        <v>50</v>
      </c>
      <c r="H226" s="111" t="s">
        <v>51</v>
      </c>
      <c r="I226" s="84" t="s">
        <v>276</v>
      </c>
      <c r="J226" s="87" t="s">
        <v>52</v>
      </c>
      <c r="K226" s="87" t="s">
        <v>53</v>
      </c>
      <c r="L226" s="3">
        <v>1</v>
      </c>
      <c r="M226" s="45" t="s">
        <v>54</v>
      </c>
      <c r="N226" s="3" t="s">
        <v>55</v>
      </c>
      <c r="O226" s="3">
        <v>5</v>
      </c>
      <c r="P226" s="3" t="s">
        <v>112</v>
      </c>
      <c r="Q226" s="30">
        <v>46003</v>
      </c>
      <c r="R226" s="30">
        <v>46003</v>
      </c>
      <c r="S226" s="3">
        <v>5</v>
      </c>
      <c r="T226" s="3" t="s">
        <v>55</v>
      </c>
      <c r="U226" s="3" t="s">
        <v>55</v>
      </c>
      <c r="V226" s="3" t="s">
        <v>55</v>
      </c>
      <c r="W226" s="3" t="s">
        <v>55</v>
      </c>
      <c r="X226" s="3" t="s">
        <v>55</v>
      </c>
      <c r="Y226" s="3" t="s">
        <v>55</v>
      </c>
      <c r="Z226" s="3" t="s">
        <v>55</v>
      </c>
      <c r="AA226" s="3">
        <v>1</v>
      </c>
      <c r="AB226" s="3">
        <v>1</v>
      </c>
      <c r="AC226" s="3">
        <v>0</v>
      </c>
      <c r="AD226" s="30">
        <v>46037</v>
      </c>
      <c r="AE226" s="30">
        <v>46048</v>
      </c>
      <c r="AF226" s="30">
        <v>46048</v>
      </c>
      <c r="AG226" s="30">
        <v>46055</v>
      </c>
      <c r="AH226" s="16">
        <v>46055</v>
      </c>
      <c r="AI226" s="3">
        <f t="shared" si="22"/>
        <v>2</v>
      </c>
      <c r="AJ226" s="85" t="s">
        <v>782</v>
      </c>
      <c r="AK226" s="35" t="s">
        <v>783</v>
      </c>
      <c r="AL226" s="19">
        <f t="shared" si="25"/>
        <v>1</v>
      </c>
      <c r="AM226" s="67">
        <f>IFERROR(NETWORKDAYS(D226,Q226,Hoja1!$A$1:$A$29),"N/A")</f>
        <v>3</v>
      </c>
      <c r="AN226" s="21">
        <f>IFERROR(NETWORKDAYS(D226,AE226,Hoja1!$A$1:$A$29),"N/A")</f>
        <v>31</v>
      </c>
      <c r="AO226" s="78">
        <v>18</v>
      </c>
      <c r="AP226" s="21">
        <f t="shared" ref="AP226:AP253" si="26">AN226-AO226</f>
        <v>13</v>
      </c>
      <c r="AQ226" s="21">
        <f>IFERROR(NETWORKDAYS(AF226,AG226,Hoja1!$A$1:$A$29),"N/A")</f>
        <v>6</v>
      </c>
      <c r="AR226" s="113">
        <v>1</v>
      </c>
      <c r="AS226" s="75">
        <f t="shared" si="23"/>
        <v>5</v>
      </c>
      <c r="AT226" s="21">
        <f>IFERROR(NETWORKDAYS(D226,AG226,Hoja1!$A$1:$A$29),"N/A")</f>
        <v>36</v>
      </c>
      <c r="AU226" s="21">
        <f t="shared" ref="AU226:AU289" si="27">AT226-AO226-AR226</f>
        <v>17</v>
      </c>
      <c r="AV226" s="69" t="s">
        <v>59</v>
      </c>
      <c r="AW226" s="86" t="s">
        <v>784</v>
      </c>
      <c r="AX226" s="3"/>
      <c r="AY226" s="3"/>
      <c r="AZ226" s="3"/>
      <c r="BA226" s="3"/>
      <c r="BB226" s="3"/>
    </row>
    <row r="227" spans="1:54" ht="15" customHeight="1" x14ac:dyDescent="0.25">
      <c r="A227" s="55">
        <v>15710</v>
      </c>
      <c r="B227" s="27" t="s">
        <v>69</v>
      </c>
      <c r="C227" s="43" t="s">
        <v>98</v>
      </c>
      <c r="D227" s="30">
        <v>46044</v>
      </c>
      <c r="E227" s="30">
        <v>46044</v>
      </c>
      <c r="F227" s="202" t="s">
        <v>879</v>
      </c>
      <c r="G227" s="87" t="s">
        <v>50</v>
      </c>
      <c r="H227" s="111" t="s">
        <v>51</v>
      </c>
      <c r="I227" s="27" t="s">
        <v>640</v>
      </c>
      <c r="J227" s="87" t="s">
        <v>52</v>
      </c>
      <c r="K227" s="87" t="s">
        <v>53</v>
      </c>
      <c r="L227" s="3">
        <v>1</v>
      </c>
      <c r="M227" s="45" t="s">
        <v>54</v>
      </c>
      <c r="N227" s="3" t="s">
        <v>55</v>
      </c>
      <c r="O227" s="3">
        <v>11</v>
      </c>
      <c r="P227" s="3" t="s">
        <v>112</v>
      </c>
      <c r="Q227" s="30">
        <v>46049</v>
      </c>
      <c r="R227" s="30">
        <v>46049</v>
      </c>
      <c r="S227" s="3">
        <v>11</v>
      </c>
      <c r="T227" s="3" t="s">
        <v>55</v>
      </c>
      <c r="U227" s="3" t="s">
        <v>55</v>
      </c>
      <c r="V227" s="3" t="s">
        <v>55</v>
      </c>
      <c r="W227" s="3" t="s">
        <v>55</v>
      </c>
      <c r="X227" s="3" t="s">
        <v>55</v>
      </c>
      <c r="Y227" s="3" t="s">
        <v>55</v>
      </c>
      <c r="Z227" s="3" t="s">
        <v>55</v>
      </c>
      <c r="AA227" s="3">
        <v>6</v>
      </c>
      <c r="AB227" s="3">
        <v>3</v>
      </c>
      <c r="AC227" s="3">
        <v>0</v>
      </c>
      <c r="AD227" s="30">
        <v>46056</v>
      </c>
      <c r="AE227" s="30">
        <v>46063</v>
      </c>
      <c r="AF227" s="30">
        <v>46064</v>
      </c>
      <c r="AG227" s="30">
        <v>46076</v>
      </c>
      <c r="AH227" s="140">
        <v>46076</v>
      </c>
      <c r="AI227" s="3">
        <f t="shared" si="22"/>
        <v>2</v>
      </c>
      <c r="AJ227" s="85" t="s">
        <v>785</v>
      </c>
      <c r="AK227" s="35" t="s">
        <v>786</v>
      </c>
      <c r="AL227" s="19">
        <f t="shared" si="25"/>
        <v>1</v>
      </c>
      <c r="AM227" s="67">
        <f>IFERROR(NETWORKDAYS(D227,Q227,Hoja1!$A$1:$A$29),"N/A")</f>
        <v>4</v>
      </c>
      <c r="AN227" s="21">
        <f>IFERROR(NETWORKDAYS(D227,AE227,Hoja1!$A$1:$A$29),"N/A")</f>
        <v>14</v>
      </c>
      <c r="AO227" s="78">
        <v>2</v>
      </c>
      <c r="AP227" s="21">
        <f t="shared" si="26"/>
        <v>12</v>
      </c>
      <c r="AQ227" s="21">
        <f>IFERROR(NETWORKDAYS(AF227,AG227,Hoja1!$A$1:$A$29),"N/A")</f>
        <v>9</v>
      </c>
      <c r="AR227" s="113">
        <v>4</v>
      </c>
      <c r="AS227" s="75">
        <f t="shared" si="23"/>
        <v>5</v>
      </c>
      <c r="AT227" s="21">
        <f>IFERROR(NETWORKDAYS(D227,AG227,Hoja1!$A$1:$A$29),"N/A")</f>
        <v>23</v>
      </c>
      <c r="AU227" s="21">
        <f t="shared" si="27"/>
        <v>17</v>
      </c>
      <c r="AV227" s="69" t="s">
        <v>104</v>
      </c>
      <c r="AW227" s="86" t="s">
        <v>191</v>
      </c>
      <c r="AX227" s="3"/>
      <c r="AY227" s="3"/>
      <c r="AZ227" s="3"/>
      <c r="BA227" s="3"/>
      <c r="BB227" s="3"/>
    </row>
    <row r="228" spans="1:54" ht="15" customHeight="1" x14ac:dyDescent="0.25">
      <c r="A228" s="55">
        <v>15721</v>
      </c>
      <c r="B228" s="87" t="s">
        <v>85</v>
      </c>
      <c r="C228" s="87" t="s">
        <v>85</v>
      </c>
      <c r="D228" s="418">
        <v>46045</v>
      </c>
      <c r="E228" s="30">
        <v>46045</v>
      </c>
      <c r="F228" s="202" t="s">
        <v>879</v>
      </c>
      <c r="G228" s="87" t="s">
        <v>787</v>
      </c>
      <c r="H228" s="87" t="s">
        <v>101</v>
      </c>
      <c r="I228" s="48" t="s">
        <v>1406</v>
      </c>
      <c r="J228" s="87" t="s">
        <v>52</v>
      </c>
      <c r="K228" s="87" t="s">
        <v>53</v>
      </c>
      <c r="L228" s="3">
        <v>1</v>
      </c>
      <c r="M228" s="45" t="s">
        <v>54</v>
      </c>
      <c r="N228" s="3" t="s">
        <v>55</v>
      </c>
      <c r="O228" s="3">
        <v>0</v>
      </c>
      <c r="P228" s="3"/>
      <c r="Q228" s="3" t="s">
        <v>55</v>
      </c>
      <c r="R228" s="3" t="s">
        <v>55</v>
      </c>
      <c r="S228" s="3">
        <v>0</v>
      </c>
      <c r="T228" s="3" t="s">
        <v>55</v>
      </c>
      <c r="U228" s="3" t="s">
        <v>55</v>
      </c>
      <c r="V228" s="3" t="s">
        <v>55</v>
      </c>
      <c r="W228" s="3" t="s">
        <v>55</v>
      </c>
      <c r="X228" s="3" t="s">
        <v>55</v>
      </c>
      <c r="Y228" s="3" t="s">
        <v>55</v>
      </c>
      <c r="Z228" s="3" t="s">
        <v>55</v>
      </c>
      <c r="AA228" s="3">
        <v>1</v>
      </c>
      <c r="AB228" s="3">
        <v>1</v>
      </c>
      <c r="AC228" s="3">
        <v>0</v>
      </c>
      <c r="AD228" s="30">
        <v>46050</v>
      </c>
      <c r="AE228" s="28">
        <v>46050</v>
      </c>
      <c r="AF228" s="28">
        <v>46050</v>
      </c>
      <c r="AG228" s="30">
        <v>46065</v>
      </c>
      <c r="AH228" s="30">
        <v>46065</v>
      </c>
      <c r="AI228" s="3">
        <f t="shared" si="22"/>
        <v>2</v>
      </c>
      <c r="AJ228" s="85" t="s">
        <v>788</v>
      </c>
      <c r="AK228" s="35" t="s">
        <v>789</v>
      </c>
      <c r="AL228" s="19" t="str">
        <f t="shared" si="25"/>
        <v>N/A</v>
      </c>
      <c r="AM228" s="67" t="str">
        <f>IFERROR(NETWORKDAYS(D228,Q228,Hoja1!$A$1:$A$29),"N/A")</f>
        <v>N/A</v>
      </c>
      <c r="AN228" s="21">
        <f>IFERROR(NETWORKDAYS(D228,AE228,Hoja1!$A$1:$A$29),"N/A")</f>
        <v>4</v>
      </c>
      <c r="AO228" s="78">
        <v>0</v>
      </c>
      <c r="AP228" s="21">
        <f t="shared" si="26"/>
        <v>4</v>
      </c>
      <c r="AQ228" s="21">
        <f>IFERROR(NETWORKDAYS(AF228,AG228,Hoja1!$A$1:$A$29),"N/A")</f>
        <v>12</v>
      </c>
      <c r="AR228" s="113">
        <v>7</v>
      </c>
      <c r="AS228" s="75">
        <f t="shared" si="23"/>
        <v>5</v>
      </c>
      <c r="AT228" s="21">
        <f>IFERROR(NETWORKDAYS(D228,AG228,Hoja1!$A$1:$A$29),"N/A")</f>
        <v>15</v>
      </c>
      <c r="AU228" s="21">
        <f t="shared" si="27"/>
        <v>8</v>
      </c>
      <c r="AV228" s="69" t="s">
        <v>145</v>
      </c>
      <c r="AW228" s="86" t="s">
        <v>480</v>
      </c>
      <c r="AX228" s="3"/>
      <c r="AY228" s="3"/>
      <c r="AZ228" s="3"/>
      <c r="BA228" s="3"/>
      <c r="BB228" s="3"/>
    </row>
    <row r="229" spans="1:54" ht="15" customHeight="1" x14ac:dyDescent="0.25">
      <c r="A229" s="95">
        <v>15722</v>
      </c>
      <c r="B229" s="84" t="s">
        <v>169</v>
      </c>
      <c r="C229" s="84" t="s">
        <v>169</v>
      </c>
      <c r="D229" s="28">
        <v>46048</v>
      </c>
      <c r="E229" s="28">
        <v>46047</v>
      </c>
      <c r="F229" s="84" t="s">
        <v>62</v>
      </c>
      <c r="G229" s="84" t="s">
        <v>71</v>
      </c>
      <c r="H229" s="87" t="s">
        <v>101</v>
      </c>
      <c r="I229" s="84" t="s">
        <v>205</v>
      </c>
      <c r="J229" s="84" t="s">
        <v>105</v>
      </c>
      <c r="K229" s="84" t="s">
        <v>86</v>
      </c>
      <c r="L229" s="33">
        <v>1</v>
      </c>
      <c r="M229" s="45" t="s">
        <v>54</v>
      </c>
      <c r="N229" s="21" t="s">
        <v>55</v>
      </c>
      <c r="O229" s="33">
        <v>0</v>
      </c>
      <c r="P229" s="33"/>
      <c r="Q229" s="21" t="s">
        <v>55</v>
      </c>
      <c r="R229" s="21" t="s">
        <v>55</v>
      </c>
      <c r="S229" s="33">
        <v>0</v>
      </c>
      <c r="T229" s="36" t="s">
        <v>55</v>
      </c>
      <c r="U229" s="36" t="s">
        <v>55</v>
      </c>
      <c r="V229" s="36" t="s">
        <v>55</v>
      </c>
      <c r="W229" s="36" t="s">
        <v>55</v>
      </c>
      <c r="X229" s="36" t="s">
        <v>55</v>
      </c>
      <c r="Y229" s="36" t="s">
        <v>55</v>
      </c>
      <c r="Z229" s="3" t="s">
        <v>55</v>
      </c>
      <c r="AA229" s="33">
        <v>1</v>
      </c>
      <c r="AB229" s="33">
        <v>1</v>
      </c>
      <c r="AC229" s="33">
        <v>0</v>
      </c>
      <c r="AD229" s="28">
        <v>46052</v>
      </c>
      <c r="AE229" s="28">
        <v>46052</v>
      </c>
      <c r="AF229" s="28">
        <v>46055</v>
      </c>
      <c r="AG229" s="28">
        <v>46064</v>
      </c>
      <c r="AH229" s="28">
        <v>46065</v>
      </c>
      <c r="AI229" s="3">
        <f t="shared" si="22"/>
        <v>2</v>
      </c>
      <c r="AJ229" s="85" t="s">
        <v>790</v>
      </c>
      <c r="AK229" s="35" t="s">
        <v>791</v>
      </c>
      <c r="AL229" s="19" t="str">
        <f t="shared" si="25"/>
        <v>N/A</v>
      </c>
      <c r="AM229" s="67" t="str">
        <f>IFERROR(NETWORKDAYS(D229,Q229,Hoja1!$A$1:$A$29),"N/A")</f>
        <v>N/A</v>
      </c>
      <c r="AN229" s="21">
        <f>IFERROR(NETWORKDAYS(D229,AE229,Hoja1!$A$1:$A$29),"N/A")</f>
        <v>5</v>
      </c>
      <c r="AO229" s="78">
        <v>0</v>
      </c>
      <c r="AP229" s="21">
        <f t="shared" si="26"/>
        <v>5</v>
      </c>
      <c r="AQ229" s="21">
        <f>IFERROR(NETWORKDAYS(AF229,AG229,Hoja1!$A$1:$A$29),"N/A")</f>
        <v>8</v>
      </c>
      <c r="AR229" s="67">
        <v>3</v>
      </c>
      <c r="AS229" s="75">
        <f t="shared" si="23"/>
        <v>5</v>
      </c>
      <c r="AT229" s="21">
        <f>IFERROR(NETWORKDAYS(D229,AG229,Hoja1!$A$1:$A$29),"N/A")</f>
        <v>13</v>
      </c>
      <c r="AU229" s="21">
        <f t="shared" si="27"/>
        <v>10</v>
      </c>
      <c r="AV229" s="69" t="s">
        <v>104</v>
      </c>
      <c r="AW229" s="86" t="s">
        <v>405</v>
      </c>
      <c r="AX229" s="33"/>
      <c r="AY229" s="33"/>
      <c r="AZ229" s="33"/>
      <c r="BA229" s="33"/>
      <c r="BB229" s="33"/>
    </row>
    <row r="230" spans="1:54" ht="15" customHeight="1" x14ac:dyDescent="0.25">
      <c r="A230" s="55">
        <v>15726</v>
      </c>
      <c r="B230" s="27" t="s">
        <v>69</v>
      </c>
      <c r="C230" s="43" t="s">
        <v>98</v>
      </c>
      <c r="D230" s="421">
        <v>46048</v>
      </c>
      <c r="E230" s="28">
        <v>46048</v>
      </c>
      <c r="F230" s="143" t="s">
        <v>99</v>
      </c>
      <c r="G230" s="111" t="s">
        <v>100</v>
      </c>
      <c r="H230" s="111" t="s">
        <v>116</v>
      </c>
      <c r="I230" s="111" t="s">
        <v>792</v>
      </c>
      <c r="J230" s="111" t="s">
        <v>65</v>
      </c>
      <c r="K230" s="202" t="s">
        <v>1081</v>
      </c>
      <c r="L230" s="2">
        <v>1</v>
      </c>
      <c r="M230" s="45" t="s">
        <v>54</v>
      </c>
      <c r="N230" s="2" t="s">
        <v>55</v>
      </c>
      <c r="O230" s="2">
        <v>9</v>
      </c>
      <c r="P230" s="2" t="s">
        <v>112</v>
      </c>
      <c r="Q230" s="44">
        <v>46052</v>
      </c>
      <c r="R230" s="44">
        <v>46052</v>
      </c>
      <c r="S230" s="2">
        <v>9</v>
      </c>
      <c r="T230" s="44">
        <v>46048</v>
      </c>
      <c r="U230" s="44">
        <v>46048</v>
      </c>
      <c r="V230" s="44">
        <v>46058</v>
      </c>
      <c r="W230" s="44">
        <v>46059</v>
      </c>
      <c r="X230" s="2" t="s">
        <v>55</v>
      </c>
      <c r="Y230" s="2" t="s">
        <v>55</v>
      </c>
      <c r="Z230" s="44">
        <v>46064</v>
      </c>
      <c r="AA230" s="2">
        <v>4</v>
      </c>
      <c r="AB230" s="2">
        <v>4</v>
      </c>
      <c r="AC230" s="2">
        <v>0</v>
      </c>
      <c r="AD230" s="44">
        <v>46057</v>
      </c>
      <c r="AE230" s="44">
        <v>46065</v>
      </c>
      <c r="AF230" s="44">
        <v>46065</v>
      </c>
      <c r="AG230" s="30">
        <v>46072</v>
      </c>
      <c r="AH230" s="140">
        <v>46076</v>
      </c>
      <c r="AI230" s="3">
        <f t="shared" si="22"/>
        <v>2</v>
      </c>
      <c r="AJ230" s="85" t="s">
        <v>793</v>
      </c>
      <c r="AK230" s="46" t="s">
        <v>794</v>
      </c>
      <c r="AL230" s="19">
        <f t="shared" si="25"/>
        <v>1</v>
      </c>
      <c r="AM230" s="67">
        <f>IFERROR(NETWORKDAYS(D230,Q230,Hoja1!$A$1:$A$29),"N/A")</f>
        <v>5</v>
      </c>
      <c r="AN230" s="21">
        <f>IFERROR(NETWORKDAYS(D230,AE230,Hoja1!$A$1:$A$29),"N/A")</f>
        <v>14</v>
      </c>
      <c r="AO230" s="78">
        <v>0</v>
      </c>
      <c r="AP230" s="21">
        <f t="shared" si="26"/>
        <v>14</v>
      </c>
      <c r="AQ230" s="21">
        <f>IFERROR(NETWORKDAYS(AF230,AG230,Hoja1!$A$1:$A$29),"N/A")</f>
        <v>6</v>
      </c>
      <c r="AR230" s="78">
        <v>1</v>
      </c>
      <c r="AS230" s="75">
        <f t="shared" si="23"/>
        <v>5</v>
      </c>
      <c r="AT230" s="21">
        <f>IFERROR(NETWORKDAYS(D230,AG230,Hoja1!$A$1:$A$29),"N/A")</f>
        <v>19</v>
      </c>
      <c r="AU230" s="21">
        <f t="shared" si="27"/>
        <v>18</v>
      </c>
      <c r="AV230" s="69" t="s">
        <v>421</v>
      </c>
      <c r="AW230" s="86" t="s">
        <v>795</v>
      </c>
      <c r="AX230" s="43"/>
      <c r="AY230" s="43"/>
      <c r="AZ230" s="43"/>
      <c r="BA230" s="43"/>
      <c r="BB230" s="43"/>
    </row>
    <row r="231" spans="1:54" ht="15" customHeight="1" x14ac:dyDescent="0.25">
      <c r="A231" s="95">
        <v>15733</v>
      </c>
      <c r="B231" s="84" t="s">
        <v>169</v>
      </c>
      <c r="C231" s="84" t="s">
        <v>169</v>
      </c>
      <c r="D231" s="28">
        <v>46049</v>
      </c>
      <c r="E231" s="28">
        <v>46048</v>
      </c>
      <c r="F231" s="84" t="s">
        <v>62</v>
      </c>
      <c r="G231" s="84" t="s">
        <v>71</v>
      </c>
      <c r="H231" s="87" t="s">
        <v>101</v>
      </c>
      <c r="I231" s="84" t="s">
        <v>796</v>
      </c>
      <c r="J231" s="84" t="s">
        <v>142</v>
      </c>
      <c r="K231" s="84" t="s">
        <v>86</v>
      </c>
      <c r="L231" s="33">
        <v>1</v>
      </c>
      <c r="M231" s="45" t="s">
        <v>54</v>
      </c>
      <c r="N231" s="21" t="s">
        <v>55</v>
      </c>
      <c r="O231" s="33">
        <v>0</v>
      </c>
      <c r="P231" s="33"/>
      <c r="Q231" s="21" t="s">
        <v>55</v>
      </c>
      <c r="R231" s="21" t="s">
        <v>55</v>
      </c>
      <c r="S231" s="33">
        <v>0</v>
      </c>
      <c r="T231" s="36" t="s">
        <v>55</v>
      </c>
      <c r="U231" s="36" t="s">
        <v>55</v>
      </c>
      <c r="V231" s="36" t="s">
        <v>55</v>
      </c>
      <c r="W231" s="36" t="s">
        <v>55</v>
      </c>
      <c r="X231" s="36" t="s">
        <v>55</v>
      </c>
      <c r="Y231" s="36" t="s">
        <v>55</v>
      </c>
      <c r="Z231" s="3" t="s">
        <v>55</v>
      </c>
      <c r="AA231" s="33">
        <v>1</v>
      </c>
      <c r="AB231" s="33">
        <v>1</v>
      </c>
      <c r="AC231" s="33">
        <v>0</v>
      </c>
      <c r="AD231" s="28">
        <v>46051</v>
      </c>
      <c r="AE231" s="28">
        <v>46052</v>
      </c>
      <c r="AF231" s="28">
        <v>46052</v>
      </c>
      <c r="AG231" s="28">
        <v>46071</v>
      </c>
      <c r="AH231" s="140">
        <v>46076</v>
      </c>
      <c r="AI231" s="3">
        <f t="shared" si="22"/>
        <v>2</v>
      </c>
      <c r="AJ231" s="85" t="s">
        <v>797</v>
      </c>
      <c r="AK231" s="35" t="s">
        <v>798</v>
      </c>
      <c r="AL231" s="19" t="str">
        <f t="shared" si="25"/>
        <v>N/A</v>
      </c>
      <c r="AM231" s="67" t="str">
        <f>IFERROR(NETWORKDAYS(D231,Q231,Hoja1!$A$1:$A$29),"N/A")</f>
        <v>N/A</v>
      </c>
      <c r="AN231" s="21">
        <f>IFERROR(NETWORKDAYS(D231,AE231,Hoja1!$A$1:$A$29),"N/A")</f>
        <v>4</v>
      </c>
      <c r="AO231" s="78">
        <v>0</v>
      </c>
      <c r="AP231" s="21">
        <f t="shared" si="26"/>
        <v>4</v>
      </c>
      <c r="AQ231" s="21">
        <f>IFERROR(NETWORKDAYS(AF231,AG231,Hoja1!$A$1:$A$29),"N/A")</f>
        <v>14</v>
      </c>
      <c r="AR231" s="67">
        <v>9</v>
      </c>
      <c r="AS231" s="75">
        <f t="shared" si="23"/>
        <v>5</v>
      </c>
      <c r="AT231" s="21">
        <f>IFERROR(NETWORKDAYS(D231,AG231,Hoja1!$A$1:$A$29),"N/A")</f>
        <v>17</v>
      </c>
      <c r="AU231" s="21">
        <f t="shared" si="27"/>
        <v>8</v>
      </c>
      <c r="AV231" s="69" t="s">
        <v>104</v>
      </c>
      <c r="AW231" s="86" t="s">
        <v>799</v>
      </c>
      <c r="AX231" s="33"/>
      <c r="AY231" s="33"/>
      <c r="AZ231" s="33"/>
      <c r="BA231" s="33"/>
      <c r="BB231" s="33"/>
    </row>
    <row r="232" spans="1:54" ht="15" customHeight="1" x14ac:dyDescent="0.25">
      <c r="A232" s="55">
        <v>15735</v>
      </c>
      <c r="B232" s="27" t="s">
        <v>69</v>
      </c>
      <c r="C232" s="43" t="s">
        <v>98</v>
      </c>
      <c r="D232" s="418">
        <v>45940</v>
      </c>
      <c r="E232" s="30">
        <v>46044</v>
      </c>
      <c r="F232" s="202" t="s">
        <v>879</v>
      </c>
      <c r="G232" s="87" t="s">
        <v>632</v>
      </c>
      <c r="H232" s="111" t="s">
        <v>51</v>
      </c>
      <c r="I232" s="27" t="s">
        <v>227</v>
      </c>
      <c r="J232" s="87" t="s">
        <v>52</v>
      </c>
      <c r="K232" s="87" t="s">
        <v>53</v>
      </c>
      <c r="L232" s="3">
        <v>1</v>
      </c>
      <c r="M232" s="45" t="s">
        <v>54</v>
      </c>
      <c r="N232" s="3" t="s">
        <v>55</v>
      </c>
      <c r="O232" s="3">
        <v>6</v>
      </c>
      <c r="P232" s="3" t="s">
        <v>112</v>
      </c>
      <c r="Q232" s="30">
        <v>45944</v>
      </c>
      <c r="R232" s="30">
        <v>45944</v>
      </c>
      <c r="S232" s="3">
        <v>6</v>
      </c>
      <c r="T232" s="3" t="s">
        <v>55</v>
      </c>
      <c r="U232" s="3" t="s">
        <v>55</v>
      </c>
      <c r="V232" s="3" t="s">
        <v>55</v>
      </c>
      <c r="W232" s="3" t="s">
        <v>55</v>
      </c>
      <c r="X232" s="3" t="s">
        <v>55</v>
      </c>
      <c r="Y232" s="3" t="s">
        <v>55</v>
      </c>
      <c r="Z232" s="3" t="s">
        <v>55</v>
      </c>
      <c r="AA232" s="3">
        <v>2</v>
      </c>
      <c r="AB232" s="3">
        <v>2</v>
      </c>
      <c r="AC232" s="3">
        <v>0</v>
      </c>
      <c r="AD232" s="30">
        <v>45946</v>
      </c>
      <c r="AE232" s="30">
        <v>46048</v>
      </c>
      <c r="AF232" s="16">
        <v>46049</v>
      </c>
      <c r="AG232" s="30">
        <v>46076</v>
      </c>
      <c r="AH232" s="140">
        <v>46076</v>
      </c>
      <c r="AI232" s="3">
        <f t="shared" si="22"/>
        <v>2</v>
      </c>
      <c r="AJ232" s="85" t="s">
        <v>800</v>
      </c>
      <c r="AK232" s="35" t="s">
        <v>801</v>
      </c>
      <c r="AL232" s="19">
        <f t="shared" si="25"/>
        <v>1</v>
      </c>
      <c r="AM232" s="67">
        <f>IFERROR(NETWORKDAYS(D232,Q232,Hoja1!$A$1:$A$29),"N/A")</f>
        <v>2</v>
      </c>
      <c r="AN232" s="21">
        <f>IFERROR(NETWORKDAYS(D232,AE232,Hoja1!$A$1:$A$29),"N/A")</f>
        <v>70</v>
      </c>
      <c r="AO232" s="78">
        <v>53</v>
      </c>
      <c r="AP232" s="21">
        <f t="shared" si="26"/>
        <v>17</v>
      </c>
      <c r="AQ232" s="21">
        <f>IFERROR(NETWORKDAYS(AF232,AG232,Hoja1!$A$1:$A$29),"N/A")</f>
        <v>20</v>
      </c>
      <c r="AR232" s="113">
        <v>15</v>
      </c>
      <c r="AS232" s="75">
        <f t="shared" si="23"/>
        <v>5</v>
      </c>
      <c r="AT232" s="21">
        <f>IFERROR(NETWORKDAYS(D232,AG232,Hoja1!$A$1:$A$29),"N/A")</f>
        <v>90</v>
      </c>
      <c r="AU232" s="21">
        <f t="shared" si="27"/>
        <v>22</v>
      </c>
      <c r="AV232" s="69" t="s">
        <v>59</v>
      </c>
      <c r="AW232" s="86" t="s">
        <v>229</v>
      </c>
      <c r="AX232" s="3"/>
      <c r="AY232" s="3"/>
      <c r="AZ232" s="3"/>
      <c r="BA232" s="3"/>
      <c r="BB232" s="3"/>
    </row>
    <row r="233" spans="1:54" ht="15" customHeight="1" x14ac:dyDescent="0.25">
      <c r="A233" s="55">
        <v>15738</v>
      </c>
      <c r="B233" s="87" t="s">
        <v>79</v>
      </c>
      <c r="C233" s="87" t="s">
        <v>79</v>
      </c>
      <c r="D233" s="28">
        <v>46048</v>
      </c>
      <c r="E233" s="28">
        <v>46048</v>
      </c>
      <c r="F233" s="232" t="s">
        <v>90</v>
      </c>
      <c r="G233" s="87" t="s">
        <v>91</v>
      </c>
      <c r="H233" s="111" t="s">
        <v>51</v>
      </c>
      <c r="I233" s="87" t="s">
        <v>92</v>
      </c>
      <c r="J233" s="87" t="s">
        <v>52</v>
      </c>
      <c r="K233" s="87" t="s">
        <v>111</v>
      </c>
      <c r="L233" s="3">
        <v>1</v>
      </c>
      <c r="M233" s="45" t="s">
        <v>54</v>
      </c>
      <c r="N233" s="3" t="s">
        <v>55</v>
      </c>
      <c r="O233" s="3">
        <v>5</v>
      </c>
      <c r="P233" s="3" t="s">
        <v>112</v>
      </c>
      <c r="Q233" s="30">
        <v>46062</v>
      </c>
      <c r="R233" s="30">
        <v>46062</v>
      </c>
      <c r="S233" s="3">
        <v>5</v>
      </c>
      <c r="T233" s="3" t="s">
        <v>55</v>
      </c>
      <c r="U233" s="3" t="s">
        <v>55</v>
      </c>
      <c r="V233" s="3" t="s">
        <v>55</v>
      </c>
      <c r="W233" s="3" t="s">
        <v>55</v>
      </c>
      <c r="X233" s="3" t="s">
        <v>55</v>
      </c>
      <c r="Y233" s="3" t="s">
        <v>55</v>
      </c>
      <c r="Z233" s="3" t="s">
        <v>55</v>
      </c>
      <c r="AA233" s="3">
        <v>5</v>
      </c>
      <c r="AB233" s="3">
        <v>1</v>
      </c>
      <c r="AC233" s="3">
        <v>0</v>
      </c>
      <c r="AD233" s="30">
        <v>46069</v>
      </c>
      <c r="AE233" s="73">
        <v>46069</v>
      </c>
      <c r="AF233" s="73">
        <v>46069</v>
      </c>
      <c r="AG233" s="16">
        <v>46073</v>
      </c>
      <c r="AH233" s="140">
        <v>46076</v>
      </c>
      <c r="AI233" s="3">
        <f t="shared" si="22"/>
        <v>2</v>
      </c>
      <c r="AJ233" s="85" t="s">
        <v>802</v>
      </c>
      <c r="AK233" s="45" t="s">
        <v>803</v>
      </c>
      <c r="AL233" s="19">
        <f t="shared" si="25"/>
        <v>1</v>
      </c>
      <c r="AM233" s="67">
        <f>IFERROR(NETWORKDAYS(D233,Q233,Hoja1!$A$1:$A$29),"N/A")</f>
        <v>11</v>
      </c>
      <c r="AN233" s="21">
        <f>IFERROR(NETWORKDAYS(D233,AE233,Hoja1!$A$1:$A$29),"N/A")</f>
        <v>16</v>
      </c>
      <c r="AO233" s="78">
        <v>0</v>
      </c>
      <c r="AP233" s="21">
        <f t="shared" si="26"/>
        <v>16</v>
      </c>
      <c r="AQ233" s="21">
        <f>IFERROR(NETWORKDAYS(AF233,AG233,Hoja1!$A$1:$A$29),"N/A")</f>
        <v>5</v>
      </c>
      <c r="AR233" s="78">
        <v>0</v>
      </c>
      <c r="AS233" s="75">
        <f t="shared" si="23"/>
        <v>5</v>
      </c>
      <c r="AT233" s="21">
        <f>IFERROR(NETWORKDAYS(D233,AG233,Hoja1!$A$1:$A$29),"N/A")</f>
        <v>20</v>
      </c>
      <c r="AU233" s="21">
        <f t="shared" si="27"/>
        <v>20</v>
      </c>
      <c r="AV233" s="69" t="s">
        <v>127</v>
      </c>
      <c r="AW233" s="86" t="s">
        <v>804</v>
      </c>
      <c r="AX233" s="114"/>
      <c r="AY233" s="1"/>
      <c r="AZ233" s="1"/>
      <c r="BA233" s="1"/>
      <c r="BB233" s="1"/>
    </row>
    <row r="234" spans="1:54" ht="15" customHeight="1" x14ac:dyDescent="0.25">
      <c r="A234" s="58">
        <v>15746</v>
      </c>
      <c r="B234" s="87" t="s">
        <v>79</v>
      </c>
      <c r="C234" s="87" t="s">
        <v>79</v>
      </c>
      <c r="D234" s="417">
        <v>46038</v>
      </c>
      <c r="E234" s="37">
        <v>46049</v>
      </c>
      <c r="F234" s="202" t="s">
        <v>879</v>
      </c>
      <c r="G234" s="48" t="s">
        <v>50</v>
      </c>
      <c r="H234" s="111" t="s">
        <v>51</v>
      </c>
      <c r="I234" s="22" t="s">
        <v>188</v>
      </c>
      <c r="J234" s="87" t="s">
        <v>52</v>
      </c>
      <c r="K234" s="48" t="s">
        <v>106</v>
      </c>
      <c r="L234" s="3">
        <v>1</v>
      </c>
      <c r="M234" s="45" t="s">
        <v>54</v>
      </c>
      <c r="N234" s="18" t="s">
        <v>55</v>
      </c>
      <c r="O234" s="3">
        <v>5</v>
      </c>
      <c r="P234" s="3" t="s">
        <v>112</v>
      </c>
      <c r="Q234" s="44">
        <v>46041</v>
      </c>
      <c r="R234" s="44">
        <v>46041</v>
      </c>
      <c r="S234" s="3">
        <v>5</v>
      </c>
      <c r="T234" s="18" t="s">
        <v>55</v>
      </c>
      <c r="U234" s="18" t="s">
        <v>55</v>
      </c>
      <c r="V234" s="18" t="s">
        <v>55</v>
      </c>
      <c r="W234" s="18" t="s">
        <v>55</v>
      </c>
      <c r="X234" s="18" t="s">
        <v>55</v>
      </c>
      <c r="Y234" s="18" t="s">
        <v>55</v>
      </c>
      <c r="Z234" s="3" t="s">
        <v>55</v>
      </c>
      <c r="AA234" s="3">
        <v>1</v>
      </c>
      <c r="AB234" s="3">
        <v>1</v>
      </c>
      <c r="AC234" s="3">
        <v>0</v>
      </c>
      <c r="AD234" s="30">
        <v>46051</v>
      </c>
      <c r="AE234" s="30">
        <v>46055</v>
      </c>
      <c r="AF234" s="30">
        <v>46055</v>
      </c>
      <c r="AG234" s="37">
        <v>46063</v>
      </c>
      <c r="AH234" s="37">
        <v>46063</v>
      </c>
      <c r="AI234" s="3">
        <f t="shared" si="22"/>
        <v>2</v>
      </c>
      <c r="AJ234" s="85" t="s">
        <v>805</v>
      </c>
      <c r="AK234" s="35" t="s">
        <v>806</v>
      </c>
      <c r="AL234" s="19">
        <f t="shared" si="25"/>
        <v>1</v>
      </c>
      <c r="AM234" s="67">
        <f>IFERROR(NETWORKDAYS(D234,Q234,Hoja1!$A$1:$A$29),"N/A")</f>
        <v>2</v>
      </c>
      <c r="AN234" s="21">
        <f>IFERROR(NETWORKDAYS(D234,AE234,Hoja1!$A$1:$A$29),"N/A")</f>
        <v>12</v>
      </c>
      <c r="AO234" s="78">
        <v>0</v>
      </c>
      <c r="AP234" s="21">
        <f t="shared" si="26"/>
        <v>12</v>
      </c>
      <c r="AQ234" s="21">
        <f>IFERROR(NETWORKDAYS(AF234,AG234,Hoja1!$A$1:$A$29),"N/A")</f>
        <v>7</v>
      </c>
      <c r="AR234" s="33">
        <v>2</v>
      </c>
      <c r="AS234" s="75">
        <f t="shared" si="23"/>
        <v>5</v>
      </c>
      <c r="AT234" s="21">
        <f>IFERROR(NETWORKDAYS(D234,AG234,Hoja1!$A$1:$A$29),"N/A")</f>
        <v>18</v>
      </c>
      <c r="AU234" s="21">
        <f t="shared" si="27"/>
        <v>16</v>
      </c>
      <c r="AV234" s="69" t="s">
        <v>265</v>
      </c>
      <c r="AW234" s="86" t="s">
        <v>288</v>
      </c>
      <c r="AX234" s="3"/>
      <c r="AY234" s="3"/>
      <c r="AZ234" s="3"/>
      <c r="BA234" s="3"/>
      <c r="BB234" s="3"/>
    </row>
    <row r="235" spans="1:54" ht="15" customHeight="1" x14ac:dyDescent="0.25">
      <c r="A235" s="95">
        <v>15751</v>
      </c>
      <c r="B235" s="84" t="s">
        <v>85</v>
      </c>
      <c r="C235" s="84" t="s">
        <v>85</v>
      </c>
      <c r="D235" s="15">
        <v>46050</v>
      </c>
      <c r="E235" s="28">
        <v>46049</v>
      </c>
      <c r="F235" s="84" t="s">
        <v>62</v>
      </c>
      <c r="G235" s="84" t="s">
        <v>71</v>
      </c>
      <c r="H235" s="87" t="s">
        <v>101</v>
      </c>
      <c r="I235" s="84" t="s">
        <v>477</v>
      </c>
      <c r="J235" s="84" t="s">
        <v>142</v>
      </c>
      <c r="K235" s="84" t="s">
        <v>86</v>
      </c>
      <c r="L235" s="33">
        <v>1</v>
      </c>
      <c r="M235" s="45" t="s">
        <v>54</v>
      </c>
      <c r="N235" s="21" t="s">
        <v>55</v>
      </c>
      <c r="O235" s="33">
        <v>0</v>
      </c>
      <c r="P235" s="33"/>
      <c r="Q235" s="21" t="s">
        <v>55</v>
      </c>
      <c r="R235" s="21" t="s">
        <v>55</v>
      </c>
      <c r="S235" s="33">
        <v>0</v>
      </c>
      <c r="T235" s="36" t="s">
        <v>55</v>
      </c>
      <c r="U235" s="36" t="s">
        <v>55</v>
      </c>
      <c r="V235" s="36" t="s">
        <v>55</v>
      </c>
      <c r="W235" s="36" t="s">
        <v>55</v>
      </c>
      <c r="X235" s="36" t="s">
        <v>55</v>
      </c>
      <c r="Y235" s="36" t="s">
        <v>55</v>
      </c>
      <c r="Z235" s="3" t="s">
        <v>55</v>
      </c>
      <c r="AA235" s="33">
        <v>1</v>
      </c>
      <c r="AB235" s="33">
        <v>1</v>
      </c>
      <c r="AC235" s="33">
        <v>0</v>
      </c>
      <c r="AD235" s="28">
        <v>46055</v>
      </c>
      <c r="AE235" s="28">
        <v>46055</v>
      </c>
      <c r="AF235" s="28">
        <v>46055</v>
      </c>
      <c r="AG235" s="28">
        <v>46063</v>
      </c>
      <c r="AH235" s="28">
        <v>46065</v>
      </c>
      <c r="AI235" s="3">
        <f t="shared" si="22"/>
        <v>2</v>
      </c>
      <c r="AJ235" s="85" t="s">
        <v>807</v>
      </c>
      <c r="AK235" s="35" t="s">
        <v>808</v>
      </c>
      <c r="AL235" s="19" t="str">
        <f t="shared" si="25"/>
        <v>N/A</v>
      </c>
      <c r="AM235" s="67" t="str">
        <f>IFERROR(NETWORKDAYS(D235,Q235,Hoja1!$A$1:$A$29),"N/A")</f>
        <v>N/A</v>
      </c>
      <c r="AN235" s="21">
        <f>IFERROR(NETWORKDAYS(D235,AE235,Hoja1!$A$1:$A$29),"N/A")</f>
        <v>4</v>
      </c>
      <c r="AO235" s="78">
        <v>0</v>
      </c>
      <c r="AP235" s="21">
        <f t="shared" si="26"/>
        <v>4</v>
      </c>
      <c r="AQ235" s="21">
        <f>IFERROR(NETWORKDAYS(AF235,AG235,Hoja1!$A$1:$A$29),"N/A")</f>
        <v>7</v>
      </c>
      <c r="AR235" s="67">
        <v>2</v>
      </c>
      <c r="AS235" s="75">
        <f t="shared" si="23"/>
        <v>5</v>
      </c>
      <c r="AT235" s="21">
        <f>IFERROR(NETWORKDAYS(D235,AG235,Hoja1!$A$1:$A$29),"N/A")</f>
        <v>10</v>
      </c>
      <c r="AU235" s="21">
        <f t="shared" si="27"/>
        <v>8</v>
      </c>
      <c r="AV235" s="69" t="s">
        <v>104</v>
      </c>
      <c r="AW235" s="86" t="s">
        <v>480</v>
      </c>
      <c r="AX235" s="33"/>
      <c r="AY235" s="33"/>
      <c r="AZ235" s="33"/>
      <c r="BA235" s="33"/>
      <c r="BB235" s="33"/>
    </row>
    <row r="236" spans="1:54" ht="15" customHeight="1" x14ac:dyDescent="0.25">
      <c r="A236" s="55">
        <v>15757</v>
      </c>
      <c r="B236" s="87" t="s">
        <v>79</v>
      </c>
      <c r="C236" s="87" t="s">
        <v>79</v>
      </c>
      <c r="D236" s="420">
        <v>46050</v>
      </c>
      <c r="E236" s="15">
        <v>46050</v>
      </c>
      <c r="F236" s="143" t="s">
        <v>99</v>
      </c>
      <c r="G236" s="111" t="s">
        <v>221</v>
      </c>
      <c r="H236" s="111" t="s">
        <v>51</v>
      </c>
      <c r="I236" s="87" t="s">
        <v>92</v>
      </c>
      <c r="J236" s="111" t="s">
        <v>52</v>
      </c>
      <c r="K236" s="111" t="s">
        <v>129</v>
      </c>
      <c r="L236" s="2">
        <v>1</v>
      </c>
      <c r="M236" s="45" t="s">
        <v>54</v>
      </c>
      <c r="N236" s="2" t="s">
        <v>55</v>
      </c>
      <c r="O236" s="2">
        <v>3</v>
      </c>
      <c r="P236" s="2" t="s">
        <v>112</v>
      </c>
      <c r="Q236" s="44">
        <v>46058</v>
      </c>
      <c r="R236" s="44">
        <v>46058</v>
      </c>
      <c r="S236" s="2">
        <v>3</v>
      </c>
      <c r="T236" s="2" t="s">
        <v>55</v>
      </c>
      <c r="U236" s="2" t="s">
        <v>55</v>
      </c>
      <c r="V236" s="2" t="s">
        <v>55</v>
      </c>
      <c r="W236" s="2" t="s">
        <v>55</v>
      </c>
      <c r="X236" s="2" t="s">
        <v>55</v>
      </c>
      <c r="Y236" s="2" t="s">
        <v>55</v>
      </c>
      <c r="Z236" s="3" t="s">
        <v>55</v>
      </c>
      <c r="AA236" s="2">
        <v>1</v>
      </c>
      <c r="AB236" s="2">
        <v>1</v>
      </c>
      <c r="AC236" s="2">
        <v>0</v>
      </c>
      <c r="AD236" s="28">
        <v>46066</v>
      </c>
      <c r="AE236" s="44">
        <v>46069</v>
      </c>
      <c r="AF236" s="44">
        <v>46069</v>
      </c>
      <c r="AG236" s="16">
        <v>46073</v>
      </c>
      <c r="AH236" s="140">
        <v>46076</v>
      </c>
      <c r="AI236" s="3">
        <f t="shared" si="22"/>
        <v>2</v>
      </c>
      <c r="AJ236" s="85" t="s">
        <v>809</v>
      </c>
      <c r="AK236" s="46" t="s">
        <v>810</v>
      </c>
      <c r="AL236" s="19">
        <f t="shared" si="25"/>
        <v>1</v>
      </c>
      <c r="AM236" s="67">
        <f>IFERROR(NETWORKDAYS(D236,Q236,Hoja1!$A$1:$A$29),"N/A")</f>
        <v>7</v>
      </c>
      <c r="AN236" s="21">
        <f>IFERROR(NETWORKDAYS(D236,AE236,Hoja1!$A$1:$A$29),"N/A")</f>
        <v>14</v>
      </c>
      <c r="AO236" s="78">
        <v>0</v>
      </c>
      <c r="AP236" s="21">
        <f t="shared" si="26"/>
        <v>14</v>
      </c>
      <c r="AQ236" s="21">
        <f>IFERROR(NETWORKDAYS(AF236,AG236,Hoja1!$A$1:$A$29),"N/A")</f>
        <v>5</v>
      </c>
      <c r="AR236" s="78">
        <v>0</v>
      </c>
      <c r="AS236" s="75">
        <f t="shared" si="23"/>
        <v>5</v>
      </c>
      <c r="AT236" s="21">
        <f>IFERROR(NETWORKDAYS(D236,AG236,Hoja1!$A$1:$A$29),"N/A")</f>
        <v>18</v>
      </c>
      <c r="AU236" s="21">
        <f t="shared" si="27"/>
        <v>18</v>
      </c>
      <c r="AV236" s="69" t="s">
        <v>131</v>
      </c>
      <c r="AW236" s="86" t="s">
        <v>784</v>
      </c>
      <c r="AX236" s="43"/>
      <c r="AY236" s="43"/>
      <c r="AZ236" s="43"/>
      <c r="BA236" s="43"/>
      <c r="BB236" s="43"/>
    </row>
    <row r="237" spans="1:54" ht="15" customHeight="1" x14ac:dyDescent="0.25">
      <c r="A237" s="55">
        <v>15759</v>
      </c>
      <c r="B237" s="87" t="s">
        <v>79</v>
      </c>
      <c r="C237" s="87" t="s">
        <v>79</v>
      </c>
      <c r="D237" s="15">
        <v>46050</v>
      </c>
      <c r="E237" s="15">
        <v>46050</v>
      </c>
      <c r="F237" s="143" t="s">
        <v>99</v>
      </c>
      <c r="G237" s="111" t="s">
        <v>135</v>
      </c>
      <c r="H237" s="111" t="s">
        <v>51</v>
      </c>
      <c r="I237" s="87" t="s">
        <v>92</v>
      </c>
      <c r="J237" s="111" t="s">
        <v>52</v>
      </c>
      <c r="K237" s="111" t="s">
        <v>129</v>
      </c>
      <c r="L237" s="2">
        <v>1</v>
      </c>
      <c r="M237" s="45" t="s">
        <v>54</v>
      </c>
      <c r="N237" s="2" t="s">
        <v>55</v>
      </c>
      <c r="O237" s="2">
        <v>3</v>
      </c>
      <c r="P237" s="2" t="s">
        <v>112</v>
      </c>
      <c r="Q237" s="44">
        <v>46052</v>
      </c>
      <c r="R237" s="44">
        <v>46052</v>
      </c>
      <c r="S237" s="2">
        <v>3</v>
      </c>
      <c r="T237" s="2" t="s">
        <v>55</v>
      </c>
      <c r="U237" s="2" t="s">
        <v>55</v>
      </c>
      <c r="V237" s="2" t="s">
        <v>55</v>
      </c>
      <c r="W237" s="2" t="s">
        <v>55</v>
      </c>
      <c r="X237" s="2" t="s">
        <v>55</v>
      </c>
      <c r="Y237" s="2" t="s">
        <v>55</v>
      </c>
      <c r="Z237" s="3" t="s">
        <v>55</v>
      </c>
      <c r="AA237" s="2">
        <v>1</v>
      </c>
      <c r="AB237" s="2">
        <v>1</v>
      </c>
      <c r="AC237" s="2">
        <v>0</v>
      </c>
      <c r="AD237" s="44">
        <v>46057</v>
      </c>
      <c r="AE237" s="44">
        <v>46057</v>
      </c>
      <c r="AF237" s="44">
        <v>46057</v>
      </c>
      <c r="AG237" s="44">
        <v>46064</v>
      </c>
      <c r="AH237" s="44">
        <v>46065</v>
      </c>
      <c r="AI237" s="3">
        <f t="shared" ref="AI237:AI269" si="28">MONTH(AH237)</f>
        <v>2</v>
      </c>
      <c r="AJ237" s="85" t="s">
        <v>811</v>
      </c>
      <c r="AK237" s="46" t="s">
        <v>812</v>
      </c>
      <c r="AL237" s="19">
        <f t="shared" si="25"/>
        <v>1</v>
      </c>
      <c r="AM237" s="67">
        <f>IFERROR(NETWORKDAYS(D237,Q237,Hoja1!$A$1:$A$29),"N/A")</f>
        <v>3</v>
      </c>
      <c r="AN237" s="21">
        <f>IFERROR(NETWORKDAYS(D237,AE237,Hoja1!$A$1:$A$29),"N/A")</f>
        <v>6</v>
      </c>
      <c r="AO237" s="78">
        <v>0</v>
      </c>
      <c r="AP237" s="21">
        <f t="shared" si="26"/>
        <v>6</v>
      </c>
      <c r="AQ237" s="21">
        <f>IFERROR(NETWORKDAYS(AF237,AG237,Hoja1!$A$1:$A$29),"N/A")</f>
        <v>6</v>
      </c>
      <c r="AR237" s="78">
        <v>2</v>
      </c>
      <c r="AS237" s="75">
        <f t="shared" si="23"/>
        <v>4</v>
      </c>
      <c r="AT237" s="21">
        <f>IFERROR(NETWORKDAYS(D237,AG237,Hoja1!$A$1:$A$29),"N/A")</f>
        <v>11</v>
      </c>
      <c r="AU237" s="21">
        <f t="shared" si="27"/>
        <v>9</v>
      </c>
      <c r="AV237" s="69" t="s">
        <v>59</v>
      </c>
      <c r="AW237" s="86" t="s">
        <v>813</v>
      </c>
      <c r="AX237" s="43"/>
      <c r="AY237" s="43"/>
      <c r="AZ237" s="43"/>
      <c r="BA237" s="43"/>
      <c r="BB237" s="43"/>
    </row>
    <row r="238" spans="1:54" ht="15" customHeight="1" x14ac:dyDescent="0.25">
      <c r="A238" s="55">
        <v>15766</v>
      </c>
      <c r="B238" s="87" t="s">
        <v>85</v>
      </c>
      <c r="C238" s="87" t="s">
        <v>85</v>
      </c>
      <c r="D238" s="418">
        <v>46001</v>
      </c>
      <c r="E238" s="30">
        <v>46051</v>
      </c>
      <c r="F238" s="202" t="s">
        <v>879</v>
      </c>
      <c r="G238" s="87" t="s">
        <v>50</v>
      </c>
      <c r="H238" s="111" t="s">
        <v>51</v>
      </c>
      <c r="I238" s="240" t="s">
        <v>814</v>
      </c>
      <c r="J238" s="87" t="s">
        <v>52</v>
      </c>
      <c r="K238" s="87" t="s">
        <v>53</v>
      </c>
      <c r="L238" s="3">
        <v>1</v>
      </c>
      <c r="M238" s="45" t="s">
        <v>54</v>
      </c>
      <c r="N238" s="3" t="s">
        <v>55</v>
      </c>
      <c r="O238" s="3">
        <v>12</v>
      </c>
      <c r="P238" s="3" t="s">
        <v>56</v>
      </c>
      <c r="Q238" s="30">
        <v>46024</v>
      </c>
      <c r="R238" s="30">
        <v>46024</v>
      </c>
      <c r="S238" s="3">
        <v>12</v>
      </c>
      <c r="T238" s="3" t="s">
        <v>55</v>
      </c>
      <c r="U238" s="3" t="s">
        <v>55</v>
      </c>
      <c r="V238" s="3" t="s">
        <v>55</v>
      </c>
      <c r="W238" s="3" t="s">
        <v>55</v>
      </c>
      <c r="X238" s="3" t="s">
        <v>55</v>
      </c>
      <c r="Y238" s="3" t="s">
        <v>55</v>
      </c>
      <c r="Z238" s="3" t="s">
        <v>55</v>
      </c>
      <c r="AA238" s="3">
        <v>2</v>
      </c>
      <c r="AB238" s="3">
        <v>2</v>
      </c>
      <c r="AC238" s="3">
        <v>0</v>
      </c>
      <c r="AD238" s="30">
        <v>46042</v>
      </c>
      <c r="AE238" s="28">
        <v>46050</v>
      </c>
      <c r="AF238" s="28">
        <v>46050</v>
      </c>
      <c r="AG238" s="30">
        <v>46065</v>
      </c>
      <c r="AH238" s="30">
        <v>46065</v>
      </c>
      <c r="AI238" s="3">
        <f t="shared" si="28"/>
        <v>2</v>
      </c>
      <c r="AJ238" s="85" t="s">
        <v>815</v>
      </c>
      <c r="AK238" s="35" t="s">
        <v>816</v>
      </c>
      <c r="AL238" s="19">
        <f t="shared" si="25"/>
        <v>1</v>
      </c>
      <c r="AM238" s="67">
        <f>IFERROR(NETWORKDAYS(D238,Q238,Hoja1!$A$1:$A$29),"N/A")</f>
        <v>16</v>
      </c>
      <c r="AN238" s="21">
        <f>IFERROR(NETWORKDAYS(D238,AE238,Hoja1!$A$1:$A$29),"N/A")</f>
        <v>33</v>
      </c>
      <c r="AO238" s="78">
        <v>18</v>
      </c>
      <c r="AP238" s="21">
        <f t="shared" si="26"/>
        <v>15</v>
      </c>
      <c r="AQ238" s="21">
        <f>IFERROR(NETWORKDAYS(AF238,AG238,Hoja1!$A$1:$A$29),"N/A")</f>
        <v>12</v>
      </c>
      <c r="AR238" s="113">
        <v>7</v>
      </c>
      <c r="AS238" s="75">
        <f t="shared" si="23"/>
        <v>5</v>
      </c>
      <c r="AT238" s="21">
        <f>IFERROR(NETWORKDAYS(D238,AG238,Hoja1!$A$1:$A$29),"N/A")</f>
        <v>44</v>
      </c>
      <c r="AU238" s="21">
        <f t="shared" si="27"/>
        <v>19</v>
      </c>
      <c r="AV238" s="69" t="s">
        <v>131</v>
      </c>
      <c r="AW238" s="86" t="s">
        <v>378</v>
      </c>
      <c r="AX238" s="3"/>
      <c r="AY238" s="3"/>
      <c r="AZ238" s="3"/>
      <c r="BA238" s="3"/>
      <c r="BB238" s="3"/>
    </row>
    <row r="239" spans="1:54" ht="15" customHeight="1" x14ac:dyDescent="0.25">
      <c r="A239" s="55">
        <v>15770</v>
      </c>
      <c r="B239" s="27" t="s">
        <v>85</v>
      </c>
      <c r="C239" s="27" t="s">
        <v>85</v>
      </c>
      <c r="D239" s="15">
        <v>46052</v>
      </c>
      <c r="E239" s="16">
        <v>46052</v>
      </c>
      <c r="F239" s="114" t="s">
        <v>163</v>
      </c>
      <c r="G239" s="114" t="s">
        <v>262</v>
      </c>
      <c r="H239" s="111" t="s">
        <v>51</v>
      </c>
      <c r="I239" s="84" t="s">
        <v>276</v>
      </c>
      <c r="J239" s="27" t="s">
        <v>52</v>
      </c>
      <c r="K239" s="27" t="s">
        <v>165</v>
      </c>
      <c r="L239" s="1">
        <v>1</v>
      </c>
      <c r="M239" s="45" t="s">
        <v>54</v>
      </c>
      <c r="N239" s="21" t="s">
        <v>55</v>
      </c>
      <c r="O239" s="1">
        <v>6</v>
      </c>
      <c r="P239" s="1" t="s">
        <v>56</v>
      </c>
      <c r="Q239" s="16">
        <v>46056</v>
      </c>
      <c r="R239" s="16">
        <v>46063</v>
      </c>
      <c r="S239" s="1">
        <v>6</v>
      </c>
      <c r="T239" s="36" t="s">
        <v>55</v>
      </c>
      <c r="U239" s="36" t="s">
        <v>55</v>
      </c>
      <c r="V239" s="36" t="s">
        <v>55</v>
      </c>
      <c r="W239" s="36" t="s">
        <v>55</v>
      </c>
      <c r="X239" s="36" t="s">
        <v>55</v>
      </c>
      <c r="Y239" s="36" t="s">
        <v>55</v>
      </c>
      <c r="Z239" s="3" t="s">
        <v>55</v>
      </c>
      <c r="AA239" s="1">
        <v>1</v>
      </c>
      <c r="AB239" s="1">
        <v>1</v>
      </c>
      <c r="AC239" s="1">
        <v>0</v>
      </c>
      <c r="AD239" s="28">
        <v>46069</v>
      </c>
      <c r="AE239" s="28">
        <v>46069</v>
      </c>
      <c r="AF239" s="16">
        <v>46069</v>
      </c>
      <c r="AG239" s="16">
        <v>46073</v>
      </c>
      <c r="AH239" s="140">
        <v>46076</v>
      </c>
      <c r="AI239" s="3">
        <f t="shared" si="28"/>
        <v>2</v>
      </c>
      <c r="AJ239" s="85" t="s">
        <v>817</v>
      </c>
      <c r="AK239" s="49" t="s">
        <v>818</v>
      </c>
      <c r="AL239" s="19">
        <f t="shared" si="25"/>
        <v>1</v>
      </c>
      <c r="AM239" s="67">
        <f>IFERROR(NETWORKDAYS(D239,Q239,Hoja1!$A$1:$A$29),"N/A")</f>
        <v>3</v>
      </c>
      <c r="AN239" s="21">
        <f>IFERROR(NETWORKDAYS(D239,AE239,Hoja1!$A$1:$A$29),"N/A")</f>
        <v>12</v>
      </c>
      <c r="AO239" s="78">
        <v>0</v>
      </c>
      <c r="AP239" s="21">
        <f t="shared" si="26"/>
        <v>12</v>
      </c>
      <c r="AQ239" s="21">
        <f>IFERROR(NETWORKDAYS(AF239,AG239,Hoja1!$A$1:$A$29),"N/A")</f>
        <v>5</v>
      </c>
      <c r="AR239" s="113">
        <v>0</v>
      </c>
      <c r="AS239" s="75">
        <f t="shared" si="23"/>
        <v>5</v>
      </c>
      <c r="AT239" s="21">
        <f>IFERROR(NETWORKDAYS(D239,AG239,Hoja1!$A$1:$A$29),"N/A")</f>
        <v>16</v>
      </c>
      <c r="AU239" s="21">
        <f t="shared" si="27"/>
        <v>16</v>
      </c>
      <c r="AV239" s="69" t="s">
        <v>131</v>
      </c>
      <c r="AW239" s="86" t="s">
        <v>559</v>
      </c>
      <c r="AX239" s="33"/>
      <c r="AY239" s="33"/>
      <c r="AZ239" s="33"/>
      <c r="BA239" s="33"/>
      <c r="BB239" s="33"/>
    </row>
    <row r="240" spans="1:54" ht="15" customHeight="1" x14ac:dyDescent="0.25">
      <c r="A240" s="55">
        <v>15772</v>
      </c>
      <c r="B240" s="87" t="s">
        <v>79</v>
      </c>
      <c r="C240" s="87" t="s">
        <v>79</v>
      </c>
      <c r="D240" s="418">
        <v>46052</v>
      </c>
      <c r="E240" s="30">
        <v>46052</v>
      </c>
      <c r="F240" s="232" t="s">
        <v>90</v>
      </c>
      <c r="G240" s="87" t="s">
        <v>91</v>
      </c>
      <c r="H240" s="111" t="s">
        <v>51</v>
      </c>
      <c r="I240" s="111" t="s">
        <v>239</v>
      </c>
      <c r="J240" s="87" t="s">
        <v>52</v>
      </c>
      <c r="K240" s="87" t="s">
        <v>111</v>
      </c>
      <c r="L240" s="3">
        <v>1</v>
      </c>
      <c r="M240" s="45" t="s">
        <v>54</v>
      </c>
      <c r="N240" s="3" t="s">
        <v>55</v>
      </c>
      <c r="O240" s="3">
        <v>6</v>
      </c>
      <c r="P240" s="3" t="s">
        <v>112</v>
      </c>
      <c r="Q240" s="30">
        <v>46062</v>
      </c>
      <c r="R240" s="30">
        <v>46062</v>
      </c>
      <c r="S240" s="3">
        <v>6</v>
      </c>
      <c r="T240" s="3" t="s">
        <v>55</v>
      </c>
      <c r="U240" s="3" t="s">
        <v>55</v>
      </c>
      <c r="V240" s="3" t="s">
        <v>55</v>
      </c>
      <c r="W240" s="3" t="s">
        <v>55</v>
      </c>
      <c r="X240" s="3" t="s">
        <v>55</v>
      </c>
      <c r="Y240" s="3" t="s">
        <v>55</v>
      </c>
      <c r="Z240" s="3" t="s">
        <v>55</v>
      </c>
      <c r="AA240" s="3">
        <v>6</v>
      </c>
      <c r="AB240" s="3">
        <v>1</v>
      </c>
      <c r="AC240" s="3">
        <v>0</v>
      </c>
      <c r="AD240" s="30">
        <v>46069</v>
      </c>
      <c r="AE240" s="30">
        <v>46069</v>
      </c>
      <c r="AF240" s="30">
        <v>46069</v>
      </c>
      <c r="AG240" s="16">
        <v>46073</v>
      </c>
      <c r="AH240" s="140">
        <v>46076</v>
      </c>
      <c r="AI240" s="3">
        <f t="shared" si="28"/>
        <v>2</v>
      </c>
      <c r="AJ240" s="85" t="s">
        <v>819</v>
      </c>
      <c r="AK240" s="45" t="s">
        <v>820</v>
      </c>
      <c r="AL240" s="19">
        <f t="shared" si="25"/>
        <v>1</v>
      </c>
      <c r="AM240" s="67">
        <f>IFERROR(NETWORKDAYS(D240,Q240,Hoja1!$A$1:$A$29),"N/A")</f>
        <v>7</v>
      </c>
      <c r="AN240" s="21">
        <f>IFERROR(NETWORKDAYS(D240,AE240,Hoja1!$A$1:$A$29),"N/A")</f>
        <v>12</v>
      </c>
      <c r="AO240" s="78">
        <v>0</v>
      </c>
      <c r="AP240" s="21">
        <f t="shared" si="26"/>
        <v>12</v>
      </c>
      <c r="AQ240" s="21">
        <f>IFERROR(NETWORKDAYS(AF240,AG240,Hoja1!$A$1:$A$29),"N/A")</f>
        <v>5</v>
      </c>
      <c r="AR240" s="78">
        <v>0</v>
      </c>
      <c r="AS240" s="75">
        <f t="shared" si="23"/>
        <v>5</v>
      </c>
      <c r="AT240" s="21">
        <f>IFERROR(NETWORKDAYS(D240,AG240,Hoja1!$A$1:$A$29),"N/A")</f>
        <v>16</v>
      </c>
      <c r="AU240" s="21">
        <f t="shared" si="27"/>
        <v>16</v>
      </c>
      <c r="AV240" s="69" t="s">
        <v>127</v>
      </c>
      <c r="AW240" s="86" t="s">
        <v>784</v>
      </c>
      <c r="AX240" s="114"/>
      <c r="AY240" s="1"/>
      <c r="AZ240" s="1"/>
      <c r="BA240" s="1"/>
      <c r="BB240" s="1"/>
    </row>
    <row r="241" spans="1:54" ht="15" customHeight="1" x14ac:dyDescent="0.25">
      <c r="A241" s="57">
        <v>15787</v>
      </c>
      <c r="B241" s="27" t="s">
        <v>69</v>
      </c>
      <c r="C241" s="27" t="s">
        <v>122</v>
      </c>
      <c r="D241" s="15">
        <v>46055</v>
      </c>
      <c r="E241" s="16">
        <v>46056</v>
      </c>
      <c r="F241" s="114" t="s">
        <v>62</v>
      </c>
      <c r="G241" s="114" t="s">
        <v>80</v>
      </c>
      <c r="H241" s="87" t="s">
        <v>101</v>
      </c>
      <c r="I241" s="27" t="s">
        <v>821</v>
      </c>
      <c r="J241" s="27" t="s">
        <v>118</v>
      </c>
      <c r="K241" s="27" t="s">
        <v>66</v>
      </c>
      <c r="L241" s="1">
        <v>1</v>
      </c>
      <c r="M241" s="45" t="s">
        <v>54</v>
      </c>
      <c r="N241" s="2" t="s">
        <v>55</v>
      </c>
      <c r="O241" s="33">
        <v>0</v>
      </c>
      <c r="P241" s="1"/>
      <c r="Q241" s="2" t="s">
        <v>55</v>
      </c>
      <c r="R241" s="2" t="s">
        <v>55</v>
      </c>
      <c r="S241" s="33">
        <v>0</v>
      </c>
      <c r="T241" s="2" t="s">
        <v>55</v>
      </c>
      <c r="U241" s="2" t="s">
        <v>55</v>
      </c>
      <c r="V241" s="2" t="s">
        <v>55</v>
      </c>
      <c r="W241" s="2" t="s">
        <v>55</v>
      </c>
      <c r="X241" s="2" t="s">
        <v>55</v>
      </c>
      <c r="Y241" s="2" t="s">
        <v>55</v>
      </c>
      <c r="Z241" s="3" t="s">
        <v>55</v>
      </c>
      <c r="AA241" s="1">
        <v>1</v>
      </c>
      <c r="AB241" s="1">
        <v>1</v>
      </c>
      <c r="AC241" s="1">
        <v>0</v>
      </c>
      <c r="AD241" s="16">
        <v>46063</v>
      </c>
      <c r="AE241" s="16">
        <v>46064</v>
      </c>
      <c r="AF241" s="16">
        <v>46065</v>
      </c>
      <c r="AG241" s="16">
        <v>46070</v>
      </c>
      <c r="AH241" s="140">
        <v>46076</v>
      </c>
      <c r="AI241" s="3">
        <f t="shared" si="28"/>
        <v>2</v>
      </c>
      <c r="AJ241" s="108" t="s">
        <v>822</v>
      </c>
      <c r="AK241" s="49" t="s">
        <v>823</v>
      </c>
      <c r="AL241" s="19" t="str">
        <f t="shared" si="25"/>
        <v>N/A</v>
      </c>
      <c r="AM241" s="67" t="str">
        <f>IFERROR(NETWORKDAYS(D241,Q241,Hoja1!$A$1:$A$29),"N/A")</f>
        <v>N/A</v>
      </c>
      <c r="AN241" s="21">
        <f>IFERROR(NETWORKDAYS(D241,AE241,Hoja1!$A$1:$A$29),"N/A")</f>
        <v>8</v>
      </c>
      <c r="AO241" s="78">
        <v>1</v>
      </c>
      <c r="AP241" s="21">
        <f t="shared" si="26"/>
        <v>7</v>
      </c>
      <c r="AQ241" s="21">
        <f>IFERROR(NETWORKDAYS(AF241,AG241,Hoja1!$A$1:$A$29),"N/A")</f>
        <v>4</v>
      </c>
      <c r="AR241" s="67">
        <v>0</v>
      </c>
      <c r="AS241" s="75">
        <f t="shared" si="23"/>
        <v>4</v>
      </c>
      <c r="AT241" s="21">
        <f>IFERROR(NETWORKDAYS(D241,AG241,Hoja1!$A$1:$A$29),"N/A")</f>
        <v>12</v>
      </c>
      <c r="AU241" s="21">
        <f t="shared" si="27"/>
        <v>11</v>
      </c>
      <c r="AV241" s="69" t="s">
        <v>104</v>
      </c>
      <c r="AW241" s="86" t="s">
        <v>824</v>
      </c>
      <c r="AX241" s="1"/>
      <c r="AY241" s="1"/>
      <c r="AZ241" s="1"/>
      <c r="BA241" s="1"/>
      <c r="BB241" s="1"/>
    </row>
    <row r="242" spans="1:54" ht="15" customHeight="1" x14ac:dyDescent="0.25">
      <c r="A242" s="220">
        <v>15791</v>
      </c>
      <c r="B242" s="129" t="s">
        <v>79</v>
      </c>
      <c r="C242" s="129" t="s">
        <v>79</v>
      </c>
      <c r="D242" s="426">
        <v>46056</v>
      </c>
      <c r="E242" s="130">
        <v>46056</v>
      </c>
      <c r="F242" s="237" t="s">
        <v>90</v>
      </c>
      <c r="G242" s="129" t="s">
        <v>91</v>
      </c>
      <c r="H242" s="129" t="s">
        <v>101</v>
      </c>
      <c r="I242" s="182" t="s">
        <v>239</v>
      </c>
      <c r="J242" s="129" t="s">
        <v>52</v>
      </c>
      <c r="K242" s="129" t="s">
        <v>111</v>
      </c>
      <c r="L242" s="89">
        <v>1</v>
      </c>
      <c r="M242" s="117" t="s">
        <v>54</v>
      </c>
      <c r="N242" s="89" t="s">
        <v>55</v>
      </c>
      <c r="O242" s="89">
        <v>3</v>
      </c>
      <c r="P242" s="89" t="s">
        <v>112</v>
      </c>
      <c r="Q242" s="130">
        <v>46062</v>
      </c>
      <c r="R242" s="130">
        <v>46062</v>
      </c>
      <c r="S242" s="89">
        <v>3</v>
      </c>
      <c r="T242" s="89" t="s">
        <v>55</v>
      </c>
      <c r="U242" s="89" t="s">
        <v>55</v>
      </c>
      <c r="V242" s="89" t="s">
        <v>55</v>
      </c>
      <c r="W242" s="89" t="s">
        <v>55</v>
      </c>
      <c r="X242" s="89" t="s">
        <v>55</v>
      </c>
      <c r="Y242" s="89" t="s">
        <v>55</v>
      </c>
      <c r="Z242" s="89" t="s">
        <v>55</v>
      </c>
      <c r="AA242" s="89">
        <v>3</v>
      </c>
      <c r="AB242" s="89">
        <v>1</v>
      </c>
      <c r="AC242" s="89">
        <v>0</v>
      </c>
      <c r="AD242" s="130">
        <v>46069</v>
      </c>
      <c r="AE242" s="224">
        <v>46069</v>
      </c>
      <c r="AF242" s="224">
        <v>46069</v>
      </c>
      <c r="AG242" s="134">
        <v>46073</v>
      </c>
      <c r="AH242" s="135">
        <v>46076</v>
      </c>
      <c r="AI242" s="89">
        <f t="shared" si="28"/>
        <v>2</v>
      </c>
      <c r="AJ242" s="90" t="s">
        <v>825</v>
      </c>
      <c r="AK242" s="117" t="s">
        <v>826</v>
      </c>
      <c r="AL242" s="19">
        <f t="shared" si="25"/>
        <v>1</v>
      </c>
      <c r="AM242" s="67">
        <f>IFERROR(NETWORKDAYS(D242,Q242,Hoja1!$A$1:$A$29),"N/A")</f>
        <v>5</v>
      </c>
      <c r="AN242" s="21">
        <f>IFERROR(NETWORKDAYS(D242,AE242,Hoja1!$A$1:$A$29),"N/A")</f>
        <v>10</v>
      </c>
      <c r="AO242" s="270">
        <v>0</v>
      </c>
      <c r="AP242" s="72">
        <f t="shared" si="26"/>
        <v>10</v>
      </c>
      <c r="AQ242" s="21">
        <f>IFERROR(NETWORKDAYS(AF242,AG242,Hoja1!$A$1:$A$29),"N/A")</f>
        <v>5</v>
      </c>
      <c r="AR242" s="71">
        <v>0</v>
      </c>
      <c r="AS242" s="80">
        <f t="shared" si="23"/>
        <v>5</v>
      </c>
      <c r="AT242" s="21">
        <f>IFERROR(NETWORKDAYS(D242,AG242,Hoja1!$A$1:$A$29),"N/A")</f>
        <v>14</v>
      </c>
      <c r="AU242" s="72">
        <f t="shared" si="27"/>
        <v>14</v>
      </c>
      <c r="AV242" s="91" t="s">
        <v>104</v>
      </c>
      <c r="AW242" s="92" t="s">
        <v>79</v>
      </c>
      <c r="AX242" s="121"/>
      <c r="AY242" s="103"/>
      <c r="AZ242" s="103"/>
      <c r="BA242" s="103"/>
      <c r="BB242" s="103"/>
    </row>
    <row r="243" spans="1:54" ht="15" customHeight="1" x14ac:dyDescent="0.25">
      <c r="A243" s="55">
        <v>15797</v>
      </c>
      <c r="B243" s="87" t="s">
        <v>79</v>
      </c>
      <c r="C243" s="87" t="s">
        <v>79</v>
      </c>
      <c r="D243" s="44">
        <v>46057</v>
      </c>
      <c r="E243" s="44">
        <v>46057</v>
      </c>
      <c r="F243" s="143" t="s">
        <v>99</v>
      </c>
      <c r="G243" s="111" t="s">
        <v>100</v>
      </c>
      <c r="H243" s="87" t="s">
        <v>101</v>
      </c>
      <c r="I243" s="111" t="s">
        <v>239</v>
      </c>
      <c r="J243" s="111" t="s">
        <v>52</v>
      </c>
      <c r="K243" s="111" t="s">
        <v>129</v>
      </c>
      <c r="L243" s="2">
        <v>1</v>
      </c>
      <c r="M243" s="45" t="s">
        <v>54</v>
      </c>
      <c r="N243" s="2" t="s">
        <v>55</v>
      </c>
      <c r="O243" s="2">
        <v>0</v>
      </c>
      <c r="P243" s="2"/>
      <c r="Q243" s="2" t="s">
        <v>55</v>
      </c>
      <c r="R243" s="2" t="s">
        <v>55</v>
      </c>
      <c r="S243" s="2">
        <v>0</v>
      </c>
      <c r="T243" s="2" t="s">
        <v>55</v>
      </c>
      <c r="U243" s="2" t="s">
        <v>55</v>
      </c>
      <c r="V243" s="2" t="s">
        <v>55</v>
      </c>
      <c r="W243" s="2" t="s">
        <v>55</v>
      </c>
      <c r="X243" s="2" t="s">
        <v>55</v>
      </c>
      <c r="Y243" s="2" t="s">
        <v>55</v>
      </c>
      <c r="Z243" s="3" t="s">
        <v>55</v>
      </c>
      <c r="AA243" s="2">
        <v>1</v>
      </c>
      <c r="AB243" s="2">
        <v>1</v>
      </c>
      <c r="AC243" s="2">
        <v>0</v>
      </c>
      <c r="AD243" s="28">
        <v>46069</v>
      </c>
      <c r="AE243" s="28">
        <v>46069</v>
      </c>
      <c r="AF243" s="28">
        <v>46069</v>
      </c>
      <c r="AG243" s="16">
        <v>46073</v>
      </c>
      <c r="AH243" s="140">
        <v>46076</v>
      </c>
      <c r="AI243" s="3">
        <f t="shared" si="28"/>
        <v>2</v>
      </c>
      <c r="AJ243" s="85" t="s">
        <v>827</v>
      </c>
      <c r="AK243" s="46" t="s">
        <v>828</v>
      </c>
      <c r="AL243" s="19" t="str">
        <f t="shared" si="25"/>
        <v>N/A</v>
      </c>
      <c r="AM243" s="67" t="str">
        <f>IFERROR(NETWORKDAYS(D243,Q243,Hoja1!$A$1:$A$29),"N/A")</f>
        <v>N/A</v>
      </c>
      <c r="AN243" s="21">
        <f>IFERROR(NETWORKDAYS(D243,AE243,Hoja1!$A$1:$A$29),"N/A")</f>
        <v>9</v>
      </c>
      <c r="AO243" s="78">
        <v>0</v>
      </c>
      <c r="AP243" s="21">
        <f t="shared" si="26"/>
        <v>9</v>
      </c>
      <c r="AQ243" s="21">
        <f>IFERROR(NETWORKDAYS(AF243,AG243,Hoja1!$A$1:$A$29),"N/A")</f>
        <v>5</v>
      </c>
      <c r="AR243" s="78">
        <v>0</v>
      </c>
      <c r="AS243" s="75">
        <f t="shared" si="23"/>
        <v>5</v>
      </c>
      <c r="AT243" s="21">
        <f>IFERROR(NETWORKDAYS(D243,AG243,Hoja1!$A$1:$A$29),"N/A")</f>
        <v>13</v>
      </c>
      <c r="AU243" s="21">
        <f t="shared" si="27"/>
        <v>13</v>
      </c>
      <c r="AV243" s="69" t="s">
        <v>104</v>
      </c>
      <c r="AW243" s="86" t="s">
        <v>903</v>
      </c>
      <c r="AX243" s="43"/>
      <c r="AY243" s="43"/>
      <c r="AZ243" s="43"/>
      <c r="BA243" s="43"/>
      <c r="BB243" s="43"/>
    </row>
    <row r="244" spans="1:54" ht="15" customHeight="1" x14ac:dyDescent="0.25">
      <c r="A244" s="55">
        <v>15798</v>
      </c>
      <c r="B244" s="87" t="s">
        <v>79</v>
      </c>
      <c r="C244" s="87" t="s">
        <v>79</v>
      </c>
      <c r="D244" s="419">
        <v>46058</v>
      </c>
      <c r="E244" s="44">
        <v>46058</v>
      </c>
      <c r="F244" s="143" t="s">
        <v>99</v>
      </c>
      <c r="G244" s="111" t="s">
        <v>100</v>
      </c>
      <c r="H244" s="87" t="s">
        <v>101</v>
      </c>
      <c r="I244" s="111" t="s">
        <v>239</v>
      </c>
      <c r="J244" s="111" t="s">
        <v>52</v>
      </c>
      <c r="K244" s="111" t="s">
        <v>129</v>
      </c>
      <c r="L244" s="2">
        <v>1</v>
      </c>
      <c r="M244" s="45" t="s">
        <v>54</v>
      </c>
      <c r="N244" s="2" t="s">
        <v>55</v>
      </c>
      <c r="O244" s="2">
        <v>0</v>
      </c>
      <c r="P244" s="2"/>
      <c r="Q244" s="2" t="s">
        <v>55</v>
      </c>
      <c r="R244" s="2" t="s">
        <v>55</v>
      </c>
      <c r="S244" s="2">
        <v>0</v>
      </c>
      <c r="T244" s="2" t="s">
        <v>55</v>
      </c>
      <c r="U244" s="2" t="s">
        <v>55</v>
      </c>
      <c r="V244" s="2" t="s">
        <v>55</v>
      </c>
      <c r="W244" s="2" t="s">
        <v>55</v>
      </c>
      <c r="X244" s="2" t="s">
        <v>55</v>
      </c>
      <c r="Y244" s="2" t="s">
        <v>55</v>
      </c>
      <c r="Z244" s="3" t="s">
        <v>55</v>
      </c>
      <c r="AA244" s="2">
        <v>1</v>
      </c>
      <c r="AB244" s="2">
        <v>1</v>
      </c>
      <c r="AC244" s="2">
        <v>0</v>
      </c>
      <c r="AD244" s="28">
        <v>46066</v>
      </c>
      <c r="AE244" s="28">
        <v>46066</v>
      </c>
      <c r="AF244" s="28">
        <v>46066</v>
      </c>
      <c r="AG244" s="16">
        <v>46073</v>
      </c>
      <c r="AH244" s="140">
        <v>46076</v>
      </c>
      <c r="AI244" s="3">
        <f t="shared" si="28"/>
        <v>2</v>
      </c>
      <c r="AJ244" s="85" t="s">
        <v>829</v>
      </c>
      <c r="AK244" s="46" t="s">
        <v>830</v>
      </c>
      <c r="AL244" s="19" t="str">
        <f t="shared" si="25"/>
        <v>N/A</v>
      </c>
      <c r="AM244" s="67" t="str">
        <f>IFERROR(NETWORKDAYS(D244,Q244,Hoja1!$A$1:$A$29),"N/A")</f>
        <v>N/A</v>
      </c>
      <c r="AN244" s="21">
        <f>IFERROR(NETWORKDAYS(D244,AE244,Hoja1!$A$1:$A$29),"N/A")</f>
        <v>7</v>
      </c>
      <c r="AO244" s="78">
        <v>0</v>
      </c>
      <c r="AP244" s="21">
        <f t="shared" si="26"/>
        <v>7</v>
      </c>
      <c r="AQ244" s="21">
        <f>IFERROR(NETWORKDAYS(AF244,AG244,Hoja1!$A$1:$A$29),"N/A")</f>
        <v>6</v>
      </c>
      <c r="AR244" s="78">
        <v>2</v>
      </c>
      <c r="AS244" s="75">
        <f t="shared" si="23"/>
        <v>4</v>
      </c>
      <c r="AT244" s="21">
        <f>IFERROR(NETWORKDAYS(D244,AG244,Hoja1!$A$1:$A$29),"N/A")</f>
        <v>12</v>
      </c>
      <c r="AU244" s="21">
        <f t="shared" si="27"/>
        <v>10</v>
      </c>
      <c r="AV244" s="69" t="s">
        <v>104</v>
      </c>
      <c r="AW244" s="86" t="s">
        <v>831</v>
      </c>
      <c r="AX244" s="43"/>
      <c r="AY244" s="43"/>
      <c r="AZ244" s="43"/>
      <c r="BA244" s="43"/>
      <c r="BB244" s="43"/>
    </row>
    <row r="245" spans="1:54" ht="15" customHeight="1" x14ac:dyDescent="0.25">
      <c r="A245" s="55">
        <v>15799</v>
      </c>
      <c r="B245" s="87" t="s">
        <v>79</v>
      </c>
      <c r="C245" s="87" t="s">
        <v>79</v>
      </c>
      <c r="D245" s="44">
        <v>46057</v>
      </c>
      <c r="E245" s="44">
        <v>46057</v>
      </c>
      <c r="F245" s="143" t="s">
        <v>99</v>
      </c>
      <c r="G245" s="111" t="s">
        <v>100</v>
      </c>
      <c r="H245" s="87" t="s">
        <v>101</v>
      </c>
      <c r="I245" s="111" t="s">
        <v>547</v>
      </c>
      <c r="J245" s="111" t="s">
        <v>52</v>
      </c>
      <c r="K245" s="111" t="s">
        <v>129</v>
      </c>
      <c r="L245" s="2">
        <v>1</v>
      </c>
      <c r="M245" s="45" t="s">
        <v>54</v>
      </c>
      <c r="N245" s="2" t="s">
        <v>55</v>
      </c>
      <c r="O245" s="2">
        <v>0</v>
      </c>
      <c r="P245" s="2"/>
      <c r="Q245" s="2" t="s">
        <v>55</v>
      </c>
      <c r="R245" s="2" t="s">
        <v>55</v>
      </c>
      <c r="S245" s="2">
        <v>0</v>
      </c>
      <c r="T245" s="2" t="s">
        <v>55</v>
      </c>
      <c r="U245" s="2" t="s">
        <v>55</v>
      </c>
      <c r="V245" s="2" t="s">
        <v>55</v>
      </c>
      <c r="W245" s="2" t="s">
        <v>55</v>
      </c>
      <c r="X245" s="2" t="s">
        <v>55</v>
      </c>
      <c r="Y245" s="2" t="s">
        <v>55</v>
      </c>
      <c r="Z245" s="3" t="s">
        <v>55</v>
      </c>
      <c r="AA245" s="2">
        <v>1</v>
      </c>
      <c r="AB245" s="2">
        <v>1</v>
      </c>
      <c r="AC245" s="2">
        <v>0</v>
      </c>
      <c r="AD245" s="44">
        <v>46059</v>
      </c>
      <c r="AE245" s="44">
        <v>46059</v>
      </c>
      <c r="AF245" s="44">
        <v>46059</v>
      </c>
      <c r="AG245" s="44">
        <v>46064</v>
      </c>
      <c r="AH245" s="44">
        <v>46065</v>
      </c>
      <c r="AI245" s="3">
        <f t="shared" si="28"/>
        <v>2</v>
      </c>
      <c r="AJ245" s="85" t="s">
        <v>832</v>
      </c>
      <c r="AK245" s="46" t="s">
        <v>833</v>
      </c>
      <c r="AL245" s="19" t="str">
        <f t="shared" si="25"/>
        <v>N/A</v>
      </c>
      <c r="AM245" s="67" t="str">
        <f>IFERROR(NETWORKDAYS(D245,Q245,Hoja1!$A$1:$A$29),"N/A")</f>
        <v>N/A</v>
      </c>
      <c r="AN245" s="21">
        <f>IFERROR(NETWORKDAYS(D245,AE245,Hoja1!$A$1:$A$29),"N/A")</f>
        <v>3</v>
      </c>
      <c r="AO245" s="78">
        <v>0</v>
      </c>
      <c r="AP245" s="21">
        <f t="shared" si="26"/>
        <v>3</v>
      </c>
      <c r="AQ245" s="21">
        <f>IFERROR(NETWORKDAYS(AF245,AG245,Hoja1!$A$1:$A$29),"N/A")</f>
        <v>4</v>
      </c>
      <c r="AR245" s="78">
        <v>0</v>
      </c>
      <c r="AS245" s="75">
        <f t="shared" si="23"/>
        <v>4</v>
      </c>
      <c r="AT245" s="21">
        <f>IFERROR(NETWORKDAYS(D245,AG245,Hoja1!$A$1:$A$29),"N/A")</f>
        <v>6</v>
      </c>
      <c r="AU245" s="21">
        <f t="shared" si="27"/>
        <v>6</v>
      </c>
      <c r="AV245" s="69" t="s">
        <v>104</v>
      </c>
      <c r="AW245" s="86" t="s">
        <v>294</v>
      </c>
      <c r="AX245" s="43"/>
      <c r="AY245" s="43"/>
      <c r="AZ245" s="43"/>
      <c r="BA245" s="43"/>
      <c r="BB245" s="43"/>
    </row>
    <row r="246" spans="1:54" ht="15" customHeight="1" x14ac:dyDescent="0.25">
      <c r="A246" s="55">
        <v>15801</v>
      </c>
      <c r="B246" s="87" t="s">
        <v>79</v>
      </c>
      <c r="C246" s="87" t="s">
        <v>79</v>
      </c>
      <c r="D246" s="419">
        <v>46058</v>
      </c>
      <c r="E246" s="44">
        <v>46058</v>
      </c>
      <c r="F246" s="143" t="s">
        <v>99</v>
      </c>
      <c r="G246" s="111" t="s">
        <v>100</v>
      </c>
      <c r="H246" s="111" t="s">
        <v>51</v>
      </c>
      <c r="I246" s="111" t="s">
        <v>239</v>
      </c>
      <c r="J246" s="111" t="s">
        <v>52</v>
      </c>
      <c r="K246" s="111" t="s">
        <v>129</v>
      </c>
      <c r="L246" s="2">
        <v>1</v>
      </c>
      <c r="M246" s="45" t="s">
        <v>54</v>
      </c>
      <c r="N246" s="2" t="s">
        <v>55</v>
      </c>
      <c r="O246" s="2">
        <v>2</v>
      </c>
      <c r="P246" s="2" t="s">
        <v>112</v>
      </c>
      <c r="Q246" s="44">
        <v>46062</v>
      </c>
      <c r="R246" s="44">
        <v>46062</v>
      </c>
      <c r="S246" s="2">
        <v>2</v>
      </c>
      <c r="T246" s="2" t="s">
        <v>55</v>
      </c>
      <c r="U246" s="2" t="s">
        <v>55</v>
      </c>
      <c r="V246" s="2" t="s">
        <v>55</v>
      </c>
      <c r="W246" s="2" t="s">
        <v>55</v>
      </c>
      <c r="X246" s="2" t="s">
        <v>55</v>
      </c>
      <c r="Y246" s="2" t="s">
        <v>55</v>
      </c>
      <c r="Z246" s="3" t="s">
        <v>55</v>
      </c>
      <c r="AA246" s="2">
        <v>1</v>
      </c>
      <c r="AB246" s="2">
        <v>1</v>
      </c>
      <c r="AC246" s="2">
        <v>0</v>
      </c>
      <c r="AD246" s="28">
        <v>46066</v>
      </c>
      <c r="AE246" s="28">
        <v>46066</v>
      </c>
      <c r="AF246" s="28">
        <v>46066</v>
      </c>
      <c r="AG246" s="16">
        <v>46073</v>
      </c>
      <c r="AH246" s="140">
        <v>46076</v>
      </c>
      <c r="AI246" s="3">
        <f t="shared" si="28"/>
        <v>2</v>
      </c>
      <c r="AJ246" s="85" t="s">
        <v>834</v>
      </c>
      <c r="AK246" s="46" t="s">
        <v>835</v>
      </c>
      <c r="AL246" s="19">
        <f t="shared" si="25"/>
        <v>1</v>
      </c>
      <c r="AM246" s="67">
        <f>IFERROR(NETWORKDAYS(D246,Q246,Hoja1!$A$1:$A$29),"N/A")</f>
        <v>3</v>
      </c>
      <c r="AN246" s="21">
        <f>IFERROR(NETWORKDAYS(D246,AE246,Hoja1!$A$1:$A$29),"N/A")</f>
        <v>7</v>
      </c>
      <c r="AO246" s="78">
        <v>0</v>
      </c>
      <c r="AP246" s="21">
        <f t="shared" si="26"/>
        <v>7</v>
      </c>
      <c r="AQ246" s="21">
        <f>IFERROR(NETWORKDAYS(AF246,AG246,Hoja1!$A$1:$A$29),"N/A")</f>
        <v>6</v>
      </c>
      <c r="AR246" s="78">
        <v>1</v>
      </c>
      <c r="AS246" s="75">
        <f t="shared" si="23"/>
        <v>5</v>
      </c>
      <c r="AT246" s="21">
        <f>IFERROR(NETWORKDAYS(D246,AG246,Hoja1!$A$1:$A$29),"N/A")</f>
        <v>12</v>
      </c>
      <c r="AU246" s="21">
        <f t="shared" si="27"/>
        <v>11</v>
      </c>
      <c r="AV246" s="69" t="s">
        <v>59</v>
      </c>
      <c r="AW246" s="86" t="s">
        <v>804</v>
      </c>
      <c r="AX246" s="43"/>
      <c r="AY246" s="43"/>
      <c r="AZ246" s="43"/>
      <c r="BA246" s="43"/>
      <c r="BB246" s="43"/>
    </row>
    <row r="247" spans="1:54" ht="15" customHeight="1" x14ac:dyDescent="0.25">
      <c r="A247" s="55">
        <v>15809</v>
      </c>
      <c r="B247" s="87" t="s">
        <v>79</v>
      </c>
      <c r="C247" s="87" t="s">
        <v>79</v>
      </c>
      <c r="D247" s="30">
        <v>46058</v>
      </c>
      <c r="E247" s="30">
        <v>46058</v>
      </c>
      <c r="F247" s="232" t="s">
        <v>90</v>
      </c>
      <c r="G247" s="87" t="s">
        <v>91</v>
      </c>
      <c r="H247" s="111" t="s">
        <v>51</v>
      </c>
      <c r="I247" s="87" t="s">
        <v>92</v>
      </c>
      <c r="J247" s="87" t="s">
        <v>52</v>
      </c>
      <c r="K247" s="87" t="s">
        <v>111</v>
      </c>
      <c r="L247" s="3">
        <v>1</v>
      </c>
      <c r="M247" s="45" t="s">
        <v>54</v>
      </c>
      <c r="N247" s="3" t="s">
        <v>55</v>
      </c>
      <c r="O247" s="3">
        <v>5</v>
      </c>
      <c r="P247" s="3" t="s">
        <v>112</v>
      </c>
      <c r="Q247" s="30">
        <v>46068</v>
      </c>
      <c r="R247" s="30">
        <v>46068</v>
      </c>
      <c r="S247" s="3">
        <v>5</v>
      </c>
      <c r="T247" s="3" t="s">
        <v>55</v>
      </c>
      <c r="U247" s="3" t="s">
        <v>55</v>
      </c>
      <c r="V247" s="3" t="s">
        <v>55</v>
      </c>
      <c r="W247" s="3" t="s">
        <v>55</v>
      </c>
      <c r="X247" s="3" t="s">
        <v>55</v>
      </c>
      <c r="Y247" s="3" t="s">
        <v>55</v>
      </c>
      <c r="Z247" s="3" t="s">
        <v>55</v>
      </c>
      <c r="AA247" s="3">
        <v>5</v>
      </c>
      <c r="AB247" s="3">
        <v>1</v>
      </c>
      <c r="AC247" s="3">
        <v>0</v>
      </c>
      <c r="AD247" s="30">
        <v>46066</v>
      </c>
      <c r="AE247" s="30">
        <v>46066</v>
      </c>
      <c r="AF247" s="30">
        <v>46066</v>
      </c>
      <c r="AG247" s="30">
        <v>46072</v>
      </c>
      <c r="AH247" s="140">
        <v>46076</v>
      </c>
      <c r="AI247" s="3">
        <f t="shared" si="28"/>
        <v>2</v>
      </c>
      <c r="AJ247" s="85" t="s">
        <v>836</v>
      </c>
      <c r="AK247" s="45" t="s">
        <v>837</v>
      </c>
      <c r="AL247" s="19">
        <f t="shared" si="25"/>
        <v>1</v>
      </c>
      <c r="AM247" s="67">
        <f>IFERROR(NETWORKDAYS(D247,Q247,Hoja1!$A$1:$A$29),"N/A")</f>
        <v>7</v>
      </c>
      <c r="AN247" s="21">
        <f>IFERROR(NETWORKDAYS(D247,AE247,Hoja1!$A$1:$A$29),"N/A")</f>
        <v>7</v>
      </c>
      <c r="AO247" s="78">
        <v>0</v>
      </c>
      <c r="AP247" s="21">
        <f t="shared" si="26"/>
        <v>7</v>
      </c>
      <c r="AQ247" s="21">
        <f>IFERROR(NETWORKDAYS(AF247,AG247,Hoja1!$A$1:$A$29),"N/A")</f>
        <v>5</v>
      </c>
      <c r="AR247" s="78">
        <v>0</v>
      </c>
      <c r="AS247" s="75">
        <f t="shared" si="23"/>
        <v>5</v>
      </c>
      <c r="AT247" s="21">
        <f>IFERROR(NETWORKDAYS(D247,AG247,Hoja1!$A$1:$A$29),"N/A")</f>
        <v>11</v>
      </c>
      <c r="AU247" s="21">
        <f t="shared" si="27"/>
        <v>11</v>
      </c>
      <c r="AV247" s="69" t="s">
        <v>104</v>
      </c>
      <c r="AW247" s="86" t="s">
        <v>79</v>
      </c>
      <c r="AX247" s="114"/>
      <c r="AY247" s="1"/>
      <c r="AZ247" s="1"/>
      <c r="BA247" s="1"/>
      <c r="BB247" s="1"/>
    </row>
    <row r="248" spans="1:54" ht="15" customHeight="1" x14ac:dyDescent="0.25">
      <c r="A248" s="95">
        <v>15824</v>
      </c>
      <c r="B248" s="84" t="s">
        <v>85</v>
      </c>
      <c r="C248" s="84" t="s">
        <v>85</v>
      </c>
      <c r="D248" s="421">
        <v>46062</v>
      </c>
      <c r="E248" s="28">
        <v>46062</v>
      </c>
      <c r="F248" s="84" t="s">
        <v>62</v>
      </c>
      <c r="G248" s="84" t="s">
        <v>71</v>
      </c>
      <c r="H248" s="87" t="s">
        <v>101</v>
      </c>
      <c r="I248" s="143" t="s">
        <v>96</v>
      </c>
      <c r="J248" s="27" t="s">
        <v>73</v>
      </c>
      <c r="K248" s="84" t="s">
        <v>86</v>
      </c>
      <c r="L248" s="33">
        <v>1</v>
      </c>
      <c r="M248" s="45" t="s">
        <v>54</v>
      </c>
      <c r="N248" s="21" t="s">
        <v>55</v>
      </c>
      <c r="O248" s="33">
        <v>0</v>
      </c>
      <c r="P248" s="33"/>
      <c r="Q248" s="21" t="s">
        <v>55</v>
      </c>
      <c r="R248" s="21" t="s">
        <v>55</v>
      </c>
      <c r="S248" s="33">
        <v>0</v>
      </c>
      <c r="T248" s="36" t="s">
        <v>55</v>
      </c>
      <c r="U248" s="36" t="s">
        <v>55</v>
      </c>
      <c r="V248" s="36" t="s">
        <v>55</v>
      </c>
      <c r="W248" s="36" t="s">
        <v>55</v>
      </c>
      <c r="X248" s="36" t="s">
        <v>55</v>
      </c>
      <c r="Y248" s="36" t="s">
        <v>55</v>
      </c>
      <c r="Z248" s="3" t="s">
        <v>55</v>
      </c>
      <c r="AA248" s="33">
        <v>1</v>
      </c>
      <c r="AB248" s="33">
        <v>1</v>
      </c>
      <c r="AC248" s="33">
        <v>0</v>
      </c>
      <c r="AD248" s="28">
        <v>46062</v>
      </c>
      <c r="AE248" s="28">
        <v>46063</v>
      </c>
      <c r="AF248" s="28">
        <v>46064</v>
      </c>
      <c r="AG248" s="16">
        <v>46073</v>
      </c>
      <c r="AH248" s="140">
        <v>46076</v>
      </c>
      <c r="AI248" s="3">
        <f t="shared" si="28"/>
        <v>2</v>
      </c>
      <c r="AJ248" s="85" t="s">
        <v>838</v>
      </c>
      <c r="AK248" s="35" t="s">
        <v>839</v>
      </c>
      <c r="AL248" s="19" t="str">
        <f t="shared" si="25"/>
        <v>N/A</v>
      </c>
      <c r="AM248" s="67" t="str">
        <f>IFERROR(NETWORKDAYS(D248,Q248,Hoja1!$A$1:$A$29),"N/A")</f>
        <v>N/A</v>
      </c>
      <c r="AN248" s="21">
        <f>IFERROR(NETWORKDAYS(D248,AE248,Hoja1!$A$1:$A$29),"N/A")</f>
        <v>2</v>
      </c>
      <c r="AO248" s="78">
        <v>0</v>
      </c>
      <c r="AP248" s="21">
        <f t="shared" si="26"/>
        <v>2</v>
      </c>
      <c r="AQ248" s="21">
        <f>IFERROR(NETWORKDAYS(AF248,AG248,Hoja1!$A$1:$A$29),"N/A")</f>
        <v>8</v>
      </c>
      <c r="AR248" s="67">
        <v>3</v>
      </c>
      <c r="AS248" s="75">
        <f t="shared" si="23"/>
        <v>5</v>
      </c>
      <c r="AT248" s="21">
        <f>IFERROR(NETWORKDAYS(D248,AG248,Hoja1!$A$1:$A$29),"N/A")</f>
        <v>10</v>
      </c>
      <c r="AU248" s="21">
        <f t="shared" si="27"/>
        <v>7</v>
      </c>
      <c r="AV248" s="69" t="s">
        <v>104</v>
      </c>
      <c r="AW248" s="86" t="s">
        <v>82</v>
      </c>
      <c r="AX248" s="33"/>
      <c r="AY248" s="33"/>
      <c r="AZ248" s="33"/>
      <c r="BA248" s="33"/>
      <c r="BB248" s="33"/>
    </row>
    <row r="249" spans="1:54" ht="15" customHeight="1" x14ac:dyDescent="0.25">
      <c r="A249" s="95">
        <v>15839</v>
      </c>
      <c r="B249" s="84" t="s">
        <v>85</v>
      </c>
      <c r="C249" s="84" t="s">
        <v>85</v>
      </c>
      <c r="D249" s="28">
        <v>46063</v>
      </c>
      <c r="E249" s="28">
        <v>46063</v>
      </c>
      <c r="F249" s="84" t="s">
        <v>62</v>
      </c>
      <c r="G249" s="84" t="s">
        <v>71</v>
      </c>
      <c r="H249" s="87" t="s">
        <v>101</v>
      </c>
      <c r="I249" s="84" t="s">
        <v>840</v>
      </c>
      <c r="J249" s="84" t="s">
        <v>142</v>
      </c>
      <c r="K249" s="84" t="s">
        <v>86</v>
      </c>
      <c r="L249" s="33">
        <v>1</v>
      </c>
      <c r="M249" s="45" t="s">
        <v>54</v>
      </c>
      <c r="N249" s="21" t="s">
        <v>55</v>
      </c>
      <c r="O249" s="33">
        <v>0</v>
      </c>
      <c r="P249" s="33"/>
      <c r="Q249" s="21" t="s">
        <v>55</v>
      </c>
      <c r="R249" s="21" t="s">
        <v>55</v>
      </c>
      <c r="S249" s="33">
        <v>0</v>
      </c>
      <c r="T249" s="36" t="s">
        <v>55</v>
      </c>
      <c r="U249" s="36" t="s">
        <v>55</v>
      </c>
      <c r="V249" s="36" t="s">
        <v>55</v>
      </c>
      <c r="W249" s="36" t="s">
        <v>55</v>
      </c>
      <c r="X249" s="36" t="s">
        <v>55</v>
      </c>
      <c r="Y249" s="36" t="s">
        <v>55</v>
      </c>
      <c r="Z249" s="3" t="s">
        <v>55</v>
      </c>
      <c r="AA249" s="33">
        <v>2</v>
      </c>
      <c r="AB249" s="33">
        <v>2</v>
      </c>
      <c r="AC249" s="33">
        <v>0</v>
      </c>
      <c r="AD249" s="28">
        <v>46065</v>
      </c>
      <c r="AE249" s="28">
        <v>46066</v>
      </c>
      <c r="AF249" s="28">
        <v>46066</v>
      </c>
      <c r="AG249" s="30">
        <v>46072</v>
      </c>
      <c r="AH249" s="140">
        <v>46076</v>
      </c>
      <c r="AI249" s="3">
        <f t="shared" si="28"/>
        <v>2</v>
      </c>
      <c r="AJ249" s="85" t="s">
        <v>841</v>
      </c>
      <c r="AK249" s="35" t="s">
        <v>842</v>
      </c>
      <c r="AL249" s="19" t="str">
        <f t="shared" si="25"/>
        <v>N/A</v>
      </c>
      <c r="AM249" s="67" t="str">
        <f>IFERROR(NETWORKDAYS(D249,Q249,Hoja1!$A$1:$A$29),"N/A")</f>
        <v>N/A</v>
      </c>
      <c r="AN249" s="21">
        <f>IFERROR(NETWORKDAYS(D249,AE249,Hoja1!$A$1:$A$29),"N/A")</f>
        <v>4</v>
      </c>
      <c r="AO249" s="78">
        <v>0</v>
      </c>
      <c r="AP249" s="21">
        <f t="shared" si="26"/>
        <v>4</v>
      </c>
      <c r="AQ249" s="21">
        <f>IFERROR(NETWORKDAYS(AF249,AG249,Hoja1!$A$1:$A$29),"N/A")</f>
        <v>5</v>
      </c>
      <c r="AR249" s="67">
        <v>0</v>
      </c>
      <c r="AS249" s="75">
        <f t="shared" si="23"/>
        <v>5</v>
      </c>
      <c r="AT249" s="21">
        <f>IFERROR(NETWORKDAYS(D249,AG249,Hoja1!$A$1:$A$29),"N/A")</f>
        <v>8</v>
      </c>
      <c r="AU249" s="21">
        <f t="shared" si="27"/>
        <v>8</v>
      </c>
      <c r="AV249" s="69" t="s">
        <v>104</v>
      </c>
      <c r="AW249" s="86" t="s">
        <v>843</v>
      </c>
      <c r="AX249" s="33"/>
      <c r="AY249" s="33"/>
      <c r="AZ249" s="33"/>
      <c r="BA249" s="33"/>
      <c r="BB249" s="33"/>
    </row>
    <row r="250" spans="1:54" ht="15" customHeight="1" x14ac:dyDescent="0.25">
      <c r="A250" s="95">
        <v>15840</v>
      </c>
      <c r="B250" s="84" t="s">
        <v>85</v>
      </c>
      <c r="C250" s="84" t="s">
        <v>85</v>
      </c>
      <c r="D250" s="421">
        <v>46063</v>
      </c>
      <c r="E250" s="28">
        <v>46063</v>
      </c>
      <c r="F250" s="84" t="s">
        <v>62</v>
      </c>
      <c r="G250" s="84" t="s">
        <v>71</v>
      </c>
      <c r="H250" s="87" t="s">
        <v>101</v>
      </c>
      <c r="I250" s="84" t="s">
        <v>844</v>
      </c>
      <c r="J250" s="84" t="s">
        <v>118</v>
      </c>
      <c r="K250" s="84" t="s">
        <v>86</v>
      </c>
      <c r="L250" s="33">
        <v>1</v>
      </c>
      <c r="M250" s="45" t="s">
        <v>54</v>
      </c>
      <c r="N250" s="21" t="s">
        <v>55</v>
      </c>
      <c r="O250" s="33">
        <v>0</v>
      </c>
      <c r="P250" s="33"/>
      <c r="Q250" s="21" t="s">
        <v>55</v>
      </c>
      <c r="R250" s="21" t="s">
        <v>55</v>
      </c>
      <c r="S250" s="33">
        <v>0</v>
      </c>
      <c r="T250" s="36" t="s">
        <v>55</v>
      </c>
      <c r="U250" s="36" t="s">
        <v>55</v>
      </c>
      <c r="V250" s="36" t="s">
        <v>55</v>
      </c>
      <c r="W250" s="36" t="s">
        <v>55</v>
      </c>
      <c r="X250" s="36" t="s">
        <v>55</v>
      </c>
      <c r="Y250" s="36" t="s">
        <v>55</v>
      </c>
      <c r="Z250" s="3" t="s">
        <v>55</v>
      </c>
      <c r="AA250" s="33">
        <v>2</v>
      </c>
      <c r="AB250" s="33">
        <v>2</v>
      </c>
      <c r="AC250" s="33">
        <v>0</v>
      </c>
      <c r="AD250" s="28">
        <v>46066</v>
      </c>
      <c r="AE250" s="28">
        <v>46066</v>
      </c>
      <c r="AF250" s="28">
        <v>46069</v>
      </c>
      <c r="AG250" s="30">
        <v>46072</v>
      </c>
      <c r="AH250" s="140">
        <v>46076</v>
      </c>
      <c r="AI250" s="3">
        <f t="shared" si="28"/>
        <v>2</v>
      </c>
      <c r="AJ250" s="85" t="s">
        <v>845</v>
      </c>
      <c r="AK250" s="35" t="s">
        <v>846</v>
      </c>
      <c r="AL250" s="19" t="str">
        <f t="shared" si="25"/>
        <v>N/A</v>
      </c>
      <c r="AM250" s="67" t="str">
        <f>IFERROR(NETWORKDAYS(D250,Q250,Hoja1!$A$1:$A$29),"N/A")</f>
        <v>N/A</v>
      </c>
      <c r="AN250" s="21">
        <f>IFERROR(NETWORKDAYS(D250,AE250,Hoja1!$A$1:$A$29),"N/A")</f>
        <v>4</v>
      </c>
      <c r="AO250" s="78">
        <v>0</v>
      </c>
      <c r="AP250" s="21">
        <f t="shared" si="26"/>
        <v>4</v>
      </c>
      <c r="AQ250" s="21">
        <f>IFERROR(NETWORKDAYS(AF250,AG250,Hoja1!$A$1:$A$29),"N/A")</f>
        <v>4</v>
      </c>
      <c r="AR250" s="67">
        <v>0</v>
      </c>
      <c r="AS250" s="75">
        <f t="shared" si="23"/>
        <v>4</v>
      </c>
      <c r="AT250" s="21">
        <f>IFERROR(NETWORKDAYS(D250,AG250,Hoja1!$A$1:$A$29),"N/A")</f>
        <v>8</v>
      </c>
      <c r="AU250" s="21">
        <f t="shared" si="27"/>
        <v>8</v>
      </c>
      <c r="AV250" s="69" t="s">
        <v>104</v>
      </c>
      <c r="AW250" s="86" t="s">
        <v>480</v>
      </c>
      <c r="AX250" s="33"/>
      <c r="AY250" s="33"/>
      <c r="AZ250" s="33"/>
      <c r="BA250" s="33"/>
      <c r="BB250" s="33"/>
    </row>
    <row r="251" spans="1:54" ht="15" customHeight="1" x14ac:dyDescent="0.25">
      <c r="A251" s="95">
        <v>15844</v>
      </c>
      <c r="B251" s="29" t="s">
        <v>387</v>
      </c>
      <c r="C251" s="29" t="s">
        <v>387</v>
      </c>
      <c r="D251" s="28">
        <v>46063</v>
      </c>
      <c r="E251" s="28">
        <v>46063</v>
      </c>
      <c r="F251" s="84" t="s">
        <v>62</v>
      </c>
      <c r="G251" s="84" t="s">
        <v>71</v>
      </c>
      <c r="H251" s="87" t="s">
        <v>271</v>
      </c>
      <c r="I251" s="84" t="s">
        <v>847</v>
      </c>
      <c r="J251" s="84" t="s">
        <v>142</v>
      </c>
      <c r="K251" s="84" t="s">
        <v>86</v>
      </c>
      <c r="L251" s="33">
        <v>1</v>
      </c>
      <c r="M251" s="45" t="s">
        <v>54</v>
      </c>
      <c r="N251" s="21" t="s">
        <v>55</v>
      </c>
      <c r="O251" s="33">
        <v>0</v>
      </c>
      <c r="P251" s="33"/>
      <c r="Q251" s="21" t="s">
        <v>55</v>
      </c>
      <c r="R251" s="21" t="s">
        <v>55</v>
      </c>
      <c r="S251" s="33">
        <v>0</v>
      </c>
      <c r="T251" s="36" t="s">
        <v>55</v>
      </c>
      <c r="U251" s="36" t="s">
        <v>55</v>
      </c>
      <c r="V251" s="36" t="s">
        <v>55</v>
      </c>
      <c r="W251" s="36" t="s">
        <v>55</v>
      </c>
      <c r="X251" s="36" t="s">
        <v>55</v>
      </c>
      <c r="Y251" s="36" t="s">
        <v>55</v>
      </c>
      <c r="Z251" s="3" t="s">
        <v>55</v>
      </c>
      <c r="AA251" s="33">
        <v>1</v>
      </c>
      <c r="AB251" s="33">
        <v>1</v>
      </c>
      <c r="AC251" s="33">
        <v>0</v>
      </c>
      <c r="AD251" s="28">
        <v>46064</v>
      </c>
      <c r="AE251" s="28">
        <v>46064</v>
      </c>
      <c r="AF251" s="28">
        <v>46063</v>
      </c>
      <c r="AG251" s="28">
        <v>46064</v>
      </c>
      <c r="AH251" s="28">
        <v>46065</v>
      </c>
      <c r="AI251" s="3">
        <f t="shared" si="28"/>
        <v>2</v>
      </c>
      <c r="AJ251" s="85" t="s">
        <v>848</v>
      </c>
      <c r="AK251" s="35" t="s">
        <v>849</v>
      </c>
      <c r="AL251" s="19" t="str">
        <f t="shared" si="25"/>
        <v>N/A</v>
      </c>
      <c r="AM251" s="67" t="str">
        <f>IFERROR(NETWORKDAYS(D251,Q251,Hoja1!$A$1:$A$29),"N/A")</f>
        <v>N/A</v>
      </c>
      <c r="AN251" s="21">
        <f>IFERROR(NETWORKDAYS(D251,AE251,Hoja1!$A$1:$A$29),"N/A")</f>
        <v>2</v>
      </c>
      <c r="AO251" s="78">
        <v>0</v>
      </c>
      <c r="AP251" s="21">
        <f t="shared" si="26"/>
        <v>2</v>
      </c>
      <c r="AQ251" s="21">
        <f>IFERROR(NETWORKDAYS(AF251,AG251,Hoja1!$A$1:$A$29),"N/A")</f>
        <v>2</v>
      </c>
      <c r="AR251" s="122">
        <v>0</v>
      </c>
      <c r="AS251" s="75">
        <f t="shared" si="23"/>
        <v>2</v>
      </c>
      <c r="AT251" s="21">
        <f>IFERROR(NETWORKDAYS(D251,AG251,Hoja1!$A$1:$A$29),"N/A")</f>
        <v>2</v>
      </c>
      <c r="AU251" s="21">
        <f t="shared" si="27"/>
        <v>2</v>
      </c>
      <c r="AV251" s="69" t="s">
        <v>104</v>
      </c>
      <c r="AW251" s="86" t="s">
        <v>581</v>
      </c>
      <c r="AX251" s="33"/>
      <c r="AY251" s="33"/>
      <c r="AZ251" s="33"/>
      <c r="BA251" s="33"/>
      <c r="BB251" s="33"/>
    </row>
    <row r="252" spans="1:54" ht="15" customHeight="1" x14ac:dyDescent="0.25">
      <c r="A252" s="55">
        <v>15848</v>
      </c>
      <c r="B252" s="27" t="s">
        <v>85</v>
      </c>
      <c r="C252" s="27" t="s">
        <v>85</v>
      </c>
      <c r="D252" s="420">
        <v>46063</v>
      </c>
      <c r="E252" s="16">
        <v>46063</v>
      </c>
      <c r="F252" s="114" t="s">
        <v>163</v>
      </c>
      <c r="G252" s="114" t="s">
        <v>688</v>
      </c>
      <c r="H252" s="87" t="s">
        <v>101</v>
      </c>
      <c r="I252" s="27" t="s">
        <v>516</v>
      </c>
      <c r="J252" s="27" t="s">
        <v>52</v>
      </c>
      <c r="K252" s="27" t="s">
        <v>165</v>
      </c>
      <c r="L252" s="1">
        <v>1</v>
      </c>
      <c r="M252" s="45" t="s">
        <v>54</v>
      </c>
      <c r="N252" s="21" t="s">
        <v>55</v>
      </c>
      <c r="O252" s="1">
        <v>0</v>
      </c>
      <c r="P252" s="1"/>
      <c r="Q252" s="16" t="s">
        <v>55</v>
      </c>
      <c r="R252" s="16" t="s">
        <v>55</v>
      </c>
      <c r="S252" s="1">
        <v>0</v>
      </c>
      <c r="T252" s="36" t="s">
        <v>55</v>
      </c>
      <c r="U252" s="36" t="s">
        <v>55</v>
      </c>
      <c r="V252" s="36" t="s">
        <v>55</v>
      </c>
      <c r="W252" s="36" t="s">
        <v>55</v>
      </c>
      <c r="X252" s="36" t="s">
        <v>55</v>
      </c>
      <c r="Y252" s="36" t="s">
        <v>55</v>
      </c>
      <c r="Z252" s="3" t="s">
        <v>55</v>
      </c>
      <c r="AA252" s="1">
        <v>1</v>
      </c>
      <c r="AB252" s="1">
        <v>1</v>
      </c>
      <c r="AC252" s="1">
        <v>0</v>
      </c>
      <c r="AD252" s="28">
        <v>46066</v>
      </c>
      <c r="AE252" s="28">
        <v>46066</v>
      </c>
      <c r="AF252" s="28">
        <v>46066</v>
      </c>
      <c r="AG252" s="16">
        <v>46073</v>
      </c>
      <c r="AH252" s="140">
        <v>46076</v>
      </c>
      <c r="AI252" s="3">
        <f t="shared" si="28"/>
        <v>2</v>
      </c>
      <c r="AJ252" s="85" t="s">
        <v>850</v>
      </c>
      <c r="AK252" s="49" t="s">
        <v>851</v>
      </c>
      <c r="AL252" s="19" t="str">
        <f t="shared" si="25"/>
        <v>N/A</v>
      </c>
      <c r="AM252" s="67" t="str">
        <f>IFERROR(NETWORKDAYS(D252,Q252,Hoja1!$A$1:$A$29),"N/A")</f>
        <v>N/A</v>
      </c>
      <c r="AN252" s="21">
        <f>IFERROR(NETWORKDAYS(D252,AE252,Hoja1!$A$1:$A$29),"N/A")</f>
        <v>4</v>
      </c>
      <c r="AO252" s="78">
        <v>0</v>
      </c>
      <c r="AP252" s="21">
        <f t="shared" si="26"/>
        <v>4</v>
      </c>
      <c r="AQ252" s="21">
        <f>IFERROR(NETWORKDAYS(AF252,AG252,Hoja1!$A$1:$A$29),"N/A")</f>
        <v>6</v>
      </c>
      <c r="AR252" s="113">
        <v>1</v>
      </c>
      <c r="AS252" s="75">
        <f t="shared" si="23"/>
        <v>5</v>
      </c>
      <c r="AT252" s="21">
        <f>IFERROR(NETWORKDAYS(D252,AG252,Hoja1!$A$1:$A$29),"N/A")</f>
        <v>9</v>
      </c>
      <c r="AU252" s="21">
        <f t="shared" si="27"/>
        <v>8</v>
      </c>
      <c r="AV252" s="69" t="s">
        <v>145</v>
      </c>
      <c r="AW252" s="86" t="s">
        <v>480</v>
      </c>
      <c r="AX252" s="33"/>
      <c r="AY252" s="33"/>
      <c r="AZ252" s="33"/>
      <c r="BA252" s="33"/>
      <c r="BB252" s="33"/>
    </row>
    <row r="253" spans="1:54" ht="15" customHeight="1" x14ac:dyDescent="0.25">
      <c r="A253" s="220">
        <v>15850</v>
      </c>
      <c r="B253" s="129" t="s">
        <v>79</v>
      </c>
      <c r="C253" s="129" t="s">
        <v>79</v>
      </c>
      <c r="D253" s="427">
        <v>46064</v>
      </c>
      <c r="E253" s="130">
        <v>46064</v>
      </c>
      <c r="F253" s="237" t="s">
        <v>90</v>
      </c>
      <c r="G253" s="129" t="s">
        <v>91</v>
      </c>
      <c r="H253" s="129" t="s">
        <v>101</v>
      </c>
      <c r="I253" s="129" t="s">
        <v>852</v>
      </c>
      <c r="J253" s="223" t="s">
        <v>142</v>
      </c>
      <c r="K253" s="129" t="s">
        <v>111</v>
      </c>
      <c r="L253" s="89">
        <v>1</v>
      </c>
      <c r="M253" s="117" t="s">
        <v>54</v>
      </c>
      <c r="N253" s="89" t="s">
        <v>55</v>
      </c>
      <c r="O253" s="89">
        <v>6</v>
      </c>
      <c r="P253" s="89" t="s">
        <v>112</v>
      </c>
      <c r="Q253" s="130">
        <v>46068</v>
      </c>
      <c r="R253" s="130">
        <v>46068</v>
      </c>
      <c r="S253" s="89">
        <v>5</v>
      </c>
      <c r="T253" s="89" t="s">
        <v>55</v>
      </c>
      <c r="U253" s="89" t="s">
        <v>55</v>
      </c>
      <c r="V253" s="89" t="s">
        <v>55</v>
      </c>
      <c r="W253" s="89" t="s">
        <v>55</v>
      </c>
      <c r="X253" s="89" t="s">
        <v>55</v>
      </c>
      <c r="Y253" s="89" t="s">
        <v>55</v>
      </c>
      <c r="Z253" s="89" t="s">
        <v>55</v>
      </c>
      <c r="AA253" s="89">
        <v>5</v>
      </c>
      <c r="AB253" s="89">
        <v>1</v>
      </c>
      <c r="AC253" s="89">
        <v>0</v>
      </c>
      <c r="AD253" s="130">
        <v>46069</v>
      </c>
      <c r="AE253" s="224">
        <v>46069</v>
      </c>
      <c r="AF253" s="224">
        <v>46069</v>
      </c>
      <c r="AG253" s="134">
        <v>46073</v>
      </c>
      <c r="AH253" s="135">
        <v>46076</v>
      </c>
      <c r="AI253" s="89">
        <f t="shared" si="28"/>
        <v>2</v>
      </c>
      <c r="AJ253" s="90" t="s">
        <v>853</v>
      </c>
      <c r="AK253" s="117" t="s">
        <v>854</v>
      </c>
      <c r="AL253" s="19">
        <f t="shared" si="25"/>
        <v>0.83333333333333337</v>
      </c>
      <c r="AM253" s="67">
        <f>IFERROR(NETWORKDAYS(D253,Q253,Hoja1!$A$1:$A$29),"N/A")</f>
        <v>3</v>
      </c>
      <c r="AN253" s="21">
        <f>IFERROR(NETWORKDAYS(D253,AE253,Hoja1!$A$1:$A$29),"N/A")</f>
        <v>4</v>
      </c>
      <c r="AO253" s="270">
        <v>0</v>
      </c>
      <c r="AP253" s="72">
        <f t="shared" si="26"/>
        <v>4</v>
      </c>
      <c r="AQ253" s="21">
        <f>IFERROR(NETWORKDAYS(AF253,AG253,Hoja1!$A$1:$A$29),"N/A")</f>
        <v>5</v>
      </c>
      <c r="AR253" s="71">
        <v>0</v>
      </c>
      <c r="AS253" s="80">
        <f t="shared" ref="AS253:AS255" si="29">AQ253-AR253</f>
        <v>5</v>
      </c>
      <c r="AT253" s="21">
        <f>IFERROR(NETWORKDAYS(D253,AG253,Hoja1!$A$1:$A$29),"N/A")</f>
        <v>8</v>
      </c>
      <c r="AU253" s="72">
        <f t="shared" si="27"/>
        <v>8</v>
      </c>
      <c r="AV253" s="91" t="s">
        <v>127</v>
      </c>
      <c r="AW253" s="92" t="s">
        <v>855</v>
      </c>
      <c r="AX253" s="121"/>
      <c r="AY253" s="103"/>
      <c r="AZ253" s="103"/>
      <c r="BA253" s="103"/>
      <c r="BB253" s="103"/>
    </row>
    <row r="254" spans="1:54" ht="15" customHeight="1" x14ac:dyDescent="0.25">
      <c r="A254" s="95">
        <v>15855</v>
      </c>
      <c r="B254" s="87" t="s">
        <v>79</v>
      </c>
      <c r="C254" s="87" t="s">
        <v>79</v>
      </c>
      <c r="D254" s="424">
        <v>46058</v>
      </c>
      <c r="E254" s="28">
        <v>46064</v>
      </c>
      <c r="F254" s="84" t="s">
        <v>62</v>
      </c>
      <c r="G254" s="84" t="s">
        <v>71</v>
      </c>
      <c r="H254" s="84" t="s">
        <v>271</v>
      </c>
      <c r="I254" s="84" t="s">
        <v>856</v>
      </c>
      <c r="J254" s="84" t="s">
        <v>65</v>
      </c>
      <c r="K254" s="84" t="s">
        <v>351</v>
      </c>
      <c r="L254" s="33">
        <v>1</v>
      </c>
      <c r="M254" s="45" t="s">
        <v>54</v>
      </c>
      <c r="N254" s="21" t="s">
        <v>55</v>
      </c>
      <c r="O254" s="33">
        <v>0</v>
      </c>
      <c r="P254" s="33"/>
      <c r="Q254" s="21" t="s">
        <v>55</v>
      </c>
      <c r="R254" s="21" t="s">
        <v>55</v>
      </c>
      <c r="S254" s="33">
        <v>0</v>
      </c>
      <c r="T254" s="21" t="s">
        <v>55</v>
      </c>
      <c r="U254" s="21" t="s">
        <v>55</v>
      </c>
      <c r="V254" s="21" t="s">
        <v>55</v>
      </c>
      <c r="W254" s="21" t="s">
        <v>55</v>
      </c>
      <c r="X254" s="21" t="s">
        <v>55</v>
      </c>
      <c r="Y254" s="21" t="s">
        <v>55</v>
      </c>
      <c r="Z254" s="3" t="s">
        <v>55</v>
      </c>
      <c r="AA254" s="33">
        <v>0</v>
      </c>
      <c r="AB254" s="33">
        <v>0</v>
      </c>
      <c r="AC254" s="33">
        <v>0</v>
      </c>
      <c r="AD254" s="36" t="s">
        <v>55</v>
      </c>
      <c r="AE254" s="28">
        <v>46058</v>
      </c>
      <c r="AF254" s="28">
        <v>46058</v>
      </c>
      <c r="AG254" s="53">
        <v>46064</v>
      </c>
      <c r="AH254" s="28">
        <v>46065</v>
      </c>
      <c r="AI254" s="3">
        <f t="shared" si="28"/>
        <v>2</v>
      </c>
      <c r="AJ254" s="85" t="s">
        <v>857</v>
      </c>
      <c r="AK254" s="35" t="s">
        <v>858</v>
      </c>
      <c r="AL254" s="19" t="str">
        <f t="shared" si="25"/>
        <v>N/A</v>
      </c>
      <c r="AM254" s="67" t="str">
        <f>IFERROR(NETWORKDAYS(D254,Q254,Hoja1!$A$1:$A$29),"N/A")</f>
        <v>N/A</v>
      </c>
      <c r="AN254" s="21">
        <f>IFERROR(NETWORKDAYS(D254,AE254,Hoja1!$A$1:$A$29),"N/A")</f>
        <v>1</v>
      </c>
      <c r="AO254" s="78">
        <v>0</v>
      </c>
      <c r="AP254" s="21" t="s">
        <v>82</v>
      </c>
      <c r="AQ254" s="21">
        <f>IFERROR(NETWORKDAYS(AF254,AG254,Hoja1!$A$1:$A$29),"N/A")</f>
        <v>5</v>
      </c>
      <c r="AR254" s="74">
        <v>0</v>
      </c>
      <c r="AS254" s="75">
        <f t="shared" si="29"/>
        <v>5</v>
      </c>
      <c r="AT254" s="21">
        <f>IFERROR(NETWORKDAYS(D254,AG254,Hoja1!$A$1:$A$29),"N/A")</f>
        <v>5</v>
      </c>
      <c r="AU254" s="21">
        <f t="shared" si="27"/>
        <v>5</v>
      </c>
      <c r="AV254" s="69" t="s">
        <v>145</v>
      </c>
      <c r="AW254" s="86" t="s">
        <v>180</v>
      </c>
      <c r="AX254" s="33"/>
      <c r="AY254" s="33"/>
      <c r="AZ254" s="33"/>
      <c r="BA254" s="33"/>
      <c r="BB254" s="33"/>
    </row>
    <row r="255" spans="1:54" ht="15" customHeight="1" x14ac:dyDescent="0.25">
      <c r="A255" s="55">
        <v>15856</v>
      </c>
      <c r="B255" s="27" t="s">
        <v>85</v>
      </c>
      <c r="C255" s="27" t="s">
        <v>85</v>
      </c>
      <c r="D255" s="15">
        <v>46064</v>
      </c>
      <c r="E255" s="16">
        <v>46064</v>
      </c>
      <c r="F255" s="114" t="s">
        <v>163</v>
      </c>
      <c r="G255" s="114" t="s">
        <v>164</v>
      </c>
      <c r="H255" s="87" t="s">
        <v>101</v>
      </c>
      <c r="I255" s="27" t="s">
        <v>516</v>
      </c>
      <c r="J255" s="27" t="s">
        <v>52</v>
      </c>
      <c r="K255" s="27" t="s">
        <v>165</v>
      </c>
      <c r="L255" s="1">
        <v>1</v>
      </c>
      <c r="M255" s="45" t="s">
        <v>54</v>
      </c>
      <c r="N255" s="21" t="s">
        <v>55</v>
      </c>
      <c r="O255" s="1">
        <v>0</v>
      </c>
      <c r="P255" s="1"/>
      <c r="Q255" s="16" t="s">
        <v>55</v>
      </c>
      <c r="R255" s="16" t="s">
        <v>55</v>
      </c>
      <c r="S255" s="1">
        <v>0</v>
      </c>
      <c r="T255" s="36" t="s">
        <v>55</v>
      </c>
      <c r="U255" s="36" t="s">
        <v>55</v>
      </c>
      <c r="V255" s="36" t="s">
        <v>55</v>
      </c>
      <c r="W255" s="36" t="s">
        <v>55</v>
      </c>
      <c r="X255" s="36" t="s">
        <v>55</v>
      </c>
      <c r="Y255" s="36" t="s">
        <v>55</v>
      </c>
      <c r="Z255" s="3" t="s">
        <v>55</v>
      </c>
      <c r="AA255" s="1">
        <v>1</v>
      </c>
      <c r="AB255" s="1">
        <v>1</v>
      </c>
      <c r="AC255" s="1">
        <v>0</v>
      </c>
      <c r="AD255" s="28">
        <v>46069</v>
      </c>
      <c r="AE255" s="28">
        <v>46069</v>
      </c>
      <c r="AF255" s="28">
        <v>46069</v>
      </c>
      <c r="AG255" s="16">
        <v>46073</v>
      </c>
      <c r="AH255" s="140">
        <v>46076</v>
      </c>
      <c r="AI255" s="3">
        <f t="shared" si="28"/>
        <v>2</v>
      </c>
      <c r="AJ255" s="85" t="s">
        <v>859</v>
      </c>
      <c r="AK255" s="49" t="s">
        <v>860</v>
      </c>
      <c r="AL255" s="19" t="str">
        <f t="shared" si="25"/>
        <v>N/A</v>
      </c>
      <c r="AM255" s="67" t="str">
        <f>IFERROR(NETWORKDAYS(D255,Q255,Hoja1!$A$1:$A$29),"N/A")</f>
        <v>N/A</v>
      </c>
      <c r="AN255" s="21">
        <f>IFERROR(NETWORKDAYS(D255,AE255,Hoja1!$A$1:$A$29),"N/A")</f>
        <v>4</v>
      </c>
      <c r="AO255" s="78">
        <v>0</v>
      </c>
      <c r="AP255" s="21">
        <f>AN255-AO255</f>
        <v>4</v>
      </c>
      <c r="AQ255" s="21">
        <f>IFERROR(NETWORKDAYS(AF255,AG255,Hoja1!$A$1:$A$29),"N/A")</f>
        <v>5</v>
      </c>
      <c r="AR255" s="113">
        <v>0</v>
      </c>
      <c r="AS255" s="75">
        <f t="shared" si="29"/>
        <v>5</v>
      </c>
      <c r="AT255" s="21">
        <f>IFERROR(NETWORKDAYS(D255,AG255,Hoja1!$A$1:$A$29),"N/A")</f>
        <v>8</v>
      </c>
      <c r="AU255" s="21">
        <f t="shared" si="27"/>
        <v>8</v>
      </c>
      <c r="AV255" s="69" t="s">
        <v>145</v>
      </c>
      <c r="AW255" s="86" t="s">
        <v>480</v>
      </c>
      <c r="AX255" s="33"/>
      <c r="AY255" s="33"/>
      <c r="AZ255" s="33"/>
      <c r="BA255" s="33"/>
      <c r="BB255" s="33"/>
    </row>
    <row r="256" spans="1:54" ht="15" customHeight="1" x14ac:dyDescent="0.25">
      <c r="A256" s="55">
        <v>15868</v>
      </c>
      <c r="B256" s="27" t="s">
        <v>69</v>
      </c>
      <c r="C256" s="43" t="s">
        <v>98</v>
      </c>
      <c r="D256" s="418">
        <v>46055</v>
      </c>
      <c r="E256" s="30">
        <v>46066</v>
      </c>
      <c r="F256" s="202" t="s">
        <v>879</v>
      </c>
      <c r="G256" s="87" t="s">
        <v>321</v>
      </c>
      <c r="H256" s="111" t="s">
        <v>51</v>
      </c>
      <c r="I256" s="27" t="s">
        <v>640</v>
      </c>
      <c r="J256" s="87" t="s">
        <v>52</v>
      </c>
      <c r="K256" s="87" t="s">
        <v>53</v>
      </c>
      <c r="L256" s="3">
        <v>1</v>
      </c>
      <c r="M256" s="159" t="s">
        <v>247</v>
      </c>
      <c r="N256" s="3" t="s">
        <v>55</v>
      </c>
      <c r="O256" s="3">
        <v>11</v>
      </c>
      <c r="P256" s="3" t="s">
        <v>112</v>
      </c>
      <c r="Q256" s="30">
        <v>46059</v>
      </c>
      <c r="R256" s="30">
        <v>46059</v>
      </c>
      <c r="S256" s="3">
        <v>11</v>
      </c>
      <c r="T256" s="3" t="s">
        <v>55</v>
      </c>
      <c r="U256" s="3" t="s">
        <v>55</v>
      </c>
      <c r="V256" s="3" t="s">
        <v>55</v>
      </c>
      <c r="W256" s="3" t="s">
        <v>55</v>
      </c>
      <c r="X256" s="3" t="s">
        <v>55</v>
      </c>
      <c r="Y256" s="3" t="s">
        <v>55</v>
      </c>
      <c r="Z256" s="3" t="s">
        <v>55</v>
      </c>
      <c r="AA256" s="3">
        <v>1</v>
      </c>
      <c r="AB256" s="3">
        <v>1</v>
      </c>
      <c r="AC256" s="3">
        <v>0</v>
      </c>
      <c r="AD256" s="28">
        <v>46066</v>
      </c>
      <c r="AE256" s="28">
        <v>46066</v>
      </c>
      <c r="AF256" s="3" t="s">
        <v>55</v>
      </c>
      <c r="AG256" s="30">
        <v>46076</v>
      </c>
      <c r="AH256" s="30">
        <v>46076</v>
      </c>
      <c r="AI256" s="3">
        <f t="shared" si="28"/>
        <v>2</v>
      </c>
      <c r="AJ256" s="85" t="s">
        <v>861</v>
      </c>
      <c r="AK256" s="35" t="s">
        <v>862</v>
      </c>
      <c r="AL256" s="19">
        <f t="shared" si="25"/>
        <v>1</v>
      </c>
      <c r="AM256" s="67">
        <f>IFERROR(NETWORKDAYS(D256,Q256,Hoja1!$A$1:$A$29),"N/A")</f>
        <v>5</v>
      </c>
      <c r="AN256" s="21">
        <f>IFERROR(NETWORKDAYS(D256,AE256,Hoja1!$A$1:$A$29),"N/A")</f>
        <v>10</v>
      </c>
      <c r="AO256" s="123">
        <v>0</v>
      </c>
      <c r="AP256" s="21">
        <f>AN256-AO256</f>
        <v>10</v>
      </c>
      <c r="AQ256" s="21" t="str">
        <f>IFERROR(NETWORKDAYS(AF256,AG256,Hoja1!$A$1:$A$29),"N/A")</f>
        <v>N/A</v>
      </c>
      <c r="AR256" s="67">
        <v>0</v>
      </c>
      <c r="AS256" s="21" t="s">
        <v>82</v>
      </c>
      <c r="AT256" s="21">
        <f>IFERROR(NETWORKDAYS(D256,AG256,Hoja1!$A$1:$A$29),"N/A")</f>
        <v>16</v>
      </c>
      <c r="AU256" s="21">
        <f t="shared" si="27"/>
        <v>16</v>
      </c>
      <c r="AV256" s="69" t="s">
        <v>127</v>
      </c>
      <c r="AW256" s="86" t="s">
        <v>863</v>
      </c>
      <c r="AX256" s="3"/>
      <c r="AY256" s="3"/>
      <c r="AZ256" s="3"/>
      <c r="BA256" s="3"/>
      <c r="BB256" s="3"/>
    </row>
    <row r="257" spans="1:54" ht="15" customHeight="1" x14ac:dyDescent="0.25">
      <c r="A257" s="55">
        <v>15949</v>
      </c>
      <c r="B257" s="27" t="s">
        <v>69</v>
      </c>
      <c r="C257" s="43" t="s">
        <v>98</v>
      </c>
      <c r="D257" s="30">
        <v>46055</v>
      </c>
      <c r="E257" s="30">
        <v>46076</v>
      </c>
      <c r="F257" s="202" t="s">
        <v>879</v>
      </c>
      <c r="G257" s="87" t="s">
        <v>321</v>
      </c>
      <c r="H257" s="111" t="s">
        <v>51</v>
      </c>
      <c r="I257" s="27" t="s">
        <v>640</v>
      </c>
      <c r="J257" s="87" t="s">
        <v>52</v>
      </c>
      <c r="K257" s="87" t="s">
        <v>53</v>
      </c>
      <c r="L257" s="3">
        <v>1</v>
      </c>
      <c r="M257" s="159" t="s">
        <v>247</v>
      </c>
      <c r="N257" s="3" t="s">
        <v>55</v>
      </c>
      <c r="O257" s="3">
        <v>11</v>
      </c>
      <c r="P257" s="3" t="s">
        <v>112</v>
      </c>
      <c r="Q257" s="30">
        <v>46059</v>
      </c>
      <c r="R257" s="30">
        <v>46059</v>
      </c>
      <c r="S257" s="3">
        <v>11</v>
      </c>
      <c r="T257" s="3" t="s">
        <v>55</v>
      </c>
      <c r="U257" s="3" t="s">
        <v>55</v>
      </c>
      <c r="V257" s="3" t="s">
        <v>55</v>
      </c>
      <c r="W257" s="3" t="s">
        <v>55</v>
      </c>
      <c r="X257" s="3" t="s">
        <v>55</v>
      </c>
      <c r="Y257" s="3" t="s">
        <v>55</v>
      </c>
      <c r="Z257" s="3" t="s">
        <v>55</v>
      </c>
      <c r="AA257" s="3">
        <v>1</v>
      </c>
      <c r="AB257" s="3">
        <v>1</v>
      </c>
      <c r="AC257" s="3">
        <v>0</v>
      </c>
      <c r="AD257" s="28">
        <v>46066</v>
      </c>
      <c r="AE257" s="28">
        <v>46066</v>
      </c>
      <c r="AF257" s="3" t="s">
        <v>55</v>
      </c>
      <c r="AG257" s="30">
        <v>46076</v>
      </c>
      <c r="AH257" s="30">
        <v>46076</v>
      </c>
      <c r="AI257" s="3">
        <f t="shared" si="28"/>
        <v>2</v>
      </c>
      <c r="AJ257" s="85" t="s">
        <v>864</v>
      </c>
      <c r="AK257" s="35" t="s">
        <v>865</v>
      </c>
      <c r="AL257" s="19">
        <f t="shared" si="25"/>
        <v>1</v>
      </c>
      <c r="AM257" s="67">
        <f>IFERROR(NETWORKDAYS(D257,Q257,Hoja1!$A$1:$A$29),"N/A")</f>
        <v>5</v>
      </c>
      <c r="AN257" s="21">
        <f>IFERROR(NETWORKDAYS(D257,AE257,Hoja1!$A$1:$A$29),"N/A")</f>
        <v>10</v>
      </c>
      <c r="AO257" s="123">
        <v>0</v>
      </c>
      <c r="AP257" s="21">
        <f>AN257-AO257</f>
        <v>10</v>
      </c>
      <c r="AQ257" s="21" t="str">
        <f>IFERROR(NETWORKDAYS(AF257,AG257,Hoja1!$A$1:$A$29),"N/A")</f>
        <v>N/A</v>
      </c>
      <c r="AR257" s="67">
        <v>0</v>
      </c>
      <c r="AS257" s="21" t="s">
        <v>82</v>
      </c>
      <c r="AT257" s="21">
        <f>IFERROR(NETWORKDAYS(D257,AG257,Hoja1!$A$1:$A$29),"N/A")</f>
        <v>16</v>
      </c>
      <c r="AU257" s="21">
        <f t="shared" si="27"/>
        <v>16</v>
      </c>
      <c r="AV257" s="69" t="s">
        <v>127</v>
      </c>
      <c r="AW257" s="86" t="s">
        <v>866</v>
      </c>
      <c r="AX257" s="3"/>
      <c r="AY257" s="3"/>
      <c r="AZ257" s="3"/>
      <c r="BA257" s="3"/>
      <c r="BB257" s="3"/>
    </row>
    <row r="258" spans="1:54" ht="15" customHeight="1" x14ac:dyDescent="0.25">
      <c r="A258" s="95">
        <v>15987</v>
      </c>
      <c r="B258" s="84" t="s">
        <v>85</v>
      </c>
      <c r="C258" s="84" t="s">
        <v>85</v>
      </c>
      <c r="D258" s="421">
        <v>45986</v>
      </c>
      <c r="E258" s="15">
        <v>45986</v>
      </c>
      <c r="F258" s="84" t="s">
        <v>62</v>
      </c>
      <c r="G258" s="84" t="s">
        <v>71</v>
      </c>
      <c r="H258" s="111" t="s">
        <v>51</v>
      </c>
      <c r="I258" s="27" t="s">
        <v>72</v>
      </c>
      <c r="J258" s="27" t="s">
        <v>73</v>
      </c>
      <c r="K258" s="84" t="s">
        <v>86</v>
      </c>
      <c r="L258" s="33">
        <v>1</v>
      </c>
      <c r="M258" s="45" t="s">
        <v>54</v>
      </c>
      <c r="N258" s="21" t="s">
        <v>55</v>
      </c>
      <c r="O258" s="33">
        <v>20</v>
      </c>
      <c r="P258" s="33" t="s">
        <v>56</v>
      </c>
      <c r="Q258" s="28">
        <v>45992</v>
      </c>
      <c r="R258" s="28">
        <v>46045</v>
      </c>
      <c r="S258" s="33">
        <v>20</v>
      </c>
      <c r="T258" s="36" t="s">
        <v>55</v>
      </c>
      <c r="U258" s="36" t="s">
        <v>55</v>
      </c>
      <c r="V258" s="36" t="s">
        <v>55</v>
      </c>
      <c r="W258" s="36" t="s">
        <v>55</v>
      </c>
      <c r="X258" s="36" t="s">
        <v>55</v>
      </c>
      <c r="Y258" s="36" t="s">
        <v>55</v>
      </c>
      <c r="Z258" s="3" t="s">
        <v>55</v>
      </c>
      <c r="AA258" s="33">
        <v>3</v>
      </c>
      <c r="AB258" s="33">
        <v>1</v>
      </c>
      <c r="AC258" s="33">
        <v>0</v>
      </c>
      <c r="AD258" s="28">
        <v>46049</v>
      </c>
      <c r="AE258" s="28">
        <v>46050</v>
      </c>
      <c r="AF258" s="28">
        <v>46052</v>
      </c>
      <c r="AG258" s="28">
        <v>46063</v>
      </c>
      <c r="AH258" s="28">
        <v>46065</v>
      </c>
      <c r="AI258" s="3">
        <f t="shared" si="28"/>
        <v>2</v>
      </c>
      <c r="AJ258" s="85" t="s">
        <v>867</v>
      </c>
      <c r="AK258" s="35" t="s">
        <v>868</v>
      </c>
      <c r="AL258" s="19">
        <f t="shared" si="25"/>
        <v>1</v>
      </c>
      <c r="AM258" s="67">
        <f>IFERROR(NETWORKDAYS(D258,Q258,Hoja1!$A$1:$A$29),"N/A")</f>
        <v>5</v>
      </c>
      <c r="AN258" s="21">
        <f>IFERROR(NETWORKDAYS(D258,AE258,Hoja1!$A$1:$A$29),"N/A")</f>
        <v>43</v>
      </c>
      <c r="AO258" s="78">
        <v>20</v>
      </c>
      <c r="AP258" s="21">
        <f>AN258-AO258</f>
        <v>23</v>
      </c>
      <c r="AQ258" s="21">
        <f>IFERROR(NETWORKDAYS(AF258,AG258,Hoja1!$A$1:$A$29),"N/A")</f>
        <v>8</v>
      </c>
      <c r="AR258" s="113">
        <v>3</v>
      </c>
      <c r="AS258" s="75">
        <f>AQ258-AR258</f>
        <v>5</v>
      </c>
      <c r="AT258" s="21">
        <f>IFERROR(NETWORKDAYS(D258,AG258,Hoja1!$A$1:$A$29),"N/A")</f>
        <v>52</v>
      </c>
      <c r="AU258" s="21">
        <f t="shared" si="27"/>
        <v>29</v>
      </c>
      <c r="AV258" s="69" t="s">
        <v>417</v>
      </c>
      <c r="AW258" s="141" t="s">
        <v>82</v>
      </c>
      <c r="AX258" s="33" t="s">
        <v>464</v>
      </c>
      <c r="AY258" s="33"/>
      <c r="AZ258" s="33"/>
      <c r="BA258" s="33"/>
      <c r="BB258" s="33"/>
    </row>
    <row r="259" spans="1:54" ht="15" customHeight="1" x14ac:dyDescent="0.25">
      <c r="A259" s="54">
        <v>14682</v>
      </c>
      <c r="B259" s="87" t="s">
        <v>79</v>
      </c>
      <c r="C259" s="87" t="s">
        <v>79</v>
      </c>
      <c r="D259" s="142">
        <v>46048</v>
      </c>
      <c r="E259" s="142">
        <v>45881</v>
      </c>
      <c r="F259" s="84" t="s">
        <v>62</v>
      </c>
      <c r="G259" s="48" t="s">
        <v>71</v>
      </c>
      <c r="H259" s="143" t="s">
        <v>51</v>
      </c>
      <c r="I259" s="27" t="s">
        <v>72</v>
      </c>
      <c r="J259" s="87" t="s">
        <v>73</v>
      </c>
      <c r="K259" s="87" t="s">
        <v>74</v>
      </c>
      <c r="L259" s="21">
        <v>1</v>
      </c>
      <c r="M259" s="87" t="s">
        <v>54</v>
      </c>
      <c r="N259" s="2" t="s">
        <v>55</v>
      </c>
      <c r="O259" s="3">
        <v>17</v>
      </c>
      <c r="P259" s="3" t="s">
        <v>56</v>
      </c>
      <c r="Q259" s="37">
        <v>46048</v>
      </c>
      <c r="R259" s="37">
        <v>46048</v>
      </c>
      <c r="S259" s="3">
        <v>17</v>
      </c>
      <c r="T259" s="18" t="s">
        <v>55</v>
      </c>
      <c r="U259" s="18" t="s">
        <v>55</v>
      </c>
      <c r="V259" s="18" t="s">
        <v>55</v>
      </c>
      <c r="W259" s="18" t="s">
        <v>55</v>
      </c>
      <c r="X259" s="18" t="s">
        <v>55</v>
      </c>
      <c r="Y259" s="18" t="s">
        <v>55</v>
      </c>
      <c r="Z259" s="18" t="s">
        <v>55</v>
      </c>
      <c r="AA259" s="3">
        <v>6</v>
      </c>
      <c r="AB259" s="3">
        <v>4</v>
      </c>
      <c r="AC259" s="3">
        <v>0</v>
      </c>
      <c r="AD259" s="28">
        <v>46073</v>
      </c>
      <c r="AE259" s="28">
        <v>46073</v>
      </c>
      <c r="AF259" s="28">
        <v>46073</v>
      </c>
      <c r="AG259" s="28">
        <v>46087</v>
      </c>
      <c r="AH259" s="28">
        <v>46090</v>
      </c>
      <c r="AI259" s="33">
        <f t="shared" si="28"/>
        <v>3</v>
      </c>
      <c r="AJ259" s="144" t="s">
        <v>870</v>
      </c>
      <c r="AK259" s="35" t="s">
        <v>1294</v>
      </c>
      <c r="AL259" s="19">
        <f t="shared" ref="AL259:AL322" si="30">IFERROR(S259/O259,"N/A")</f>
        <v>1</v>
      </c>
      <c r="AM259" s="67">
        <f>IFERROR(NETWORKDAYS(D259,Q259,Hoja1!$A$1:$A$29),"N/A")</f>
        <v>1</v>
      </c>
      <c r="AN259" s="21">
        <f>IFERROR(NETWORKDAYS(D259,AE259,Hoja1!$A$1:$A$29),"N/A")</f>
        <v>20</v>
      </c>
      <c r="AO259" s="78">
        <v>0</v>
      </c>
      <c r="AP259" s="21">
        <f t="shared" ref="AP259:AP269" si="31">AN259-AO259</f>
        <v>20</v>
      </c>
      <c r="AQ259" s="21">
        <f>IFERROR(NETWORKDAYS(AF259,AG259,Hoja1!$A$1:$A$29),"N/A")</f>
        <v>11</v>
      </c>
      <c r="AR259" s="78">
        <v>6</v>
      </c>
      <c r="AS259" s="75">
        <f t="shared" ref="AS259:AS292" si="32">AQ259-AR259</f>
        <v>5</v>
      </c>
      <c r="AT259" s="21">
        <f>IFERROR(NETWORKDAYS(D259,AG259,Hoja1!$A$1:$A$29),"N/A")</f>
        <v>30</v>
      </c>
      <c r="AU259" s="21">
        <f t="shared" si="27"/>
        <v>24</v>
      </c>
      <c r="AV259" s="143" t="s">
        <v>77</v>
      </c>
      <c r="AW259" s="49" t="s">
        <v>82</v>
      </c>
      <c r="AX259" s="87" t="s">
        <v>446</v>
      </c>
      <c r="AY259" s="87" t="s">
        <v>445</v>
      </c>
      <c r="AZ259" s="87" t="s">
        <v>446</v>
      </c>
      <c r="BA259" s="87" t="s">
        <v>871</v>
      </c>
      <c r="BB259" s="87"/>
    </row>
    <row r="260" spans="1:54" ht="15" customHeight="1" x14ac:dyDescent="0.25">
      <c r="A260" s="55">
        <v>14822</v>
      </c>
      <c r="B260" s="145" t="s">
        <v>169</v>
      </c>
      <c r="C260" s="145" t="s">
        <v>169</v>
      </c>
      <c r="D260" s="428">
        <v>46043</v>
      </c>
      <c r="E260" s="142">
        <v>45979</v>
      </c>
      <c r="F260" s="232" t="s">
        <v>90</v>
      </c>
      <c r="G260" s="48" t="s">
        <v>91</v>
      </c>
      <c r="H260" s="143" t="s">
        <v>51</v>
      </c>
      <c r="I260" s="111" t="s">
        <v>872</v>
      </c>
      <c r="J260" s="87" t="s">
        <v>105</v>
      </c>
      <c r="K260" s="84" t="s">
        <v>171</v>
      </c>
      <c r="L260" s="21">
        <v>1</v>
      </c>
      <c r="M260" s="87" t="s">
        <v>54</v>
      </c>
      <c r="N260" s="3" t="s">
        <v>55</v>
      </c>
      <c r="O260" s="3">
        <v>5</v>
      </c>
      <c r="P260" s="33" t="s">
        <v>56</v>
      </c>
      <c r="Q260" s="30">
        <v>46049</v>
      </c>
      <c r="R260" s="30">
        <v>46049</v>
      </c>
      <c r="S260" s="3">
        <v>5</v>
      </c>
      <c r="T260" s="3" t="s">
        <v>55</v>
      </c>
      <c r="U260" s="3" t="s">
        <v>55</v>
      </c>
      <c r="V260" s="3" t="s">
        <v>55</v>
      </c>
      <c r="W260" s="3" t="s">
        <v>55</v>
      </c>
      <c r="X260" s="3" t="s">
        <v>55</v>
      </c>
      <c r="Y260" s="3" t="s">
        <v>55</v>
      </c>
      <c r="Z260" s="3" t="s">
        <v>55</v>
      </c>
      <c r="AA260" s="2">
        <v>24</v>
      </c>
      <c r="AB260" s="2">
        <v>1</v>
      </c>
      <c r="AC260" s="3">
        <v>0</v>
      </c>
      <c r="AD260" s="28">
        <v>46050</v>
      </c>
      <c r="AE260" s="28">
        <v>46065</v>
      </c>
      <c r="AF260" s="28">
        <v>46065</v>
      </c>
      <c r="AG260" s="28">
        <v>46101</v>
      </c>
      <c r="AH260" s="140">
        <v>46106</v>
      </c>
      <c r="AI260" s="33">
        <f t="shared" si="28"/>
        <v>3</v>
      </c>
      <c r="AJ260" s="144" t="s">
        <v>873</v>
      </c>
      <c r="AK260" s="146" t="s">
        <v>874</v>
      </c>
      <c r="AL260" s="19">
        <f t="shared" si="30"/>
        <v>1</v>
      </c>
      <c r="AM260" s="67">
        <f>IFERROR(NETWORKDAYS(D260,Q260,Hoja1!$A$1:$A$29),"N/A")</f>
        <v>5</v>
      </c>
      <c r="AN260" s="21">
        <f>IFERROR(NETWORKDAYS(D260,AE260,Hoja1!$A$1:$A$29),"N/A")</f>
        <v>17</v>
      </c>
      <c r="AO260" s="78">
        <v>0</v>
      </c>
      <c r="AP260" s="21">
        <f t="shared" si="31"/>
        <v>17</v>
      </c>
      <c r="AQ260" s="21">
        <f>IFERROR(NETWORKDAYS(AF260,AG260,Hoja1!$A$1:$A$29),"N/A")</f>
        <v>27</v>
      </c>
      <c r="AR260" s="78">
        <v>22</v>
      </c>
      <c r="AS260" s="75">
        <f t="shared" si="32"/>
        <v>5</v>
      </c>
      <c r="AT260" s="21">
        <f>IFERROR(NETWORKDAYS(D260,AG260,Hoja1!$A$1:$A$29),"N/A")</f>
        <v>43</v>
      </c>
      <c r="AU260" s="21">
        <f t="shared" si="27"/>
        <v>21</v>
      </c>
      <c r="AV260" s="143" t="s">
        <v>59</v>
      </c>
      <c r="AW260" s="143" t="s">
        <v>875</v>
      </c>
      <c r="AX260" s="111" t="s">
        <v>454</v>
      </c>
      <c r="AY260" s="111" t="s">
        <v>871</v>
      </c>
      <c r="AZ260" s="87" t="s">
        <v>445</v>
      </c>
      <c r="BA260" s="87" t="s">
        <v>445</v>
      </c>
      <c r="BB260" s="111"/>
    </row>
    <row r="261" spans="1:54" ht="15" customHeight="1" x14ac:dyDescent="0.25">
      <c r="A261" s="95">
        <v>14874</v>
      </c>
      <c r="B261" s="84" t="s">
        <v>876</v>
      </c>
      <c r="C261" s="84" t="s">
        <v>876</v>
      </c>
      <c r="D261" s="142">
        <v>45912</v>
      </c>
      <c r="E261" s="142">
        <v>45912</v>
      </c>
      <c r="F261" s="143" t="s">
        <v>62</v>
      </c>
      <c r="G261" s="84" t="s">
        <v>71</v>
      </c>
      <c r="H261" s="143" t="s">
        <v>51</v>
      </c>
      <c r="I261" s="27" t="s">
        <v>72</v>
      </c>
      <c r="J261" s="87" t="s">
        <v>73</v>
      </c>
      <c r="K261" s="143" t="s">
        <v>66</v>
      </c>
      <c r="L261" s="21">
        <v>1</v>
      </c>
      <c r="M261" s="87" t="s">
        <v>54</v>
      </c>
      <c r="N261" s="33" t="s">
        <v>55</v>
      </c>
      <c r="O261" s="33">
        <v>17</v>
      </c>
      <c r="P261" s="33" t="s">
        <v>56</v>
      </c>
      <c r="Q261" s="147">
        <v>45917</v>
      </c>
      <c r="R261" s="147">
        <v>45917</v>
      </c>
      <c r="S261" s="33">
        <v>17</v>
      </c>
      <c r="T261" s="33" t="s">
        <v>55</v>
      </c>
      <c r="U261" s="33" t="s">
        <v>55</v>
      </c>
      <c r="V261" s="33" t="s">
        <v>55</v>
      </c>
      <c r="W261" s="33" t="s">
        <v>55</v>
      </c>
      <c r="X261" s="33" t="s">
        <v>55</v>
      </c>
      <c r="Y261" s="33" t="s">
        <v>55</v>
      </c>
      <c r="Z261" s="33" t="s">
        <v>55</v>
      </c>
      <c r="AA261" s="21">
        <v>1</v>
      </c>
      <c r="AB261" s="21">
        <v>1</v>
      </c>
      <c r="AC261" s="33">
        <v>0</v>
      </c>
      <c r="AD261" s="28">
        <v>46073</v>
      </c>
      <c r="AE261" s="28">
        <v>46073</v>
      </c>
      <c r="AF261" s="28">
        <v>46073</v>
      </c>
      <c r="AG261" s="28">
        <v>46087</v>
      </c>
      <c r="AH261" s="148">
        <v>46090</v>
      </c>
      <c r="AI261" s="33">
        <f t="shared" si="28"/>
        <v>3</v>
      </c>
      <c r="AJ261" s="144" t="s">
        <v>877</v>
      </c>
      <c r="AK261" s="35" t="s">
        <v>878</v>
      </c>
      <c r="AL261" s="19">
        <f t="shared" si="30"/>
        <v>1</v>
      </c>
      <c r="AM261" s="67">
        <f>IFERROR(NETWORKDAYS(D261,Q261,Hoja1!$A$1:$A$29),"N/A")</f>
        <v>4</v>
      </c>
      <c r="AN261" s="21">
        <f>IFERROR(NETWORKDAYS(D261,AE261,Hoja1!$A$1:$A$29),"N/A")</f>
        <v>109</v>
      </c>
      <c r="AO261" s="78">
        <v>65</v>
      </c>
      <c r="AP261" s="21">
        <f t="shared" si="31"/>
        <v>44</v>
      </c>
      <c r="AQ261" s="21">
        <f>IFERROR(NETWORKDAYS(AF261,AG261,Hoja1!$A$1:$A$29),"N/A")</f>
        <v>11</v>
      </c>
      <c r="AR261" s="78">
        <v>6</v>
      </c>
      <c r="AS261" s="75">
        <f t="shared" si="32"/>
        <v>5</v>
      </c>
      <c r="AT261" s="21">
        <f>IFERROR(NETWORKDAYS(D261,AG261,Hoja1!$A$1:$A$29),"N/A")</f>
        <v>119</v>
      </c>
      <c r="AU261" s="21">
        <f t="shared" si="27"/>
        <v>48</v>
      </c>
      <c r="AV261" s="143" t="s">
        <v>77</v>
      </c>
      <c r="AW261" s="143" t="s">
        <v>82</v>
      </c>
      <c r="AX261" s="114"/>
      <c r="AY261" s="111"/>
      <c r="AZ261" s="111"/>
      <c r="BA261" s="111"/>
      <c r="BB261" s="111"/>
    </row>
    <row r="262" spans="1:54" ht="15" customHeight="1" x14ac:dyDescent="0.25">
      <c r="A262" s="56">
        <v>14877</v>
      </c>
      <c r="B262" s="145" t="s">
        <v>169</v>
      </c>
      <c r="C262" s="145" t="s">
        <v>169</v>
      </c>
      <c r="D262" s="428">
        <v>46065</v>
      </c>
      <c r="E262" s="142">
        <v>45911</v>
      </c>
      <c r="F262" s="202" t="s">
        <v>879</v>
      </c>
      <c r="G262" s="48" t="s">
        <v>50</v>
      </c>
      <c r="H262" s="143" t="s">
        <v>51</v>
      </c>
      <c r="I262" s="111" t="s">
        <v>872</v>
      </c>
      <c r="J262" s="87" t="s">
        <v>105</v>
      </c>
      <c r="K262" s="48" t="s">
        <v>106</v>
      </c>
      <c r="L262" s="21">
        <v>1</v>
      </c>
      <c r="M262" s="87" t="s">
        <v>54</v>
      </c>
      <c r="N262" s="18" t="s">
        <v>55</v>
      </c>
      <c r="O262" s="3">
        <v>14</v>
      </c>
      <c r="P262" s="33" t="s">
        <v>56</v>
      </c>
      <c r="Q262" s="30">
        <v>46066</v>
      </c>
      <c r="R262" s="30">
        <v>46066</v>
      </c>
      <c r="S262" s="3">
        <v>10</v>
      </c>
      <c r="T262" s="18" t="s">
        <v>55</v>
      </c>
      <c r="U262" s="18" t="s">
        <v>55</v>
      </c>
      <c r="V262" s="18" t="s">
        <v>55</v>
      </c>
      <c r="W262" s="18" t="s">
        <v>55</v>
      </c>
      <c r="X262" s="18" t="s">
        <v>55</v>
      </c>
      <c r="Y262" s="18" t="s">
        <v>55</v>
      </c>
      <c r="Z262" s="18" t="s">
        <v>55</v>
      </c>
      <c r="AA262" s="3">
        <v>3</v>
      </c>
      <c r="AB262" s="3">
        <v>3</v>
      </c>
      <c r="AC262" s="3">
        <v>0</v>
      </c>
      <c r="AD262" s="30">
        <v>46073</v>
      </c>
      <c r="AE262" s="30">
        <v>46073</v>
      </c>
      <c r="AF262" s="30">
        <v>46073</v>
      </c>
      <c r="AG262" s="28">
        <v>46080</v>
      </c>
      <c r="AH262" s="37">
        <v>46083</v>
      </c>
      <c r="AI262" s="33">
        <f t="shared" si="28"/>
        <v>3</v>
      </c>
      <c r="AJ262" s="48" t="s">
        <v>880</v>
      </c>
      <c r="AK262" s="35" t="s">
        <v>1295</v>
      </c>
      <c r="AL262" s="19">
        <f t="shared" si="30"/>
        <v>0.7142857142857143</v>
      </c>
      <c r="AM262" s="67">
        <f>IFERROR(NETWORKDAYS(D262,Q262,Hoja1!$A$1:$A$29),"N/A")</f>
        <v>2</v>
      </c>
      <c r="AN262" s="21">
        <f>IFERROR(NETWORKDAYS(D262,AE262,Hoja1!$A$1:$A$29),"N/A")</f>
        <v>7</v>
      </c>
      <c r="AO262" s="78">
        <v>0</v>
      </c>
      <c r="AP262" s="21">
        <f t="shared" si="31"/>
        <v>7</v>
      </c>
      <c r="AQ262" s="21">
        <f>IFERROR(NETWORKDAYS(AF262,AG262,Hoja1!$A$1:$A$29),"N/A")</f>
        <v>6</v>
      </c>
      <c r="AR262" s="78">
        <v>1</v>
      </c>
      <c r="AS262" s="75">
        <f t="shared" si="32"/>
        <v>5</v>
      </c>
      <c r="AT262" s="21">
        <f>IFERROR(NETWORKDAYS(D262,AG262,Hoja1!$A$1:$A$29),"N/A")</f>
        <v>12</v>
      </c>
      <c r="AU262" s="21">
        <f t="shared" si="27"/>
        <v>11</v>
      </c>
      <c r="AV262" s="143" t="s">
        <v>59</v>
      </c>
      <c r="AW262" s="143" t="s">
        <v>1362</v>
      </c>
      <c r="AX262" s="87" t="s">
        <v>881</v>
      </c>
      <c r="AY262" s="87" t="s">
        <v>445</v>
      </c>
      <c r="AZ262" s="87"/>
      <c r="BA262" s="87"/>
      <c r="BB262" s="87"/>
    </row>
    <row r="263" spans="1:54" ht="15" customHeight="1" x14ac:dyDescent="0.25">
      <c r="A263" s="55">
        <v>14933</v>
      </c>
      <c r="B263" s="48" t="s">
        <v>49</v>
      </c>
      <c r="C263" s="48" t="s">
        <v>49</v>
      </c>
      <c r="D263" s="142">
        <v>46051</v>
      </c>
      <c r="E263" s="142">
        <v>45979</v>
      </c>
      <c r="F263" s="232" t="s">
        <v>90</v>
      </c>
      <c r="G263" s="48" t="s">
        <v>91</v>
      </c>
      <c r="H263" s="143" t="s">
        <v>51</v>
      </c>
      <c r="I263" s="111" t="s">
        <v>882</v>
      </c>
      <c r="J263" s="84" t="s">
        <v>52</v>
      </c>
      <c r="K263" s="84" t="s">
        <v>171</v>
      </c>
      <c r="L263" s="21">
        <v>1</v>
      </c>
      <c r="M263" s="87" t="s">
        <v>54</v>
      </c>
      <c r="N263" s="3" t="s">
        <v>55</v>
      </c>
      <c r="O263" s="3">
        <v>9</v>
      </c>
      <c r="P263" s="33" t="s">
        <v>56</v>
      </c>
      <c r="Q263" s="28">
        <v>46056</v>
      </c>
      <c r="R263" s="28">
        <v>46056</v>
      </c>
      <c r="S263" s="3">
        <v>9</v>
      </c>
      <c r="T263" s="3" t="s">
        <v>55</v>
      </c>
      <c r="U263" s="3" t="s">
        <v>55</v>
      </c>
      <c r="V263" s="3" t="s">
        <v>55</v>
      </c>
      <c r="W263" s="3" t="s">
        <v>55</v>
      </c>
      <c r="X263" s="3" t="s">
        <v>55</v>
      </c>
      <c r="Y263" s="3" t="s">
        <v>55</v>
      </c>
      <c r="Z263" s="3" t="s">
        <v>55</v>
      </c>
      <c r="AA263" s="2">
        <v>9</v>
      </c>
      <c r="AB263" s="2">
        <v>1</v>
      </c>
      <c r="AC263" s="3">
        <v>0</v>
      </c>
      <c r="AD263" s="28">
        <v>46065</v>
      </c>
      <c r="AE263" s="28">
        <v>46090</v>
      </c>
      <c r="AF263" s="28">
        <v>46090</v>
      </c>
      <c r="AG263" s="28">
        <v>46092</v>
      </c>
      <c r="AH263" s="140">
        <v>46093</v>
      </c>
      <c r="AI263" s="33">
        <f t="shared" si="28"/>
        <v>3</v>
      </c>
      <c r="AJ263" s="144" t="s">
        <v>883</v>
      </c>
      <c r="AK263" s="146" t="s">
        <v>1296</v>
      </c>
      <c r="AL263" s="19">
        <f t="shared" si="30"/>
        <v>1</v>
      </c>
      <c r="AM263" s="67">
        <f>IFERROR(NETWORKDAYS(D263,Q263,Hoja1!$A$1:$A$29),"N/A")</f>
        <v>4</v>
      </c>
      <c r="AN263" s="21">
        <f>IFERROR(NETWORKDAYS(D263,AE263,Hoja1!$A$1:$A$29),"N/A")</f>
        <v>28</v>
      </c>
      <c r="AO263" s="78">
        <v>14</v>
      </c>
      <c r="AP263" s="21">
        <f t="shared" si="31"/>
        <v>14</v>
      </c>
      <c r="AQ263" s="21">
        <f>IFERROR(NETWORKDAYS(AF263,AG263,Hoja1!$A$1:$A$29),"N/A")</f>
        <v>3</v>
      </c>
      <c r="AR263" s="78">
        <v>0</v>
      </c>
      <c r="AS263" s="75">
        <f t="shared" si="32"/>
        <v>3</v>
      </c>
      <c r="AT263" s="21">
        <f>IFERROR(NETWORKDAYS(D263,AG263,Hoja1!$A$1:$A$29),"N/A")</f>
        <v>30</v>
      </c>
      <c r="AU263" s="21">
        <f t="shared" si="27"/>
        <v>16</v>
      </c>
      <c r="AV263" s="143" t="s">
        <v>59</v>
      </c>
      <c r="AW263" s="143" t="s">
        <v>667</v>
      </c>
      <c r="AX263" s="111" t="s">
        <v>445</v>
      </c>
      <c r="AY263" s="111" t="s">
        <v>871</v>
      </c>
      <c r="AZ263" s="111" t="s">
        <v>871</v>
      </c>
      <c r="BA263" s="111"/>
      <c r="BB263" s="111"/>
    </row>
    <row r="264" spans="1:54" ht="15" customHeight="1" x14ac:dyDescent="0.25">
      <c r="A264" s="54">
        <v>15047</v>
      </c>
      <c r="B264" s="87" t="s">
        <v>69</v>
      </c>
      <c r="C264" s="43" t="s">
        <v>98</v>
      </c>
      <c r="D264" s="428">
        <v>46078</v>
      </c>
      <c r="E264" s="142">
        <v>45940</v>
      </c>
      <c r="F264" s="202" t="s">
        <v>879</v>
      </c>
      <c r="G264" s="48" t="s">
        <v>884</v>
      </c>
      <c r="H264" s="143" t="s">
        <v>51</v>
      </c>
      <c r="I264" s="87" t="s">
        <v>885</v>
      </c>
      <c r="J264" s="84" t="s">
        <v>52</v>
      </c>
      <c r="K264" s="87" t="s">
        <v>53</v>
      </c>
      <c r="L264" s="21">
        <v>1</v>
      </c>
      <c r="M264" s="87" t="s">
        <v>54</v>
      </c>
      <c r="N264" s="3" t="s">
        <v>55</v>
      </c>
      <c r="O264" s="3">
        <v>14</v>
      </c>
      <c r="P264" s="33" t="s">
        <v>56</v>
      </c>
      <c r="Q264" s="30">
        <v>46080</v>
      </c>
      <c r="R264" s="30">
        <v>46080</v>
      </c>
      <c r="S264" s="3">
        <v>14</v>
      </c>
      <c r="T264" s="3" t="s">
        <v>55</v>
      </c>
      <c r="U264" s="3" t="s">
        <v>55</v>
      </c>
      <c r="V264" s="3" t="s">
        <v>55</v>
      </c>
      <c r="W264" s="3" t="s">
        <v>55</v>
      </c>
      <c r="X264" s="3" t="s">
        <v>55</v>
      </c>
      <c r="Y264" s="3" t="s">
        <v>55</v>
      </c>
      <c r="Z264" s="18" t="s">
        <v>55</v>
      </c>
      <c r="AA264" s="3">
        <v>3</v>
      </c>
      <c r="AB264" s="3">
        <v>3</v>
      </c>
      <c r="AC264" s="3">
        <v>0</v>
      </c>
      <c r="AD264" s="30">
        <v>46086</v>
      </c>
      <c r="AE264" s="28">
        <v>46090</v>
      </c>
      <c r="AF264" s="28">
        <v>46091</v>
      </c>
      <c r="AG264" s="28">
        <v>46106</v>
      </c>
      <c r="AH264" s="140">
        <v>46106</v>
      </c>
      <c r="AI264" s="33">
        <f t="shared" si="28"/>
        <v>3</v>
      </c>
      <c r="AJ264" s="87" t="s">
        <v>886</v>
      </c>
      <c r="AK264" s="35" t="s">
        <v>887</v>
      </c>
      <c r="AL264" s="19">
        <f t="shared" si="30"/>
        <v>1</v>
      </c>
      <c r="AM264" s="67">
        <f>IFERROR(NETWORKDAYS(D264,Q264,Hoja1!$A$1:$A$29),"N/A")</f>
        <v>3</v>
      </c>
      <c r="AN264" s="21">
        <f>IFERROR(NETWORKDAYS(D264,AE264,Hoja1!$A$1:$A$29),"N/A")</f>
        <v>9</v>
      </c>
      <c r="AO264" s="78">
        <v>0</v>
      </c>
      <c r="AP264" s="21">
        <f t="shared" si="31"/>
        <v>9</v>
      </c>
      <c r="AQ264" s="21">
        <f>IFERROR(NETWORKDAYS(AF264,AG264,Hoja1!$A$1:$A$29),"N/A")</f>
        <v>11</v>
      </c>
      <c r="AR264" s="78">
        <v>6</v>
      </c>
      <c r="AS264" s="75">
        <f t="shared" si="32"/>
        <v>5</v>
      </c>
      <c r="AT264" s="21">
        <f>IFERROR(NETWORKDAYS(D264,AG264,Hoja1!$A$1:$A$29),"N/A")</f>
        <v>20</v>
      </c>
      <c r="AU264" s="21">
        <f t="shared" si="27"/>
        <v>14</v>
      </c>
      <c r="AV264" s="143" t="s">
        <v>131</v>
      </c>
      <c r="AW264" s="143" t="s">
        <v>888</v>
      </c>
      <c r="AX264" s="114" t="s">
        <v>871</v>
      </c>
      <c r="AY264" s="114" t="s">
        <v>871</v>
      </c>
      <c r="AZ264" s="114"/>
      <c r="BA264" s="114"/>
      <c r="BB264" s="114"/>
    </row>
    <row r="265" spans="1:54" ht="15" customHeight="1" x14ac:dyDescent="0.25">
      <c r="A265" s="54">
        <v>15055</v>
      </c>
      <c r="B265" s="87" t="s">
        <v>79</v>
      </c>
      <c r="C265" s="87" t="s">
        <v>79</v>
      </c>
      <c r="D265" s="142">
        <v>46036</v>
      </c>
      <c r="E265" s="142">
        <v>45944</v>
      </c>
      <c r="F265" s="84" t="s">
        <v>62</v>
      </c>
      <c r="G265" s="48" t="s">
        <v>71</v>
      </c>
      <c r="H265" s="143" t="s">
        <v>51</v>
      </c>
      <c r="I265" s="27" t="s">
        <v>72</v>
      </c>
      <c r="J265" s="87" t="s">
        <v>73</v>
      </c>
      <c r="K265" s="87" t="s">
        <v>74</v>
      </c>
      <c r="L265" s="21">
        <v>1</v>
      </c>
      <c r="M265" s="87" t="s">
        <v>54</v>
      </c>
      <c r="N265" s="2" t="s">
        <v>55</v>
      </c>
      <c r="O265" s="3">
        <v>10</v>
      </c>
      <c r="P265" s="3" t="s">
        <v>56</v>
      </c>
      <c r="Q265" s="37">
        <v>46048</v>
      </c>
      <c r="R265" s="37">
        <v>46048</v>
      </c>
      <c r="S265" s="3">
        <v>10</v>
      </c>
      <c r="T265" s="18" t="s">
        <v>55</v>
      </c>
      <c r="U265" s="18" t="s">
        <v>55</v>
      </c>
      <c r="V265" s="18" t="s">
        <v>55</v>
      </c>
      <c r="W265" s="18" t="s">
        <v>55</v>
      </c>
      <c r="X265" s="18" t="s">
        <v>55</v>
      </c>
      <c r="Y265" s="18" t="s">
        <v>55</v>
      </c>
      <c r="Z265" s="18" t="s">
        <v>55</v>
      </c>
      <c r="AA265" s="3">
        <v>3</v>
      </c>
      <c r="AB265" s="3">
        <v>2</v>
      </c>
      <c r="AC265" s="3">
        <v>0</v>
      </c>
      <c r="AD265" s="28">
        <v>46073</v>
      </c>
      <c r="AE265" s="28">
        <v>46073</v>
      </c>
      <c r="AF265" s="28">
        <v>46073</v>
      </c>
      <c r="AG265" s="28">
        <v>46087</v>
      </c>
      <c r="AH265" s="28">
        <v>46090</v>
      </c>
      <c r="AI265" s="33">
        <f t="shared" si="28"/>
        <v>3</v>
      </c>
      <c r="AJ265" s="144" t="s">
        <v>889</v>
      </c>
      <c r="AK265" s="35" t="s">
        <v>1297</v>
      </c>
      <c r="AL265" s="19">
        <f t="shared" si="30"/>
        <v>1</v>
      </c>
      <c r="AM265" s="67">
        <f>IFERROR(NETWORKDAYS(D265,Q265,Hoja1!$A$1:$A$29),"N/A")</f>
        <v>9</v>
      </c>
      <c r="AN265" s="21">
        <f>IFERROR(NETWORKDAYS(D265,AE265,Hoja1!$A$1:$A$29),"N/A")</f>
        <v>28</v>
      </c>
      <c r="AO265" s="78">
        <v>13</v>
      </c>
      <c r="AP265" s="21">
        <f t="shared" si="31"/>
        <v>15</v>
      </c>
      <c r="AQ265" s="21">
        <f>IFERROR(NETWORKDAYS(AF265,AG265,Hoja1!$A$1:$A$29),"N/A")</f>
        <v>11</v>
      </c>
      <c r="AR265" s="78">
        <v>6</v>
      </c>
      <c r="AS265" s="75">
        <f t="shared" si="32"/>
        <v>5</v>
      </c>
      <c r="AT265" s="21">
        <f>IFERROR(NETWORKDAYS(D265,AG265,Hoja1!$A$1:$A$29),"N/A")</f>
        <v>38</v>
      </c>
      <c r="AU265" s="21">
        <f t="shared" si="27"/>
        <v>19</v>
      </c>
      <c r="AV265" s="143" t="s">
        <v>77</v>
      </c>
      <c r="AW265" s="49" t="s">
        <v>82</v>
      </c>
      <c r="AX265" s="87" t="s">
        <v>454</v>
      </c>
      <c r="AY265" s="87" t="s">
        <v>446</v>
      </c>
      <c r="AZ265" s="87"/>
      <c r="BA265" s="87"/>
      <c r="BB265" s="87"/>
    </row>
    <row r="266" spans="1:54" ht="15" customHeight="1" x14ac:dyDescent="0.25">
      <c r="A266" s="95">
        <v>15078</v>
      </c>
      <c r="B266" s="87" t="s">
        <v>69</v>
      </c>
      <c r="C266" s="114" t="s">
        <v>122</v>
      </c>
      <c r="D266" s="428">
        <v>45946</v>
      </c>
      <c r="E266" s="142">
        <v>45946</v>
      </c>
      <c r="F266" s="232" t="s">
        <v>62</v>
      </c>
      <c r="G266" s="84" t="s">
        <v>71</v>
      </c>
      <c r="H266" s="143" t="s">
        <v>51</v>
      </c>
      <c r="I266" s="27" t="s">
        <v>72</v>
      </c>
      <c r="J266" s="87" t="s">
        <v>73</v>
      </c>
      <c r="K266" s="84" t="s">
        <v>66</v>
      </c>
      <c r="L266" s="21">
        <v>1</v>
      </c>
      <c r="M266" s="87" t="s">
        <v>54</v>
      </c>
      <c r="N266" s="33" t="s">
        <v>55</v>
      </c>
      <c r="O266" s="33">
        <v>8</v>
      </c>
      <c r="P266" s="33" t="s">
        <v>56</v>
      </c>
      <c r="Q266" s="142">
        <v>45966</v>
      </c>
      <c r="R266" s="142">
        <v>45971</v>
      </c>
      <c r="S266" s="33">
        <v>8</v>
      </c>
      <c r="T266" s="33" t="s">
        <v>55</v>
      </c>
      <c r="U266" s="33" t="s">
        <v>55</v>
      </c>
      <c r="V266" s="33" t="s">
        <v>55</v>
      </c>
      <c r="W266" s="33" t="s">
        <v>55</v>
      </c>
      <c r="X266" s="33" t="s">
        <v>55</v>
      </c>
      <c r="Y266" s="33" t="s">
        <v>55</v>
      </c>
      <c r="Z266" s="33" t="s">
        <v>55</v>
      </c>
      <c r="AA266" s="33">
        <v>1</v>
      </c>
      <c r="AB266" s="33">
        <v>1</v>
      </c>
      <c r="AC266" s="33">
        <v>0</v>
      </c>
      <c r="AD266" s="28">
        <v>46073</v>
      </c>
      <c r="AE266" s="28">
        <v>46073</v>
      </c>
      <c r="AF266" s="28">
        <v>46073</v>
      </c>
      <c r="AG266" s="28">
        <v>46087</v>
      </c>
      <c r="AH266" s="16">
        <v>46090</v>
      </c>
      <c r="AI266" s="33">
        <f t="shared" si="28"/>
        <v>3</v>
      </c>
      <c r="AJ266" s="144" t="s">
        <v>890</v>
      </c>
      <c r="AK266" s="35" t="s">
        <v>1298</v>
      </c>
      <c r="AL266" s="19">
        <f t="shared" si="30"/>
        <v>1</v>
      </c>
      <c r="AM266" s="67">
        <f>IFERROR(NETWORKDAYS(D266,Q266,Hoja1!$A$1:$A$29),"N/A")</f>
        <v>14</v>
      </c>
      <c r="AN266" s="21">
        <f>IFERROR(NETWORKDAYS(D266,AE266,Hoja1!$A$1:$A$29),"N/A")</f>
        <v>86</v>
      </c>
      <c r="AO266" s="78">
        <v>54</v>
      </c>
      <c r="AP266" s="21">
        <f t="shared" si="31"/>
        <v>32</v>
      </c>
      <c r="AQ266" s="21">
        <f>IFERROR(NETWORKDAYS(AF266,AG266,Hoja1!$A$1:$A$29),"N/A")</f>
        <v>11</v>
      </c>
      <c r="AR266" s="78">
        <v>6</v>
      </c>
      <c r="AS266" s="75">
        <f t="shared" si="32"/>
        <v>5</v>
      </c>
      <c r="AT266" s="21">
        <f>IFERROR(NETWORKDAYS(D266,AG266,Hoja1!$A$1:$A$29),"N/A")</f>
        <v>96</v>
      </c>
      <c r="AU266" s="21">
        <f t="shared" si="27"/>
        <v>36</v>
      </c>
      <c r="AV266" s="143" t="s">
        <v>77</v>
      </c>
      <c r="AW266" s="143" t="s">
        <v>82</v>
      </c>
      <c r="AX266" s="114"/>
      <c r="AY266" s="114"/>
      <c r="AZ266" s="114"/>
      <c r="BA266" s="114"/>
      <c r="BB266" s="114"/>
    </row>
    <row r="267" spans="1:54" ht="15" customHeight="1" x14ac:dyDescent="0.25">
      <c r="A267" s="56">
        <v>15087</v>
      </c>
      <c r="B267" s="145" t="s">
        <v>169</v>
      </c>
      <c r="C267" s="145" t="s">
        <v>169</v>
      </c>
      <c r="D267" s="142">
        <v>46049</v>
      </c>
      <c r="E267" s="142">
        <v>45947</v>
      </c>
      <c r="F267" s="202" t="s">
        <v>879</v>
      </c>
      <c r="G267" s="48" t="s">
        <v>50</v>
      </c>
      <c r="H267" s="143" t="s">
        <v>51</v>
      </c>
      <c r="I267" s="111" t="s">
        <v>872</v>
      </c>
      <c r="J267" s="87" t="s">
        <v>105</v>
      </c>
      <c r="K267" s="48" t="s">
        <v>106</v>
      </c>
      <c r="L267" s="21">
        <v>1</v>
      </c>
      <c r="M267" s="87" t="s">
        <v>54</v>
      </c>
      <c r="N267" s="18" t="s">
        <v>55</v>
      </c>
      <c r="O267" s="3">
        <v>15</v>
      </c>
      <c r="P267" s="33" t="s">
        <v>56</v>
      </c>
      <c r="Q267" s="30">
        <v>46066</v>
      </c>
      <c r="R267" s="30">
        <v>46066</v>
      </c>
      <c r="S267" s="3">
        <v>10</v>
      </c>
      <c r="T267" s="18" t="s">
        <v>55</v>
      </c>
      <c r="U267" s="18" t="s">
        <v>55</v>
      </c>
      <c r="V267" s="18" t="s">
        <v>55</v>
      </c>
      <c r="W267" s="18" t="s">
        <v>55</v>
      </c>
      <c r="X267" s="18" t="s">
        <v>55</v>
      </c>
      <c r="Y267" s="18" t="s">
        <v>55</v>
      </c>
      <c r="Z267" s="18" t="s">
        <v>55</v>
      </c>
      <c r="AA267" s="3">
        <v>3</v>
      </c>
      <c r="AB267" s="3">
        <v>3</v>
      </c>
      <c r="AC267" s="3">
        <v>0</v>
      </c>
      <c r="AD267" s="30">
        <v>46073</v>
      </c>
      <c r="AE267" s="30">
        <v>46073</v>
      </c>
      <c r="AF267" s="30">
        <v>46073</v>
      </c>
      <c r="AG267" s="28">
        <v>46080</v>
      </c>
      <c r="AH267" s="37">
        <v>46083</v>
      </c>
      <c r="AI267" s="33">
        <f t="shared" si="28"/>
        <v>3</v>
      </c>
      <c r="AJ267" s="48" t="s">
        <v>891</v>
      </c>
      <c r="AK267" s="35" t="s">
        <v>1299</v>
      </c>
      <c r="AL267" s="19">
        <f t="shared" si="30"/>
        <v>0.66666666666666663</v>
      </c>
      <c r="AM267" s="67">
        <f>IFERROR(NETWORKDAYS(D267,Q267,Hoja1!$A$1:$A$29),"N/A")</f>
        <v>14</v>
      </c>
      <c r="AN267" s="21">
        <f>IFERROR(NETWORKDAYS(D267,AE267,Hoja1!$A$1:$A$29),"N/A")</f>
        <v>19</v>
      </c>
      <c r="AO267" s="78">
        <v>0</v>
      </c>
      <c r="AP267" s="21">
        <f t="shared" si="31"/>
        <v>19</v>
      </c>
      <c r="AQ267" s="21">
        <f>IFERROR(NETWORKDAYS(AF267,AG267,Hoja1!$A$1:$A$29),"N/A")</f>
        <v>6</v>
      </c>
      <c r="AR267" s="78">
        <v>1</v>
      </c>
      <c r="AS267" s="75">
        <f t="shared" si="32"/>
        <v>5</v>
      </c>
      <c r="AT267" s="21">
        <f>IFERROR(NETWORKDAYS(D267,AG267,Hoja1!$A$1:$A$29),"N/A")</f>
        <v>24</v>
      </c>
      <c r="AU267" s="21">
        <f t="shared" si="27"/>
        <v>23</v>
      </c>
      <c r="AV267" s="143" t="s">
        <v>59</v>
      </c>
      <c r="AW267" s="143" t="s">
        <v>1363</v>
      </c>
      <c r="AX267" s="87" t="s">
        <v>881</v>
      </c>
      <c r="AY267" s="87"/>
      <c r="AZ267" s="87"/>
      <c r="BA267" s="87"/>
      <c r="BB267" s="87"/>
    </row>
    <row r="268" spans="1:54" ht="15" customHeight="1" x14ac:dyDescent="0.25">
      <c r="A268" s="149">
        <v>15088</v>
      </c>
      <c r="B268" s="145" t="s">
        <v>169</v>
      </c>
      <c r="C268" s="145" t="s">
        <v>169</v>
      </c>
      <c r="D268" s="428">
        <v>45989</v>
      </c>
      <c r="E268" s="142">
        <v>45947</v>
      </c>
      <c r="F268" s="202" t="s">
        <v>879</v>
      </c>
      <c r="G268" s="84" t="s">
        <v>50</v>
      </c>
      <c r="H268" s="143" t="s">
        <v>51</v>
      </c>
      <c r="I268" s="111" t="s">
        <v>872</v>
      </c>
      <c r="J268" s="87" t="s">
        <v>105</v>
      </c>
      <c r="K268" s="84" t="s">
        <v>106</v>
      </c>
      <c r="L268" s="21">
        <v>1</v>
      </c>
      <c r="M268" s="84" t="s">
        <v>54</v>
      </c>
      <c r="N268" s="33" t="s">
        <v>55</v>
      </c>
      <c r="O268" s="33">
        <v>9</v>
      </c>
      <c r="P268" s="33" t="s">
        <v>56</v>
      </c>
      <c r="Q268" s="142">
        <v>46066</v>
      </c>
      <c r="R268" s="142">
        <v>46066</v>
      </c>
      <c r="S268" s="33">
        <v>9</v>
      </c>
      <c r="T268" s="33" t="s">
        <v>55</v>
      </c>
      <c r="U268" s="33" t="s">
        <v>55</v>
      </c>
      <c r="V268" s="33" t="s">
        <v>55</v>
      </c>
      <c r="W268" s="33" t="s">
        <v>55</v>
      </c>
      <c r="X268" s="33" t="s">
        <v>55</v>
      </c>
      <c r="Y268" s="33" t="s">
        <v>55</v>
      </c>
      <c r="Z268" s="18" t="s">
        <v>55</v>
      </c>
      <c r="AA268" s="33">
        <v>1</v>
      </c>
      <c r="AB268" s="33">
        <v>1</v>
      </c>
      <c r="AC268" s="33">
        <v>0</v>
      </c>
      <c r="AD268" s="28">
        <v>46074</v>
      </c>
      <c r="AE268" s="28">
        <v>46074</v>
      </c>
      <c r="AF268" s="28">
        <v>46074</v>
      </c>
      <c r="AG268" s="28">
        <v>46086</v>
      </c>
      <c r="AH268" s="28">
        <v>46093</v>
      </c>
      <c r="AI268" s="33">
        <f t="shared" si="28"/>
        <v>3</v>
      </c>
      <c r="AJ268" s="145" t="s">
        <v>892</v>
      </c>
      <c r="AK268" s="60" t="s">
        <v>1300</v>
      </c>
      <c r="AL268" s="19">
        <f t="shared" si="30"/>
        <v>1</v>
      </c>
      <c r="AM268" s="67">
        <f>IFERROR(NETWORKDAYS(D268,Q268,Hoja1!$A$1:$A$29),"N/A")</f>
        <v>52</v>
      </c>
      <c r="AN268" s="21">
        <f>IFERROR(NETWORKDAYS(D268,AE268,Hoja1!$A$1:$A$29),"N/A")</f>
        <v>57</v>
      </c>
      <c r="AO268" s="78">
        <v>10</v>
      </c>
      <c r="AP268" s="21">
        <f t="shared" si="31"/>
        <v>47</v>
      </c>
      <c r="AQ268" s="21">
        <f>IFERROR(NETWORKDAYS(AF268,AG268,Hoja1!$A$1:$A$29),"N/A")</f>
        <v>9</v>
      </c>
      <c r="AR268" s="78">
        <v>0</v>
      </c>
      <c r="AS268" s="75">
        <f t="shared" si="32"/>
        <v>9</v>
      </c>
      <c r="AT268" s="21">
        <f>IFERROR(NETWORKDAYS(D268,AG268,Hoja1!$A$1:$A$29),"N/A")</f>
        <v>66</v>
      </c>
      <c r="AU268" s="21">
        <f t="shared" si="27"/>
        <v>56</v>
      </c>
      <c r="AV268" s="143" t="s">
        <v>131</v>
      </c>
      <c r="AW268" s="143" t="s">
        <v>1364</v>
      </c>
      <c r="AX268" s="87"/>
      <c r="AY268" s="87"/>
      <c r="AZ268" s="87"/>
      <c r="BA268" s="87"/>
      <c r="BB268" s="87"/>
    </row>
    <row r="269" spans="1:54" ht="15" customHeight="1" x14ac:dyDescent="0.25">
      <c r="A269" s="54">
        <v>15104</v>
      </c>
      <c r="B269" s="87" t="s">
        <v>69</v>
      </c>
      <c r="C269" s="43" t="s">
        <v>98</v>
      </c>
      <c r="D269" s="142">
        <v>46077</v>
      </c>
      <c r="E269" s="142">
        <v>45952</v>
      </c>
      <c r="F269" s="202" t="s">
        <v>879</v>
      </c>
      <c r="G269" s="48" t="s">
        <v>50</v>
      </c>
      <c r="H269" s="143" t="s">
        <v>51</v>
      </c>
      <c r="I269" s="87" t="s">
        <v>885</v>
      </c>
      <c r="J269" s="84" t="s">
        <v>52</v>
      </c>
      <c r="K269" s="87" t="s">
        <v>53</v>
      </c>
      <c r="L269" s="21">
        <v>1</v>
      </c>
      <c r="M269" s="87" t="s">
        <v>54</v>
      </c>
      <c r="N269" s="3" t="s">
        <v>55</v>
      </c>
      <c r="O269" s="3">
        <v>29</v>
      </c>
      <c r="P269" s="33" t="s">
        <v>56</v>
      </c>
      <c r="Q269" s="30">
        <v>46081</v>
      </c>
      <c r="R269" s="30">
        <v>46081</v>
      </c>
      <c r="S269" s="3">
        <v>29</v>
      </c>
      <c r="T269" s="3" t="s">
        <v>55</v>
      </c>
      <c r="U269" s="3" t="s">
        <v>55</v>
      </c>
      <c r="V269" s="3" t="s">
        <v>55</v>
      </c>
      <c r="W269" s="3" t="s">
        <v>55</v>
      </c>
      <c r="X269" s="3" t="s">
        <v>55</v>
      </c>
      <c r="Y269" s="3" t="s">
        <v>55</v>
      </c>
      <c r="Z269" s="18" t="s">
        <v>55</v>
      </c>
      <c r="AA269" s="3">
        <v>8</v>
      </c>
      <c r="AB269" s="3">
        <v>8</v>
      </c>
      <c r="AC269" s="3">
        <v>0</v>
      </c>
      <c r="AD269" s="30">
        <v>46086</v>
      </c>
      <c r="AE269" s="28">
        <v>46087</v>
      </c>
      <c r="AF269" s="28">
        <v>46090</v>
      </c>
      <c r="AG269" s="28">
        <v>46100</v>
      </c>
      <c r="AH269" s="30">
        <v>46100</v>
      </c>
      <c r="AI269" s="33">
        <f t="shared" si="28"/>
        <v>3</v>
      </c>
      <c r="AJ269" s="87" t="s">
        <v>893</v>
      </c>
      <c r="AK269" s="35" t="s">
        <v>894</v>
      </c>
      <c r="AL269" s="19">
        <f t="shared" si="30"/>
        <v>1</v>
      </c>
      <c r="AM269" s="67">
        <f>IFERROR(NETWORKDAYS(D269,Q269,Hoja1!$A$1:$A$29),"N/A")</f>
        <v>4</v>
      </c>
      <c r="AN269" s="21">
        <f>IFERROR(NETWORKDAYS(D269,AE269,Hoja1!$A$1:$A$29),"N/A")</f>
        <v>9</v>
      </c>
      <c r="AO269" s="78">
        <v>0</v>
      </c>
      <c r="AP269" s="21">
        <f t="shared" si="31"/>
        <v>9</v>
      </c>
      <c r="AQ269" s="21">
        <f>IFERROR(NETWORKDAYS(AF269,AG269,Hoja1!$A$1:$A$29),"N/A")</f>
        <v>9</v>
      </c>
      <c r="AR269" s="78">
        <v>4</v>
      </c>
      <c r="AS269" s="75">
        <f t="shared" si="32"/>
        <v>5</v>
      </c>
      <c r="AT269" s="21">
        <f>IFERROR(NETWORKDAYS(D269,AG269,Hoja1!$A$1:$A$29),"N/A")</f>
        <v>18</v>
      </c>
      <c r="AU269" s="21">
        <f t="shared" si="27"/>
        <v>14</v>
      </c>
      <c r="AV269" s="143" t="s">
        <v>59</v>
      </c>
      <c r="AW269" s="143" t="s">
        <v>895</v>
      </c>
      <c r="AX269" s="87" t="s">
        <v>445</v>
      </c>
      <c r="AY269" s="87" t="s">
        <v>871</v>
      </c>
      <c r="AZ269" s="87" t="s">
        <v>445</v>
      </c>
      <c r="BA269" s="87" t="s">
        <v>445</v>
      </c>
      <c r="BB269" s="114" t="s">
        <v>871</v>
      </c>
    </row>
    <row r="270" spans="1:54" ht="15" customHeight="1" x14ac:dyDescent="0.25">
      <c r="A270" s="55">
        <v>15113</v>
      </c>
      <c r="B270" s="87" t="s">
        <v>69</v>
      </c>
      <c r="C270" s="43" t="s">
        <v>98</v>
      </c>
      <c r="D270" s="428">
        <v>45966</v>
      </c>
      <c r="E270" s="142">
        <v>45966</v>
      </c>
      <c r="F270" s="232" t="s">
        <v>90</v>
      </c>
      <c r="G270" s="48" t="s">
        <v>896</v>
      </c>
      <c r="H270" s="143" t="s">
        <v>271</v>
      </c>
      <c r="I270" s="111" t="s">
        <v>897</v>
      </c>
      <c r="J270" s="84" t="s">
        <v>52</v>
      </c>
      <c r="K270" s="84" t="s">
        <v>111</v>
      </c>
      <c r="L270" s="21">
        <v>1</v>
      </c>
      <c r="M270" s="87" t="s">
        <v>54</v>
      </c>
      <c r="N270" s="3" t="s">
        <v>55</v>
      </c>
      <c r="O270" s="3">
        <v>3</v>
      </c>
      <c r="P270" s="33" t="s">
        <v>56</v>
      </c>
      <c r="Q270" s="3" t="s">
        <v>55</v>
      </c>
      <c r="R270" s="3" t="s">
        <v>55</v>
      </c>
      <c r="S270" s="3">
        <v>3</v>
      </c>
      <c r="T270" s="3" t="s">
        <v>55</v>
      </c>
      <c r="U270" s="3" t="s">
        <v>55</v>
      </c>
      <c r="V270" s="3" t="s">
        <v>55</v>
      </c>
      <c r="W270" s="3" t="s">
        <v>55</v>
      </c>
      <c r="X270" s="3" t="s">
        <v>55</v>
      </c>
      <c r="Y270" s="3" t="s">
        <v>55</v>
      </c>
      <c r="Z270" s="3" t="s">
        <v>55</v>
      </c>
      <c r="AA270" s="2">
        <v>0</v>
      </c>
      <c r="AB270" s="2">
        <v>0</v>
      </c>
      <c r="AC270" s="3">
        <v>0</v>
      </c>
      <c r="AD270" s="28" t="s">
        <v>55</v>
      </c>
      <c r="AE270" s="28" t="s">
        <v>55</v>
      </c>
      <c r="AF270" s="28">
        <v>46078</v>
      </c>
      <c r="AG270" s="28">
        <v>46084</v>
      </c>
      <c r="AH270" s="140">
        <v>46085</v>
      </c>
      <c r="AI270" s="33">
        <v>3</v>
      </c>
      <c r="AJ270" s="144" t="s">
        <v>898</v>
      </c>
      <c r="AK270" s="146" t="s">
        <v>1301</v>
      </c>
      <c r="AL270" s="19">
        <f t="shared" si="30"/>
        <v>1</v>
      </c>
      <c r="AM270" s="67" t="str">
        <f>IFERROR(NETWORKDAYS(D270,Q270,Hoja1!$A$1:$A$29),"N/A")</f>
        <v>N/A</v>
      </c>
      <c r="AN270" s="21" t="str">
        <f>IFERROR(NETWORKDAYS(D270,AE270,Hoja1!$A$1:$A$29),"N/A")</f>
        <v>N/A</v>
      </c>
      <c r="AO270" s="272">
        <v>0</v>
      </c>
      <c r="AP270" s="19" t="s">
        <v>82</v>
      </c>
      <c r="AQ270" s="21">
        <f>IFERROR(NETWORKDAYS(AF270,AG270,Hoja1!$A$1:$A$29),"N/A")</f>
        <v>5</v>
      </c>
      <c r="AR270" s="78">
        <v>0</v>
      </c>
      <c r="AS270" s="75">
        <f t="shared" si="32"/>
        <v>5</v>
      </c>
      <c r="AT270" s="21">
        <f>IFERROR(NETWORKDAYS(D270,AG270,Hoja1!$A$1:$A$29),"N/A")</f>
        <v>80</v>
      </c>
      <c r="AU270" s="21">
        <f t="shared" si="27"/>
        <v>80</v>
      </c>
      <c r="AV270" s="143" t="s">
        <v>104</v>
      </c>
      <c r="AW270" s="143" t="s">
        <v>191</v>
      </c>
      <c r="AX270" s="111"/>
      <c r="AY270" s="111"/>
      <c r="AZ270" s="111"/>
      <c r="BA270" s="111"/>
      <c r="BB270" s="111"/>
    </row>
    <row r="271" spans="1:54" ht="15" customHeight="1" x14ac:dyDescent="0.25">
      <c r="A271" s="54">
        <v>15189</v>
      </c>
      <c r="B271" s="87" t="s">
        <v>79</v>
      </c>
      <c r="C271" s="87" t="s">
        <v>79</v>
      </c>
      <c r="D271" s="142">
        <v>46048</v>
      </c>
      <c r="E271" s="142">
        <v>45965</v>
      </c>
      <c r="F271" s="84" t="s">
        <v>62</v>
      </c>
      <c r="G271" s="87" t="s">
        <v>80</v>
      </c>
      <c r="H271" s="143" t="s">
        <v>51</v>
      </c>
      <c r="I271" s="152" t="s">
        <v>899</v>
      </c>
      <c r="J271" s="84" t="s">
        <v>52</v>
      </c>
      <c r="K271" s="87" t="s">
        <v>74</v>
      </c>
      <c r="L271" s="21">
        <v>1</v>
      </c>
      <c r="M271" s="87" t="s">
        <v>54</v>
      </c>
      <c r="N271" s="2" t="s">
        <v>55</v>
      </c>
      <c r="O271" s="3">
        <v>6</v>
      </c>
      <c r="P271" s="33" t="s">
        <v>56</v>
      </c>
      <c r="Q271" s="30">
        <v>46059</v>
      </c>
      <c r="R271" s="30">
        <v>46065</v>
      </c>
      <c r="S271" s="3">
        <v>6</v>
      </c>
      <c r="T271" s="18" t="s">
        <v>55</v>
      </c>
      <c r="U271" s="18" t="s">
        <v>55</v>
      </c>
      <c r="V271" s="18" t="s">
        <v>55</v>
      </c>
      <c r="W271" s="18" t="s">
        <v>55</v>
      </c>
      <c r="X271" s="18" t="s">
        <v>55</v>
      </c>
      <c r="Y271" s="18" t="s">
        <v>55</v>
      </c>
      <c r="Z271" s="18" t="s">
        <v>55</v>
      </c>
      <c r="AA271" s="3">
        <v>4</v>
      </c>
      <c r="AB271" s="3">
        <v>3</v>
      </c>
      <c r="AC271" s="3">
        <v>0</v>
      </c>
      <c r="AD271" s="28">
        <v>46073</v>
      </c>
      <c r="AE271" s="28">
        <v>46073</v>
      </c>
      <c r="AF271" s="28">
        <v>46076</v>
      </c>
      <c r="AG271" s="28">
        <v>46080</v>
      </c>
      <c r="AH271" s="38">
        <v>46083</v>
      </c>
      <c r="AI271" s="33">
        <f>MONTH(AH271)</f>
        <v>3</v>
      </c>
      <c r="AJ271" s="144" t="s">
        <v>900</v>
      </c>
      <c r="AK271" s="35" t="s">
        <v>1302</v>
      </c>
      <c r="AL271" s="19">
        <f t="shared" si="30"/>
        <v>1</v>
      </c>
      <c r="AM271" s="67">
        <f>IFERROR(NETWORKDAYS(D271,Q271,Hoja1!$A$1:$A$29),"N/A")</f>
        <v>10</v>
      </c>
      <c r="AN271" s="21">
        <f>IFERROR(NETWORKDAYS(D271,AE271,Hoja1!$A$1:$A$29),"N/A")</f>
        <v>20</v>
      </c>
      <c r="AO271" s="78">
        <v>5</v>
      </c>
      <c r="AP271" s="21">
        <f t="shared" ref="AP271:AP299" si="33">AN271-AO271</f>
        <v>15</v>
      </c>
      <c r="AQ271" s="21">
        <f>IFERROR(NETWORKDAYS(AF271,AG271,Hoja1!$A$1:$A$29),"N/A")</f>
        <v>5</v>
      </c>
      <c r="AR271" s="78">
        <v>0</v>
      </c>
      <c r="AS271" s="75">
        <f t="shared" si="32"/>
        <v>5</v>
      </c>
      <c r="AT271" s="21">
        <f>IFERROR(NETWORKDAYS(D271,AG271,Hoja1!$A$1:$A$29),"N/A")</f>
        <v>25</v>
      </c>
      <c r="AU271" s="21">
        <f t="shared" si="27"/>
        <v>20</v>
      </c>
      <c r="AV271" s="143" t="s">
        <v>59</v>
      </c>
      <c r="AW271" s="143" t="s">
        <v>901</v>
      </c>
      <c r="AX271" s="87" t="s">
        <v>871</v>
      </c>
      <c r="AY271" s="87" t="s">
        <v>871</v>
      </c>
      <c r="AZ271" s="87"/>
      <c r="BA271" s="87"/>
      <c r="BB271" s="87"/>
    </row>
    <row r="272" spans="1:54" ht="15" customHeight="1" x14ac:dyDescent="0.25">
      <c r="A272" s="149">
        <v>15223</v>
      </c>
      <c r="B272" s="145" t="s">
        <v>169</v>
      </c>
      <c r="C272" s="145" t="s">
        <v>169</v>
      </c>
      <c r="D272" s="428">
        <v>46048</v>
      </c>
      <c r="E272" s="142">
        <v>45967</v>
      </c>
      <c r="F272" s="232" t="s">
        <v>62</v>
      </c>
      <c r="G272" s="84" t="s">
        <v>80</v>
      </c>
      <c r="H272" s="143" t="s">
        <v>101</v>
      </c>
      <c r="I272" s="111" t="s">
        <v>872</v>
      </c>
      <c r="J272" s="87" t="s">
        <v>105</v>
      </c>
      <c r="K272" s="84" t="s">
        <v>86</v>
      </c>
      <c r="L272" s="21">
        <v>1</v>
      </c>
      <c r="M272" s="87" t="s">
        <v>54</v>
      </c>
      <c r="N272" s="33" t="s">
        <v>55</v>
      </c>
      <c r="O272" s="33">
        <v>0</v>
      </c>
      <c r="P272" s="33"/>
      <c r="Q272" s="142" t="s">
        <v>55</v>
      </c>
      <c r="R272" s="142" t="s">
        <v>55</v>
      </c>
      <c r="S272" s="33">
        <v>0</v>
      </c>
      <c r="T272" s="33" t="s">
        <v>55</v>
      </c>
      <c r="U272" s="33" t="s">
        <v>55</v>
      </c>
      <c r="V272" s="33" t="s">
        <v>55</v>
      </c>
      <c r="W272" s="33" t="s">
        <v>55</v>
      </c>
      <c r="X272" s="33" t="s">
        <v>55</v>
      </c>
      <c r="Y272" s="33" t="s">
        <v>55</v>
      </c>
      <c r="Z272" s="33" t="s">
        <v>55</v>
      </c>
      <c r="AA272" s="33">
        <v>2</v>
      </c>
      <c r="AB272" s="33">
        <v>2</v>
      </c>
      <c r="AC272" s="33">
        <v>0</v>
      </c>
      <c r="AD272" s="28">
        <v>46052</v>
      </c>
      <c r="AE272" s="28">
        <v>46071</v>
      </c>
      <c r="AF272" s="28">
        <v>46072</v>
      </c>
      <c r="AG272" s="28">
        <v>46080</v>
      </c>
      <c r="AH272" s="38">
        <v>46083</v>
      </c>
      <c r="AI272" s="33">
        <f>MONTH(AH272)</f>
        <v>3</v>
      </c>
      <c r="AJ272" s="144" t="s">
        <v>902</v>
      </c>
      <c r="AK272" s="35" t="s">
        <v>1303</v>
      </c>
      <c r="AL272" s="19" t="str">
        <f t="shared" si="30"/>
        <v>N/A</v>
      </c>
      <c r="AM272" s="67" t="str">
        <f>IFERROR(NETWORKDAYS(D272,Q272,Hoja1!$A$1:$A$29),"N/A")</f>
        <v>N/A</v>
      </c>
      <c r="AN272" s="21">
        <f>IFERROR(NETWORKDAYS(D272,AE272,Hoja1!$A$1:$A$29),"N/A")</f>
        <v>18</v>
      </c>
      <c r="AO272" s="78">
        <v>13</v>
      </c>
      <c r="AP272" s="21">
        <f t="shared" si="33"/>
        <v>5</v>
      </c>
      <c r="AQ272" s="21">
        <f>IFERROR(NETWORKDAYS(AF272,AG272,Hoja1!$A$1:$A$29),"N/A")</f>
        <v>7</v>
      </c>
      <c r="AR272" s="78">
        <v>2</v>
      </c>
      <c r="AS272" s="75">
        <f t="shared" si="32"/>
        <v>5</v>
      </c>
      <c r="AT272" s="21">
        <f>IFERROR(NETWORKDAYS(D272,AG272,Hoja1!$A$1:$A$29),"N/A")</f>
        <v>25</v>
      </c>
      <c r="AU272" s="21">
        <f t="shared" si="27"/>
        <v>10</v>
      </c>
      <c r="AV272" s="143" t="s">
        <v>104</v>
      </c>
      <c r="AW272" s="143" t="s">
        <v>903</v>
      </c>
      <c r="AX272" s="87" t="s">
        <v>871</v>
      </c>
      <c r="AY272" s="87" t="s">
        <v>871</v>
      </c>
      <c r="AZ272" s="87"/>
      <c r="BA272" s="87"/>
      <c r="BB272" s="87"/>
    </row>
    <row r="273" spans="1:54" ht="15" customHeight="1" x14ac:dyDescent="0.25">
      <c r="A273" s="54">
        <v>15310</v>
      </c>
      <c r="B273" s="87" t="s">
        <v>79</v>
      </c>
      <c r="C273" s="87" t="s">
        <v>79</v>
      </c>
      <c r="D273" s="142">
        <v>45974</v>
      </c>
      <c r="E273" s="142">
        <v>45974</v>
      </c>
      <c r="F273" s="84" t="s">
        <v>62</v>
      </c>
      <c r="G273" s="48" t="s">
        <v>71</v>
      </c>
      <c r="H273" s="87" t="s">
        <v>116</v>
      </c>
      <c r="I273" s="87" t="s">
        <v>904</v>
      </c>
      <c r="J273" s="87" t="s">
        <v>142</v>
      </c>
      <c r="K273" s="87" t="s">
        <v>74</v>
      </c>
      <c r="L273" s="21">
        <v>1</v>
      </c>
      <c r="M273" s="87" t="s">
        <v>54</v>
      </c>
      <c r="N273" s="18" t="s">
        <v>55</v>
      </c>
      <c r="O273" s="3">
        <v>3</v>
      </c>
      <c r="P273" s="3" t="s">
        <v>112</v>
      </c>
      <c r="Q273" s="30">
        <v>45986</v>
      </c>
      <c r="R273" s="30">
        <v>46006</v>
      </c>
      <c r="S273" s="3">
        <v>3</v>
      </c>
      <c r="T273" s="142">
        <v>45974</v>
      </c>
      <c r="U273" s="37">
        <v>45975</v>
      </c>
      <c r="V273" s="37">
        <v>45985</v>
      </c>
      <c r="W273" s="18" t="s">
        <v>55</v>
      </c>
      <c r="X273" s="18" t="s">
        <v>55</v>
      </c>
      <c r="Y273" s="18" t="s">
        <v>55</v>
      </c>
      <c r="Z273" s="37">
        <v>46024</v>
      </c>
      <c r="AA273" s="3">
        <v>2</v>
      </c>
      <c r="AB273" s="3">
        <v>1</v>
      </c>
      <c r="AC273" s="3">
        <v>0</v>
      </c>
      <c r="AD273" s="28">
        <v>46029</v>
      </c>
      <c r="AE273" s="28">
        <v>46050</v>
      </c>
      <c r="AF273" s="28">
        <v>46052</v>
      </c>
      <c r="AG273" s="28">
        <v>46079</v>
      </c>
      <c r="AH273" s="28">
        <v>46083</v>
      </c>
      <c r="AI273" s="3">
        <v>3</v>
      </c>
      <c r="AJ273" s="144" t="s">
        <v>905</v>
      </c>
      <c r="AK273" s="35" t="s">
        <v>1304</v>
      </c>
      <c r="AL273" s="19">
        <f t="shared" si="30"/>
        <v>1</v>
      </c>
      <c r="AM273" s="67">
        <f>IFERROR(NETWORKDAYS(D273,Q273,Hoja1!$A$1:$A$29),"N/A")</f>
        <v>8</v>
      </c>
      <c r="AN273" s="21">
        <f>IFERROR(NETWORKDAYS(D273,AE273,Hoja1!$A$1:$A$29),"N/A")</f>
        <v>50</v>
      </c>
      <c r="AO273" s="78">
        <v>27</v>
      </c>
      <c r="AP273" s="21">
        <f t="shared" si="33"/>
        <v>23</v>
      </c>
      <c r="AQ273" s="21">
        <f>IFERROR(NETWORKDAYS(AF273,AG273,Hoja1!$A$1:$A$29),"N/A")</f>
        <v>20</v>
      </c>
      <c r="AR273" s="78">
        <v>15</v>
      </c>
      <c r="AS273" s="75">
        <f t="shared" si="32"/>
        <v>5</v>
      </c>
      <c r="AT273" s="21">
        <f>IFERROR(NETWORKDAYS(D273,AG273,Hoja1!$A$1:$A$29),"N/A")</f>
        <v>71</v>
      </c>
      <c r="AU273" s="21">
        <f t="shared" si="27"/>
        <v>29</v>
      </c>
      <c r="AV273" s="143" t="s">
        <v>145</v>
      </c>
      <c r="AW273" s="143" t="s">
        <v>79</v>
      </c>
      <c r="AX273" s="87"/>
      <c r="AY273" s="87"/>
      <c r="AZ273" s="87"/>
      <c r="BA273" s="87"/>
      <c r="BB273" s="87"/>
    </row>
    <row r="274" spans="1:54" ht="15" customHeight="1" x14ac:dyDescent="0.25">
      <c r="A274" s="56">
        <v>15329</v>
      </c>
      <c r="B274" s="145" t="s">
        <v>169</v>
      </c>
      <c r="C274" s="145" t="s">
        <v>169</v>
      </c>
      <c r="D274" s="428">
        <v>45980</v>
      </c>
      <c r="E274" s="142">
        <v>45980</v>
      </c>
      <c r="F274" s="202" t="s">
        <v>879</v>
      </c>
      <c r="G274" s="48" t="s">
        <v>50</v>
      </c>
      <c r="H274" s="143" t="s">
        <v>51</v>
      </c>
      <c r="I274" s="111" t="s">
        <v>872</v>
      </c>
      <c r="J274" s="87" t="s">
        <v>105</v>
      </c>
      <c r="K274" s="48" t="s">
        <v>106</v>
      </c>
      <c r="L274" s="21">
        <v>1</v>
      </c>
      <c r="M274" s="87" t="s">
        <v>54</v>
      </c>
      <c r="N274" s="18" t="s">
        <v>55</v>
      </c>
      <c r="O274" s="3">
        <v>9</v>
      </c>
      <c r="P274" s="3" t="s">
        <v>112</v>
      </c>
      <c r="Q274" s="30">
        <v>46065</v>
      </c>
      <c r="R274" s="30">
        <v>46065</v>
      </c>
      <c r="S274" s="3">
        <v>9</v>
      </c>
      <c r="T274" s="18" t="s">
        <v>55</v>
      </c>
      <c r="U274" s="18" t="s">
        <v>55</v>
      </c>
      <c r="V274" s="18" t="s">
        <v>55</v>
      </c>
      <c r="W274" s="18" t="s">
        <v>55</v>
      </c>
      <c r="X274" s="18" t="s">
        <v>55</v>
      </c>
      <c r="Y274" s="18" t="s">
        <v>55</v>
      </c>
      <c r="Z274" s="18" t="s">
        <v>55</v>
      </c>
      <c r="AA274" s="3">
        <v>1</v>
      </c>
      <c r="AB274" s="3">
        <v>1</v>
      </c>
      <c r="AC274" s="3">
        <v>0</v>
      </c>
      <c r="AD274" s="30">
        <v>46073</v>
      </c>
      <c r="AE274" s="30">
        <v>46073</v>
      </c>
      <c r="AF274" s="30">
        <v>46073</v>
      </c>
      <c r="AG274" s="28">
        <v>46080</v>
      </c>
      <c r="AH274" s="37">
        <v>46083</v>
      </c>
      <c r="AI274" s="33">
        <f t="shared" ref="AI274:AI293" si="34">MONTH(AH274)</f>
        <v>3</v>
      </c>
      <c r="AJ274" s="48" t="s">
        <v>906</v>
      </c>
      <c r="AK274" s="35" t="s">
        <v>1305</v>
      </c>
      <c r="AL274" s="19">
        <f t="shared" si="30"/>
        <v>1</v>
      </c>
      <c r="AM274" s="67">
        <f>IFERROR(NETWORKDAYS(D274,Q274,Hoja1!$A$1:$A$29),"N/A")</f>
        <v>58</v>
      </c>
      <c r="AN274" s="21">
        <f>IFERROR(NETWORKDAYS(D274,AE274,Hoja1!$A$1:$A$29),"N/A")</f>
        <v>64</v>
      </c>
      <c r="AO274" s="78">
        <v>0</v>
      </c>
      <c r="AP274" s="21">
        <f t="shared" si="33"/>
        <v>64</v>
      </c>
      <c r="AQ274" s="21">
        <f>IFERROR(NETWORKDAYS(AF274,AG274,Hoja1!$A$1:$A$29),"N/A")</f>
        <v>6</v>
      </c>
      <c r="AR274" s="78">
        <v>0</v>
      </c>
      <c r="AS274" s="75">
        <f t="shared" si="32"/>
        <v>6</v>
      </c>
      <c r="AT274" s="21">
        <f>IFERROR(NETWORKDAYS(D274,AG274,Hoja1!$A$1:$A$29),"N/A")</f>
        <v>69</v>
      </c>
      <c r="AU274" s="21">
        <f t="shared" si="27"/>
        <v>69</v>
      </c>
      <c r="AV274" s="143" t="s">
        <v>59</v>
      </c>
      <c r="AW274" s="143" t="s">
        <v>693</v>
      </c>
      <c r="AX274" s="87"/>
      <c r="AY274" s="87"/>
      <c r="AZ274" s="87"/>
      <c r="BA274" s="87"/>
      <c r="BB274" s="87"/>
    </row>
    <row r="275" spans="1:54" ht="15" customHeight="1" x14ac:dyDescent="0.25">
      <c r="A275" s="56">
        <v>15330</v>
      </c>
      <c r="B275" s="145" t="s">
        <v>169</v>
      </c>
      <c r="C275" s="145" t="s">
        <v>169</v>
      </c>
      <c r="D275" s="142">
        <v>46064</v>
      </c>
      <c r="E275" s="142">
        <v>45980</v>
      </c>
      <c r="F275" s="202" t="s">
        <v>879</v>
      </c>
      <c r="G275" s="48" t="s">
        <v>50</v>
      </c>
      <c r="H275" s="143" t="s">
        <v>51</v>
      </c>
      <c r="I275" s="145" t="s">
        <v>487</v>
      </c>
      <c r="J275" s="87" t="s">
        <v>105</v>
      </c>
      <c r="K275" s="48" t="s">
        <v>106</v>
      </c>
      <c r="L275" s="21">
        <v>1</v>
      </c>
      <c r="M275" s="87" t="s">
        <v>54</v>
      </c>
      <c r="N275" s="18" t="s">
        <v>55</v>
      </c>
      <c r="O275" s="3">
        <v>9</v>
      </c>
      <c r="P275" s="33" t="s">
        <v>56</v>
      </c>
      <c r="Q275" s="30">
        <v>46069</v>
      </c>
      <c r="R275" s="30">
        <v>46069</v>
      </c>
      <c r="S275" s="3">
        <v>9</v>
      </c>
      <c r="T275" s="18" t="s">
        <v>55</v>
      </c>
      <c r="U275" s="18" t="s">
        <v>55</v>
      </c>
      <c r="V275" s="18" t="s">
        <v>55</v>
      </c>
      <c r="W275" s="18" t="s">
        <v>55</v>
      </c>
      <c r="X275" s="18" t="s">
        <v>55</v>
      </c>
      <c r="Y275" s="18" t="s">
        <v>55</v>
      </c>
      <c r="Z275" s="18" t="s">
        <v>55</v>
      </c>
      <c r="AA275" s="3">
        <v>2</v>
      </c>
      <c r="AB275" s="3">
        <v>2</v>
      </c>
      <c r="AC275" s="3">
        <v>0</v>
      </c>
      <c r="AD275" s="30">
        <v>46072</v>
      </c>
      <c r="AE275" s="30">
        <v>46072</v>
      </c>
      <c r="AF275" s="28">
        <v>46072</v>
      </c>
      <c r="AG275" s="28">
        <v>46080</v>
      </c>
      <c r="AH275" s="37">
        <v>46083</v>
      </c>
      <c r="AI275" s="33">
        <f t="shared" si="34"/>
        <v>3</v>
      </c>
      <c r="AJ275" s="48" t="s">
        <v>907</v>
      </c>
      <c r="AK275" s="35" t="s">
        <v>1306</v>
      </c>
      <c r="AL275" s="19">
        <f t="shared" si="30"/>
        <v>1</v>
      </c>
      <c r="AM275" s="67">
        <f>IFERROR(NETWORKDAYS(D275,Q275,Hoja1!$A$1:$A$29),"N/A")</f>
        <v>4</v>
      </c>
      <c r="AN275" s="21">
        <f>IFERROR(NETWORKDAYS(D275,AE275,Hoja1!$A$1:$A$29),"N/A")</f>
        <v>7</v>
      </c>
      <c r="AO275" s="78">
        <v>0</v>
      </c>
      <c r="AP275" s="21">
        <f t="shared" si="33"/>
        <v>7</v>
      </c>
      <c r="AQ275" s="21">
        <f>IFERROR(NETWORKDAYS(AF275,AG275,Hoja1!$A$1:$A$29),"N/A")</f>
        <v>7</v>
      </c>
      <c r="AR275" s="78">
        <v>2</v>
      </c>
      <c r="AS275" s="75">
        <f t="shared" si="32"/>
        <v>5</v>
      </c>
      <c r="AT275" s="21">
        <f>IFERROR(NETWORKDAYS(D275,AG275,Hoja1!$A$1:$A$29),"N/A")</f>
        <v>13</v>
      </c>
      <c r="AU275" s="21">
        <f t="shared" si="27"/>
        <v>11</v>
      </c>
      <c r="AV275" s="143" t="s">
        <v>59</v>
      </c>
      <c r="AW275" s="143" t="s">
        <v>1365</v>
      </c>
      <c r="AX275" s="87" t="s">
        <v>871</v>
      </c>
      <c r="AY275" s="87"/>
      <c r="AZ275" s="87"/>
      <c r="BA275" s="87"/>
      <c r="BB275" s="87"/>
    </row>
    <row r="276" spans="1:54" ht="15" customHeight="1" x14ac:dyDescent="0.25">
      <c r="A276" s="54">
        <v>15405</v>
      </c>
      <c r="B276" s="48" t="s">
        <v>49</v>
      </c>
      <c r="C276" s="48" t="s">
        <v>49</v>
      </c>
      <c r="D276" s="428">
        <v>46020</v>
      </c>
      <c r="E276" s="142">
        <v>45989</v>
      </c>
      <c r="F276" s="202" t="s">
        <v>879</v>
      </c>
      <c r="G276" s="48" t="s">
        <v>50</v>
      </c>
      <c r="H276" s="143" t="s">
        <v>51</v>
      </c>
      <c r="I276" s="111" t="s">
        <v>882</v>
      </c>
      <c r="J276" s="84" t="s">
        <v>52</v>
      </c>
      <c r="K276" s="87" t="s">
        <v>53</v>
      </c>
      <c r="L276" s="21">
        <v>1</v>
      </c>
      <c r="M276" s="87" t="s">
        <v>54</v>
      </c>
      <c r="N276" s="3" t="s">
        <v>55</v>
      </c>
      <c r="O276" s="3">
        <v>9</v>
      </c>
      <c r="P276" s="33" t="s">
        <v>56</v>
      </c>
      <c r="Q276" s="30">
        <v>46066</v>
      </c>
      <c r="R276" s="30">
        <v>46066</v>
      </c>
      <c r="S276" s="3">
        <v>9</v>
      </c>
      <c r="T276" s="3" t="s">
        <v>55</v>
      </c>
      <c r="U276" s="3" t="s">
        <v>55</v>
      </c>
      <c r="V276" s="3" t="s">
        <v>55</v>
      </c>
      <c r="W276" s="3" t="s">
        <v>55</v>
      </c>
      <c r="X276" s="3" t="s">
        <v>55</v>
      </c>
      <c r="Y276" s="3" t="s">
        <v>55</v>
      </c>
      <c r="Z276" s="18" t="s">
        <v>55</v>
      </c>
      <c r="AA276" s="3">
        <v>4</v>
      </c>
      <c r="AB276" s="3">
        <v>2</v>
      </c>
      <c r="AC276" s="3">
        <v>0</v>
      </c>
      <c r="AD276" s="30">
        <v>46071</v>
      </c>
      <c r="AE276" s="28">
        <v>46071</v>
      </c>
      <c r="AF276" s="28">
        <v>46072</v>
      </c>
      <c r="AG276" s="28">
        <v>46083</v>
      </c>
      <c r="AH276" s="37">
        <v>46083</v>
      </c>
      <c r="AI276" s="33">
        <f t="shared" si="34"/>
        <v>3</v>
      </c>
      <c r="AJ276" s="87" t="s">
        <v>908</v>
      </c>
      <c r="AK276" s="35" t="s">
        <v>1307</v>
      </c>
      <c r="AL276" s="19">
        <f t="shared" si="30"/>
        <v>1</v>
      </c>
      <c r="AM276" s="67">
        <f>IFERROR(NETWORKDAYS(D276,Q276,Hoja1!$A$1:$A$29),"N/A")</f>
        <v>33</v>
      </c>
      <c r="AN276" s="21">
        <f>IFERROR(NETWORKDAYS(D276,AE276,Hoja1!$A$1:$A$29),"N/A")</f>
        <v>36</v>
      </c>
      <c r="AO276" s="78">
        <v>3</v>
      </c>
      <c r="AP276" s="21">
        <f t="shared" si="33"/>
        <v>33</v>
      </c>
      <c r="AQ276" s="21">
        <f>IFERROR(NETWORKDAYS(AF276,AG276,Hoja1!$A$1:$A$29),"N/A")</f>
        <v>8</v>
      </c>
      <c r="AR276" s="78">
        <v>3</v>
      </c>
      <c r="AS276" s="75">
        <f t="shared" si="32"/>
        <v>5</v>
      </c>
      <c r="AT276" s="21">
        <f>IFERROR(NETWORKDAYS(D276,AG276,Hoja1!$A$1:$A$29),"N/A")</f>
        <v>44</v>
      </c>
      <c r="AU276" s="21">
        <f t="shared" si="27"/>
        <v>38</v>
      </c>
      <c r="AV276" s="143" t="s">
        <v>127</v>
      </c>
      <c r="AW276" s="143" t="s">
        <v>909</v>
      </c>
      <c r="AX276" s="87" t="s">
        <v>445</v>
      </c>
      <c r="AY276" s="87" t="s">
        <v>446</v>
      </c>
      <c r="AZ276" s="87"/>
      <c r="BA276" s="87"/>
      <c r="BB276" s="87"/>
    </row>
    <row r="277" spans="1:54" ht="15" customHeight="1" x14ac:dyDescent="0.25">
      <c r="A277" s="55">
        <v>15431</v>
      </c>
      <c r="B277" s="87" t="s">
        <v>69</v>
      </c>
      <c r="C277" s="43" t="s">
        <v>98</v>
      </c>
      <c r="D277" s="142">
        <v>45994</v>
      </c>
      <c r="E277" s="142">
        <v>45994</v>
      </c>
      <c r="F277" s="232" t="s">
        <v>90</v>
      </c>
      <c r="G277" s="48" t="s">
        <v>91</v>
      </c>
      <c r="H277" s="143" t="s">
        <v>51</v>
      </c>
      <c r="I277" s="111" t="s">
        <v>102</v>
      </c>
      <c r="J277" s="84" t="s">
        <v>52</v>
      </c>
      <c r="K277" s="84" t="s">
        <v>111</v>
      </c>
      <c r="L277" s="21">
        <v>1</v>
      </c>
      <c r="M277" s="87" t="s">
        <v>54</v>
      </c>
      <c r="N277" s="3" t="s">
        <v>55</v>
      </c>
      <c r="O277" s="3">
        <v>1</v>
      </c>
      <c r="P277" s="3" t="s">
        <v>112</v>
      </c>
      <c r="Q277" s="73">
        <v>46056</v>
      </c>
      <c r="R277" s="73">
        <v>46056</v>
      </c>
      <c r="S277" s="3">
        <v>1</v>
      </c>
      <c r="T277" s="3" t="s">
        <v>55</v>
      </c>
      <c r="U277" s="3" t="s">
        <v>55</v>
      </c>
      <c r="V277" s="3" t="s">
        <v>55</v>
      </c>
      <c r="W277" s="3" t="s">
        <v>55</v>
      </c>
      <c r="X277" s="3" t="s">
        <v>55</v>
      </c>
      <c r="Y277" s="3" t="s">
        <v>55</v>
      </c>
      <c r="Z277" s="3" t="s">
        <v>55</v>
      </c>
      <c r="AA277" s="2">
        <v>1</v>
      </c>
      <c r="AB277" s="2">
        <v>1</v>
      </c>
      <c r="AC277" s="3">
        <v>0</v>
      </c>
      <c r="AD277" s="28">
        <v>46076</v>
      </c>
      <c r="AE277" s="28">
        <v>46076</v>
      </c>
      <c r="AF277" s="28">
        <v>46078</v>
      </c>
      <c r="AG277" s="28">
        <v>46084</v>
      </c>
      <c r="AH277" s="140">
        <v>46085</v>
      </c>
      <c r="AI277" s="33">
        <f t="shared" si="34"/>
        <v>3</v>
      </c>
      <c r="AJ277" s="144" t="s">
        <v>910</v>
      </c>
      <c r="AK277" s="146" t="s">
        <v>1308</v>
      </c>
      <c r="AL277" s="19">
        <f t="shared" si="30"/>
        <v>1</v>
      </c>
      <c r="AM277" s="67">
        <f>IFERROR(NETWORKDAYS(D277,Q277,Hoja1!$A$1:$A$29),"N/A")</f>
        <v>41</v>
      </c>
      <c r="AN277" s="21">
        <f>IFERROR(NETWORKDAYS(D277,AE277,Hoja1!$A$1:$A$29),"N/A")</f>
        <v>55</v>
      </c>
      <c r="AO277" s="78">
        <v>26</v>
      </c>
      <c r="AP277" s="21">
        <f t="shared" si="33"/>
        <v>29</v>
      </c>
      <c r="AQ277" s="21">
        <f>IFERROR(NETWORKDAYS(AF277,AG277,Hoja1!$A$1:$A$29),"N/A")</f>
        <v>5</v>
      </c>
      <c r="AR277" s="78">
        <v>0</v>
      </c>
      <c r="AS277" s="75">
        <f t="shared" si="32"/>
        <v>5</v>
      </c>
      <c r="AT277" s="21">
        <f>IFERROR(NETWORKDAYS(D277,AG277,Hoja1!$A$1:$A$29),"N/A")</f>
        <v>61</v>
      </c>
      <c r="AU277" s="21">
        <f t="shared" si="27"/>
        <v>35</v>
      </c>
      <c r="AV277" s="143" t="s">
        <v>127</v>
      </c>
      <c r="AW277" s="143" t="s">
        <v>911</v>
      </c>
      <c r="AX277" s="87"/>
      <c r="AY277" s="87"/>
      <c r="AZ277" s="87"/>
      <c r="BA277" s="87"/>
      <c r="BB277" s="87"/>
    </row>
    <row r="278" spans="1:54" ht="15" customHeight="1" x14ac:dyDescent="0.25">
      <c r="A278" s="54">
        <v>15459</v>
      </c>
      <c r="B278" s="152" t="s">
        <v>85</v>
      </c>
      <c r="C278" s="152" t="s">
        <v>85</v>
      </c>
      <c r="D278" s="428">
        <v>45993</v>
      </c>
      <c r="E278" s="142">
        <v>46015</v>
      </c>
      <c r="F278" s="143" t="s">
        <v>99</v>
      </c>
      <c r="G278" s="152" t="s">
        <v>124</v>
      </c>
      <c r="H278" s="143" t="s">
        <v>51</v>
      </c>
      <c r="I278" s="48" t="s">
        <v>1406</v>
      </c>
      <c r="J278" s="84" t="s">
        <v>52</v>
      </c>
      <c r="K278" s="111" t="s">
        <v>129</v>
      </c>
      <c r="L278" s="21">
        <v>1</v>
      </c>
      <c r="M278" s="87" t="s">
        <v>54</v>
      </c>
      <c r="N278" s="2" t="s">
        <v>55</v>
      </c>
      <c r="O278" s="151">
        <v>10</v>
      </c>
      <c r="P278" s="33" t="s">
        <v>56</v>
      </c>
      <c r="Q278" s="104">
        <v>46071</v>
      </c>
      <c r="R278" s="104">
        <v>46071</v>
      </c>
      <c r="S278" s="151">
        <v>10</v>
      </c>
      <c r="T278" s="2" t="s">
        <v>55</v>
      </c>
      <c r="U278" s="2" t="s">
        <v>55</v>
      </c>
      <c r="V278" s="2" t="s">
        <v>55</v>
      </c>
      <c r="W278" s="2" t="s">
        <v>55</v>
      </c>
      <c r="X278" s="2" t="s">
        <v>55</v>
      </c>
      <c r="Y278" s="2" t="s">
        <v>55</v>
      </c>
      <c r="Z278" s="2" t="s">
        <v>55</v>
      </c>
      <c r="AA278" s="151">
        <v>3</v>
      </c>
      <c r="AB278" s="151">
        <v>1</v>
      </c>
      <c r="AC278" s="2">
        <v>0</v>
      </c>
      <c r="AD278" s="44">
        <v>46083</v>
      </c>
      <c r="AE278" s="44">
        <v>46083</v>
      </c>
      <c r="AF278" s="44">
        <v>46083</v>
      </c>
      <c r="AG278" s="28">
        <v>46091</v>
      </c>
      <c r="AH278" s="104">
        <v>46093</v>
      </c>
      <c r="AI278" s="33">
        <f t="shared" si="34"/>
        <v>3</v>
      </c>
      <c r="AJ278" s="144" t="s">
        <v>912</v>
      </c>
      <c r="AK278" s="35" t="s">
        <v>913</v>
      </c>
      <c r="AL278" s="19">
        <f t="shared" si="30"/>
        <v>1</v>
      </c>
      <c r="AM278" s="67">
        <f>IFERROR(NETWORKDAYS(D278,Q278,Hoja1!$A$1:$A$29),"N/A")</f>
        <v>53</v>
      </c>
      <c r="AN278" s="21">
        <f>IFERROR(NETWORKDAYS(D278,AE278,Hoja1!$A$1:$A$29),"N/A")</f>
        <v>61</v>
      </c>
      <c r="AO278" s="78">
        <v>0</v>
      </c>
      <c r="AP278" s="21">
        <f t="shared" si="33"/>
        <v>61</v>
      </c>
      <c r="AQ278" s="21">
        <f>IFERROR(NETWORKDAYS(AF278,AG278,Hoja1!$A$1:$A$29),"N/A")</f>
        <v>7</v>
      </c>
      <c r="AR278" s="78">
        <v>2</v>
      </c>
      <c r="AS278" s="75">
        <f t="shared" si="32"/>
        <v>5</v>
      </c>
      <c r="AT278" s="21">
        <f>IFERROR(NETWORKDAYS(D278,AG278,Hoja1!$A$1:$A$29),"N/A")</f>
        <v>67</v>
      </c>
      <c r="AU278" s="21">
        <f t="shared" si="27"/>
        <v>65</v>
      </c>
      <c r="AV278" s="143" t="s">
        <v>59</v>
      </c>
      <c r="AW278" s="143" t="s">
        <v>914</v>
      </c>
      <c r="AX278" s="87" t="s">
        <v>871</v>
      </c>
      <c r="AY278" s="87" t="s">
        <v>871</v>
      </c>
      <c r="AZ278" s="152"/>
      <c r="BA278" s="152"/>
      <c r="BB278" s="152"/>
    </row>
    <row r="279" spans="1:54" ht="15" customHeight="1" x14ac:dyDescent="0.25">
      <c r="A279" s="57">
        <v>15460</v>
      </c>
      <c r="B279" s="87" t="s">
        <v>79</v>
      </c>
      <c r="C279" s="87" t="s">
        <v>79</v>
      </c>
      <c r="D279" s="142">
        <v>46000</v>
      </c>
      <c r="E279" s="142">
        <v>46000</v>
      </c>
      <c r="F279" s="114" t="s">
        <v>163</v>
      </c>
      <c r="G279" s="23" t="s">
        <v>688</v>
      </c>
      <c r="H279" s="143" t="s">
        <v>51</v>
      </c>
      <c r="I279" s="27" t="s">
        <v>915</v>
      </c>
      <c r="J279" s="84" t="s">
        <v>52</v>
      </c>
      <c r="K279" s="27" t="s">
        <v>165</v>
      </c>
      <c r="L279" s="21">
        <v>1</v>
      </c>
      <c r="M279" s="87" t="s">
        <v>54</v>
      </c>
      <c r="N279" s="3" t="s">
        <v>55</v>
      </c>
      <c r="O279" s="3">
        <v>45</v>
      </c>
      <c r="P279" s="33" t="s">
        <v>56</v>
      </c>
      <c r="Q279" s="153">
        <v>46007</v>
      </c>
      <c r="R279" s="104">
        <v>46071</v>
      </c>
      <c r="S279" s="3">
        <v>45</v>
      </c>
      <c r="T279" s="3" t="s">
        <v>55</v>
      </c>
      <c r="U279" s="3" t="s">
        <v>55</v>
      </c>
      <c r="V279" s="3" t="s">
        <v>55</v>
      </c>
      <c r="W279" s="3" t="s">
        <v>55</v>
      </c>
      <c r="X279" s="3" t="s">
        <v>55</v>
      </c>
      <c r="Y279" s="3" t="s">
        <v>55</v>
      </c>
      <c r="Z279" s="3" t="s">
        <v>55</v>
      </c>
      <c r="AA279" s="1">
        <v>1</v>
      </c>
      <c r="AB279" s="1">
        <v>1</v>
      </c>
      <c r="AC279" s="3">
        <v>0</v>
      </c>
      <c r="AD279" s="30">
        <v>46073</v>
      </c>
      <c r="AE279" s="30">
        <v>46073</v>
      </c>
      <c r="AF279" s="30">
        <v>46073</v>
      </c>
      <c r="AG279" s="28">
        <v>46080</v>
      </c>
      <c r="AH279" s="37">
        <v>46083</v>
      </c>
      <c r="AI279" s="33">
        <f t="shared" si="34"/>
        <v>3</v>
      </c>
      <c r="AJ279" s="144" t="s">
        <v>916</v>
      </c>
      <c r="AK279" s="35" t="s">
        <v>1309</v>
      </c>
      <c r="AL279" s="19">
        <f t="shared" si="30"/>
        <v>1</v>
      </c>
      <c r="AM279" s="67">
        <f>IFERROR(NETWORKDAYS(D279,Q279,Hoja1!$A$1:$A$29),"N/A")</f>
        <v>6</v>
      </c>
      <c r="AN279" s="21">
        <f>IFERROR(NETWORKDAYS(D279,AE279,Hoja1!$A$1:$A$29),"N/A")</f>
        <v>51</v>
      </c>
      <c r="AO279" s="78">
        <v>31</v>
      </c>
      <c r="AP279" s="21">
        <f t="shared" si="33"/>
        <v>20</v>
      </c>
      <c r="AQ279" s="21">
        <f>IFERROR(NETWORKDAYS(AF279,AG279,Hoja1!$A$1:$A$29),"N/A")</f>
        <v>6</v>
      </c>
      <c r="AR279" s="78">
        <v>1</v>
      </c>
      <c r="AS279" s="75">
        <f t="shared" si="32"/>
        <v>5</v>
      </c>
      <c r="AT279" s="21">
        <f>IFERROR(NETWORKDAYS(D279,AG279,Hoja1!$A$1:$A$29),"N/A")</f>
        <v>56</v>
      </c>
      <c r="AU279" s="21">
        <f t="shared" si="27"/>
        <v>24</v>
      </c>
      <c r="AV279" s="143" t="s">
        <v>59</v>
      </c>
      <c r="AW279" s="143" t="s">
        <v>258</v>
      </c>
      <c r="AX279" s="114" t="s">
        <v>881</v>
      </c>
      <c r="AY279" s="114"/>
      <c r="AZ279" s="114"/>
      <c r="BA279" s="114"/>
      <c r="BB279" s="114"/>
    </row>
    <row r="280" spans="1:54" ht="15" customHeight="1" x14ac:dyDescent="0.25">
      <c r="A280" s="54">
        <v>15478</v>
      </c>
      <c r="B280" s="87" t="s">
        <v>69</v>
      </c>
      <c r="C280" s="43" t="s">
        <v>98</v>
      </c>
      <c r="D280" s="428">
        <v>46002</v>
      </c>
      <c r="E280" s="142">
        <v>46002</v>
      </c>
      <c r="F280" s="202" t="s">
        <v>879</v>
      </c>
      <c r="G280" s="48" t="s">
        <v>50</v>
      </c>
      <c r="H280" s="143" t="s">
        <v>51</v>
      </c>
      <c r="I280" s="202" t="s">
        <v>456</v>
      </c>
      <c r="J280" s="84" t="s">
        <v>52</v>
      </c>
      <c r="K280" s="87" t="s">
        <v>53</v>
      </c>
      <c r="L280" s="21">
        <v>1</v>
      </c>
      <c r="M280" s="87" t="s">
        <v>54</v>
      </c>
      <c r="N280" s="3" t="s">
        <v>55</v>
      </c>
      <c r="O280" s="3">
        <v>6</v>
      </c>
      <c r="P280" s="3" t="s">
        <v>112</v>
      </c>
      <c r="Q280" s="30">
        <v>46050</v>
      </c>
      <c r="R280" s="30">
        <v>46050</v>
      </c>
      <c r="S280" s="3">
        <v>6</v>
      </c>
      <c r="T280" s="3" t="s">
        <v>55</v>
      </c>
      <c r="U280" s="3" t="s">
        <v>55</v>
      </c>
      <c r="V280" s="3" t="s">
        <v>55</v>
      </c>
      <c r="W280" s="3" t="s">
        <v>55</v>
      </c>
      <c r="X280" s="3" t="s">
        <v>55</v>
      </c>
      <c r="Y280" s="3" t="s">
        <v>55</v>
      </c>
      <c r="Z280" s="18" t="s">
        <v>55</v>
      </c>
      <c r="AA280" s="3">
        <v>1</v>
      </c>
      <c r="AB280" s="3">
        <v>1</v>
      </c>
      <c r="AC280" s="3">
        <v>0</v>
      </c>
      <c r="AD280" s="30">
        <v>46071</v>
      </c>
      <c r="AE280" s="28">
        <v>46076</v>
      </c>
      <c r="AF280" s="28">
        <v>46077</v>
      </c>
      <c r="AG280" s="28">
        <v>46083</v>
      </c>
      <c r="AH280" s="37">
        <v>46083</v>
      </c>
      <c r="AI280" s="33">
        <f t="shared" si="34"/>
        <v>3</v>
      </c>
      <c r="AJ280" s="87" t="s">
        <v>917</v>
      </c>
      <c r="AK280" s="35" t="s">
        <v>1310</v>
      </c>
      <c r="AL280" s="19">
        <f t="shared" si="30"/>
        <v>1</v>
      </c>
      <c r="AM280" s="67">
        <f>IFERROR(NETWORKDAYS(D280,Q280,Hoja1!$A$1:$A$29),"N/A")</f>
        <v>32</v>
      </c>
      <c r="AN280" s="21">
        <f>IFERROR(NETWORKDAYS(D280,AE280,Hoja1!$A$1:$A$29),"N/A")</f>
        <v>50</v>
      </c>
      <c r="AO280" s="78">
        <v>18</v>
      </c>
      <c r="AP280" s="21">
        <f t="shared" si="33"/>
        <v>32</v>
      </c>
      <c r="AQ280" s="21">
        <f>IFERROR(NETWORKDAYS(AF280,AG280,Hoja1!$A$1:$A$29),"N/A")</f>
        <v>5</v>
      </c>
      <c r="AR280" s="78">
        <v>0</v>
      </c>
      <c r="AS280" s="75">
        <f t="shared" si="32"/>
        <v>5</v>
      </c>
      <c r="AT280" s="21">
        <f>IFERROR(NETWORKDAYS(D280,AG280,Hoja1!$A$1:$A$29),"N/A")</f>
        <v>55</v>
      </c>
      <c r="AU280" s="21">
        <f t="shared" si="27"/>
        <v>37</v>
      </c>
      <c r="AV280" s="143" t="s">
        <v>127</v>
      </c>
      <c r="AW280" s="143" t="s">
        <v>918</v>
      </c>
      <c r="AX280" s="87"/>
      <c r="AY280" s="87"/>
      <c r="AZ280" s="87"/>
      <c r="BA280" s="87"/>
      <c r="BB280" s="87"/>
    </row>
    <row r="281" spans="1:54" ht="15" customHeight="1" x14ac:dyDescent="0.25">
      <c r="A281" s="54">
        <v>15482</v>
      </c>
      <c r="B281" s="152" t="s">
        <v>85</v>
      </c>
      <c r="C281" s="152" t="s">
        <v>85</v>
      </c>
      <c r="D281" s="142">
        <v>46003</v>
      </c>
      <c r="E281" s="142">
        <v>46003</v>
      </c>
      <c r="F281" s="202" t="s">
        <v>879</v>
      </c>
      <c r="G281" s="87" t="s">
        <v>919</v>
      </c>
      <c r="H281" s="143" t="s">
        <v>51</v>
      </c>
      <c r="I281" s="27" t="s">
        <v>72</v>
      </c>
      <c r="J281" s="87" t="s">
        <v>73</v>
      </c>
      <c r="K281" s="87" t="s">
        <v>53</v>
      </c>
      <c r="L281" s="21">
        <v>1</v>
      </c>
      <c r="M281" s="87" t="s">
        <v>54</v>
      </c>
      <c r="N281" s="3" t="s">
        <v>55</v>
      </c>
      <c r="O281" s="3">
        <v>7</v>
      </c>
      <c r="P281" s="3" t="s">
        <v>112</v>
      </c>
      <c r="Q281" s="30">
        <v>46059</v>
      </c>
      <c r="R281" s="30">
        <v>46059</v>
      </c>
      <c r="S281" s="3">
        <v>7</v>
      </c>
      <c r="T281" s="3" t="s">
        <v>55</v>
      </c>
      <c r="U281" s="3" t="s">
        <v>55</v>
      </c>
      <c r="V281" s="3" t="s">
        <v>55</v>
      </c>
      <c r="W281" s="3" t="s">
        <v>55</v>
      </c>
      <c r="X281" s="3" t="s">
        <v>55</v>
      </c>
      <c r="Y281" s="3" t="s">
        <v>55</v>
      </c>
      <c r="Z281" s="18" t="s">
        <v>55</v>
      </c>
      <c r="AA281" s="3">
        <v>2</v>
      </c>
      <c r="AB281" s="3">
        <v>2</v>
      </c>
      <c r="AC281" s="3">
        <v>0</v>
      </c>
      <c r="AD281" s="30">
        <v>46072</v>
      </c>
      <c r="AE281" s="30">
        <v>46072</v>
      </c>
      <c r="AF281" s="28">
        <v>46073</v>
      </c>
      <c r="AG281" s="28">
        <v>46083</v>
      </c>
      <c r="AH281" s="37">
        <v>46083</v>
      </c>
      <c r="AI281" s="33">
        <f t="shared" si="34"/>
        <v>3</v>
      </c>
      <c r="AJ281" s="87" t="s">
        <v>920</v>
      </c>
      <c r="AK281" s="35" t="s">
        <v>921</v>
      </c>
      <c r="AL281" s="19">
        <f t="shared" si="30"/>
        <v>1</v>
      </c>
      <c r="AM281" s="67">
        <f>IFERROR(NETWORKDAYS(D281,Q281,Hoja1!$A$1:$A$29),"N/A")</f>
        <v>38</v>
      </c>
      <c r="AN281" s="21">
        <f>IFERROR(NETWORKDAYS(D281,AE281,Hoja1!$A$1:$A$29),"N/A")</f>
        <v>47</v>
      </c>
      <c r="AO281" s="78">
        <v>14</v>
      </c>
      <c r="AP281" s="21">
        <f t="shared" si="33"/>
        <v>33</v>
      </c>
      <c r="AQ281" s="21">
        <f>IFERROR(NETWORKDAYS(AF281,AG281,Hoja1!$A$1:$A$29),"N/A")</f>
        <v>7</v>
      </c>
      <c r="AR281" s="78">
        <v>2</v>
      </c>
      <c r="AS281" s="75">
        <f t="shared" si="32"/>
        <v>5</v>
      </c>
      <c r="AT281" s="21">
        <f>IFERROR(NETWORKDAYS(D281,AG281,Hoja1!$A$1:$A$29),"N/A")</f>
        <v>54</v>
      </c>
      <c r="AU281" s="21">
        <f t="shared" si="27"/>
        <v>38</v>
      </c>
      <c r="AV281" s="143" t="s">
        <v>77</v>
      </c>
      <c r="AW281" s="143" t="s">
        <v>82</v>
      </c>
      <c r="AX281" s="87" t="s">
        <v>881</v>
      </c>
      <c r="AY281" s="87"/>
      <c r="AZ281" s="87"/>
      <c r="BA281" s="87"/>
      <c r="BB281" s="87"/>
    </row>
    <row r="282" spans="1:54" ht="15" customHeight="1" x14ac:dyDescent="0.25">
      <c r="A282" s="54">
        <v>15490</v>
      </c>
      <c r="B282" s="48" t="s">
        <v>49</v>
      </c>
      <c r="C282" s="48" t="s">
        <v>49</v>
      </c>
      <c r="D282" s="428">
        <v>46021</v>
      </c>
      <c r="E282" s="142">
        <v>46006</v>
      </c>
      <c r="F282" s="84" t="s">
        <v>62</v>
      </c>
      <c r="G282" s="48" t="s">
        <v>71</v>
      </c>
      <c r="H282" s="143" t="s">
        <v>51</v>
      </c>
      <c r="I282" s="27" t="s">
        <v>72</v>
      </c>
      <c r="J282" s="87" t="s">
        <v>73</v>
      </c>
      <c r="K282" s="87" t="s">
        <v>74</v>
      </c>
      <c r="L282" s="21">
        <v>1</v>
      </c>
      <c r="M282" s="87" t="s">
        <v>54</v>
      </c>
      <c r="N282" s="2" t="s">
        <v>55</v>
      </c>
      <c r="O282" s="3">
        <v>1</v>
      </c>
      <c r="P282" s="3" t="s">
        <v>112</v>
      </c>
      <c r="Q282" s="142">
        <v>46058</v>
      </c>
      <c r="R282" s="142">
        <v>46058</v>
      </c>
      <c r="S282" s="3">
        <v>1</v>
      </c>
      <c r="T282" s="18" t="s">
        <v>55</v>
      </c>
      <c r="U282" s="18" t="s">
        <v>55</v>
      </c>
      <c r="V282" s="18" t="s">
        <v>55</v>
      </c>
      <c r="W282" s="18" t="s">
        <v>55</v>
      </c>
      <c r="X282" s="18" t="s">
        <v>55</v>
      </c>
      <c r="Y282" s="18" t="s">
        <v>55</v>
      </c>
      <c r="Z282" s="18" t="s">
        <v>55</v>
      </c>
      <c r="AA282" s="3">
        <v>1</v>
      </c>
      <c r="AB282" s="3">
        <v>1</v>
      </c>
      <c r="AC282" s="3">
        <v>0</v>
      </c>
      <c r="AD282" s="28">
        <v>46073</v>
      </c>
      <c r="AE282" s="28">
        <v>46073</v>
      </c>
      <c r="AF282" s="28">
        <v>46073</v>
      </c>
      <c r="AG282" s="28">
        <v>46087</v>
      </c>
      <c r="AH282" s="28">
        <v>46090</v>
      </c>
      <c r="AI282" s="33">
        <f t="shared" si="34"/>
        <v>3</v>
      </c>
      <c r="AJ282" s="144" t="s">
        <v>922</v>
      </c>
      <c r="AK282" s="35" t="s">
        <v>923</v>
      </c>
      <c r="AL282" s="19">
        <f t="shared" si="30"/>
        <v>1</v>
      </c>
      <c r="AM282" s="67">
        <f>IFERROR(NETWORKDAYS(D282,Q282,Hoja1!$A$1:$A$29),"N/A")</f>
        <v>26</v>
      </c>
      <c r="AN282" s="21">
        <f>IFERROR(NETWORKDAYS(D282,AE282,Hoja1!$A$1:$A$29),"N/A")</f>
        <v>37</v>
      </c>
      <c r="AO282" s="78">
        <v>8</v>
      </c>
      <c r="AP282" s="21">
        <f t="shared" si="33"/>
        <v>29</v>
      </c>
      <c r="AQ282" s="21">
        <f>IFERROR(NETWORKDAYS(AF282,AG282,Hoja1!$A$1:$A$29),"N/A")</f>
        <v>11</v>
      </c>
      <c r="AR282" s="78">
        <v>6</v>
      </c>
      <c r="AS282" s="75">
        <f t="shared" si="32"/>
        <v>5</v>
      </c>
      <c r="AT282" s="21">
        <f>IFERROR(NETWORKDAYS(D282,AG282,Hoja1!$A$1:$A$29),"N/A")</f>
        <v>47</v>
      </c>
      <c r="AU282" s="21">
        <f t="shared" si="27"/>
        <v>33</v>
      </c>
      <c r="AV282" s="143" t="s">
        <v>77</v>
      </c>
      <c r="AW282" s="49" t="s">
        <v>82</v>
      </c>
      <c r="AX282" s="87" t="s">
        <v>871</v>
      </c>
      <c r="AY282" s="87"/>
      <c r="AZ282" s="87"/>
      <c r="BA282" s="87"/>
      <c r="BB282" s="87"/>
    </row>
    <row r="283" spans="1:54" ht="15" customHeight="1" x14ac:dyDescent="0.25">
      <c r="A283" s="95">
        <v>15498</v>
      </c>
      <c r="B283" s="87" t="s">
        <v>69</v>
      </c>
      <c r="C283" s="43" t="s">
        <v>98</v>
      </c>
      <c r="D283" s="142">
        <v>46055</v>
      </c>
      <c r="E283" s="142">
        <v>46006</v>
      </c>
      <c r="F283" s="84" t="s">
        <v>62</v>
      </c>
      <c r="G283" s="84" t="s">
        <v>71</v>
      </c>
      <c r="H283" s="143" t="s">
        <v>140</v>
      </c>
      <c r="I283" s="143" t="s">
        <v>924</v>
      </c>
      <c r="J283" s="87" t="s">
        <v>142</v>
      </c>
      <c r="K283" s="84" t="s">
        <v>66</v>
      </c>
      <c r="L283" s="21">
        <v>1</v>
      </c>
      <c r="M283" s="87" t="s">
        <v>54</v>
      </c>
      <c r="N283" s="33" t="s">
        <v>55</v>
      </c>
      <c r="O283" s="33">
        <v>0</v>
      </c>
      <c r="P283" s="33"/>
      <c r="Q283" s="142" t="s">
        <v>55</v>
      </c>
      <c r="R283" s="142" t="s">
        <v>55</v>
      </c>
      <c r="S283" s="33">
        <v>0</v>
      </c>
      <c r="T283" s="33" t="s">
        <v>55</v>
      </c>
      <c r="U283" s="33" t="s">
        <v>55</v>
      </c>
      <c r="V283" s="33" t="s">
        <v>55</v>
      </c>
      <c r="W283" s="33" t="s">
        <v>55</v>
      </c>
      <c r="X283" s="33" t="s">
        <v>55</v>
      </c>
      <c r="Y283" s="33" t="s">
        <v>55</v>
      </c>
      <c r="Z283" s="33" t="s">
        <v>55</v>
      </c>
      <c r="AA283" s="33">
        <v>4</v>
      </c>
      <c r="AB283" s="33">
        <v>4</v>
      </c>
      <c r="AC283" s="33">
        <v>0</v>
      </c>
      <c r="AD283" s="28">
        <v>46297</v>
      </c>
      <c r="AE283" s="28">
        <v>46071</v>
      </c>
      <c r="AF283" s="154">
        <v>46087</v>
      </c>
      <c r="AG283" s="28">
        <v>46101</v>
      </c>
      <c r="AH283" s="140">
        <v>46106</v>
      </c>
      <c r="AI283" s="33">
        <f t="shared" si="34"/>
        <v>3</v>
      </c>
      <c r="AJ283" s="144" t="s">
        <v>925</v>
      </c>
      <c r="AK283" s="35" t="s">
        <v>926</v>
      </c>
      <c r="AL283" s="19" t="str">
        <f t="shared" si="30"/>
        <v>N/A</v>
      </c>
      <c r="AM283" s="67" t="str">
        <f>IFERROR(NETWORKDAYS(D283,Q283,Hoja1!$A$1:$A$29),"N/A")</f>
        <v>N/A</v>
      </c>
      <c r="AN283" s="21">
        <f>IFERROR(NETWORKDAYS(D283,AE283,Hoja1!$A$1:$A$29),"N/A")</f>
        <v>13</v>
      </c>
      <c r="AO283" s="78">
        <v>0</v>
      </c>
      <c r="AP283" s="21">
        <f t="shared" si="33"/>
        <v>13</v>
      </c>
      <c r="AQ283" s="21">
        <f>IFERROR(NETWORKDAYS(AF283,AG283,Hoja1!$A$1:$A$29),"N/A")</f>
        <v>11</v>
      </c>
      <c r="AR283" s="78">
        <v>6</v>
      </c>
      <c r="AS283" s="75">
        <f t="shared" si="32"/>
        <v>5</v>
      </c>
      <c r="AT283" s="21">
        <f>IFERROR(NETWORKDAYS(D283,AG283,Hoja1!$A$1:$A$29),"N/A")</f>
        <v>35</v>
      </c>
      <c r="AU283" s="21">
        <f t="shared" si="27"/>
        <v>29</v>
      </c>
      <c r="AV283" s="143" t="s">
        <v>104</v>
      </c>
      <c r="AW283" s="143" t="s">
        <v>480</v>
      </c>
      <c r="AX283" s="84"/>
      <c r="AY283" s="84"/>
      <c r="AZ283" s="84"/>
      <c r="BA283" s="84"/>
      <c r="BB283" s="84"/>
    </row>
    <row r="284" spans="1:54" ht="15" customHeight="1" x14ac:dyDescent="0.25">
      <c r="A284" s="55">
        <v>15509</v>
      </c>
      <c r="B284" s="87" t="s">
        <v>69</v>
      </c>
      <c r="C284" s="43" t="s">
        <v>98</v>
      </c>
      <c r="D284" s="428">
        <v>46008</v>
      </c>
      <c r="E284" s="142">
        <v>46008</v>
      </c>
      <c r="F284" s="232" t="s">
        <v>62</v>
      </c>
      <c r="G284" s="87" t="s">
        <v>80</v>
      </c>
      <c r="H284" s="143" t="s">
        <v>51</v>
      </c>
      <c r="I284" s="240" t="s">
        <v>582</v>
      </c>
      <c r="J284" s="84" t="s">
        <v>52</v>
      </c>
      <c r="K284" s="87" t="s">
        <v>66</v>
      </c>
      <c r="L284" s="21">
        <v>1</v>
      </c>
      <c r="M284" s="87" t="s">
        <v>54</v>
      </c>
      <c r="N284" s="3" t="s">
        <v>55</v>
      </c>
      <c r="O284" s="3">
        <v>9</v>
      </c>
      <c r="P284" s="33" t="s">
        <v>56</v>
      </c>
      <c r="Q284" s="155">
        <v>46015</v>
      </c>
      <c r="R284" s="155">
        <v>46020</v>
      </c>
      <c r="S284" s="3">
        <v>9</v>
      </c>
      <c r="T284" s="3" t="s">
        <v>55</v>
      </c>
      <c r="U284" s="3" t="s">
        <v>55</v>
      </c>
      <c r="V284" s="3" t="s">
        <v>55</v>
      </c>
      <c r="W284" s="3" t="s">
        <v>55</v>
      </c>
      <c r="X284" s="3" t="s">
        <v>55</v>
      </c>
      <c r="Y284" s="3" t="s">
        <v>55</v>
      </c>
      <c r="Z284" s="3" t="s">
        <v>55</v>
      </c>
      <c r="AA284" s="3">
        <v>1</v>
      </c>
      <c r="AB284" s="3">
        <v>1</v>
      </c>
      <c r="AC284" s="3">
        <v>0</v>
      </c>
      <c r="AD284" s="28">
        <v>46063</v>
      </c>
      <c r="AE284" s="28">
        <v>46066</v>
      </c>
      <c r="AF284" s="28">
        <v>46066</v>
      </c>
      <c r="AG284" s="28">
        <v>46080</v>
      </c>
      <c r="AH284" s="38">
        <v>46083</v>
      </c>
      <c r="AI284" s="33">
        <f t="shared" si="34"/>
        <v>3</v>
      </c>
      <c r="AJ284" s="144" t="s">
        <v>927</v>
      </c>
      <c r="AK284" s="35" t="s">
        <v>928</v>
      </c>
      <c r="AL284" s="19">
        <f t="shared" si="30"/>
        <v>1</v>
      </c>
      <c r="AM284" s="67">
        <f>IFERROR(NETWORKDAYS(D284,Q284,Hoja1!$A$1:$A$29),"N/A")</f>
        <v>6</v>
      </c>
      <c r="AN284" s="21">
        <f>IFERROR(NETWORKDAYS(D284,AE284,Hoja1!$A$1:$A$29),"N/A")</f>
        <v>40</v>
      </c>
      <c r="AO284" s="78">
        <v>16</v>
      </c>
      <c r="AP284" s="21">
        <f t="shared" si="33"/>
        <v>24</v>
      </c>
      <c r="AQ284" s="21">
        <f>IFERROR(NETWORKDAYS(AF284,AG284,Hoja1!$A$1:$A$29),"N/A")</f>
        <v>11</v>
      </c>
      <c r="AR284" s="78">
        <v>6</v>
      </c>
      <c r="AS284" s="75">
        <f t="shared" si="32"/>
        <v>5</v>
      </c>
      <c r="AT284" s="21">
        <f>IFERROR(NETWORKDAYS(D284,AG284,Hoja1!$A$1:$A$29),"N/A")</f>
        <v>50</v>
      </c>
      <c r="AU284" s="21">
        <f t="shared" si="27"/>
        <v>28</v>
      </c>
      <c r="AV284" s="143" t="s">
        <v>59</v>
      </c>
      <c r="AW284" s="143" t="s">
        <v>1366</v>
      </c>
      <c r="AX284" s="114"/>
      <c r="AY284" s="114"/>
      <c r="AZ284" s="114"/>
      <c r="BA284" s="114"/>
      <c r="BB284" s="114"/>
    </row>
    <row r="285" spans="1:54" ht="15" customHeight="1" x14ac:dyDescent="0.25">
      <c r="A285" s="95">
        <v>15510</v>
      </c>
      <c r="B285" s="87" t="s">
        <v>69</v>
      </c>
      <c r="C285" s="43" t="s">
        <v>98</v>
      </c>
      <c r="D285" s="142">
        <v>46008</v>
      </c>
      <c r="E285" s="142">
        <v>46008</v>
      </c>
      <c r="F285" s="232" t="s">
        <v>62</v>
      </c>
      <c r="G285" s="87" t="s">
        <v>80</v>
      </c>
      <c r="H285" s="143" t="s">
        <v>51</v>
      </c>
      <c r="I285" s="240" t="s">
        <v>582</v>
      </c>
      <c r="J285" s="84" t="s">
        <v>52</v>
      </c>
      <c r="K285" s="87" t="s">
        <v>66</v>
      </c>
      <c r="L285" s="21">
        <v>1</v>
      </c>
      <c r="M285" s="87" t="s">
        <v>54</v>
      </c>
      <c r="N285" s="3" t="s">
        <v>55</v>
      </c>
      <c r="O285" s="3">
        <v>3</v>
      </c>
      <c r="P285" s="3" t="s">
        <v>112</v>
      </c>
      <c r="Q285" s="147">
        <v>46014</v>
      </c>
      <c r="R285" s="147">
        <v>46015</v>
      </c>
      <c r="S285" s="3">
        <v>3</v>
      </c>
      <c r="T285" s="3" t="s">
        <v>55</v>
      </c>
      <c r="U285" s="3" t="s">
        <v>55</v>
      </c>
      <c r="V285" s="3" t="s">
        <v>55</v>
      </c>
      <c r="W285" s="3" t="s">
        <v>55</v>
      </c>
      <c r="X285" s="3" t="s">
        <v>55</v>
      </c>
      <c r="Y285" s="3" t="s">
        <v>55</v>
      </c>
      <c r="Z285" s="3" t="s">
        <v>55</v>
      </c>
      <c r="AA285" s="33">
        <v>1</v>
      </c>
      <c r="AB285" s="33">
        <v>1</v>
      </c>
      <c r="AC285" s="3">
        <v>0</v>
      </c>
      <c r="AD285" s="28">
        <v>46071</v>
      </c>
      <c r="AE285" s="28">
        <v>46071</v>
      </c>
      <c r="AF285" s="28">
        <v>46071</v>
      </c>
      <c r="AG285" s="28">
        <v>46080</v>
      </c>
      <c r="AH285" s="38">
        <v>46083</v>
      </c>
      <c r="AI285" s="33">
        <f t="shared" si="34"/>
        <v>3</v>
      </c>
      <c r="AJ285" s="144" t="s">
        <v>929</v>
      </c>
      <c r="AK285" s="35" t="s">
        <v>1311</v>
      </c>
      <c r="AL285" s="19">
        <f t="shared" si="30"/>
        <v>1</v>
      </c>
      <c r="AM285" s="67">
        <f>IFERROR(NETWORKDAYS(D285,Q285,Hoja1!$A$1:$A$29),"N/A")</f>
        <v>5</v>
      </c>
      <c r="AN285" s="21">
        <f>IFERROR(NETWORKDAYS(D285,AE285,Hoja1!$A$1:$A$29),"N/A")</f>
        <v>43</v>
      </c>
      <c r="AO285" s="78">
        <v>24</v>
      </c>
      <c r="AP285" s="21">
        <f t="shared" si="33"/>
        <v>19</v>
      </c>
      <c r="AQ285" s="21">
        <f>IFERROR(NETWORKDAYS(AF285,AG285,Hoja1!$A$1:$A$29),"N/A")</f>
        <v>8</v>
      </c>
      <c r="AR285" s="78">
        <v>3</v>
      </c>
      <c r="AS285" s="75">
        <f t="shared" si="32"/>
        <v>5</v>
      </c>
      <c r="AT285" s="21">
        <f>IFERROR(NETWORKDAYS(D285,AG285,Hoja1!$A$1:$A$29),"N/A")</f>
        <v>50</v>
      </c>
      <c r="AU285" s="21">
        <f t="shared" si="27"/>
        <v>23</v>
      </c>
      <c r="AV285" s="143" t="s">
        <v>59</v>
      </c>
      <c r="AW285" s="143" t="s">
        <v>930</v>
      </c>
      <c r="AX285" s="84"/>
      <c r="AY285" s="84"/>
      <c r="AZ285" s="84"/>
      <c r="BA285" s="84"/>
      <c r="BB285" s="84"/>
    </row>
    <row r="286" spans="1:54" ht="15" customHeight="1" x14ac:dyDescent="0.25">
      <c r="A286" s="54">
        <v>15515</v>
      </c>
      <c r="B286" s="87" t="s">
        <v>79</v>
      </c>
      <c r="C286" s="87" t="s">
        <v>79</v>
      </c>
      <c r="D286" s="428">
        <v>46092</v>
      </c>
      <c r="E286" s="142">
        <v>46007</v>
      </c>
      <c r="F286" s="84" t="s">
        <v>62</v>
      </c>
      <c r="G286" s="87" t="s">
        <v>80</v>
      </c>
      <c r="H286" s="143" t="s">
        <v>101</v>
      </c>
      <c r="I286" s="87" t="s">
        <v>92</v>
      </c>
      <c r="J286" s="84" t="s">
        <v>52</v>
      </c>
      <c r="K286" s="87" t="s">
        <v>74</v>
      </c>
      <c r="L286" s="21">
        <v>1</v>
      </c>
      <c r="M286" s="87" t="s">
        <v>54</v>
      </c>
      <c r="N286" s="18" t="s">
        <v>55</v>
      </c>
      <c r="O286" s="3">
        <v>0</v>
      </c>
      <c r="P286" s="33"/>
      <c r="Q286" s="2" t="s">
        <v>55</v>
      </c>
      <c r="R286" s="2" t="s">
        <v>55</v>
      </c>
      <c r="S286" s="3">
        <v>0</v>
      </c>
      <c r="T286" s="18" t="s">
        <v>55</v>
      </c>
      <c r="U286" s="18" t="s">
        <v>55</v>
      </c>
      <c r="V286" s="18" t="s">
        <v>55</v>
      </c>
      <c r="W286" s="18" t="s">
        <v>55</v>
      </c>
      <c r="X286" s="18" t="s">
        <v>55</v>
      </c>
      <c r="Y286" s="18" t="s">
        <v>55</v>
      </c>
      <c r="Z286" s="18" t="s">
        <v>55</v>
      </c>
      <c r="AA286" s="3">
        <v>7</v>
      </c>
      <c r="AB286" s="3">
        <v>3</v>
      </c>
      <c r="AC286" s="3">
        <v>0</v>
      </c>
      <c r="AD286" s="28">
        <v>46097</v>
      </c>
      <c r="AE286" s="28">
        <v>46097</v>
      </c>
      <c r="AF286" s="28">
        <v>46097</v>
      </c>
      <c r="AG286" s="28">
        <v>46105</v>
      </c>
      <c r="AH286" s="140">
        <v>46106</v>
      </c>
      <c r="AI286" s="33">
        <f t="shared" si="34"/>
        <v>3</v>
      </c>
      <c r="AJ286" s="144" t="s">
        <v>931</v>
      </c>
      <c r="AK286" s="35" t="s">
        <v>932</v>
      </c>
      <c r="AL286" s="19" t="str">
        <f t="shared" si="30"/>
        <v>N/A</v>
      </c>
      <c r="AM286" s="67" t="str">
        <f>IFERROR(NETWORKDAYS(D286,Q286,Hoja1!$A$1:$A$29),"N/A")</f>
        <v>N/A</v>
      </c>
      <c r="AN286" s="21">
        <f>IFERROR(NETWORKDAYS(D286,AE286,Hoja1!$A$1:$A$29),"N/A")</f>
        <v>4</v>
      </c>
      <c r="AO286" s="78">
        <v>0</v>
      </c>
      <c r="AP286" s="21">
        <f t="shared" si="33"/>
        <v>4</v>
      </c>
      <c r="AQ286" s="21">
        <f>IFERROR(NETWORKDAYS(AF286,AG286,Hoja1!$A$1:$A$29),"N/A")</f>
        <v>6</v>
      </c>
      <c r="AR286" s="78">
        <v>1</v>
      </c>
      <c r="AS286" s="75">
        <f t="shared" si="32"/>
        <v>5</v>
      </c>
      <c r="AT286" s="21">
        <f>IFERROR(NETWORKDAYS(D286,AG286,Hoja1!$A$1:$A$29),"N/A")</f>
        <v>9</v>
      </c>
      <c r="AU286" s="21">
        <f t="shared" si="27"/>
        <v>8</v>
      </c>
      <c r="AV286" s="143" t="s">
        <v>104</v>
      </c>
      <c r="AW286" s="143" t="s">
        <v>933</v>
      </c>
      <c r="AX286" s="114" t="s">
        <v>446</v>
      </c>
      <c r="AY286" s="87" t="s">
        <v>445</v>
      </c>
      <c r="AZ286" s="87" t="s">
        <v>871</v>
      </c>
      <c r="BA286" s="114" t="s">
        <v>446</v>
      </c>
      <c r="BB286" s="87"/>
    </row>
    <row r="287" spans="1:54" ht="15" customHeight="1" x14ac:dyDescent="0.25">
      <c r="A287" s="54">
        <v>15521</v>
      </c>
      <c r="B287" s="87" t="s">
        <v>79</v>
      </c>
      <c r="C287" s="87" t="s">
        <v>79</v>
      </c>
      <c r="D287" s="142">
        <v>46008</v>
      </c>
      <c r="E287" s="142">
        <v>46007</v>
      </c>
      <c r="F287" s="84" t="s">
        <v>62</v>
      </c>
      <c r="G287" s="87" t="s">
        <v>382</v>
      </c>
      <c r="H287" s="143" t="s">
        <v>51</v>
      </c>
      <c r="I287" s="87" t="s">
        <v>92</v>
      </c>
      <c r="J287" s="84" t="s">
        <v>52</v>
      </c>
      <c r="K287" s="87" t="s">
        <v>74</v>
      </c>
      <c r="L287" s="21">
        <v>1</v>
      </c>
      <c r="M287" s="87" t="s">
        <v>54</v>
      </c>
      <c r="N287" s="2" t="s">
        <v>55</v>
      </c>
      <c r="O287" s="3">
        <v>4</v>
      </c>
      <c r="P287" s="33" t="s">
        <v>56</v>
      </c>
      <c r="Q287" s="37">
        <v>46048</v>
      </c>
      <c r="R287" s="37">
        <v>46049</v>
      </c>
      <c r="S287" s="3">
        <v>2</v>
      </c>
      <c r="T287" s="18" t="s">
        <v>55</v>
      </c>
      <c r="U287" s="18" t="s">
        <v>55</v>
      </c>
      <c r="V287" s="18" t="s">
        <v>55</v>
      </c>
      <c r="W287" s="18" t="s">
        <v>55</v>
      </c>
      <c r="X287" s="18" t="s">
        <v>55</v>
      </c>
      <c r="Y287" s="18" t="s">
        <v>55</v>
      </c>
      <c r="Z287" s="18" t="s">
        <v>55</v>
      </c>
      <c r="AA287" s="3">
        <v>1</v>
      </c>
      <c r="AB287" s="3">
        <v>1</v>
      </c>
      <c r="AC287" s="3">
        <v>0</v>
      </c>
      <c r="AD287" s="28">
        <v>46073</v>
      </c>
      <c r="AE287" s="28">
        <v>46073</v>
      </c>
      <c r="AF287" s="28">
        <v>46073</v>
      </c>
      <c r="AG287" s="28">
        <v>46080</v>
      </c>
      <c r="AH287" s="38">
        <v>46083</v>
      </c>
      <c r="AI287" s="33">
        <f t="shared" si="34"/>
        <v>3</v>
      </c>
      <c r="AJ287" s="144" t="s">
        <v>934</v>
      </c>
      <c r="AK287" s="35" t="s">
        <v>1312</v>
      </c>
      <c r="AL287" s="19">
        <f t="shared" si="30"/>
        <v>0.5</v>
      </c>
      <c r="AM287" s="67">
        <f>IFERROR(NETWORKDAYS(D287,Q287,Hoja1!$A$1:$A$29),"N/A")</f>
        <v>26</v>
      </c>
      <c r="AN287" s="21">
        <f>IFERROR(NETWORKDAYS(D287,AE287,Hoja1!$A$1:$A$29),"N/A")</f>
        <v>45</v>
      </c>
      <c r="AO287" s="78">
        <v>17</v>
      </c>
      <c r="AP287" s="21">
        <f t="shared" si="33"/>
        <v>28</v>
      </c>
      <c r="AQ287" s="21">
        <f>IFERROR(NETWORKDAYS(AF287,AG287,Hoja1!$A$1:$A$29),"N/A")</f>
        <v>6</v>
      </c>
      <c r="AR287" s="78">
        <v>1</v>
      </c>
      <c r="AS287" s="75">
        <f t="shared" si="32"/>
        <v>5</v>
      </c>
      <c r="AT287" s="21">
        <f>IFERROR(NETWORKDAYS(D287,AG287,Hoja1!$A$1:$A$29),"N/A")</f>
        <v>50</v>
      </c>
      <c r="AU287" s="21">
        <f t="shared" si="27"/>
        <v>32</v>
      </c>
      <c r="AV287" s="143" t="s">
        <v>127</v>
      </c>
      <c r="AW287" s="143" t="s">
        <v>935</v>
      </c>
      <c r="AX287" s="87"/>
      <c r="AY287" s="87"/>
      <c r="AZ287" s="87"/>
      <c r="BA287" s="87"/>
      <c r="BB287" s="87"/>
    </row>
    <row r="288" spans="1:54" ht="15" customHeight="1" x14ac:dyDescent="0.25">
      <c r="A288" s="54">
        <v>15548</v>
      </c>
      <c r="B288" s="87" t="s">
        <v>79</v>
      </c>
      <c r="C288" s="87" t="s">
        <v>79</v>
      </c>
      <c r="D288" s="428">
        <v>46010</v>
      </c>
      <c r="E288" s="142">
        <v>46009</v>
      </c>
      <c r="F288" s="84" t="s">
        <v>62</v>
      </c>
      <c r="G288" s="87" t="s">
        <v>80</v>
      </c>
      <c r="H288" s="143" t="s">
        <v>51</v>
      </c>
      <c r="I288" s="27" t="s">
        <v>72</v>
      </c>
      <c r="J288" s="87" t="s">
        <v>73</v>
      </c>
      <c r="K288" s="87" t="s">
        <v>74</v>
      </c>
      <c r="L288" s="21">
        <v>1</v>
      </c>
      <c r="M288" s="87" t="s">
        <v>54</v>
      </c>
      <c r="N288" s="2" t="s">
        <v>55</v>
      </c>
      <c r="O288" s="3">
        <v>3</v>
      </c>
      <c r="P288" s="33" t="s">
        <v>56</v>
      </c>
      <c r="Q288" s="30">
        <v>46017</v>
      </c>
      <c r="R288" s="30">
        <v>46063</v>
      </c>
      <c r="S288" s="3">
        <v>3</v>
      </c>
      <c r="T288" s="18" t="s">
        <v>55</v>
      </c>
      <c r="U288" s="18" t="s">
        <v>55</v>
      </c>
      <c r="V288" s="18" t="s">
        <v>55</v>
      </c>
      <c r="W288" s="18" t="s">
        <v>55</v>
      </c>
      <c r="X288" s="18" t="s">
        <v>55</v>
      </c>
      <c r="Y288" s="18" t="s">
        <v>55</v>
      </c>
      <c r="Z288" s="18" t="s">
        <v>55</v>
      </c>
      <c r="AA288" s="3">
        <v>2</v>
      </c>
      <c r="AB288" s="3">
        <v>2</v>
      </c>
      <c r="AC288" s="3">
        <v>0</v>
      </c>
      <c r="AD288" s="28">
        <v>46070</v>
      </c>
      <c r="AE288" s="28">
        <v>46070</v>
      </c>
      <c r="AF288" s="28">
        <v>46073</v>
      </c>
      <c r="AG288" s="28">
        <v>46080</v>
      </c>
      <c r="AH288" s="38">
        <v>46083</v>
      </c>
      <c r="AI288" s="33">
        <f t="shared" si="34"/>
        <v>3</v>
      </c>
      <c r="AJ288" s="144" t="s">
        <v>936</v>
      </c>
      <c r="AK288" s="35" t="s">
        <v>937</v>
      </c>
      <c r="AL288" s="19">
        <f t="shared" si="30"/>
        <v>1</v>
      </c>
      <c r="AM288" s="67">
        <f>IFERROR(NETWORKDAYS(D288,Q288,Hoja1!$A$1:$A$29),"N/A")</f>
        <v>5</v>
      </c>
      <c r="AN288" s="21">
        <f>IFERROR(NETWORKDAYS(D288,AE288,Hoja1!$A$1:$A$29),"N/A")</f>
        <v>40</v>
      </c>
      <c r="AO288" s="78">
        <v>25</v>
      </c>
      <c r="AP288" s="21">
        <f t="shared" si="33"/>
        <v>15</v>
      </c>
      <c r="AQ288" s="21">
        <f>IFERROR(NETWORKDAYS(AF288,AG288,Hoja1!$A$1:$A$29),"N/A")</f>
        <v>6</v>
      </c>
      <c r="AR288" s="78">
        <v>1</v>
      </c>
      <c r="AS288" s="75">
        <f t="shared" si="32"/>
        <v>5</v>
      </c>
      <c r="AT288" s="21">
        <f>IFERROR(NETWORKDAYS(D288,AG288,Hoja1!$A$1:$A$29),"N/A")</f>
        <v>48</v>
      </c>
      <c r="AU288" s="21">
        <f t="shared" si="27"/>
        <v>22</v>
      </c>
      <c r="AV288" s="143" t="s">
        <v>77</v>
      </c>
      <c r="AW288" s="49" t="s">
        <v>82</v>
      </c>
      <c r="AX288" s="87" t="s">
        <v>871</v>
      </c>
      <c r="AY288" s="87"/>
      <c r="AZ288" s="87"/>
      <c r="BA288" s="87"/>
      <c r="BB288" s="87"/>
    </row>
    <row r="289" spans="1:54" ht="15" customHeight="1" x14ac:dyDescent="0.25">
      <c r="A289" s="54">
        <v>15550</v>
      </c>
      <c r="B289" s="87" t="s">
        <v>79</v>
      </c>
      <c r="C289" s="87" t="s">
        <v>79</v>
      </c>
      <c r="D289" s="142">
        <v>46015</v>
      </c>
      <c r="E289" s="142">
        <v>46015</v>
      </c>
      <c r="F289" s="143" t="s">
        <v>99</v>
      </c>
      <c r="G289" s="152" t="s">
        <v>100</v>
      </c>
      <c r="H289" s="143" t="s">
        <v>51</v>
      </c>
      <c r="I289" s="27" t="s">
        <v>72</v>
      </c>
      <c r="J289" s="87" t="s">
        <v>73</v>
      </c>
      <c r="K289" s="111" t="s">
        <v>129</v>
      </c>
      <c r="L289" s="21">
        <v>1</v>
      </c>
      <c r="M289" s="87" t="s">
        <v>54</v>
      </c>
      <c r="N289" s="2" t="s">
        <v>55</v>
      </c>
      <c r="O289" s="151">
        <v>4</v>
      </c>
      <c r="P289" s="33" t="s">
        <v>56</v>
      </c>
      <c r="Q289" s="104">
        <v>46057</v>
      </c>
      <c r="R289" s="104">
        <v>46057</v>
      </c>
      <c r="S289" s="151">
        <v>4</v>
      </c>
      <c r="T289" s="2" t="s">
        <v>55</v>
      </c>
      <c r="U289" s="2" t="s">
        <v>55</v>
      </c>
      <c r="V289" s="2" t="s">
        <v>55</v>
      </c>
      <c r="W289" s="2" t="s">
        <v>55</v>
      </c>
      <c r="X289" s="2" t="s">
        <v>55</v>
      </c>
      <c r="Y289" s="2" t="s">
        <v>55</v>
      </c>
      <c r="Z289" s="2" t="s">
        <v>55</v>
      </c>
      <c r="AA289" s="151">
        <v>1</v>
      </c>
      <c r="AB289" s="151">
        <v>1</v>
      </c>
      <c r="AC289" s="2">
        <v>0</v>
      </c>
      <c r="AD289" s="30">
        <v>46072</v>
      </c>
      <c r="AE289" s="30">
        <v>46073</v>
      </c>
      <c r="AF289" s="30">
        <v>46073</v>
      </c>
      <c r="AG289" s="28">
        <v>46080</v>
      </c>
      <c r="AH289" s="37">
        <v>46083</v>
      </c>
      <c r="AI289" s="33">
        <f t="shared" si="34"/>
        <v>3</v>
      </c>
      <c r="AJ289" s="144" t="s">
        <v>938</v>
      </c>
      <c r="AK289" s="35" t="s">
        <v>1313</v>
      </c>
      <c r="AL289" s="19">
        <f t="shared" si="30"/>
        <v>1</v>
      </c>
      <c r="AM289" s="67">
        <f>IFERROR(NETWORKDAYS(D289,Q289,Hoja1!$A$1:$A$29),"N/A")</f>
        <v>28</v>
      </c>
      <c r="AN289" s="21">
        <f>IFERROR(NETWORKDAYS(D289,AE289,Hoja1!$A$1:$A$29),"N/A")</f>
        <v>40</v>
      </c>
      <c r="AO289" s="78">
        <v>17</v>
      </c>
      <c r="AP289" s="21">
        <f t="shared" si="33"/>
        <v>23</v>
      </c>
      <c r="AQ289" s="21">
        <f>IFERROR(NETWORKDAYS(AF289,AG289,Hoja1!$A$1:$A$29),"N/A")</f>
        <v>6</v>
      </c>
      <c r="AR289" s="78">
        <v>2</v>
      </c>
      <c r="AS289" s="75">
        <f t="shared" si="32"/>
        <v>4</v>
      </c>
      <c r="AT289" s="21">
        <f>IFERROR(NETWORKDAYS(D289,AG289,Hoja1!$A$1:$A$29),"N/A")</f>
        <v>45</v>
      </c>
      <c r="AU289" s="21">
        <f t="shared" si="27"/>
        <v>26</v>
      </c>
      <c r="AV289" s="143" t="s">
        <v>104</v>
      </c>
      <c r="AW289" s="143" t="s">
        <v>82</v>
      </c>
      <c r="AX289" s="152"/>
      <c r="AY289" s="152"/>
      <c r="AZ289" s="152"/>
      <c r="BA289" s="152"/>
      <c r="BB289" s="152"/>
    </row>
    <row r="290" spans="1:54" ht="15" customHeight="1" x14ac:dyDescent="0.25">
      <c r="A290" s="54">
        <v>15552</v>
      </c>
      <c r="B290" s="87" t="s">
        <v>79</v>
      </c>
      <c r="C290" s="87" t="s">
        <v>79</v>
      </c>
      <c r="D290" s="428">
        <v>46044</v>
      </c>
      <c r="E290" s="142">
        <v>46009</v>
      </c>
      <c r="F290" s="84" t="s">
        <v>62</v>
      </c>
      <c r="G290" s="48" t="s">
        <v>71</v>
      </c>
      <c r="H290" s="143" t="s">
        <v>51</v>
      </c>
      <c r="I290" s="27" t="s">
        <v>72</v>
      </c>
      <c r="J290" s="87" t="s">
        <v>73</v>
      </c>
      <c r="K290" s="87" t="s">
        <v>74</v>
      </c>
      <c r="L290" s="21">
        <v>1</v>
      </c>
      <c r="M290" s="87" t="s">
        <v>54</v>
      </c>
      <c r="N290" s="2" t="s">
        <v>55</v>
      </c>
      <c r="O290" s="3">
        <v>7</v>
      </c>
      <c r="P290" s="3" t="s">
        <v>56</v>
      </c>
      <c r="Q290" s="142">
        <v>46048</v>
      </c>
      <c r="R290" s="142">
        <v>46048</v>
      </c>
      <c r="S290" s="3">
        <v>7</v>
      </c>
      <c r="T290" s="18" t="s">
        <v>55</v>
      </c>
      <c r="U290" s="18" t="s">
        <v>55</v>
      </c>
      <c r="V290" s="18" t="s">
        <v>55</v>
      </c>
      <c r="W290" s="18" t="s">
        <v>55</v>
      </c>
      <c r="X290" s="18" t="s">
        <v>55</v>
      </c>
      <c r="Y290" s="18" t="s">
        <v>55</v>
      </c>
      <c r="Z290" s="18" t="s">
        <v>55</v>
      </c>
      <c r="AA290" s="3">
        <v>1</v>
      </c>
      <c r="AB290" s="3">
        <v>1</v>
      </c>
      <c r="AC290" s="3">
        <v>0</v>
      </c>
      <c r="AD290" s="28">
        <v>46073</v>
      </c>
      <c r="AE290" s="28">
        <v>46073</v>
      </c>
      <c r="AF290" s="28">
        <v>46073</v>
      </c>
      <c r="AG290" s="28">
        <v>46087</v>
      </c>
      <c r="AH290" s="28">
        <v>46090</v>
      </c>
      <c r="AI290" s="33">
        <f t="shared" si="34"/>
        <v>3</v>
      </c>
      <c r="AJ290" s="144" t="s">
        <v>939</v>
      </c>
      <c r="AK290" s="35" t="s">
        <v>1314</v>
      </c>
      <c r="AL290" s="19">
        <f t="shared" si="30"/>
        <v>1</v>
      </c>
      <c r="AM290" s="67">
        <f>IFERROR(NETWORKDAYS(D290,Q290,Hoja1!$A$1:$A$29),"N/A")</f>
        <v>3</v>
      </c>
      <c r="AN290" s="21">
        <f>IFERROR(NETWORKDAYS(D290,AE290,Hoja1!$A$1:$A$29),"N/A")</f>
        <v>22</v>
      </c>
      <c r="AO290" s="78">
        <v>0</v>
      </c>
      <c r="AP290" s="21">
        <f t="shared" si="33"/>
        <v>22</v>
      </c>
      <c r="AQ290" s="21">
        <f>IFERROR(NETWORKDAYS(AF290,AG290,Hoja1!$A$1:$A$29),"N/A")</f>
        <v>11</v>
      </c>
      <c r="AR290" s="78">
        <v>6</v>
      </c>
      <c r="AS290" s="75">
        <f t="shared" si="32"/>
        <v>5</v>
      </c>
      <c r="AT290" s="21">
        <f>IFERROR(NETWORKDAYS(D290,AG290,Hoja1!$A$1:$A$29),"N/A")</f>
        <v>32</v>
      </c>
      <c r="AU290" s="21">
        <f t="shared" ref="AU290:AU353" si="35">AT290-AO290-AR290</f>
        <v>26</v>
      </c>
      <c r="AV290" s="143" t="s">
        <v>77</v>
      </c>
      <c r="AW290" s="49" t="s">
        <v>82</v>
      </c>
      <c r="AX290" s="87" t="s">
        <v>446</v>
      </c>
      <c r="AY290" s="87"/>
      <c r="AZ290" s="87"/>
      <c r="BA290" s="87"/>
      <c r="BB290" s="87"/>
    </row>
    <row r="291" spans="1:54" ht="15" customHeight="1" x14ac:dyDescent="0.25">
      <c r="A291" s="54">
        <v>15553</v>
      </c>
      <c r="B291" s="87" t="s">
        <v>79</v>
      </c>
      <c r="C291" s="87" t="s">
        <v>79</v>
      </c>
      <c r="D291" s="142">
        <v>46044</v>
      </c>
      <c r="E291" s="142">
        <v>46009</v>
      </c>
      <c r="F291" s="84" t="s">
        <v>62</v>
      </c>
      <c r="G291" s="48" t="s">
        <v>71</v>
      </c>
      <c r="H291" s="143" t="s">
        <v>51</v>
      </c>
      <c r="I291" s="27" t="s">
        <v>72</v>
      </c>
      <c r="J291" s="87" t="s">
        <v>73</v>
      </c>
      <c r="K291" s="87" t="s">
        <v>74</v>
      </c>
      <c r="L291" s="21">
        <v>1</v>
      </c>
      <c r="M291" s="87" t="s">
        <v>54</v>
      </c>
      <c r="N291" s="2" t="s">
        <v>55</v>
      </c>
      <c r="O291" s="3">
        <v>7</v>
      </c>
      <c r="P291" s="3" t="s">
        <v>56</v>
      </c>
      <c r="Q291" s="142">
        <v>46048</v>
      </c>
      <c r="R291" s="142">
        <v>46048</v>
      </c>
      <c r="S291" s="3">
        <v>7</v>
      </c>
      <c r="T291" s="18" t="s">
        <v>55</v>
      </c>
      <c r="U291" s="18" t="s">
        <v>55</v>
      </c>
      <c r="V291" s="18" t="s">
        <v>55</v>
      </c>
      <c r="W291" s="18" t="s">
        <v>55</v>
      </c>
      <c r="X291" s="18" t="s">
        <v>55</v>
      </c>
      <c r="Y291" s="18" t="s">
        <v>55</v>
      </c>
      <c r="Z291" s="18" t="s">
        <v>55</v>
      </c>
      <c r="AA291" s="3">
        <v>1</v>
      </c>
      <c r="AB291" s="3">
        <v>1</v>
      </c>
      <c r="AC291" s="3">
        <v>0</v>
      </c>
      <c r="AD291" s="28">
        <v>46073</v>
      </c>
      <c r="AE291" s="28">
        <v>46073</v>
      </c>
      <c r="AF291" s="28">
        <v>46073</v>
      </c>
      <c r="AG291" s="28">
        <v>46087</v>
      </c>
      <c r="AH291" s="28">
        <v>46090</v>
      </c>
      <c r="AI291" s="33">
        <f t="shared" si="34"/>
        <v>3</v>
      </c>
      <c r="AJ291" s="144" t="s">
        <v>940</v>
      </c>
      <c r="AK291" s="35" t="s">
        <v>1315</v>
      </c>
      <c r="AL291" s="19">
        <f t="shared" si="30"/>
        <v>1</v>
      </c>
      <c r="AM291" s="67">
        <f>IFERROR(NETWORKDAYS(D291,Q291,Hoja1!$A$1:$A$29),"N/A")</f>
        <v>3</v>
      </c>
      <c r="AN291" s="21">
        <f>IFERROR(NETWORKDAYS(D291,AE291,Hoja1!$A$1:$A$29),"N/A")</f>
        <v>22</v>
      </c>
      <c r="AO291" s="78">
        <v>0</v>
      </c>
      <c r="AP291" s="21">
        <f t="shared" si="33"/>
        <v>22</v>
      </c>
      <c r="AQ291" s="21">
        <f>IFERROR(NETWORKDAYS(AF291,AG291,Hoja1!$A$1:$A$29),"N/A")</f>
        <v>11</v>
      </c>
      <c r="AR291" s="78">
        <v>6</v>
      </c>
      <c r="AS291" s="75">
        <f t="shared" si="32"/>
        <v>5</v>
      </c>
      <c r="AT291" s="21">
        <f>IFERROR(NETWORKDAYS(D291,AG291,Hoja1!$A$1:$A$29),"N/A")</f>
        <v>32</v>
      </c>
      <c r="AU291" s="21">
        <f t="shared" si="35"/>
        <v>26</v>
      </c>
      <c r="AV291" s="143" t="s">
        <v>77</v>
      </c>
      <c r="AW291" s="49" t="s">
        <v>82</v>
      </c>
      <c r="AX291" s="87" t="s">
        <v>446</v>
      </c>
      <c r="AY291" s="87"/>
      <c r="AZ291" s="87"/>
      <c r="BA291" s="87"/>
      <c r="BB291" s="87"/>
    </row>
    <row r="292" spans="1:54" ht="15" customHeight="1" x14ac:dyDescent="0.25">
      <c r="A292" s="54">
        <v>15555</v>
      </c>
      <c r="B292" s="87" t="s">
        <v>79</v>
      </c>
      <c r="C292" s="87" t="s">
        <v>79</v>
      </c>
      <c r="D292" s="428">
        <v>46009</v>
      </c>
      <c r="E292" s="142">
        <v>46009</v>
      </c>
      <c r="F292" s="84" t="s">
        <v>62</v>
      </c>
      <c r="G292" s="48" t="s">
        <v>71</v>
      </c>
      <c r="H292" s="143" t="s">
        <v>51</v>
      </c>
      <c r="I292" s="27" t="s">
        <v>72</v>
      </c>
      <c r="J292" s="87" t="s">
        <v>73</v>
      </c>
      <c r="K292" s="87" t="s">
        <v>74</v>
      </c>
      <c r="L292" s="21">
        <v>1</v>
      </c>
      <c r="M292" s="87" t="s">
        <v>54</v>
      </c>
      <c r="N292" s="2" t="s">
        <v>55</v>
      </c>
      <c r="O292" s="3">
        <v>5</v>
      </c>
      <c r="P292" s="3" t="s">
        <v>56</v>
      </c>
      <c r="Q292" s="37">
        <v>46058</v>
      </c>
      <c r="R292" s="37">
        <v>46058</v>
      </c>
      <c r="S292" s="3">
        <v>5</v>
      </c>
      <c r="T292" s="18" t="s">
        <v>55</v>
      </c>
      <c r="U292" s="18" t="s">
        <v>55</v>
      </c>
      <c r="V292" s="18" t="s">
        <v>55</v>
      </c>
      <c r="W292" s="18" t="s">
        <v>55</v>
      </c>
      <c r="X292" s="18" t="s">
        <v>55</v>
      </c>
      <c r="Y292" s="18" t="s">
        <v>55</v>
      </c>
      <c r="Z292" s="18" t="s">
        <v>55</v>
      </c>
      <c r="AA292" s="3">
        <v>3</v>
      </c>
      <c r="AB292" s="3">
        <v>1</v>
      </c>
      <c r="AC292" s="3">
        <v>0</v>
      </c>
      <c r="AD292" s="28">
        <v>46073</v>
      </c>
      <c r="AE292" s="28">
        <v>46073</v>
      </c>
      <c r="AF292" s="28">
        <v>46073</v>
      </c>
      <c r="AG292" s="28">
        <v>46087</v>
      </c>
      <c r="AH292" s="28">
        <v>46090</v>
      </c>
      <c r="AI292" s="33">
        <f t="shared" si="34"/>
        <v>3</v>
      </c>
      <c r="AJ292" s="144" t="s">
        <v>941</v>
      </c>
      <c r="AK292" s="35" t="s">
        <v>1316</v>
      </c>
      <c r="AL292" s="19">
        <f t="shared" si="30"/>
        <v>1</v>
      </c>
      <c r="AM292" s="67">
        <f>IFERROR(NETWORKDAYS(D292,Q292,Hoja1!$A$1:$A$29),"N/A")</f>
        <v>33</v>
      </c>
      <c r="AN292" s="21">
        <f>IFERROR(NETWORKDAYS(D292,AE292,Hoja1!$A$1:$A$29),"N/A")</f>
        <v>44</v>
      </c>
      <c r="AO292" s="78">
        <v>0</v>
      </c>
      <c r="AP292" s="21">
        <f t="shared" si="33"/>
        <v>44</v>
      </c>
      <c r="AQ292" s="21">
        <f>IFERROR(NETWORKDAYS(AF292,AG292,Hoja1!$A$1:$A$29),"N/A")</f>
        <v>11</v>
      </c>
      <c r="AR292" s="78">
        <v>6</v>
      </c>
      <c r="AS292" s="75">
        <f t="shared" si="32"/>
        <v>5</v>
      </c>
      <c r="AT292" s="21">
        <f>IFERROR(NETWORKDAYS(D292,AG292,Hoja1!$A$1:$A$29),"N/A")</f>
        <v>54</v>
      </c>
      <c r="AU292" s="21">
        <f t="shared" si="35"/>
        <v>48</v>
      </c>
      <c r="AV292" s="143" t="s">
        <v>77</v>
      </c>
      <c r="AW292" s="49" t="s">
        <v>82</v>
      </c>
      <c r="AX292" s="87" t="s">
        <v>871</v>
      </c>
      <c r="AY292" s="87"/>
      <c r="AZ292" s="87"/>
      <c r="BA292" s="87"/>
      <c r="BB292" s="87"/>
    </row>
    <row r="293" spans="1:54" ht="15" customHeight="1" x14ac:dyDescent="0.25">
      <c r="A293" s="149">
        <v>15560</v>
      </c>
      <c r="B293" s="156" t="s">
        <v>69</v>
      </c>
      <c r="C293" s="43" t="s">
        <v>98</v>
      </c>
      <c r="D293" s="142">
        <v>46036</v>
      </c>
      <c r="E293" s="142">
        <v>46010</v>
      </c>
      <c r="F293" s="143" t="s">
        <v>62</v>
      </c>
      <c r="G293" s="84" t="s">
        <v>80</v>
      </c>
      <c r="H293" s="179" t="s">
        <v>1465</v>
      </c>
      <c r="I293" s="202" t="s">
        <v>456</v>
      </c>
      <c r="J293" s="84" t="s">
        <v>52</v>
      </c>
      <c r="K293" s="202" t="s">
        <v>66</v>
      </c>
      <c r="L293" s="21">
        <v>1</v>
      </c>
      <c r="M293" s="159" t="s">
        <v>247</v>
      </c>
      <c r="N293" s="33" t="s">
        <v>55</v>
      </c>
      <c r="O293" s="33">
        <v>0</v>
      </c>
      <c r="P293" s="33"/>
      <c r="Q293" s="142" t="s">
        <v>55</v>
      </c>
      <c r="R293" s="142" t="s">
        <v>55</v>
      </c>
      <c r="S293" s="33">
        <v>0</v>
      </c>
      <c r="T293" s="33" t="s">
        <v>55</v>
      </c>
      <c r="U293" s="33" t="s">
        <v>55</v>
      </c>
      <c r="V293" s="33" t="s">
        <v>55</v>
      </c>
      <c r="W293" s="33" t="s">
        <v>55</v>
      </c>
      <c r="X293" s="33" t="s">
        <v>55</v>
      </c>
      <c r="Y293" s="33" t="s">
        <v>55</v>
      </c>
      <c r="Z293" s="33" t="s">
        <v>55</v>
      </c>
      <c r="AA293" s="33">
        <v>1</v>
      </c>
      <c r="AB293" s="33">
        <v>1</v>
      </c>
      <c r="AC293" s="33">
        <v>0</v>
      </c>
      <c r="AD293" s="28">
        <v>46041</v>
      </c>
      <c r="AE293" s="28">
        <v>46077</v>
      </c>
      <c r="AF293" s="28" t="s">
        <v>55</v>
      </c>
      <c r="AG293" s="148">
        <v>46112</v>
      </c>
      <c r="AH293" s="148">
        <v>46112</v>
      </c>
      <c r="AI293" s="33">
        <f t="shared" si="34"/>
        <v>3</v>
      </c>
      <c r="AJ293" s="144" t="s">
        <v>942</v>
      </c>
      <c r="AK293" s="35" t="s">
        <v>943</v>
      </c>
      <c r="AL293" s="19" t="str">
        <f t="shared" si="30"/>
        <v>N/A</v>
      </c>
      <c r="AM293" s="67" t="str">
        <f>IFERROR(NETWORKDAYS(D293,Q293,Hoja1!$A$1:$A$29),"N/A")</f>
        <v>N/A</v>
      </c>
      <c r="AN293" s="21">
        <f>IFERROR(NETWORKDAYS(D293,AE293,Hoja1!$A$1:$A$29),"N/A")</f>
        <v>30</v>
      </c>
      <c r="AO293" s="78">
        <v>26</v>
      </c>
      <c r="AP293" s="21">
        <f t="shared" si="33"/>
        <v>4</v>
      </c>
      <c r="AQ293" s="21" t="str">
        <f>IFERROR(NETWORKDAYS(AF293,AG293,Hoja1!$A$1:$A$29),"N/A")</f>
        <v>N/A</v>
      </c>
      <c r="AR293" s="78">
        <v>0</v>
      </c>
      <c r="AS293" s="19" t="s">
        <v>82</v>
      </c>
      <c r="AT293" s="21">
        <f>IFERROR(NETWORKDAYS(D293,AG293,Hoja1!$A$1:$A$29),"N/A")</f>
        <v>54</v>
      </c>
      <c r="AU293" s="21">
        <f t="shared" si="35"/>
        <v>28</v>
      </c>
      <c r="AV293" s="143" t="s">
        <v>145</v>
      </c>
      <c r="AW293" s="143" t="s">
        <v>146</v>
      </c>
      <c r="AX293" s="3"/>
      <c r="AY293" s="3"/>
      <c r="AZ293" s="3"/>
      <c r="BA293" s="3"/>
      <c r="BB293" s="3"/>
    </row>
    <row r="294" spans="1:54" ht="15" customHeight="1" x14ac:dyDescent="0.25">
      <c r="A294" s="157">
        <v>15568</v>
      </c>
      <c r="B294" s="87" t="s">
        <v>69</v>
      </c>
      <c r="C294" s="43" t="s">
        <v>98</v>
      </c>
      <c r="D294" s="428">
        <v>46083</v>
      </c>
      <c r="E294" s="142">
        <v>46013</v>
      </c>
      <c r="F294" s="143" t="s">
        <v>62</v>
      </c>
      <c r="G294" s="84" t="s">
        <v>71</v>
      </c>
      <c r="H294" s="179" t="s">
        <v>1465</v>
      </c>
      <c r="I294" s="202" t="s">
        <v>944</v>
      </c>
      <c r="J294" s="87" t="s">
        <v>142</v>
      </c>
      <c r="K294" s="202" t="s">
        <v>66</v>
      </c>
      <c r="L294" s="21">
        <v>1</v>
      </c>
      <c r="M294" s="159" t="s">
        <v>247</v>
      </c>
      <c r="N294" s="33" t="s">
        <v>55</v>
      </c>
      <c r="O294" s="33">
        <v>0</v>
      </c>
      <c r="P294" s="33"/>
      <c r="Q294" s="142" t="s">
        <v>55</v>
      </c>
      <c r="R294" s="142" t="s">
        <v>55</v>
      </c>
      <c r="S294" s="33">
        <v>0</v>
      </c>
      <c r="T294" s="33" t="s">
        <v>55</v>
      </c>
      <c r="U294" s="33" t="s">
        <v>55</v>
      </c>
      <c r="V294" s="33" t="s">
        <v>55</v>
      </c>
      <c r="W294" s="33" t="s">
        <v>55</v>
      </c>
      <c r="X294" s="33" t="s">
        <v>55</v>
      </c>
      <c r="Y294" s="33" t="s">
        <v>55</v>
      </c>
      <c r="Z294" s="33" t="s">
        <v>55</v>
      </c>
      <c r="AA294" s="33">
        <v>1</v>
      </c>
      <c r="AB294" s="33">
        <v>1</v>
      </c>
      <c r="AC294" s="33">
        <v>0</v>
      </c>
      <c r="AD294" s="28">
        <v>46087</v>
      </c>
      <c r="AE294" s="28">
        <v>46090</v>
      </c>
      <c r="AF294" s="28" t="s">
        <v>55</v>
      </c>
      <c r="AG294" s="28">
        <v>46090</v>
      </c>
      <c r="AH294" s="28">
        <v>46090</v>
      </c>
      <c r="AI294" s="33">
        <v>3</v>
      </c>
      <c r="AJ294" s="144" t="s">
        <v>945</v>
      </c>
      <c r="AK294" s="35" t="s">
        <v>1317</v>
      </c>
      <c r="AL294" s="19" t="str">
        <f t="shared" si="30"/>
        <v>N/A</v>
      </c>
      <c r="AM294" s="67" t="str">
        <f>IFERROR(NETWORKDAYS(D294,Q294,Hoja1!$A$1:$A$29),"N/A")</f>
        <v>N/A</v>
      </c>
      <c r="AN294" s="21">
        <f>IFERROR(NETWORKDAYS(D294,AE294,Hoja1!$A$1:$A$29),"N/A")</f>
        <v>6</v>
      </c>
      <c r="AO294" s="78">
        <v>0</v>
      </c>
      <c r="AP294" s="21">
        <f t="shared" si="33"/>
        <v>6</v>
      </c>
      <c r="AQ294" s="21" t="str">
        <f>IFERROR(NETWORKDAYS(AF294,AG294,Hoja1!$A$1:$A$29),"N/A")</f>
        <v>N/A</v>
      </c>
      <c r="AR294" s="33">
        <v>0</v>
      </c>
      <c r="AS294" s="19" t="s">
        <v>82</v>
      </c>
      <c r="AT294" s="21">
        <f>IFERROR(NETWORKDAYS(D294,AG294,Hoja1!$A$1:$A$29),"N/A")</f>
        <v>6</v>
      </c>
      <c r="AU294" s="21">
        <f t="shared" si="35"/>
        <v>6</v>
      </c>
      <c r="AV294" s="143" t="s">
        <v>145</v>
      </c>
      <c r="AW294" s="143" t="s">
        <v>180</v>
      </c>
      <c r="AX294" s="3"/>
      <c r="AY294" s="3"/>
      <c r="AZ294" s="3"/>
      <c r="BA294" s="3"/>
      <c r="BB294" s="3"/>
    </row>
    <row r="295" spans="1:54" ht="15" customHeight="1" x14ac:dyDescent="0.25">
      <c r="A295" s="55">
        <v>15572</v>
      </c>
      <c r="B295" s="87" t="s">
        <v>79</v>
      </c>
      <c r="C295" s="87" t="s">
        <v>79</v>
      </c>
      <c r="D295" s="142">
        <v>46013</v>
      </c>
      <c r="E295" s="142">
        <v>46013</v>
      </c>
      <c r="F295" s="232" t="s">
        <v>90</v>
      </c>
      <c r="G295" s="48" t="s">
        <v>91</v>
      </c>
      <c r="H295" s="143" t="s">
        <v>51</v>
      </c>
      <c r="I295" s="111" t="s">
        <v>946</v>
      </c>
      <c r="J295" s="87" t="s">
        <v>142</v>
      </c>
      <c r="K295" s="84" t="s">
        <v>171</v>
      </c>
      <c r="L295" s="21">
        <v>1</v>
      </c>
      <c r="M295" s="87" t="s">
        <v>54</v>
      </c>
      <c r="N295" s="3" t="s">
        <v>55</v>
      </c>
      <c r="O295" s="3">
        <v>8</v>
      </c>
      <c r="P295" s="33" t="s">
        <v>56</v>
      </c>
      <c r="Q295" s="73">
        <v>46083</v>
      </c>
      <c r="R295" s="73">
        <v>46084</v>
      </c>
      <c r="S295" s="3">
        <v>8</v>
      </c>
      <c r="T295" s="3" t="s">
        <v>55</v>
      </c>
      <c r="U295" s="3" t="s">
        <v>55</v>
      </c>
      <c r="V295" s="3" t="s">
        <v>55</v>
      </c>
      <c r="W295" s="3" t="s">
        <v>55</v>
      </c>
      <c r="X295" s="3" t="s">
        <v>55</v>
      </c>
      <c r="Y295" s="3" t="s">
        <v>55</v>
      </c>
      <c r="Z295" s="3" t="s">
        <v>55</v>
      </c>
      <c r="AA295" s="2">
        <v>8</v>
      </c>
      <c r="AB295" s="2">
        <v>1</v>
      </c>
      <c r="AC295" s="3">
        <v>0</v>
      </c>
      <c r="AD295" s="28">
        <v>46091</v>
      </c>
      <c r="AE295" s="28">
        <v>46091</v>
      </c>
      <c r="AF295" s="28">
        <v>46097</v>
      </c>
      <c r="AG295" s="28">
        <v>46101</v>
      </c>
      <c r="AH295" s="140">
        <v>46106</v>
      </c>
      <c r="AI295" s="33">
        <f>MONTH(AH295)</f>
        <v>3</v>
      </c>
      <c r="AJ295" s="144" t="s">
        <v>947</v>
      </c>
      <c r="AK295" s="146" t="s">
        <v>1318</v>
      </c>
      <c r="AL295" s="19">
        <f t="shared" si="30"/>
        <v>1</v>
      </c>
      <c r="AM295" s="67">
        <f>IFERROR(NETWORKDAYS(D295,Q295,Hoja1!$A$1:$A$29),"N/A")</f>
        <v>48</v>
      </c>
      <c r="AN295" s="21">
        <f>IFERROR(NETWORKDAYS(D295,AE295,Hoja1!$A$1:$A$29),"N/A")</f>
        <v>54</v>
      </c>
      <c r="AO295" s="78">
        <v>11</v>
      </c>
      <c r="AP295" s="21">
        <f t="shared" si="33"/>
        <v>43</v>
      </c>
      <c r="AQ295" s="21">
        <f>IFERROR(NETWORKDAYS(AF295,AG295,Hoja1!$A$1:$A$29),"N/A")</f>
        <v>5</v>
      </c>
      <c r="AR295" s="78">
        <v>0</v>
      </c>
      <c r="AS295" s="75">
        <f>AQ295-AR295</f>
        <v>5</v>
      </c>
      <c r="AT295" s="21">
        <f>IFERROR(NETWORKDAYS(D295,AG295,Hoja1!$A$1:$A$29),"N/A")</f>
        <v>62</v>
      </c>
      <c r="AU295" s="21">
        <f t="shared" si="35"/>
        <v>51</v>
      </c>
      <c r="AV295" s="143" t="s">
        <v>265</v>
      </c>
      <c r="AW295" s="143" t="s">
        <v>888</v>
      </c>
      <c r="AX295" s="111"/>
      <c r="AY295" s="111"/>
      <c r="AZ295" s="111"/>
      <c r="BA295" s="111"/>
      <c r="BB295" s="111"/>
    </row>
    <row r="296" spans="1:54" ht="15" customHeight="1" x14ac:dyDescent="0.25">
      <c r="A296" s="95">
        <v>15574</v>
      </c>
      <c r="B296" s="87" t="s">
        <v>69</v>
      </c>
      <c r="C296" s="87" t="s">
        <v>202</v>
      </c>
      <c r="D296" s="428">
        <v>46077</v>
      </c>
      <c r="E296" s="142">
        <v>46014</v>
      </c>
      <c r="F296" s="232" t="s">
        <v>62</v>
      </c>
      <c r="G296" s="23" t="s">
        <v>71</v>
      </c>
      <c r="H296" s="143" t="s">
        <v>101</v>
      </c>
      <c r="I296" s="27" t="s">
        <v>72</v>
      </c>
      <c r="J296" s="87" t="s">
        <v>73</v>
      </c>
      <c r="K296" s="111" t="s">
        <v>351</v>
      </c>
      <c r="L296" s="21">
        <v>1</v>
      </c>
      <c r="M296" s="87" t="s">
        <v>54</v>
      </c>
      <c r="N296" s="3" t="s">
        <v>55</v>
      </c>
      <c r="O296" s="3">
        <v>0</v>
      </c>
      <c r="P296" s="33"/>
      <c r="Q296" s="155" t="s">
        <v>55</v>
      </c>
      <c r="R296" s="155" t="s">
        <v>55</v>
      </c>
      <c r="S296" s="3">
        <v>0</v>
      </c>
      <c r="T296" s="3" t="s">
        <v>55</v>
      </c>
      <c r="U296" s="3" t="s">
        <v>55</v>
      </c>
      <c r="V296" s="3" t="s">
        <v>55</v>
      </c>
      <c r="W296" s="3" t="s">
        <v>55</v>
      </c>
      <c r="X296" s="3" t="s">
        <v>55</v>
      </c>
      <c r="Y296" s="3" t="s">
        <v>55</v>
      </c>
      <c r="Z296" s="3" t="s">
        <v>55</v>
      </c>
      <c r="AA296" s="1">
        <v>2</v>
      </c>
      <c r="AB296" s="1">
        <v>2</v>
      </c>
      <c r="AC296" s="3">
        <v>0</v>
      </c>
      <c r="AD296" s="28">
        <v>46083</v>
      </c>
      <c r="AE296" s="28">
        <v>46086</v>
      </c>
      <c r="AF296" s="28">
        <v>46086</v>
      </c>
      <c r="AG296" s="28">
        <v>46098</v>
      </c>
      <c r="AH296" s="140">
        <v>46106</v>
      </c>
      <c r="AI296" s="33">
        <f>MONTH(AH296)</f>
        <v>3</v>
      </c>
      <c r="AJ296" s="144" t="s">
        <v>948</v>
      </c>
      <c r="AK296" s="35" t="s">
        <v>1319</v>
      </c>
      <c r="AL296" s="19" t="str">
        <f t="shared" si="30"/>
        <v>N/A</v>
      </c>
      <c r="AM296" s="67" t="str">
        <f>IFERROR(NETWORKDAYS(D296,Q296,Hoja1!$A$1:$A$29),"N/A")</f>
        <v>N/A</v>
      </c>
      <c r="AN296" s="21">
        <f>IFERROR(NETWORKDAYS(D296,AE296,Hoja1!$A$1:$A$29),"N/A")</f>
        <v>8</v>
      </c>
      <c r="AO296" s="78">
        <v>0</v>
      </c>
      <c r="AP296" s="21">
        <f t="shared" si="33"/>
        <v>8</v>
      </c>
      <c r="AQ296" s="21">
        <f>IFERROR(NETWORKDAYS(AF296,AG296,Hoja1!$A$1:$A$29),"N/A")</f>
        <v>9</v>
      </c>
      <c r="AR296" s="78">
        <v>4</v>
      </c>
      <c r="AS296" s="75">
        <f>AQ296-AR296</f>
        <v>5</v>
      </c>
      <c r="AT296" s="21">
        <f>IFERROR(NETWORKDAYS(D296,AG296,Hoja1!$A$1:$A$29),"N/A")</f>
        <v>16</v>
      </c>
      <c r="AU296" s="21">
        <f t="shared" si="35"/>
        <v>12</v>
      </c>
      <c r="AV296" s="143" t="s">
        <v>104</v>
      </c>
      <c r="AW296" s="143" t="s">
        <v>82</v>
      </c>
      <c r="AX296" s="46"/>
      <c r="AY296" s="114"/>
      <c r="AZ296" s="114"/>
      <c r="BA296" s="114"/>
      <c r="BB296" s="114"/>
    </row>
    <row r="297" spans="1:54" ht="15" customHeight="1" x14ac:dyDescent="0.25">
      <c r="A297" s="95">
        <v>15582</v>
      </c>
      <c r="B297" s="87" t="s">
        <v>69</v>
      </c>
      <c r="C297" s="84" t="s">
        <v>122</v>
      </c>
      <c r="D297" s="142">
        <v>46015</v>
      </c>
      <c r="E297" s="142">
        <v>46015</v>
      </c>
      <c r="F297" s="84" t="s">
        <v>62</v>
      </c>
      <c r="G297" s="84" t="s">
        <v>71</v>
      </c>
      <c r="H297" s="143" t="s">
        <v>51</v>
      </c>
      <c r="I297" s="84" t="s">
        <v>96</v>
      </c>
      <c r="J297" s="87" t="s">
        <v>73</v>
      </c>
      <c r="K297" s="84" t="s">
        <v>66</v>
      </c>
      <c r="L297" s="21">
        <v>1</v>
      </c>
      <c r="M297" s="87" t="s">
        <v>54</v>
      </c>
      <c r="N297" s="33" t="s">
        <v>55</v>
      </c>
      <c r="O297" s="33">
        <v>3</v>
      </c>
      <c r="P297" s="3" t="s">
        <v>112</v>
      </c>
      <c r="Q297" s="142">
        <v>46027</v>
      </c>
      <c r="R297" s="142">
        <v>46028</v>
      </c>
      <c r="S297" s="33">
        <v>3</v>
      </c>
      <c r="T297" s="33" t="s">
        <v>55</v>
      </c>
      <c r="U297" s="33" t="s">
        <v>55</v>
      </c>
      <c r="V297" s="33" t="s">
        <v>55</v>
      </c>
      <c r="W297" s="33" t="s">
        <v>55</v>
      </c>
      <c r="X297" s="33" t="s">
        <v>55</v>
      </c>
      <c r="Y297" s="33" t="s">
        <v>55</v>
      </c>
      <c r="Z297" s="33" t="s">
        <v>55</v>
      </c>
      <c r="AA297" s="33">
        <v>2</v>
      </c>
      <c r="AB297" s="33">
        <v>2</v>
      </c>
      <c r="AC297" s="33">
        <v>0</v>
      </c>
      <c r="AD297" s="28">
        <v>46059</v>
      </c>
      <c r="AE297" s="28">
        <v>46077</v>
      </c>
      <c r="AF297" s="28">
        <v>46078</v>
      </c>
      <c r="AG297" s="28">
        <v>46091</v>
      </c>
      <c r="AH297" s="140">
        <v>46093</v>
      </c>
      <c r="AI297" s="33">
        <f>MONTH(AH297)</f>
        <v>3</v>
      </c>
      <c r="AJ297" s="144" t="s">
        <v>949</v>
      </c>
      <c r="AK297" s="35" t="s">
        <v>950</v>
      </c>
      <c r="AL297" s="19">
        <f t="shared" si="30"/>
        <v>1</v>
      </c>
      <c r="AM297" s="67">
        <f>IFERROR(NETWORKDAYS(D297,Q297,Hoja1!$A$1:$A$29),"N/A")</f>
        <v>7</v>
      </c>
      <c r="AN297" s="21">
        <f>IFERROR(NETWORKDAYS(D297,AE297,Hoja1!$A$1:$A$29),"N/A")</f>
        <v>42</v>
      </c>
      <c r="AO297" s="78">
        <v>25</v>
      </c>
      <c r="AP297" s="21">
        <f t="shared" si="33"/>
        <v>17</v>
      </c>
      <c r="AQ297" s="21">
        <f>IFERROR(NETWORKDAYS(AF297,AG297,Hoja1!$A$1:$A$29),"N/A")</f>
        <v>10</v>
      </c>
      <c r="AR297" s="78">
        <v>5</v>
      </c>
      <c r="AS297" s="75">
        <f>AQ297-AR297</f>
        <v>5</v>
      </c>
      <c r="AT297" s="21">
        <f>IFERROR(NETWORKDAYS(D297,AG297,Hoja1!$A$1:$A$29),"N/A")</f>
        <v>52</v>
      </c>
      <c r="AU297" s="21">
        <f t="shared" si="35"/>
        <v>22</v>
      </c>
      <c r="AV297" s="143" t="s">
        <v>77</v>
      </c>
      <c r="AW297" s="143" t="s">
        <v>82</v>
      </c>
      <c r="AX297" s="84"/>
      <c r="AY297" s="84"/>
      <c r="AZ297" s="84"/>
      <c r="BA297" s="84"/>
      <c r="BB297" s="84"/>
    </row>
    <row r="298" spans="1:54" ht="15" customHeight="1" x14ac:dyDescent="0.25">
      <c r="A298" s="56">
        <v>15604</v>
      </c>
      <c r="B298" s="87" t="s">
        <v>79</v>
      </c>
      <c r="C298" s="87" t="s">
        <v>79</v>
      </c>
      <c r="D298" s="428">
        <v>46021</v>
      </c>
      <c r="E298" s="142">
        <v>46021</v>
      </c>
      <c r="F298" s="202" t="s">
        <v>879</v>
      </c>
      <c r="G298" s="48" t="s">
        <v>396</v>
      </c>
      <c r="H298" s="143" t="s">
        <v>51</v>
      </c>
      <c r="I298" s="87" t="s">
        <v>92</v>
      </c>
      <c r="J298" s="84" t="s">
        <v>52</v>
      </c>
      <c r="K298" s="48" t="s">
        <v>106</v>
      </c>
      <c r="L298" s="21">
        <v>1</v>
      </c>
      <c r="M298" s="87" t="s">
        <v>54</v>
      </c>
      <c r="N298" s="18" t="s">
        <v>55</v>
      </c>
      <c r="O298" s="3">
        <v>4</v>
      </c>
      <c r="P298" s="33" t="s">
        <v>56</v>
      </c>
      <c r="Q298" s="30">
        <v>46059</v>
      </c>
      <c r="R298" s="30">
        <v>46059</v>
      </c>
      <c r="S298" s="3">
        <v>4</v>
      </c>
      <c r="T298" s="18" t="s">
        <v>55</v>
      </c>
      <c r="U298" s="18" t="s">
        <v>55</v>
      </c>
      <c r="V298" s="18" t="s">
        <v>55</v>
      </c>
      <c r="W298" s="18" t="s">
        <v>55</v>
      </c>
      <c r="X298" s="18" t="s">
        <v>55</v>
      </c>
      <c r="Y298" s="18" t="s">
        <v>55</v>
      </c>
      <c r="Z298" s="18" t="s">
        <v>55</v>
      </c>
      <c r="AA298" s="3">
        <v>2</v>
      </c>
      <c r="AB298" s="3">
        <v>2</v>
      </c>
      <c r="AC298" s="3">
        <v>0</v>
      </c>
      <c r="AD298" s="30">
        <v>46087</v>
      </c>
      <c r="AE298" s="28">
        <v>46096</v>
      </c>
      <c r="AF298" s="28">
        <v>46096</v>
      </c>
      <c r="AG298" s="28">
        <v>46106</v>
      </c>
      <c r="AH298" s="140">
        <v>46106</v>
      </c>
      <c r="AI298" s="33">
        <f>MONTH(AH298)</f>
        <v>3</v>
      </c>
      <c r="AJ298" s="144" t="s">
        <v>951</v>
      </c>
      <c r="AK298" s="35" t="s">
        <v>1320</v>
      </c>
      <c r="AL298" s="19">
        <f t="shared" si="30"/>
        <v>1</v>
      </c>
      <c r="AM298" s="67">
        <f>IFERROR(NETWORKDAYS(D298,Q298,Hoja1!$A$1:$A$29),"N/A")</f>
        <v>27</v>
      </c>
      <c r="AN298" s="21">
        <f>IFERROR(NETWORKDAYS(D298,AE298,Hoja1!$A$1:$A$29),"N/A")</f>
        <v>52</v>
      </c>
      <c r="AO298" s="78">
        <v>24</v>
      </c>
      <c r="AP298" s="21">
        <f t="shared" si="33"/>
        <v>28</v>
      </c>
      <c r="AQ298" s="21">
        <f>IFERROR(NETWORKDAYS(AF298,AG298,Hoja1!$A$1:$A$29),"N/A")</f>
        <v>7</v>
      </c>
      <c r="AR298" s="78">
        <v>2</v>
      </c>
      <c r="AS298" s="75">
        <f>AQ298-AR298</f>
        <v>5</v>
      </c>
      <c r="AT298" s="21">
        <f>IFERROR(NETWORKDAYS(D298,AG298,Hoja1!$A$1:$A$29),"N/A")</f>
        <v>59</v>
      </c>
      <c r="AU298" s="21">
        <f t="shared" si="35"/>
        <v>33</v>
      </c>
      <c r="AV298" s="143" t="s">
        <v>145</v>
      </c>
      <c r="AW298" s="143" t="s">
        <v>180</v>
      </c>
      <c r="AX298" s="87"/>
      <c r="AY298" s="87"/>
      <c r="AZ298" s="87"/>
      <c r="BA298" s="87"/>
      <c r="BB298" s="87"/>
    </row>
    <row r="299" spans="1:54" ht="15" customHeight="1" x14ac:dyDescent="0.25">
      <c r="A299" s="95">
        <v>15618</v>
      </c>
      <c r="B299" s="87" t="s">
        <v>69</v>
      </c>
      <c r="C299" s="43" t="s">
        <v>98</v>
      </c>
      <c r="D299" s="142">
        <v>46064</v>
      </c>
      <c r="E299" s="142">
        <v>46086</v>
      </c>
      <c r="F299" s="143" t="s">
        <v>62</v>
      </c>
      <c r="G299" s="143" t="s">
        <v>80</v>
      </c>
      <c r="H299" s="179" t="s">
        <v>1465</v>
      </c>
      <c r="I299" s="48" t="s">
        <v>1406</v>
      </c>
      <c r="J299" s="84" t="s">
        <v>52</v>
      </c>
      <c r="K299" s="114" t="s">
        <v>66</v>
      </c>
      <c r="L299" s="21">
        <v>1</v>
      </c>
      <c r="M299" s="159" t="s">
        <v>247</v>
      </c>
      <c r="N299" s="33" t="s">
        <v>55</v>
      </c>
      <c r="O299" s="33">
        <v>0</v>
      </c>
      <c r="P299" s="33"/>
      <c r="Q299" s="142" t="s">
        <v>55</v>
      </c>
      <c r="R299" s="142" t="s">
        <v>55</v>
      </c>
      <c r="S299" s="33">
        <v>0</v>
      </c>
      <c r="T299" s="33" t="s">
        <v>55</v>
      </c>
      <c r="U299" s="33" t="s">
        <v>55</v>
      </c>
      <c r="V299" s="33" t="s">
        <v>55</v>
      </c>
      <c r="W299" s="33" t="s">
        <v>55</v>
      </c>
      <c r="X299" s="33" t="s">
        <v>55</v>
      </c>
      <c r="Y299" s="33" t="s">
        <v>55</v>
      </c>
      <c r="Z299" s="33" t="s">
        <v>55</v>
      </c>
      <c r="AA299" s="1">
        <v>1</v>
      </c>
      <c r="AB299" s="1">
        <v>1</v>
      </c>
      <c r="AC299" s="33">
        <v>0</v>
      </c>
      <c r="AD299" s="16">
        <v>46066</v>
      </c>
      <c r="AE299" s="28">
        <v>46066</v>
      </c>
      <c r="AF299" s="28" t="s">
        <v>55</v>
      </c>
      <c r="AG299" s="16">
        <v>46083</v>
      </c>
      <c r="AH299" s="16">
        <v>46083</v>
      </c>
      <c r="AI299" s="33">
        <v>3</v>
      </c>
      <c r="AJ299" s="144" t="s">
        <v>952</v>
      </c>
      <c r="AK299" s="35" t="s">
        <v>682</v>
      </c>
      <c r="AL299" s="19" t="str">
        <f t="shared" si="30"/>
        <v>N/A</v>
      </c>
      <c r="AM299" s="67" t="str">
        <f>IFERROR(NETWORKDAYS(D299,Q299,Hoja1!$A$1:$A$29),"N/A")</f>
        <v>N/A</v>
      </c>
      <c r="AN299" s="21">
        <f>IFERROR(NETWORKDAYS(D299,AE299,Hoja1!$A$1:$A$29),"N/A")</f>
        <v>3</v>
      </c>
      <c r="AO299" s="78">
        <v>0</v>
      </c>
      <c r="AP299" s="21">
        <f t="shared" si="33"/>
        <v>3</v>
      </c>
      <c r="AQ299" s="21" t="str">
        <f>IFERROR(NETWORKDAYS(AF299,AG299,Hoja1!$A$1:$A$29),"N/A")</f>
        <v>N/A</v>
      </c>
      <c r="AR299" s="33">
        <v>0</v>
      </c>
      <c r="AS299" s="19" t="s">
        <v>82</v>
      </c>
      <c r="AT299" s="21">
        <f>IFERROR(NETWORKDAYS(D299,AG299,Hoja1!$A$1:$A$29),"N/A")</f>
        <v>14</v>
      </c>
      <c r="AU299" s="21">
        <f t="shared" si="35"/>
        <v>14</v>
      </c>
      <c r="AV299" s="143" t="s">
        <v>145</v>
      </c>
      <c r="AW299" s="143" t="s">
        <v>180</v>
      </c>
      <c r="AX299" s="33"/>
      <c r="AY299" s="33"/>
      <c r="AZ299" s="33"/>
      <c r="BA299" s="33"/>
      <c r="BB299" s="33"/>
    </row>
    <row r="300" spans="1:54" ht="15" customHeight="1" x14ac:dyDescent="0.25">
      <c r="A300" s="203">
        <v>15619</v>
      </c>
      <c r="B300" s="184" t="s">
        <v>69</v>
      </c>
      <c r="C300" s="112" t="s">
        <v>98</v>
      </c>
      <c r="D300" s="429">
        <v>46027</v>
      </c>
      <c r="E300" s="174">
        <v>46027</v>
      </c>
      <c r="F300" s="186" t="s">
        <v>163</v>
      </c>
      <c r="G300" s="185" t="s">
        <v>688</v>
      </c>
      <c r="H300" s="177" t="s">
        <v>271</v>
      </c>
      <c r="I300" s="241" t="s">
        <v>582</v>
      </c>
      <c r="J300" s="197" t="s">
        <v>52</v>
      </c>
      <c r="K300" s="77" t="s">
        <v>165</v>
      </c>
      <c r="L300" s="66">
        <v>1</v>
      </c>
      <c r="M300" s="184" t="s">
        <v>54</v>
      </c>
      <c r="N300" s="96" t="s">
        <v>55</v>
      </c>
      <c r="O300" s="96">
        <v>8</v>
      </c>
      <c r="P300" s="99" t="s">
        <v>56</v>
      </c>
      <c r="Q300" s="198">
        <v>46030</v>
      </c>
      <c r="R300" s="198">
        <v>46055</v>
      </c>
      <c r="S300" s="96">
        <v>8</v>
      </c>
      <c r="T300" s="96" t="s">
        <v>55</v>
      </c>
      <c r="U300" s="96" t="s">
        <v>55</v>
      </c>
      <c r="V300" s="96" t="s">
        <v>55</v>
      </c>
      <c r="W300" s="96" t="s">
        <v>55</v>
      </c>
      <c r="X300" s="96" t="s">
        <v>55</v>
      </c>
      <c r="Y300" s="96" t="s">
        <v>55</v>
      </c>
      <c r="Z300" s="96" t="s">
        <v>55</v>
      </c>
      <c r="AA300" s="106">
        <v>0</v>
      </c>
      <c r="AB300" s="106">
        <v>0</v>
      </c>
      <c r="AC300" s="96">
        <v>0</v>
      </c>
      <c r="AD300" s="136" t="s">
        <v>55</v>
      </c>
      <c r="AE300" s="178">
        <v>46055</v>
      </c>
      <c r="AF300" s="178">
        <v>46056</v>
      </c>
      <c r="AG300" s="178">
        <v>46076</v>
      </c>
      <c r="AH300" s="139">
        <v>46083</v>
      </c>
      <c r="AI300" s="99">
        <v>3</v>
      </c>
      <c r="AJ300" s="227" t="s">
        <v>953</v>
      </c>
      <c r="AK300" s="97" t="s">
        <v>954</v>
      </c>
      <c r="AL300" s="19">
        <f t="shared" si="30"/>
        <v>1</v>
      </c>
      <c r="AM300" s="67">
        <f>IFERROR(NETWORKDAYS(D300,Q300,Hoja1!$A$1:$A$29),"N/A")</f>
        <v>4</v>
      </c>
      <c r="AN300" s="21">
        <f>IFERROR(NETWORKDAYS(D300,AE300,Hoja1!$A$1:$A$29),"N/A")</f>
        <v>20</v>
      </c>
      <c r="AO300" s="273">
        <v>0</v>
      </c>
      <c r="AP300" s="105" t="s">
        <v>82</v>
      </c>
      <c r="AQ300" s="21">
        <f>IFERROR(NETWORKDAYS(AF300,AG300,Hoja1!$A$1:$A$29),"N/A")</f>
        <v>15</v>
      </c>
      <c r="AR300" s="65">
        <v>10</v>
      </c>
      <c r="AS300" s="68">
        <f t="shared" ref="AS300:AS321" si="36">AQ300-AR300</f>
        <v>5</v>
      </c>
      <c r="AT300" s="21">
        <f>IFERROR(NETWORKDAYS(D300,AG300,Hoja1!$A$1:$A$29),"N/A")</f>
        <v>35</v>
      </c>
      <c r="AU300" s="66">
        <f t="shared" si="35"/>
        <v>25</v>
      </c>
      <c r="AV300" s="176" t="s">
        <v>145</v>
      </c>
      <c r="AW300" s="176" t="s">
        <v>180</v>
      </c>
      <c r="AX300" s="278"/>
      <c r="AY300" s="186"/>
      <c r="AZ300" s="186"/>
      <c r="BA300" s="186"/>
      <c r="BB300" s="186"/>
    </row>
    <row r="301" spans="1:54" ht="15" customHeight="1" x14ac:dyDescent="0.25">
      <c r="A301" s="54">
        <v>15645</v>
      </c>
      <c r="B301" s="152" t="s">
        <v>85</v>
      </c>
      <c r="C301" s="152" t="s">
        <v>85</v>
      </c>
      <c r="D301" s="142">
        <v>46057</v>
      </c>
      <c r="E301" s="142">
        <v>46030</v>
      </c>
      <c r="F301" s="143" t="s">
        <v>99</v>
      </c>
      <c r="G301" s="152" t="s">
        <v>100</v>
      </c>
      <c r="H301" s="143" t="s">
        <v>51</v>
      </c>
      <c r="I301" s="27" t="s">
        <v>72</v>
      </c>
      <c r="J301" s="87" t="s">
        <v>73</v>
      </c>
      <c r="K301" s="111" t="s">
        <v>129</v>
      </c>
      <c r="L301" s="21">
        <v>1</v>
      </c>
      <c r="M301" s="87" t="s">
        <v>54</v>
      </c>
      <c r="N301" s="2" t="s">
        <v>55</v>
      </c>
      <c r="O301" s="151">
        <v>5</v>
      </c>
      <c r="P301" s="33" t="s">
        <v>56</v>
      </c>
      <c r="Q301" s="104">
        <v>46086</v>
      </c>
      <c r="R301" s="104">
        <v>46086</v>
      </c>
      <c r="S301" s="151">
        <v>5</v>
      </c>
      <c r="T301" s="2" t="s">
        <v>55</v>
      </c>
      <c r="U301" s="2" t="s">
        <v>55</v>
      </c>
      <c r="V301" s="2" t="s">
        <v>55</v>
      </c>
      <c r="W301" s="2" t="s">
        <v>55</v>
      </c>
      <c r="X301" s="2" t="s">
        <v>55</v>
      </c>
      <c r="Y301" s="2" t="s">
        <v>55</v>
      </c>
      <c r="Z301" s="2" t="s">
        <v>55</v>
      </c>
      <c r="AA301" s="151">
        <v>2</v>
      </c>
      <c r="AB301" s="151">
        <v>2</v>
      </c>
      <c r="AC301" s="2">
        <v>0</v>
      </c>
      <c r="AD301" s="30">
        <v>46097</v>
      </c>
      <c r="AE301" s="30">
        <v>46097</v>
      </c>
      <c r="AF301" s="30">
        <v>46097</v>
      </c>
      <c r="AG301" s="28">
        <v>46101</v>
      </c>
      <c r="AH301" s="140">
        <v>46106</v>
      </c>
      <c r="AI301" s="33">
        <f t="shared" ref="AI301:AI321" si="37">MONTH(AH301)</f>
        <v>3</v>
      </c>
      <c r="AJ301" s="144" t="s">
        <v>955</v>
      </c>
      <c r="AK301" s="35" t="s">
        <v>956</v>
      </c>
      <c r="AL301" s="19">
        <f t="shared" si="30"/>
        <v>1</v>
      </c>
      <c r="AM301" s="67">
        <f>IFERROR(NETWORKDAYS(D301,Q301,Hoja1!$A$1:$A$29),"N/A")</f>
        <v>22</v>
      </c>
      <c r="AN301" s="21">
        <f>IFERROR(NETWORKDAYS(D301,AE301,Hoja1!$A$1:$A$29),"N/A")</f>
        <v>29</v>
      </c>
      <c r="AO301" s="78">
        <v>7</v>
      </c>
      <c r="AP301" s="21">
        <f t="shared" ref="AP301:AP334" si="38">AN301-AO301</f>
        <v>22</v>
      </c>
      <c r="AQ301" s="21">
        <f>IFERROR(NETWORKDAYS(AF301,AG301,Hoja1!$A$1:$A$29),"N/A")</f>
        <v>5</v>
      </c>
      <c r="AR301" s="78">
        <v>0</v>
      </c>
      <c r="AS301" s="75">
        <f t="shared" si="36"/>
        <v>5</v>
      </c>
      <c r="AT301" s="21">
        <f>IFERROR(NETWORKDAYS(D301,AG301,Hoja1!$A$1:$A$29),"N/A")</f>
        <v>33</v>
      </c>
      <c r="AU301" s="21">
        <f t="shared" si="35"/>
        <v>26</v>
      </c>
      <c r="AV301" s="143" t="s">
        <v>127</v>
      </c>
      <c r="AW301" s="143" t="s">
        <v>82</v>
      </c>
      <c r="AX301" s="87" t="s">
        <v>871</v>
      </c>
      <c r="AY301" s="87" t="s">
        <v>871</v>
      </c>
      <c r="AZ301" s="152"/>
      <c r="BA301" s="152"/>
      <c r="BB301" s="152"/>
    </row>
    <row r="302" spans="1:54" ht="15" customHeight="1" x14ac:dyDescent="0.25">
      <c r="A302" s="54">
        <v>15647</v>
      </c>
      <c r="B302" s="87" t="s">
        <v>79</v>
      </c>
      <c r="C302" s="87" t="s">
        <v>79</v>
      </c>
      <c r="D302" s="428">
        <v>46030</v>
      </c>
      <c r="E302" s="142">
        <v>46030</v>
      </c>
      <c r="F302" s="84" t="s">
        <v>62</v>
      </c>
      <c r="G302" s="87" t="s">
        <v>80</v>
      </c>
      <c r="H302" s="143" t="s">
        <v>101</v>
      </c>
      <c r="I302" s="87" t="s">
        <v>957</v>
      </c>
      <c r="J302" s="87" t="s">
        <v>105</v>
      </c>
      <c r="K302" s="87" t="s">
        <v>74</v>
      </c>
      <c r="L302" s="21">
        <v>1</v>
      </c>
      <c r="M302" s="87" t="s">
        <v>54</v>
      </c>
      <c r="N302" s="18" t="s">
        <v>55</v>
      </c>
      <c r="O302" s="3">
        <v>0</v>
      </c>
      <c r="P302" s="33"/>
      <c r="Q302" s="2" t="s">
        <v>55</v>
      </c>
      <c r="R302" s="2" t="s">
        <v>55</v>
      </c>
      <c r="S302" s="3">
        <v>0</v>
      </c>
      <c r="T302" s="18" t="s">
        <v>55</v>
      </c>
      <c r="U302" s="18" t="s">
        <v>55</v>
      </c>
      <c r="V302" s="18" t="s">
        <v>55</v>
      </c>
      <c r="W302" s="18" t="s">
        <v>55</v>
      </c>
      <c r="X302" s="18" t="s">
        <v>55</v>
      </c>
      <c r="Y302" s="18" t="s">
        <v>55</v>
      </c>
      <c r="Z302" s="18" t="s">
        <v>55</v>
      </c>
      <c r="AA302" s="3">
        <v>2</v>
      </c>
      <c r="AB302" s="3">
        <v>1</v>
      </c>
      <c r="AC302" s="3">
        <v>0</v>
      </c>
      <c r="AD302" s="28">
        <v>46091</v>
      </c>
      <c r="AE302" s="28">
        <v>46091</v>
      </c>
      <c r="AF302" s="28">
        <v>46092</v>
      </c>
      <c r="AG302" s="28">
        <v>46101</v>
      </c>
      <c r="AH302" s="140">
        <v>46106</v>
      </c>
      <c r="AI302" s="33">
        <f t="shared" si="37"/>
        <v>3</v>
      </c>
      <c r="AJ302" s="144" t="s">
        <v>958</v>
      </c>
      <c r="AK302" s="35" t="s">
        <v>959</v>
      </c>
      <c r="AL302" s="19" t="str">
        <f t="shared" si="30"/>
        <v>N/A</v>
      </c>
      <c r="AM302" s="67" t="str">
        <f>IFERROR(NETWORKDAYS(D302,Q302,Hoja1!$A$1:$A$29),"N/A")</f>
        <v>N/A</v>
      </c>
      <c r="AN302" s="21">
        <f>IFERROR(NETWORKDAYS(D302,AE302,Hoja1!$A$1:$A$29),"N/A")</f>
        <v>43</v>
      </c>
      <c r="AO302" s="78">
        <v>38</v>
      </c>
      <c r="AP302" s="21">
        <f t="shared" si="38"/>
        <v>5</v>
      </c>
      <c r="AQ302" s="21">
        <f>IFERROR(NETWORKDAYS(AF302,AG302,Hoja1!$A$1:$A$29),"N/A")</f>
        <v>8</v>
      </c>
      <c r="AR302" s="78">
        <v>3</v>
      </c>
      <c r="AS302" s="75">
        <f t="shared" si="36"/>
        <v>5</v>
      </c>
      <c r="AT302" s="21">
        <f>IFERROR(NETWORKDAYS(D302,AG302,Hoja1!$A$1:$A$29),"N/A")</f>
        <v>51</v>
      </c>
      <c r="AU302" s="21">
        <f t="shared" si="35"/>
        <v>10</v>
      </c>
      <c r="AV302" s="143" t="s">
        <v>104</v>
      </c>
      <c r="AW302" s="143" t="s">
        <v>960</v>
      </c>
      <c r="AX302" s="87" t="s">
        <v>881</v>
      </c>
      <c r="AY302" s="87"/>
      <c r="AZ302" s="87"/>
      <c r="BA302" s="87"/>
      <c r="BB302" s="87"/>
    </row>
    <row r="303" spans="1:54" ht="15" customHeight="1" x14ac:dyDescent="0.25">
      <c r="A303" s="54">
        <v>15650</v>
      </c>
      <c r="B303" s="87" t="s">
        <v>79</v>
      </c>
      <c r="C303" s="87" t="s">
        <v>79</v>
      </c>
      <c r="D303" s="142">
        <v>46030</v>
      </c>
      <c r="E303" s="142">
        <v>46030</v>
      </c>
      <c r="F303" s="143" t="s">
        <v>99</v>
      </c>
      <c r="G303" s="152" t="s">
        <v>100</v>
      </c>
      <c r="H303" s="143" t="s">
        <v>51</v>
      </c>
      <c r="I303" s="27" t="s">
        <v>72</v>
      </c>
      <c r="J303" s="87" t="s">
        <v>73</v>
      </c>
      <c r="K303" s="111" t="s">
        <v>129</v>
      </c>
      <c r="L303" s="21">
        <v>1</v>
      </c>
      <c r="M303" s="87" t="s">
        <v>54</v>
      </c>
      <c r="N303" s="2" t="s">
        <v>55</v>
      </c>
      <c r="O303" s="151">
        <v>3</v>
      </c>
      <c r="P303" s="3" t="s">
        <v>112</v>
      </c>
      <c r="Q303" s="104">
        <v>46057</v>
      </c>
      <c r="R303" s="104">
        <v>46057</v>
      </c>
      <c r="S303" s="151">
        <v>3</v>
      </c>
      <c r="T303" s="2" t="s">
        <v>55</v>
      </c>
      <c r="U303" s="2" t="s">
        <v>55</v>
      </c>
      <c r="V303" s="2" t="s">
        <v>55</v>
      </c>
      <c r="W303" s="2" t="s">
        <v>55</v>
      </c>
      <c r="X303" s="2" t="s">
        <v>55</v>
      </c>
      <c r="Y303" s="2" t="s">
        <v>55</v>
      </c>
      <c r="Z303" s="2" t="s">
        <v>55</v>
      </c>
      <c r="AA303" s="151">
        <v>1</v>
      </c>
      <c r="AB303" s="151">
        <v>1</v>
      </c>
      <c r="AC303" s="2">
        <v>0</v>
      </c>
      <c r="AD303" s="30">
        <v>46072</v>
      </c>
      <c r="AE303" s="30">
        <v>46073</v>
      </c>
      <c r="AF303" s="30">
        <v>46073</v>
      </c>
      <c r="AG303" s="28">
        <v>46080</v>
      </c>
      <c r="AH303" s="37">
        <v>46083</v>
      </c>
      <c r="AI303" s="33">
        <f t="shared" si="37"/>
        <v>3</v>
      </c>
      <c r="AJ303" s="144" t="s">
        <v>961</v>
      </c>
      <c r="AK303" s="35" t="s">
        <v>962</v>
      </c>
      <c r="AL303" s="19">
        <f t="shared" si="30"/>
        <v>1</v>
      </c>
      <c r="AM303" s="67">
        <f>IFERROR(NETWORKDAYS(D303,Q303,Hoja1!$A$1:$A$29),"N/A")</f>
        <v>19</v>
      </c>
      <c r="AN303" s="21">
        <f>IFERROR(NETWORKDAYS(D303,AE303,Hoja1!$A$1:$A$29),"N/A")</f>
        <v>31</v>
      </c>
      <c r="AO303" s="78">
        <v>5</v>
      </c>
      <c r="AP303" s="21">
        <f t="shared" si="38"/>
        <v>26</v>
      </c>
      <c r="AQ303" s="21">
        <f>IFERROR(NETWORKDAYS(AF303,AG303,Hoja1!$A$1:$A$29),"N/A")</f>
        <v>6</v>
      </c>
      <c r="AR303" s="78">
        <v>2</v>
      </c>
      <c r="AS303" s="75">
        <f t="shared" si="36"/>
        <v>4</v>
      </c>
      <c r="AT303" s="21">
        <f>IFERROR(NETWORKDAYS(D303,AG303,Hoja1!$A$1:$A$29),"N/A")</f>
        <v>36</v>
      </c>
      <c r="AU303" s="21">
        <f t="shared" si="35"/>
        <v>29</v>
      </c>
      <c r="AV303" s="143" t="s">
        <v>104</v>
      </c>
      <c r="AW303" s="143" t="s">
        <v>82</v>
      </c>
      <c r="AX303" s="87" t="s">
        <v>871</v>
      </c>
      <c r="AY303" s="87" t="s">
        <v>871</v>
      </c>
      <c r="AZ303" s="152"/>
      <c r="BA303" s="152"/>
      <c r="BB303" s="152"/>
    </row>
    <row r="304" spans="1:54" ht="15" customHeight="1" x14ac:dyDescent="0.25">
      <c r="A304" s="54">
        <v>15652</v>
      </c>
      <c r="B304" s="152" t="s">
        <v>85</v>
      </c>
      <c r="C304" s="152" t="s">
        <v>85</v>
      </c>
      <c r="D304" s="428">
        <v>46030</v>
      </c>
      <c r="E304" s="142">
        <v>46030</v>
      </c>
      <c r="F304" s="143" t="s">
        <v>99</v>
      </c>
      <c r="G304" s="152" t="s">
        <v>100</v>
      </c>
      <c r="H304" s="143" t="s">
        <v>51</v>
      </c>
      <c r="I304" s="27" t="s">
        <v>72</v>
      </c>
      <c r="J304" s="87" t="s">
        <v>73</v>
      </c>
      <c r="K304" s="111" t="s">
        <v>129</v>
      </c>
      <c r="L304" s="21">
        <v>1</v>
      </c>
      <c r="M304" s="87" t="s">
        <v>54</v>
      </c>
      <c r="N304" s="2" t="s">
        <v>55</v>
      </c>
      <c r="O304" s="151">
        <v>5</v>
      </c>
      <c r="P304" s="33" t="s">
        <v>56</v>
      </c>
      <c r="Q304" s="104">
        <v>46058</v>
      </c>
      <c r="R304" s="104">
        <v>46058</v>
      </c>
      <c r="S304" s="151">
        <v>5</v>
      </c>
      <c r="T304" s="2" t="s">
        <v>55</v>
      </c>
      <c r="U304" s="2" t="s">
        <v>55</v>
      </c>
      <c r="V304" s="2" t="s">
        <v>55</v>
      </c>
      <c r="W304" s="2" t="s">
        <v>55</v>
      </c>
      <c r="X304" s="2" t="s">
        <v>55</v>
      </c>
      <c r="Y304" s="2" t="s">
        <v>55</v>
      </c>
      <c r="Z304" s="2" t="s">
        <v>55</v>
      </c>
      <c r="AA304" s="151">
        <v>1</v>
      </c>
      <c r="AB304" s="151">
        <v>1</v>
      </c>
      <c r="AC304" s="2">
        <v>0</v>
      </c>
      <c r="AD304" s="28">
        <v>46077</v>
      </c>
      <c r="AE304" s="28">
        <v>46077</v>
      </c>
      <c r="AF304" s="28">
        <v>46077</v>
      </c>
      <c r="AG304" s="28">
        <v>46080</v>
      </c>
      <c r="AH304" s="262">
        <v>46083</v>
      </c>
      <c r="AI304" s="33">
        <f t="shared" si="37"/>
        <v>3</v>
      </c>
      <c r="AJ304" s="144" t="s">
        <v>963</v>
      </c>
      <c r="AK304" s="35" t="s">
        <v>964</v>
      </c>
      <c r="AL304" s="19">
        <f t="shared" si="30"/>
        <v>1</v>
      </c>
      <c r="AM304" s="67">
        <f>IFERROR(NETWORKDAYS(D304,Q304,Hoja1!$A$1:$A$29),"N/A")</f>
        <v>20</v>
      </c>
      <c r="AN304" s="21">
        <f>IFERROR(NETWORKDAYS(D304,AE304,Hoja1!$A$1:$A$29),"N/A")</f>
        <v>33</v>
      </c>
      <c r="AO304" s="78">
        <v>4</v>
      </c>
      <c r="AP304" s="21">
        <f t="shared" si="38"/>
        <v>29</v>
      </c>
      <c r="AQ304" s="21">
        <f>IFERROR(NETWORKDAYS(AF304,AG304,Hoja1!$A$1:$A$29),"N/A")</f>
        <v>4</v>
      </c>
      <c r="AR304" s="78">
        <v>0</v>
      </c>
      <c r="AS304" s="75">
        <f t="shared" si="36"/>
        <v>4</v>
      </c>
      <c r="AT304" s="21">
        <f>IFERROR(NETWORKDAYS(D304,AG304,Hoja1!$A$1:$A$29),"N/A")</f>
        <v>36</v>
      </c>
      <c r="AU304" s="21">
        <f t="shared" si="35"/>
        <v>32</v>
      </c>
      <c r="AV304" s="143" t="s">
        <v>127</v>
      </c>
      <c r="AW304" s="143" t="s">
        <v>82</v>
      </c>
      <c r="AX304" s="152"/>
      <c r="AY304" s="152"/>
      <c r="AZ304" s="152"/>
      <c r="BA304" s="152"/>
      <c r="BB304" s="152"/>
    </row>
    <row r="305" spans="1:54" ht="15" customHeight="1" x14ac:dyDescent="0.25">
      <c r="A305" s="228">
        <v>15665</v>
      </c>
      <c r="B305" s="221" t="s">
        <v>85</v>
      </c>
      <c r="C305" s="221" t="s">
        <v>85</v>
      </c>
      <c r="D305" s="430">
        <v>46035</v>
      </c>
      <c r="E305" s="222">
        <v>46035</v>
      </c>
      <c r="F305" s="181" t="s">
        <v>99</v>
      </c>
      <c r="G305" s="221" t="s">
        <v>455</v>
      </c>
      <c r="H305" s="181" t="s">
        <v>101</v>
      </c>
      <c r="I305" s="221" t="s">
        <v>814</v>
      </c>
      <c r="J305" s="221" t="s">
        <v>52</v>
      </c>
      <c r="K305" s="182" t="s">
        <v>129</v>
      </c>
      <c r="L305" s="72">
        <v>1</v>
      </c>
      <c r="M305" s="129" t="s">
        <v>54</v>
      </c>
      <c r="N305" s="133" t="s">
        <v>55</v>
      </c>
      <c r="O305" s="263">
        <v>6</v>
      </c>
      <c r="P305" s="110"/>
      <c r="Q305" s="133" t="s">
        <v>55</v>
      </c>
      <c r="R305" s="133" t="s">
        <v>55</v>
      </c>
      <c r="S305" s="263">
        <v>6</v>
      </c>
      <c r="T305" s="133" t="s">
        <v>55</v>
      </c>
      <c r="U305" s="133" t="s">
        <v>55</v>
      </c>
      <c r="V305" s="133" t="s">
        <v>55</v>
      </c>
      <c r="W305" s="133" t="s">
        <v>55</v>
      </c>
      <c r="X305" s="133" t="s">
        <v>55</v>
      </c>
      <c r="Y305" s="133" t="s">
        <v>55</v>
      </c>
      <c r="Z305" s="133" t="s">
        <v>55</v>
      </c>
      <c r="AA305" s="263">
        <v>1</v>
      </c>
      <c r="AB305" s="263">
        <v>1</v>
      </c>
      <c r="AC305" s="133">
        <v>0</v>
      </c>
      <c r="AD305" s="248">
        <v>46076</v>
      </c>
      <c r="AE305" s="248">
        <v>46076</v>
      </c>
      <c r="AF305" s="248">
        <v>46076</v>
      </c>
      <c r="AG305" s="131">
        <v>46086</v>
      </c>
      <c r="AH305" s="248">
        <v>46093</v>
      </c>
      <c r="AI305" s="110">
        <f t="shared" si="37"/>
        <v>3</v>
      </c>
      <c r="AJ305" s="225" t="s">
        <v>965</v>
      </c>
      <c r="AK305" s="132" t="s">
        <v>966</v>
      </c>
      <c r="AL305" s="19">
        <f t="shared" si="30"/>
        <v>1</v>
      </c>
      <c r="AM305" s="67" t="str">
        <f>IFERROR(NETWORKDAYS(D305,Q305,Hoja1!$A$1:$A$29),"N/A")</f>
        <v>N/A</v>
      </c>
      <c r="AN305" s="21">
        <f>IFERROR(NETWORKDAYS(D305,AE305,Hoja1!$A$1:$A$29),"N/A")</f>
        <v>30</v>
      </c>
      <c r="AO305" s="270">
        <v>4</v>
      </c>
      <c r="AP305" s="72">
        <f t="shared" si="38"/>
        <v>26</v>
      </c>
      <c r="AQ305" s="21">
        <f>IFERROR(NETWORKDAYS(AF305,AG305,Hoja1!$A$1:$A$29),"N/A")</f>
        <v>9</v>
      </c>
      <c r="AR305" s="71">
        <v>5</v>
      </c>
      <c r="AS305" s="80">
        <f t="shared" si="36"/>
        <v>4</v>
      </c>
      <c r="AT305" s="21">
        <f>IFERROR(NETWORKDAYS(D305,AG305,Hoja1!$A$1:$A$29),"N/A")</f>
        <v>38</v>
      </c>
      <c r="AU305" s="72">
        <f t="shared" si="35"/>
        <v>29</v>
      </c>
      <c r="AV305" s="181" t="s">
        <v>104</v>
      </c>
      <c r="AW305" s="181" t="s">
        <v>967</v>
      </c>
      <c r="AX305" s="221"/>
      <c r="AY305" s="221"/>
      <c r="AZ305" s="221"/>
      <c r="BA305" s="221"/>
      <c r="BB305" s="221"/>
    </row>
    <row r="306" spans="1:54" ht="15" customHeight="1" x14ac:dyDescent="0.25">
      <c r="A306" s="149">
        <v>15670</v>
      </c>
      <c r="B306" s="145" t="s">
        <v>169</v>
      </c>
      <c r="C306" s="145" t="s">
        <v>169</v>
      </c>
      <c r="D306" s="428">
        <v>46091</v>
      </c>
      <c r="E306" s="142">
        <v>46038</v>
      </c>
      <c r="F306" s="232" t="s">
        <v>62</v>
      </c>
      <c r="G306" s="84" t="s">
        <v>80</v>
      </c>
      <c r="H306" s="143" t="s">
        <v>101</v>
      </c>
      <c r="I306" s="145" t="s">
        <v>487</v>
      </c>
      <c r="J306" s="87" t="s">
        <v>105</v>
      </c>
      <c r="K306" s="84" t="s">
        <v>86</v>
      </c>
      <c r="L306" s="21">
        <v>1</v>
      </c>
      <c r="M306" s="87" t="s">
        <v>54</v>
      </c>
      <c r="N306" s="33" t="s">
        <v>55</v>
      </c>
      <c r="O306" s="33">
        <v>0</v>
      </c>
      <c r="P306" s="33"/>
      <c r="Q306" s="142" t="s">
        <v>55</v>
      </c>
      <c r="R306" s="142" t="s">
        <v>55</v>
      </c>
      <c r="S306" s="33">
        <v>0</v>
      </c>
      <c r="T306" s="33" t="s">
        <v>55</v>
      </c>
      <c r="U306" s="33" t="s">
        <v>55</v>
      </c>
      <c r="V306" s="33" t="s">
        <v>55</v>
      </c>
      <c r="W306" s="33" t="s">
        <v>55</v>
      </c>
      <c r="X306" s="33" t="s">
        <v>55</v>
      </c>
      <c r="Y306" s="33" t="s">
        <v>55</v>
      </c>
      <c r="Z306" s="33" t="s">
        <v>55</v>
      </c>
      <c r="AA306" s="33">
        <v>3</v>
      </c>
      <c r="AB306" s="33">
        <v>3</v>
      </c>
      <c r="AC306" s="33">
        <v>0</v>
      </c>
      <c r="AD306" s="28">
        <v>46094</v>
      </c>
      <c r="AE306" s="28">
        <v>46094</v>
      </c>
      <c r="AF306" s="28">
        <v>46094</v>
      </c>
      <c r="AG306" s="28">
        <v>46101</v>
      </c>
      <c r="AH306" s="140">
        <v>46106</v>
      </c>
      <c r="AI306" s="33">
        <f t="shared" si="37"/>
        <v>3</v>
      </c>
      <c r="AJ306" s="144" t="s">
        <v>968</v>
      </c>
      <c r="AK306" s="35" t="s">
        <v>969</v>
      </c>
      <c r="AL306" s="19" t="str">
        <f t="shared" si="30"/>
        <v>N/A</v>
      </c>
      <c r="AM306" s="67" t="str">
        <f>IFERROR(NETWORKDAYS(D306,Q306,Hoja1!$A$1:$A$29),"N/A")</f>
        <v>N/A</v>
      </c>
      <c r="AN306" s="21">
        <f>IFERROR(NETWORKDAYS(D306,AE306,Hoja1!$A$1:$A$29),"N/A")</f>
        <v>4</v>
      </c>
      <c r="AO306" s="78">
        <v>0</v>
      </c>
      <c r="AP306" s="21">
        <f t="shared" si="38"/>
        <v>4</v>
      </c>
      <c r="AQ306" s="21">
        <f>IFERROR(NETWORKDAYS(AF306,AG306,Hoja1!$A$1:$A$29),"N/A")</f>
        <v>6</v>
      </c>
      <c r="AR306" s="78">
        <v>1</v>
      </c>
      <c r="AS306" s="75">
        <f t="shared" si="36"/>
        <v>5</v>
      </c>
      <c r="AT306" s="21">
        <f>IFERROR(NETWORKDAYS(D306,AG306,Hoja1!$A$1:$A$29),"N/A")</f>
        <v>9</v>
      </c>
      <c r="AU306" s="21">
        <f t="shared" si="35"/>
        <v>8</v>
      </c>
      <c r="AV306" s="143" t="s">
        <v>104</v>
      </c>
      <c r="AW306" s="143" t="s">
        <v>970</v>
      </c>
      <c r="AX306" s="87" t="s">
        <v>445</v>
      </c>
      <c r="AY306" s="87" t="s">
        <v>871</v>
      </c>
      <c r="AZ306" s="111" t="s">
        <v>871</v>
      </c>
      <c r="BA306" s="87"/>
      <c r="BB306" s="87"/>
    </row>
    <row r="307" spans="1:54" ht="15" customHeight="1" x14ac:dyDescent="0.25">
      <c r="A307" s="95">
        <v>15680</v>
      </c>
      <c r="B307" s="87" t="s">
        <v>69</v>
      </c>
      <c r="C307" s="84" t="s">
        <v>122</v>
      </c>
      <c r="D307" s="142">
        <v>46041</v>
      </c>
      <c r="E307" s="142">
        <v>46041</v>
      </c>
      <c r="F307" s="232" t="s">
        <v>62</v>
      </c>
      <c r="G307" s="87" t="s">
        <v>80</v>
      </c>
      <c r="H307" s="143" t="s">
        <v>51</v>
      </c>
      <c r="I307" s="143" t="s">
        <v>971</v>
      </c>
      <c r="J307" s="27" t="s">
        <v>118</v>
      </c>
      <c r="K307" s="87" t="s">
        <v>66</v>
      </c>
      <c r="L307" s="21">
        <v>1</v>
      </c>
      <c r="M307" s="87" t="s">
        <v>54</v>
      </c>
      <c r="N307" s="3" t="s">
        <v>55</v>
      </c>
      <c r="O307" s="3">
        <v>5</v>
      </c>
      <c r="P307" s="3" t="s">
        <v>112</v>
      </c>
      <c r="Q307" s="142">
        <v>46051</v>
      </c>
      <c r="R307" s="142">
        <v>46052</v>
      </c>
      <c r="S307" s="3">
        <v>5</v>
      </c>
      <c r="T307" s="3" t="s">
        <v>55</v>
      </c>
      <c r="U307" s="3" t="s">
        <v>55</v>
      </c>
      <c r="V307" s="3" t="s">
        <v>55</v>
      </c>
      <c r="W307" s="3" t="s">
        <v>55</v>
      </c>
      <c r="X307" s="3" t="s">
        <v>55</v>
      </c>
      <c r="Y307" s="3" t="s">
        <v>55</v>
      </c>
      <c r="Z307" s="3" t="s">
        <v>55</v>
      </c>
      <c r="AA307" s="33">
        <v>1</v>
      </c>
      <c r="AB307" s="33">
        <v>1</v>
      </c>
      <c r="AC307" s="3">
        <v>0</v>
      </c>
      <c r="AD307" s="28">
        <v>46072</v>
      </c>
      <c r="AE307" s="28">
        <v>46072</v>
      </c>
      <c r="AF307" s="28">
        <v>46072</v>
      </c>
      <c r="AG307" s="28">
        <v>46080</v>
      </c>
      <c r="AH307" s="38">
        <v>46083</v>
      </c>
      <c r="AI307" s="33">
        <f t="shared" si="37"/>
        <v>3</v>
      </c>
      <c r="AJ307" s="144" t="s">
        <v>972</v>
      </c>
      <c r="AK307" s="35" t="s">
        <v>973</v>
      </c>
      <c r="AL307" s="19">
        <f t="shared" si="30"/>
        <v>1</v>
      </c>
      <c r="AM307" s="67">
        <f>IFERROR(NETWORKDAYS(D307,Q307,Hoja1!$A$1:$A$29),"N/A")</f>
        <v>9</v>
      </c>
      <c r="AN307" s="21">
        <f>IFERROR(NETWORKDAYS(D307,AE307,Hoja1!$A$1:$A$29),"N/A")</f>
        <v>24</v>
      </c>
      <c r="AO307" s="78">
        <v>6</v>
      </c>
      <c r="AP307" s="21">
        <f t="shared" si="38"/>
        <v>18</v>
      </c>
      <c r="AQ307" s="21">
        <f>IFERROR(NETWORKDAYS(AF307,AG307,Hoja1!$A$1:$A$29),"N/A")</f>
        <v>7</v>
      </c>
      <c r="AR307" s="78">
        <v>2</v>
      </c>
      <c r="AS307" s="75">
        <f t="shared" si="36"/>
        <v>5</v>
      </c>
      <c r="AT307" s="21">
        <f>IFERROR(NETWORKDAYS(D307,AG307,Hoja1!$A$1:$A$29),"N/A")</f>
        <v>30</v>
      </c>
      <c r="AU307" s="21">
        <f t="shared" si="35"/>
        <v>22</v>
      </c>
      <c r="AV307" s="143" t="s">
        <v>59</v>
      </c>
      <c r="AW307" s="143" t="s">
        <v>974</v>
      </c>
      <c r="AX307" s="84"/>
      <c r="AY307" s="84"/>
      <c r="AZ307" s="84"/>
      <c r="BA307" s="84"/>
      <c r="BB307" s="84"/>
    </row>
    <row r="308" spans="1:54" ht="15" customHeight="1" x14ac:dyDescent="0.25">
      <c r="A308" s="149">
        <v>15683</v>
      </c>
      <c r="B308" s="152" t="s">
        <v>85</v>
      </c>
      <c r="C308" s="152" t="s">
        <v>85</v>
      </c>
      <c r="D308" s="428">
        <v>46042</v>
      </c>
      <c r="E308" s="142">
        <v>46042</v>
      </c>
      <c r="F308" s="232" t="s">
        <v>62</v>
      </c>
      <c r="G308" s="84" t="s">
        <v>71</v>
      </c>
      <c r="H308" s="143" t="s">
        <v>51</v>
      </c>
      <c r="I308" s="27" t="s">
        <v>72</v>
      </c>
      <c r="J308" s="87" t="s">
        <v>73</v>
      </c>
      <c r="K308" s="84" t="s">
        <v>86</v>
      </c>
      <c r="L308" s="21">
        <v>1</v>
      </c>
      <c r="M308" s="87" t="s">
        <v>54</v>
      </c>
      <c r="N308" s="33" t="s">
        <v>55</v>
      </c>
      <c r="O308" s="33">
        <v>1</v>
      </c>
      <c r="P308" s="33" t="s">
        <v>56</v>
      </c>
      <c r="Q308" s="147">
        <v>46044</v>
      </c>
      <c r="R308" s="147">
        <v>46044</v>
      </c>
      <c r="S308" s="33">
        <v>1</v>
      </c>
      <c r="T308" s="33" t="s">
        <v>55</v>
      </c>
      <c r="U308" s="33" t="s">
        <v>55</v>
      </c>
      <c r="V308" s="33" t="s">
        <v>55</v>
      </c>
      <c r="W308" s="33" t="s">
        <v>55</v>
      </c>
      <c r="X308" s="33" t="s">
        <v>55</v>
      </c>
      <c r="Y308" s="33" t="s">
        <v>55</v>
      </c>
      <c r="Z308" s="18" t="s">
        <v>55</v>
      </c>
      <c r="AA308" s="33">
        <v>3</v>
      </c>
      <c r="AB308" s="33">
        <v>1</v>
      </c>
      <c r="AC308" s="33">
        <v>0</v>
      </c>
      <c r="AD308" s="28">
        <v>46071</v>
      </c>
      <c r="AE308" s="28">
        <v>46072</v>
      </c>
      <c r="AF308" s="28">
        <v>46073</v>
      </c>
      <c r="AG308" s="28">
        <v>46087</v>
      </c>
      <c r="AH308" s="28">
        <v>46090</v>
      </c>
      <c r="AI308" s="33">
        <f t="shared" si="37"/>
        <v>3</v>
      </c>
      <c r="AJ308" s="144" t="s">
        <v>975</v>
      </c>
      <c r="AK308" s="35" t="s">
        <v>1321</v>
      </c>
      <c r="AL308" s="19">
        <f t="shared" si="30"/>
        <v>1</v>
      </c>
      <c r="AM308" s="67">
        <f>IFERROR(NETWORKDAYS(D308,Q308,Hoja1!$A$1:$A$29),"N/A")</f>
        <v>3</v>
      </c>
      <c r="AN308" s="21">
        <f>IFERROR(NETWORKDAYS(D308,AE308,Hoja1!$A$1:$A$29),"N/A")</f>
        <v>23</v>
      </c>
      <c r="AO308" s="78">
        <v>8</v>
      </c>
      <c r="AP308" s="21">
        <f t="shared" si="38"/>
        <v>15</v>
      </c>
      <c r="AQ308" s="21">
        <f>IFERROR(NETWORKDAYS(AF308,AG308,Hoja1!$A$1:$A$29),"N/A")</f>
        <v>11</v>
      </c>
      <c r="AR308" s="78">
        <v>6</v>
      </c>
      <c r="AS308" s="75">
        <f t="shared" si="36"/>
        <v>5</v>
      </c>
      <c r="AT308" s="21">
        <f>IFERROR(NETWORKDAYS(D308,AG308,Hoja1!$A$1:$A$29),"N/A")</f>
        <v>34</v>
      </c>
      <c r="AU308" s="21">
        <f t="shared" si="35"/>
        <v>20</v>
      </c>
      <c r="AV308" s="143" t="s">
        <v>77</v>
      </c>
      <c r="AW308" s="143" t="s">
        <v>82</v>
      </c>
      <c r="AX308" s="87"/>
      <c r="AY308" s="87"/>
      <c r="AZ308" s="87"/>
      <c r="BA308" s="87"/>
      <c r="BB308" s="87"/>
    </row>
    <row r="309" spans="1:54" ht="15" customHeight="1" x14ac:dyDescent="0.25">
      <c r="A309" s="54">
        <v>15686</v>
      </c>
      <c r="B309" s="87" t="s">
        <v>79</v>
      </c>
      <c r="C309" s="87" t="s">
        <v>79</v>
      </c>
      <c r="D309" s="142">
        <v>46041</v>
      </c>
      <c r="E309" s="142">
        <v>46042</v>
      </c>
      <c r="F309" s="84" t="s">
        <v>62</v>
      </c>
      <c r="G309" s="87" t="s">
        <v>80</v>
      </c>
      <c r="H309" s="143" t="s">
        <v>101</v>
      </c>
      <c r="I309" s="87" t="s">
        <v>976</v>
      </c>
      <c r="J309" s="87" t="s">
        <v>118</v>
      </c>
      <c r="K309" s="87" t="s">
        <v>74</v>
      </c>
      <c r="L309" s="21">
        <v>1</v>
      </c>
      <c r="M309" s="87" t="s">
        <v>54</v>
      </c>
      <c r="N309" s="18" t="s">
        <v>55</v>
      </c>
      <c r="O309" s="3">
        <v>0</v>
      </c>
      <c r="P309" s="33"/>
      <c r="Q309" s="2" t="s">
        <v>55</v>
      </c>
      <c r="R309" s="2" t="s">
        <v>55</v>
      </c>
      <c r="S309" s="3">
        <v>0</v>
      </c>
      <c r="T309" s="18" t="s">
        <v>55</v>
      </c>
      <c r="U309" s="18" t="s">
        <v>55</v>
      </c>
      <c r="V309" s="18" t="s">
        <v>55</v>
      </c>
      <c r="W309" s="18" t="s">
        <v>55</v>
      </c>
      <c r="X309" s="18" t="s">
        <v>55</v>
      </c>
      <c r="Y309" s="18" t="s">
        <v>55</v>
      </c>
      <c r="Z309" s="18" t="s">
        <v>55</v>
      </c>
      <c r="AA309" s="3">
        <v>3</v>
      </c>
      <c r="AB309" s="3">
        <v>1</v>
      </c>
      <c r="AC309" s="3">
        <v>0</v>
      </c>
      <c r="AD309" s="28">
        <v>46073</v>
      </c>
      <c r="AE309" s="28">
        <v>46073</v>
      </c>
      <c r="AF309" s="28">
        <v>46073</v>
      </c>
      <c r="AG309" s="28">
        <v>46083</v>
      </c>
      <c r="AH309" s="38">
        <v>46083</v>
      </c>
      <c r="AI309" s="33">
        <f t="shared" si="37"/>
        <v>3</v>
      </c>
      <c r="AJ309" s="144" t="s">
        <v>977</v>
      </c>
      <c r="AK309" s="35" t="s">
        <v>978</v>
      </c>
      <c r="AL309" s="19" t="str">
        <f t="shared" si="30"/>
        <v>N/A</v>
      </c>
      <c r="AM309" s="67" t="str">
        <f>IFERROR(NETWORKDAYS(D309,Q309,Hoja1!$A$1:$A$29),"N/A")</f>
        <v>N/A</v>
      </c>
      <c r="AN309" s="21">
        <f>IFERROR(NETWORKDAYS(D309,AE309,Hoja1!$A$1:$A$29),"N/A")</f>
        <v>25</v>
      </c>
      <c r="AO309" s="78">
        <v>20</v>
      </c>
      <c r="AP309" s="21">
        <f t="shared" si="38"/>
        <v>5</v>
      </c>
      <c r="AQ309" s="21">
        <f>IFERROR(NETWORKDAYS(AF309,AG309,Hoja1!$A$1:$A$29),"N/A")</f>
        <v>7</v>
      </c>
      <c r="AR309" s="78">
        <v>2</v>
      </c>
      <c r="AS309" s="75">
        <f t="shared" si="36"/>
        <v>5</v>
      </c>
      <c r="AT309" s="21">
        <f>IFERROR(NETWORKDAYS(D309,AG309,Hoja1!$A$1:$A$29),"N/A")</f>
        <v>31</v>
      </c>
      <c r="AU309" s="21">
        <f t="shared" si="35"/>
        <v>9</v>
      </c>
      <c r="AV309" s="143" t="s">
        <v>145</v>
      </c>
      <c r="AW309" s="143" t="s">
        <v>180</v>
      </c>
      <c r="AX309" s="87" t="s">
        <v>881</v>
      </c>
      <c r="AY309" s="87"/>
      <c r="AZ309" s="87"/>
      <c r="BA309" s="87"/>
      <c r="BB309" s="87"/>
    </row>
    <row r="310" spans="1:54" ht="15" customHeight="1" x14ac:dyDescent="0.25">
      <c r="A310" s="149">
        <v>15692</v>
      </c>
      <c r="B310" s="145" t="s">
        <v>169</v>
      </c>
      <c r="C310" s="145" t="s">
        <v>169</v>
      </c>
      <c r="D310" s="428">
        <v>46042</v>
      </c>
      <c r="E310" s="142">
        <v>46042</v>
      </c>
      <c r="F310" s="202" t="s">
        <v>879</v>
      </c>
      <c r="G310" s="84" t="s">
        <v>50</v>
      </c>
      <c r="H310" s="143" t="s">
        <v>51</v>
      </c>
      <c r="I310" s="152" t="s">
        <v>1837</v>
      </c>
      <c r="J310" s="87" t="s">
        <v>105</v>
      </c>
      <c r="K310" s="84" t="s">
        <v>106</v>
      </c>
      <c r="L310" s="21">
        <v>1</v>
      </c>
      <c r="M310" s="84" t="s">
        <v>54</v>
      </c>
      <c r="N310" s="33" t="s">
        <v>55</v>
      </c>
      <c r="O310" s="33">
        <v>19</v>
      </c>
      <c r="P310" s="33" t="s">
        <v>56</v>
      </c>
      <c r="Q310" s="142">
        <v>46083</v>
      </c>
      <c r="R310" s="142">
        <v>46083</v>
      </c>
      <c r="S310" s="33">
        <v>19</v>
      </c>
      <c r="T310" s="33" t="s">
        <v>55</v>
      </c>
      <c r="U310" s="33" t="s">
        <v>55</v>
      </c>
      <c r="V310" s="33" t="s">
        <v>55</v>
      </c>
      <c r="W310" s="33" t="s">
        <v>55</v>
      </c>
      <c r="X310" s="33" t="s">
        <v>55</v>
      </c>
      <c r="Y310" s="33" t="s">
        <v>55</v>
      </c>
      <c r="Z310" s="18" t="s">
        <v>55</v>
      </c>
      <c r="AA310" s="33">
        <v>1</v>
      </c>
      <c r="AB310" s="33">
        <v>1</v>
      </c>
      <c r="AC310" s="33">
        <v>0</v>
      </c>
      <c r="AD310" s="28">
        <v>46087</v>
      </c>
      <c r="AE310" s="28">
        <v>46087</v>
      </c>
      <c r="AF310" s="28">
        <v>46087</v>
      </c>
      <c r="AG310" s="28">
        <v>46101</v>
      </c>
      <c r="AH310" s="28">
        <v>46106</v>
      </c>
      <c r="AI310" s="33">
        <f t="shared" si="37"/>
        <v>3</v>
      </c>
      <c r="AJ310" s="145" t="s">
        <v>979</v>
      </c>
      <c r="AK310" s="60" t="s">
        <v>1322</v>
      </c>
      <c r="AL310" s="19">
        <f t="shared" si="30"/>
        <v>1</v>
      </c>
      <c r="AM310" s="67">
        <f>IFERROR(NETWORKDAYS(D310,Q310,Hoja1!$A$1:$A$29),"N/A")</f>
        <v>30</v>
      </c>
      <c r="AN310" s="21">
        <f>IFERROR(NETWORKDAYS(D310,AE310,Hoja1!$A$1:$A$29),"N/A")</f>
        <v>34</v>
      </c>
      <c r="AO310" s="78">
        <v>3</v>
      </c>
      <c r="AP310" s="21">
        <f t="shared" si="38"/>
        <v>31</v>
      </c>
      <c r="AQ310" s="21">
        <f>IFERROR(NETWORKDAYS(AF310,AG310,Hoja1!$A$1:$A$29),"N/A")</f>
        <v>11</v>
      </c>
      <c r="AR310" s="78">
        <v>0</v>
      </c>
      <c r="AS310" s="75">
        <f t="shared" si="36"/>
        <v>11</v>
      </c>
      <c r="AT310" s="21">
        <f>IFERROR(NETWORKDAYS(D310,AG310,Hoja1!$A$1:$A$29),"N/A")</f>
        <v>44</v>
      </c>
      <c r="AU310" s="21">
        <f t="shared" si="35"/>
        <v>41</v>
      </c>
      <c r="AV310" s="143" t="s">
        <v>59</v>
      </c>
      <c r="AW310" s="143" t="s">
        <v>1367</v>
      </c>
      <c r="AX310" s="87" t="s">
        <v>871</v>
      </c>
      <c r="AY310" s="87" t="s">
        <v>871</v>
      </c>
      <c r="AZ310" s="87"/>
      <c r="BA310" s="87"/>
      <c r="BB310" s="87"/>
    </row>
    <row r="311" spans="1:54" ht="15" customHeight="1" x14ac:dyDescent="0.25">
      <c r="A311" s="54">
        <v>15700</v>
      </c>
      <c r="B311" s="87" t="s">
        <v>79</v>
      </c>
      <c r="C311" s="87" t="s">
        <v>79</v>
      </c>
      <c r="D311" s="142">
        <v>46043</v>
      </c>
      <c r="E311" s="142">
        <v>46043</v>
      </c>
      <c r="F311" s="84" t="s">
        <v>62</v>
      </c>
      <c r="G311" s="48" t="s">
        <v>71</v>
      </c>
      <c r="H311" s="143" t="s">
        <v>51</v>
      </c>
      <c r="I311" s="87" t="s">
        <v>980</v>
      </c>
      <c r="J311" s="48" t="s">
        <v>625</v>
      </c>
      <c r="K311" s="87" t="s">
        <v>74</v>
      </c>
      <c r="L311" s="21">
        <v>1</v>
      </c>
      <c r="M311" s="87" t="s">
        <v>54</v>
      </c>
      <c r="N311" s="2" t="s">
        <v>55</v>
      </c>
      <c r="O311" s="3">
        <v>3</v>
      </c>
      <c r="P311" s="3" t="s">
        <v>112</v>
      </c>
      <c r="Q311" s="30">
        <v>46055</v>
      </c>
      <c r="R311" s="30">
        <v>46066</v>
      </c>
      <c r="S311" s="3">
        <v>3</v>
      </c>
      <c r="T311" s="18" t="s">
        <v>55</v>
      </c>
      <c r="U311" s="18" t="s">
        <v>55</v>
      </c>
      <c r="V311" s="18" t="s">
        <v>55</v>
      </c>
      <c r="W311" s="18" t="s">
        <v>55</v>
      </c>
      <c r="X311" s="18" t="s">
        <v>55</v>
      </c>
      <c r="Y311" s="18" t="s">
        <v>55</v>
      </c>
      <c r="Z311" s="18" t="s">
        <v>55</v>
      </c>
      <c r="AA311" s="3">
        <v>1</v>
      </c>
      <c r="AB311" s="3">
        <v>1</v>
      </c>
      <c r="AC311" s="3">
        <v>0</v>
      </c>
      <c r="AD311" s="28">
        <v>46070</v>
      </c>
      <c r="AE311" s="28">
        <v>46070</v>
      </c>
      <c r="AF311" s="28">
        <v>46073</v>
      </c>
      <c r="AG311" s="28">
        <v>46080</v>
      </c>
      <c r="AH311" s="38">
        <v>46083</v>
      </c>
      <c r="AI311" s="33">
        <f t="shared" si="37"/>
        <v>3</v>
      </c>
      <c r="AJ311" s="144" t="s">
        <v>981</v>
      </c>
      <c r="AK311" s="35" t="s">
        <v>982</v>
      </c>
      <c r="AL311" s="19">
        <f t="shared" si="30"/>
        <v>1</v>
      </c>
      <c r="AM311" s="67">
        <f>IFERROR(NETWORKDAYS(D311,Q311,Hoja1!$A$1:$A$29),"N/A")</f>
        <v>9</v>
      </c>
      <c r="AN311" s="21">
        <f>IFERROR(NETWORKDAYS(D311,AE311,Hoja1!$A$1:$A$29),"N/A")</f>
        <v>20</v>
      </c>
      <c r="AO311" s="78">
        <v>5</v>
      </c>
      <c r="AP311" s="21">
        <f t="shared" si="38"/>
        <v>15</v>
      </c>
      <c r="AQ311" s="21">
        <f>IFERROR(NETWORKDAYS(AF311,AG311,Hoja1!$A$1:$A$29),"N/A")</f>
        <v>6</v>
      </c>
      <c r="AR311" s="78">
        <v>1</v>
      </c>
      <c r="AS311" s="75">
        <f t="shared" si="36"/>
        <v>5</v>
      </c>
      <c r="AT311" s="21">
        <f>IFERROR(NETWORKDAYS(D311,AG311,Hoja1!$A$1:$A$29),"N/A")</f>
        <v>28</v>
      </c>
      <c r="AU311" s="21">
        <f t="shared" si="35"/>
        <v>22</v>
      </c>
      <c r="AV311" s="143" t="s">
        <v>59</v>
      </c>
      <c r="AW311" s="143" t="s">
        <v>365</v>
      </c>
      <c r="AX311" s="87" t="s">
        <v>446</v>
      </c>
      <c r="AY311" s="87"/>
      <c r="AZ311" s="87"/>
      <c r="BA311" s="87"/>
      <c r="BB311" s="87"/>
    </row>
    <row r="312" spans="1:54" ht="15" customHeight="1" x14ac:dyDescent="0.25">
      <c r="A312" s="56">
        <v>15702</v>
      </c>
      <c r="B312" s="145" t="s">
        <v>169</v>
      </c>
      <c r="C312" s="145" t="s">
        <v>169</v>
      </c>
      <c r="D312" s="428">
        <v>46044</v>
      </c>
      <c r="E312" s="142">
        <v>46044</v>
      </c>
      <c r="F312" s="202" t="s">
        <v>879</v>
      </c>
      <c r="G312" s="48" t="s">
        <v>50</v>
      </c>
      <c r="H312" s="143" t="s">
        <v>51</v>
      </c>
      <c r="I312" s="48" t="s">
        <v>753</v>
      </c>
      <c r="J312" s="87" t="s">
        <v>105</v>
      </c>
      <c r="K312" s="48" t="s">
        <v>106</v>
      </c>
      <c r="L312" s="21">
        <v>1</v>
      </c>
      <c r="M312" s="87" t="s">
        <v>54</v>
      </c>
      <c r="N312" s="18" t="s">
        <v>55</v>
      </c>
      <c r="O312" s="3">
        <v>4</v>
      </c>
      <c r="P312" s="33" t="s">
        <v>56</v>
      </c>
      <c r="Q312" s="30">
        <v>46059</v>
      </c>
      <c r="R312" s="30">
        <v>46059</v>
      </c>
      <c r="S312" s="3">
        <v>4</v>
      </c>
      <c r="T312" s="18" t="s">
        <v>55</v>
      </c>
      <c r="U312" s="18" t="s">
        <v>55</v>
      </c>
      <c r="V312" s="18" t="s">
        <v>55</v>
      </c>
      <c r="W312" s="18" t="s">
        <v>55</v>
      </c>
      <c r="X312" s="18" t="s">
        <v>55</v>
      </c>
      <c r="Y312" s="18" t="s">
        <v>55</v>
      </c>
      <c r="Z312" s="18" t="s">
        <v>55</v>
      </c>
      <c r="AA312" s="3">
        <v>2</v>
      </c>
      <c r="AB312" s="3">
        <v>2</v>
      </c>
      <c r="AC312" s="3">
        <v>0</v>
      </c>
      <c r="AD312" s="30">
        <v>46065</v>
      </c>
      <c r="AE312" s="28">
        <v>46065</v>
      </c>
      <c r="AF312" s="28">
        <v>46065</v>
      </c>
      <c r="AG312" s="28">
        <v>46080</v>
      </c>
      <c r="AH312" s="37">
        <v>46083</v>
      </c>
      <c r="AI312" s="33">
        <f t="shared" si="37"/>
        <v>3</v>
      </c>
      <c r="AJ312" s="144" t="s">
        <v>983</v>
      </c>
      <c r="AK312" s="35" t="s">
        <v>1323</v>
      </c>
      <c r="AL312" s="19">
        <f t="shared" si="30"/>
        <v>1</v>
      </c>
      <c r="AM312" s="67">
        <f>IFERROR(NETWORKDAYS(D312,Q312,Hoja1!$A$1:$A$29),"N/A")</f>
        <v>12</v>
      </c>
      <c r="AN312" s="21">
        <f>IFERROR(NETWORKDAYS(D312,AE312,Hoja1!$A$1:$A$29),"N/A")</f>
        <v>16</v>
      </c>
      <c r="AO312" s="78">
        <v>0</v>
      </c>
      <c r="AP312" s="21">
        <f t="shared" si="38"/>
        <v>16</v>
      </c>
      <c r="AQ312" s="21">
        <f>IFERROR(NETWORKDAYS(AF312,AG312,Hoja1!$A$1:$A$29),"N/A")</f>
        <v>12</v>
      </c>
      <c r="AR312" s="78">
        <v>0</v>
      </c>
      <c r="AS312" s="75">
        <f t="shared" si="36"/>
        <v>12</v>
      </c>
      <c r="AT312" s="21">
        <f>IFERROR(NETWORKDAYS(D312,AG312,Hoja1!$A$1:$A$29),"N/A")</f>
        <v>27</v>
      </c>
      <c r="AU312" s="21">
        <f t="shared" si="35"/>
        <v>27</v>
      </c>
      <c r="AV312" s="143" t="s">
        <v>419</v>
      </c>
      <c r="AW312" s="143" t="s">
        <v>1368</v>
      </c>
      <c r="AX312" s="87" t="s">
        <v>881</v>
      </c>
      <c r="AY312" s="87"/>
      <c r="AZ312" s="87"/>
      <c r="BA312" s="87"/>
      <c r="BB312" s="87"/>
    </row>
    <row r="313" spans="1:54" ht="15" customHeight="1" x14ac:dyDescent="0.25">
      <c r="A313" s="54">
        <v>15706</v>
      </c>
      <c r="B313" s="87" t="s">
        <v>79</v>
      </c>
      <c r="C313" s="87" t="s">
        <v>79</v>
      </c>
      <c r="D313" s="142">
        <v>46056</v>
      </c>
      <c r="E313" s="142">
        <v>46044</v>
      </c>
      <c r="F313" s="84" t="s">
        <v>62</v>
      </c>
      <c r="G313" s="87" t="s">
        <v>984</v>
      </c>
      <c r="H313" s="143" t="s">
        <v>51</v>
      </c>
      <c r="I313" s="87" t="s">
        <v>624</v>
      </c>
      <c r="J313" s="87" t="s">
        <v>625</v>
      </c>
      <c r="K313" s="87" t="s">
        <v>74</v>
      </c>
      <c r="L313" s="21">
        <v>1</v>
      </c>
      <c r="M313" s="87" t="s">
        <v>54</v>
      </c>
      <c r="N313" s="2" t="s">
        <v>55</v>
      </c>
      <c r="O313" s="3">
        <v>6</v>
      </c>
      <c r="P313" s="3" t="s">
        <v>112</v>
      </c>
      <c r="Q313" s="30">
        <v>46059</v>
      </c>
      <c r="R313" s="30">
        <v>46069</v>
      </c>
      <c r="S313" s="3">
        <v>6</v>
      </c>
      <c r="T313" s="18" t="s">
        <v>55</v>
      </c>
      <c r="U313" s="18" t="s">
        <v>55</v>
      </c>
      <c r="V313" s="18" t="s">
        <v>55</v>
      </c>
      <c r="W313" s="18" t="s">
        <v>55</v>
      </c>
      <c r="X313" s="18" t="s">
        <v>55</v>
      </c>
      <c r="Y313" s="18" t="s">
        <v>55</v>
      </c>
      <c r="Z313" s="18" t="s">
        <v>55</v>
      </c>
      <c r="AA313" s="3">
        <v>2</v>
      </c>
      <c r="AB313" s="3">
        <v>1</v>
      </c>
      <c r="AC313" s="3">
        <v>0</v>
      </c>
      <c r="AD313" s="28">
        <v>46073</v>
      </c>
      <c r="AE313" s="28">
        <v>46073</v>
      </c>
      <c r="AF313" s="28">
        <v>46073</v>
      </c>
      <c r="AG313" s="28">
        <v>46080</v>
      </c>
      <c r="AH313" s="38">
        <v>46083</v>
      </c>
      <c r="AI313" s="33">
        <f t="shared" si="37"/>
        <v>3</v>
      </c>
      <c r="AJ313" s="144" t="s">
        <v>985</v>
      </c>
      <c r="AK313" s="35" t="s">
        <v>986</v>
      </c>
      <c r="AL313" s="19">
        <f t="shared" si="30"/>
        <v>1</v>
      </c>
      <c r="AM313" s="67">
        <f>IFERROR(NETWORKDAYS(D313,Q313,Hoja1!$A$1:$A$29),"N/A")</f>
        <v>4</v>
      </c>
      <c r="AN313" s="21">
        <f>IFERROR(NETWORKDAYS(D313,AE313,Hoja1!$A$1:$A$29),"N/A")</f>
        <v>14</v>
      </c>
      <c r="AO313" s="78">
        <v>0</v>
      </c>
      <c r="AP313" s="21">
        <f t="shared" si="38"/>
        <v>14</v>
      </c>
      <c r="AQ313" s="21">
        <f>IFERROR(NETWORKDAYS(AF313,AG313,Hoja1!$A$1:$A$29),"N/A")</f>
        <v>6</v>
      </c>
      <c r="AR313" s="78">
        <v>1</v>
      </c>
      <c r="AS313" s="75">
        <f t="shared" si="36"/>
        <v>5</v>
      </c>
      <c r="AT313" s="21">
        <f>IFERROR(NETWORKDAYS(D313,AG313,Hoja1!$A$1:$A$29),"N/A")</f>
        <v>19</v>
      </c>
      <c r="AU313" s="21">
        <f t="shared" si="35"/>
        <v>18</v>
      </c>
      <c r="AV313" s="143" t="s">
        <v>59</v>
      </c>
      <c r="AW313" s="143" t="s">
        <v>987</v>
      </c>
      <c r="AX313" s="87" t="s">
        <v>881</v>
      </c>
      <c r="AY313" s="87"/>
      <c r="AZ313" s="87"/>
      <c r="BA313" s="87"/>
      <c r="BB313" s="87"/>
    </row>
    <row r="314" spans="1:54" ht="15" customHeight="1" x14ac:dyDescent="0.25">
      <c r="A314" s="54">
        <v>15712</v>
      </c>
      <c r="B314" s="87" t="s">
        <v>69</v>
      </c>
      <c r="C314" s="43" t="s">
        <v>98</v>
      </c>
      <c r="D314" s="428">
        <v>46044</v>
      </c>
      <c r="E314" s="142">
        <v>46044</v>
      </c>
      <c r="F314" s="202" t="s">
        <v>879</v>
      </c>
      <c r="G314" s="48" t="s">
        <v>50</v>
      </c>
      <c r="H314" s="143" t="s">
        <v>51</v>
      </c>
      <c r="I314" s="202" t="s">
        <v>456</v>
      </c>
      <c r="J314" s="84" t="s">
        <v>52</v>
      </c>
      <c r="K314" s="87" t="s">
        <v>53</v>
      </c>
      <c r="L314" s="21">
        <v>1</v>
      </c>
      <c r="M314" s="87" t="s">
        <v>54</v>
      </c>
      <c r="N314" s="3" t="s">
        <v>55</v>
      </c>
      <c r="O314" s="3">
        <v>11</v>
      </c>
      <c r="P314" s="3" t="s">
        <v>56</v>
      </c>
      <c r="Q314" s="30">
        <v>46058</v>
      </c>
      <c r="R314" s="30">
        <v>46058</v>
      </c>
      <c r="S314" s="3">
        <v>11</v>
      </c>
      <c r="T314" s="3" t="s">
        <v>55</v>
      </c>
      <c r="U314" s="3" t="s">
        <v>55</v>
      </c>
      <c r="V314" s="3" t="s">
        <v>55</v>
      </c>
      <c r="W314" s="3" t="s">
        <v>55</v>
      </c>
      <c r="X314" s="3" t="s">
        <v>55</v>
      </c>
      <c r="Y314" s="3" t="s">
        <v>55</v>
      </c>
      <c r="Z314" s="18" t="s">
        <v>55</v>
      </c>
      <c r="AA314" s="3">
        <v>1</v>
      </c>
      <c r="AB314" s="3">
        <v>1</v>
      </c>
      <c r="AC314" s="3">
        <v>0</v>
      </c>
      <c r="AD314" s="30">
        <v>46071</v>
      </c>
      <c r="AE314" s="28">
        <v>46076</v>
      </c>
      <c r="AF314" s="28">
        <v>46077</v>
      </c>
      <c r="AG314" s="28">
        <v>46083</v>
      </c>
      <c r="AH314" s="37">
        <v>46083</v>
      </c>
      <c r="AI314" s="33">
        <f t="shared" si="37"/>
        <v>3</v>
      </c>
      <c r="AJ314" s="144" t="s">
        <v>988</v>
      </c>
      <c r="AK314" s="35" t="s">
        <v>1324</v>
      </c>
      <c r="AL314" s="19">
        <f t="shared" si="30"/>
        <v>1</v>
      </c>
      <c r="AM314" s="67">
        <f>IFERROR(NETWORKDAYS(D314,Q314,Hoja1!$A$1:$A$29),"N/A")</f>
        <v>11</v>
      </c>
      <c r="AN314" s="21">
        <f>IFERROR(NETWORKDAYS(D314,AE314,Hoja1!$A$1:$A$29),"N/A")</f>
        <v>23</v>
      </c>
      <c r="AO314" s="78">
        <v>6</v>
      </c>
      <c r="AP314" s="21">
        <f t="shared" si="38"/>
        <v>17</v>
      </c>
      <c r="AQ314" s="21">
        <f>IFERROR(NETWORKDAYS(AF314,AG314,Hoja1!$A$1:$A$29),"N/A")</f>
        <v>5</v>
      </c>
      <c r="AR314" s="78">
        <v>0</v>
      </c>
      <c r="AS314" s="75">
        <f t="shared" si="36"/>
        <v>5</v>
      </c>
      <c r="AT314" s="21">
        <f>IFERROR(NETWORKDAYS(D314,AG314,Hoja1!$A$1:$A$29),"N/A")</f>
        <v>28</v>
      </c>
      <c r="AU314" s="21">
        <f t="shared" si="35"/>
        <v>22</v>
      </c>
      <c r="AV314" s="143" t="s">
        <v>127</v>
      </c>
      <c r="AW314" s="143" t="s">
        <v>229</v>
      </c>
      <c r="AX314" s="87"/>
      <c r="AY314" s="87"/>
      <c r="AZ314" s="87"/>
      <c r="BA314" s="87"/>
      <c r="BB314" s="87"/>
    </row>
    <row r="315" spans="1:54" ht="15" customHeight="1" x14ac:dyDescent="0.25">
      <c r="A315" s="95">
        <v>15713</v>
      </c>
      <c r="B315" s="87" t="s">
        <v>69</v>
      </c>
      <c r="C315" s="43" t="s">
        <v>98</v>
      </c>
      <c r="D315" s="142">
        <v>46085</v>
      </c>
      <c r="E315" s="142">
        <v>46045</v>
      </c>
      <c r="F315" s="84" t="s">
        <v>62</v>
      </c>
      <c r="G315" s="84" t="s">
        <v>275</v>
      </c>
      <c r="H315" s="143" t="s">
        <v>101</v>
      </c>
      <c r="I315" s="27" t="s">
        <v>72</v>
      </c>
      <c r="J315" s="87" t="s">
        <v>73</v>
      </c>
      <c r="K315" s="84" t="s">
        <v>66</v>
      </c>
      <c r="L315" s="21">
        <v>1</v>
      </c>
      <c r="M315" s="87" t="s">
        <v>54</v>
      </c>
      <c r="N315" s="33" t="s">
        <v>55</v>
      </c>
      <c r="O315" s="33">
        <v>0</v>
      </c>
      <c r="P315" s="33"/>
      <c r="Q315" s="142" t="s">
        <v>55</v>
      </c>
      <c r="R315" s="142" t="s">
        <v>55</v>
      </c>
      <c r="S315" s="33">
        <v>0</v>
      </c>
      <c r="T315" s="33" t="s">
        <v>55</v>
      </c>
      <c r="U315" s="33" t="s">
        <v>55</v>
      </c>
      <c r="V315" s="33" t="s">
        <v>55</v>
      </c>
      <c r="W315" s="33" t="s">
        <v>55</v>
      </c>
      <c r="X315" s="33" t="s">
        <v>55</v>
      </c>
      <c r="Y315" s="33" t="s">
        <v>55</v>
      </c>
      <c r="Z315" s="33" t="s">
        <v>55</v>
      </c>
      <c r="AA315" s="33">
        <v>1</v>
      </c>
      <c r="AB315" s="33">
        <v>1</v>
      </c>
      <c r="AC315" s="33">
        <v>0</v>
      </c>
      <c r="AD315" s="28">
        <v>46090</v>
      </c>
      <c r="AE315" s="28">
        <v>46091</v>
      </c>
      <c r="AF315" s="28">
        <v>46092</v>
      </c>
      <c r="AG315" s="28">
        <v>46100</v>
      </c>
      <c r="AH315" s="140">
        <v>46106</v>
      </c>
      <c r="AI315" s="33">
        <f t="shared" si="37"/>
        <v>3</v>
      </c>
      <c r="AJ315" s="144" t="s">
        <v>989</v>
      </c>
      <c r="AK315" s="35" t="s">
        <v>1325</v>
      </c>
      <c r="AL315" s="19" t="str">
        <f t="shared" si="30"/>
        <v>N/A</v>
      </c>
      <c r="AM315" s="67" t="str">
        <f>IFERROR(NETWORKDAYS(D315,Q315,Hoja1!$A$1:$A$29),"N/A")</f>
        <v>N/A</v>
      </c>
      <c r="AN315" s="21">
        <f>IFERROR(NETWORKDAYS(D315,AE315,Hoja1!$A$1:$A$29),"N/A")</f>
        <v>5</v>
      </c>
      <c r="AO315" s="78">
        <v>0</v>
      </c>
      <c r="AP315" s="21">
        <f t="shared" si="38"/>
        <v>5</v>
      </c>
      <c r="AQ315" s="21">
        <f>IFERROR(NETWORKDAYS(AF315,AG315,Hoja1!$A$1:$A$29),"N/A")</f>
        <v>7</v>
      </c>
      <c r="AR315" s="78">
        <v>2</v>
      </c>
      <c r="AS315" s="75">
        <f t="shared" si="36"/>
        <v>5</v>
      </c>
      <c r="AT315" s="21">
        <f>IFERROR(NETWORKDAYS(D315,AG315,Hoja1!$A$1:$A$29),"N/A")</f>
        <v>12</v>
      </c>
      <c r="AU315" s="21">
        <f t="shared" si="35"/>
        <v>10</v>
      </c>
      <c r="AV315" s="143" t="s">
        <v>104</v>
      </c>
      <c r="AW315" s="143" t="s">
        <v>82</v>
      </c>
      <c r="AX315" s="84" t="s">
        <v>990</v>
      </c>
      <c r="AY315" s="84"/>
      <c r="AZ315" s="84"/>
      <c r="BA315" s="84"/>
      <c r="BB315" s="84"/>
    </row>
    <row r="316" spans="1:54" ht="15" customHeight="1" x14ac:dyDescent="0.25">
      <c r="A316" s="149">
        <v>15714</v>
      </c>
      <c r="B316" s="145" t="s">
        <v>169</v>
      </c>
      <c r="C316" s="145" t="s">
        <v>169</v>
      </c>
      <c r="D316" s="428">
        <v>46045</v>
      </c>
      <c r="E316" s="142">
        <v>46045</v>
      </c>
      <c r="F316" s="232" t="s">
        <v>62</v>
      </c>
      <c r="G316" s="84" t="s">
        <v>71</v>
      </c>
      <c r="H316" s="143" t="s">
        <v>51</v>
      </c>
      <c r="I316" s="27" t="s">
        <v>72</v>
      </c>
      <c r="J316" s="87" t="s">
        <v>73</v>
      </c>
      <c r="K316" s="84" t="s">
        <v>86</v>
      </c>
      <c r="L316" s="21">
        <v>1</v>
      </c>
      <c r="M316" s="87" t="s">
        <v>54</v>
      </c>
      <c r="N316" s="33" t="s">
        <v>55</v>
      </c>
      <c r="O316" s="33">
        <v>6</v>
      </c>
      <c r="P316" s="33" t="s">
        <v>56</v>
      </c>
      <c r="Q316" s="142">
        <v>46049</v>
      </c>
      <c r="R316" s="142">
        <v>46049</v>
      </c>
      <c r="S316" s="33">
        <v>6</v>
      </c>
      <c r="T316" s="33" t="s">
        <v>55</v>
      </c>
      <c r="U316" s="33" t="s">
        <v>55</v>
      </c>
      <c r="V316" s="33" t="s">
        <v>55</v>
      </c>
      <c r="W316" s="33" t="s">
        <v>55</v>
      </c>
      <c r="X316" s="33" t="s">
        <v>55</v>
      </c>
      <c r="Y316" s="33" t="s">
        <v>55</v>
      </c>
      <c r="Z316" s="18" t="s">
        <v>55</v>
      </c>
      <c r="AA316" s="21">
        <v>2</v>
      </c>
      <c r="AB316" s="21">
        <v>1</v>
      </c>
      <c r="AC316" s="33">
        <v>0</v>
      </c>
      <c r="AD316" s="53">
        <v>46071</v>
      </c>
      <c r="AE316" s="28">
        <v>46072</v>
      </c>
      <c r="AF316" s="28">
        <v>46073</v>
      </c>
      <c r="AG316" s="28">
        <v>46087</v>
      </c>
      <c r="AH316" s="53">
        <v>46090</v>
      </c>
      <c r="AI316" s="33">
        <f t="shared" si="37"/>
        <v>3</v>
      </c>
      <c r="AJ316" s="144" t="s">
        <v>991</v>
      </c>
      <c r="AK316" s="35" t="s">
        <v>1326</v>
      </c>
      <c r="AL316" s="19">
        <f t="shared" si="30"/>
        <v>1</v>
      </c>
      <c r="AM316" s="67">
        <f>IFERROR(NETWORKDAYS(D316,Q316,Hoja1!$A$1:$A$29),"N/A")</f>
        <v>3</v>
      </c>
      <c r="AN316" s="21">
        <f>IFERROR(NETWORKDAYS(D316,AE316,Hoja1!$A$1:$A$29),"N/A")</f>
        <v>20</v>
      </c>
      <c r="AO316" s="78">
        <v>0</v>
      </c>
      <c r="AP316" s="21">
        <f t="shared" si="38"/>
        <v>20</v>
      </c>
      <c r="AQ316" s="21">
        <f>IFERROR(NETWORKDAYS(AF316,AG316,Hoja1!$A$1:$A$29),"N/A")</f>
        <v>11</v>
      </c>
      <c r="AR316" s="78">
        <v>6</v>
      </c>
      <c r="AS316" s="75">
        <f t="shared" si="36"/>
        <v>5</v>
      </c>
      <c r="AT316" s="21">
        <f>IFERROR(NETWORKDAYS(D316,AG316,Hoja1!$A$1:$A$29),"N/A")</f>
        <v>31</v>
      </c>
      <c r="AU316" s="21">
        <f t="shared" si="35"/>
        <v>25</v>
      </c>
      <c r="AV316" s="143" t="s">
        <v>77</v>
      </c>
      <c r="AW316" s="143" t="s">
        <v>82</v>
      </c>
      <c r="AX316" s="111"/>
      <c r="AY316" s="111"/>
      <c r="AZ316" s="111"/>
      <c r="BA316" s="111"/>
      <c r="BB316" s="111"/>
    </row>
    <row r="317" spans="1:54" ht="15" customHeight="1" x14ac:dyDescent="0.25">
      <c r="A317" s="149">
        <v>15716</v>
      </c>
      <c r="B317" s="145" t="s">
        <v>169</v>
      </c>
      <c r="C317" s="145" t="s">
        <v>169</v>
      </c>
      <c r="D317" s="142">
        <v>46078</v>
      </c>
      <c r="E317" s="142">
        <v>46045</v>
      </c>
      <c r="F317" s="232" t="s">
        <v>62</v>
      </c>
      <c r="G317" s="84" t="s">
        <v>71</v>
      </c>
      <c r="H317" s="143" t="s">
        <v>51</v>
      </c>
      <c r="I317" s="27" t="s">
        <v>72</v>
      </c>
      <c r="J317" s="87" t="s">
        <v>73</v>
      </c>
      <c r="K317" s="84" t="s">
        <v>86</v>
      </c>
      <c r="L317" s="21">
        <v>1</v>
      </c>
      <c r="M317" s="87" t="s">
        <v>54</v>
      </c>
      <c r="N317" s="33" t="s">
        <v>55</v>
      </c>
      <c r="O317" s="33">
        <v>7</v>
      </c>
      <c r="P317" s="33" t="s">
        <v>56</v>
      </c>
      <c r="Q317" s="142">
        <v>46080</v>
      </c>
      <c r="R317" s="142">
        <v>46085</v>
      </c>
      <c r="S317" s="33">
        <v>7</v>
      </c>
      <c r="T317" s="33" t="s">
        <v>55</v>
      </c>
      <c r="U317" s="33" t="s">
        <v>55</v>
      </c>
      <c r="V317" s="33" t="s">
        <v>55</v>
      </c>
      <c r="W317" s="33" t="s">
        <v>55</v>
      </c>
      <c r="X317" s="33" t="s">
        <v>55</v>
      </c>
      <c r="Y317" s="33" t="s">
        <v>55</v>
      </c>
      <c r="Z317" s="18" t="s">
        <v>55</v>
      </c>
      <c r="AA317" s="33">
        <v>2</v>
      </c>
      <c r="AB317" s="33">
        <v>1</v>
      </c>
      <c r="AC317" s="33">
        <v>0</v>
      </c>
      <c r="AD317" s="28">
        <v>46091</v>
      </c>
      <c r="AE317" s="28">
        <v>46091</v>
      </c>
      <c r="AF317" s="28">
        <v>46094</v>
      </c>
      <c r="AG317" s="28">
        <v>46101</v>
      </c>
      <c r="AH317" s="140">
        <v>46106</v>
      </c>
      <c r="AI317" s="33">
        <f t="shared" si="37"/>
        <v>3</v>
      </c>
      <c r="AJ317" s="144" t="s">
        <v>992</v>
      </c>
      <c r="AK317" s="35" t="s">
        <v>993</v>
      </c>
      <c r="AL317" s="19">
        <f t="shared" si="30"/>
        <v>1</v>
      </c>
      <c r="AM317" s="67">
        <f>IFERROR(NETWORKDAYS(D317,Q317,Hoja1!$A$1:$A$29),"N/A")</f>
        <v>3</v>
      </c>
      <c r="AN317" s="21">
        <f>IFERROR(NETWORKDAYS(D317,AE317,Hoja1!$A$1:$A$29),"N/A")</f>
        <v>10</v>
      </c>
      <c r="AO317" s="78">
        <v>0</v>
      </c>
      <c r="AP317" s="21">
        <f t="shared" si="38"/>
        <v>10</v>
      </c>
      <c r="AQ317" s="21">
        <f>IFERROR(NETWORKDAYS(AF317,AG317,Hoja1!$A$1:$A$29),"N/A")</f>
        <v>6</v>
      </c>
      <c r="AR317" s="78">
        <v>1</v>
      </c>
      <c r="AS317" s="75">
        <f t="shared" si="36"/>
        <v>5</v>
      </c>
      <c r="AT317" s="21">
        <f>IFERROR(NETWORKDAYS(D317,AG317,Hoja1!$A$1:$A$29),"N/A")</f>
        <v>18</v>
      </c>
      <c r="AU317" s="21">
        <f t="shared" si="35"/>
        <v>17</v>
      </c>
      <c r="AV317" s="143" t="s">
        <v>77</v>
      </c>
      <c r="AW317" s="143" t="s">
        <v>82</v>
      </c>
      <c r="AX317" s="87" t="s">
        <v>445</v>
      </c>
      <c r="AY317" s="87"/>
      <c r="AZ317" s="87"/>
      <c r="BA317" s="87"/>
      <c r="BB317" s="87"/>
    </row>
    <row r="318" spans="1:54" ht="15" customHeight="1" x14ac:dyDescent="0.25">
      <c r="A318" s="54">
        <v>15720</v>
      </c>
      <c r="B318" s="87" t="s">
        <v>79</v>
      </c>
      <c r="C318" s="87" t="s">
        <v>79</v>
      </c>
      <c r="D318" s="428">
        <v>46045</v>
      </c>
      <c r="E318" s="142">
        <v>46045</v>
      </c>
      <c r="F318" s="84" t="s">
        <v>62</v>
      </c>
      <c r="G318" s="48" t="s">
        <v>71</v>
      </c>
      <c r="H318" s="143" t="s">
        <v>51</v>
      </c>
      <c r="I318" s="27" t="s">
        <v>72</v>
      </c>
      <c r="J318" s="87" t="s">
        <v>73</v>
      </c>
      <c r="K318" s="87" t="s">
        <v>74</v>
      </c>
      <c r="L318" s="21">
        <v>1</v>
      </c>
      <c r="M318" s="87" t="s">
        <v>54</v>
      </c>
      <c r="N318" s="2" t="s">
        <v>55</v>
      </c>
      <c r="O318" s="3">
        <v>1</v>
      </c>
      <c r="P318" s="3" t="s">
        <v>112</v>
      </c>
      <c r="Q318" s="142">
        <v>46048</v>
      </c>
      <c r="R318" s="142">
        <v>46048</v>
      </c>
      <c r="S318" s="3">
        <v>1</v>
      </c>
      <c r="T318" s="18" t="s">
        <v>55</v>
      </c>
      <c r="U318" s="18" t="s">
        <v>55</v>
      </c>
      <c r="V318" s="18" t="s">
        <v>55</v>
      </c>
      <c r="W318" s="18" t="s">
        <v>55</v>
      </c>
      <c r="X318" s="18" t="s">
        <v>55</v>
      </c>
      <c r="Y318" s="18" t="s">
        <v>55</v>
      </c>
      <c r="Z318" s="18" t="s">
        <v>55</v>
      </c>
      <c r="AA318" s="3">
        <v>1</v>
      </c>
      <c r="AB318" s="3">
        <v>1</v>
      </c>
      <c r="AC318" s="3">
        <v>0</v>
      </c>
      <c r="AD318" s="28">
        <v>46073</v>
      </c>
      <c r="AE318" s="28">
        <v>46073</v>
      </c>
      <c r="AF318" s="28">
        <v>46073</v>
      </c>
      <c r="AG318" s="28">
        <v>46087</v>
      </c>
      <c r="AH318" s="28">
        <v>46090</v>
      </c>
      <c r="AI318" s="33">
        <f t="shared" si="37"/>
        <v>3</v>
      </c>
      <c r="AJ318" s="144" t="s">
        <v>994</v>
      </c>
      <c r="AK318" s="35" t="s">
        <v>995</v>
      </c>
      <c r="AL318" s="19">
        <f t="shared" si="30"/>
        <v>1</v>
      </c>
      <c r="AM318" s="67">
        <f>IFERROR(NETWORKDAYS(D318,Q318,Hoja1!$A$1:$A$29),"N/A")</f>
        <v>2</v>
      </c>
      <c r="AN318" s="21">
        <f>IFERROR(NETWORKDAYS(D318,AE318,Hoja1!$A$1:$A$29),"N/A")</f>
        <v>21</v>
      </c>
      <c r="AO318" s="78">
        <v>0</v>
      </c>
      <c r="AP318" s="21">
        <f t="shared" si="38"/>
        <v>21</v>
      </c>
      <c r="AQ318" s="21">
        <f>IFERROR(NETWORKDAYS(AF318,AG318,Hoja1!$A$1:$A$29),"N/A")</f>
        <v>11</v>
      </c>
      <c r="AR318" s="78">
        <v>6</v>
      </c>
      <c r="AS318" s="75">
        <f t="shared" si="36"/>
        <v>5</v>
      </c>
      <c r="AT318" s="21">
        <f>IFERROR(NETWORKDAYS(D318,AG318,Hoja1!$A$1:$A$29),"N/A")</f>
        <v>31</v>
      </c>
      <c r="AU318" s="21">
        <f t="shared" si="35"/>
        <v>25</v>
      </c>
      <c r="AV318" s="143" t="s">
        <v>77</v>
      </c>
      <c r="AW318" s="49" t="s">
        <v>82</v>
      </c>
      <c r="AX318" s="87"/>
      <c r="AY318" s="87"/>
      <c r="AZ318" s="87"/>
      <c r="BA318" s="87"/>
      <c r="BB318" s="87"/>
    </row>
    <row r="319" spans="1:54" ht="15" customHeight="1" x14ac:dyDescent="0.25">
      <c r="A319" s="95">
        <v>15724</v>
      </c>
      <c r="B319" s="87" t="s">
        <v>69</v>
      </c>
      <c r="C319" s="84" t="s">
        <v>151</v>
      </c>
      <c r="D319" s="142">
        <v>46048</v>
      </c>
      <c r="E319" s="142">
        <v>46048</v>
      </c>
      <c r="F319" s="232" t="s">
        <v>62</v>
      </c>
      <c r="G319" s="84" t="s">
        <v>71</v>
      </c>
      <c r="H319" s="143" t="s">
        <v>51</v>
      </c>
      <c r="I319" s="240" t="s">
        <v>96</v>
      </c>
      <c r="J319" s="87" t="s">
        <v>73</v>
      </c>
      <c r="K319" s="111" t="s">
        <v>351</v>
      </c>
      <c r="L319" s="21">
        <v>1</v>
      </c>
      <c r="M319" s="87" t="s">
        <v>54</v>
      </c>
      <c r="N319" s="3" t="s">
        <v>55</v>
      </c>
      <c r="O319" s="3">
        <v>4</v>
      </c>
      <c r="P319" s="3" t="s">
        <v>112</v>
      </c>
      <c r="Q319" s="155">
        <v>46058</v>
      </c>
      <c r="R319" s="155">
        <v>46069</v>
      </c>
      <c r="S319" s="3">
        <v>4</v>
      </c>
      <c r="T319" s="3" t="s">
        <v>55</v>
      </c>
      <c r="U319" s="3" t="s">
        <v>55</v>
      </c>
      <c r="V319" s="3" t="s">
        <v>55</v>
      </c>
      <c r="W319" s="3" t="s">
        <v>55</v>
      </c>
      <c r="X319" s="3" t="s">
        <v>55</v>
      </c>
      <c r="Y319" s="3" t="s">
        <v>55</v>
      </c>
      <c r="Z319" s="3" t="s">
        <v>55</v>
      </c>
      <c r="AA319" s="33">
        <v>3</v>
      </c>
      <c r="AB319" s="33">
        <v>3</v>
      </c>
      <c r="AC319" s="3">
        <v>0</v>
      </c>
      <c r="AD319" s="16">
        <v>46077</v>
      </c>
      <c r="AE319" s="28">
        <v>46078</v>
      </c>
      <c r="AF319" s="28">
        <v>46080</v>
      </c>
      <c r="AG319" s="28">
        <v>46091</v>
      </c>
      <c r="AH319" s="16">
        <v>46093</v>
      </c>
      <c r="AI319" s="33">
        <f t="shared" si="37"/>
        <v>3</v>
      </c>
      <c r="AJ319" s="144" t="s">
        <v>996</v>
      </c>
      <c r="AK319" s="35" t="s">
        <v>997</v>
      </c>
      <c r="AL319" s="19">
        <f t="shared" si="30"/>
        <v>1</v>
      </c>
      <c r="AM319" s="67">
        <f>IFERROR(NETWORKDAYS(D319,Q319,Hoja1!$A$1:$A$29),"N/A")</f>
        <v>9</v>
      </c>
      <c r="AN319" s="21">
        <f>IFERROR(NETWORKDAYS(D319,AE319,Hoja1!$A$1:$A$29),"N/A")</f>
        <v>23</v>
      </c>
      <c r="AO319" s="78">
        <v>4</v>
      </c>
      <c r="AP319" s="21">
        <f t="shared" si="38"/>
        <v>19</v>
      </c>
      <c r="AQ319" s="21">
        <f>IFERROR(NETWORKDAYS(AF319,AG319,Hoja1!$A$1:$A$29),"N/A")</f>
        <v>8</v>
      </c>
      <c r="AR319" s="78">
        <v>3</v>
      </c>
      <c r="AS319" s="75">
        <f t="shared" si="36"/>
        <v>5</v>
      </c>
      <c r="AT319" s="21">
        <f>IFERROR(NETWORKDAYS(D319,AG319,Hoja1!$A$1:$A$29),"N/A")</f>
        <v>32</v>
      </c>
      <c r="AU319" s="21">
        <f t="shared" si="35"/>
        <v>25</v>
      </c>
      <c r="AV319" s="143" t="s">
        <v>77</v>
      </c>
      <c r="AW319" s="143" t="s">
        <v>82</v>
      </c>
      <c r="AX319" s="84"/>
      <c r="AY319" s="84"/>
      <c r="AZ319" s="84"/>
      <c r="BA319" s="84"/>
      <c r="BB319" s="84"/>
    </row>
    <row r="320" spans="1:54" ht="15" customHeight="1" x14ac:dyDescent="0.25">
      <c r="A320" s="54">
        <v>15731</v>
      </c>
      <c r="B320" s="152" t="s">
        <v>85</v>
      </c>
      <c r="C320" s="152" t="s">
        <v>85</v>
      </c>
      <c r="D320" s="428">
        <v>46048</v>
      </c>
      <c r="E320" s="142">
        <v>46048</v>
      </c>
      <c r="F320" s="202" t="s">
        <v>879</v>
      </c>
      <c r="G320" s="87" t="s">
        <v>787</v>
      </c>
      <c r="H320" s="143" t="s">
        <v>51</v>
      </c>
      <c r="I320" s="27" t="s">
        <v>72</v>
      </c>
      <c r="J320" s="87" t="s">
        <v>73</v>
      </c>
      <c r="K320" s="87" t="s">
        <v>53</v>
      </c>
      <c r="L320" s="21">
        <v>1</v>
      </c>
      <c r="M320" s="87" t="s">
        <v>54</v>
      </c>
      <c r="N320" s="3" t="s">
        <v>55</v>
      </c>
      <c r="O320" s="3">
        <v>8</v>
      </c>
      <c r="P320" s="33" t="s">
        <v>56</v>
      </c>
      <c r="Q320" s="30">
        <v>46058</v>
      </c>
      <c r="R320" s="30">
        <v>46058</v>
      </c>
      <c r="S320" s="3">
        <v>8</v>
      </c>
      <c r="T320" s="3" t="s">
        <v>55</v>
      </c>
      <c r="U320" s="3" t="s">
        <v>55</v>
      </c>
      <c r="V320" s="3" t="s">
        <v>55</v>
      </c>
      <c r="W320" s="3" t="s">
        <v>55</v>
      </c>
      <c r="X320" s="3" t="s">
        <v>55</v>
      </c>
      <c r="Y320" s="3" t="s">
        <v>55</v>
      </c>
      <c r="Z320" s="18" t="s">
        <v>55</v>
      </c>
      <c r="AA320" s="3">
        <v>3</v>
      </c>
      <c r="AB320" s="3">
        <v>3</v>
      </c>
      <c r="AC320" s="3">
        <v>0</v>
      </c>
      <c r="AD320" s="30">
        <v>46078</v>
      </c>
      <c r="AE320" s="30">
        <v>46078</v>
      </c>
      <c r="AF320" s="28">
        <v>46079</v>
      </c>
      <c r="AG320" s="28">
        <v>46093</v>
      </c>
      <c r="AH320" s="30">
        <v>46093</v>
      </c>
      <c r="AI320" s="33">
        <f t="shared" si="37"/>
        <v>3</v>
      </c>
      <c r="AJ320" s="144" t="s">
        <v>998</v>
      </c>
      <c r="AK320" s="35" t="s">
        <v>999</v>
      </c>
      <c r="AL320" s="19">
        <f t="shared" si="30"/>
        <v>1</v>
      </c>
      <c r="AM320" s="67">
        <f>IFERROR(NETWORKDAYS(D320,Q320,Hoja1!$A$1:$A$29),"N/A")</f>
        <v>9</v>
      </c>
      <c r="AN320" s="21">
        <f>IFERROR(NETWORKDAYS(D320,AE320,Hoja1!$A$1:$A$29),"N/A")</f>
        <v>23</v>
      </c>
      <c r="AO320" s="78">
        <v>8</v>
      </c>
      <c r="AP320" s="21">
        <f t="shared" si="38"/>
        <v>15</v>
      </c>
      <c r="AQ320" s="21">
        <f>IFERROR(NETWORKDAYS(AF320,AG320,Hoja1!$A$1:$A$29),"N/A")</f>
        <v>11</v>
      </c>
      <c r="AR320" s="78">
        <v>6</v>
      </c>
      <c r="AS320" s="75">
        <f t="shared" si="36"/>
        <v>5</v>
      </c>
      <c r="AT320" s="21">
        <f>IFERROR(NETWORKDAYS(D320,AG320,Hoja1!$A$1:$A$29),"N/A")</f>
        <v>34</v>
      </c>
      <c r="AU320" s="21">
        <f t="shared" si="35"/>
        <v>20</v>
      </c>
      <c r="AV320" s="143" t="s">
        <v>77</v>
      </c>
      <c r="AW320" s="143" t="s">
        <v>82</v>
      </c>
      <c r="AX320" s="87" t="s">
        <v>445</v>
      </c>
      <c r="AY320" s="87"/>
      <c r="AZ320" s="87"/>
      <c r="BA320" s="87"/>
      <c r="BB320" s="87"/>
    </row>
    <row r="321" spans="1:54" ht="15" customHeight="1" x14ac:dyDescent="0.25">
      <c r="A321" s="95">
        <v>15732</v>
      </c>
      <c r="B321" s="87" t="s">
        <v>69</v>
      </c>
      <c r="C321" s="43" t="s">
        <v>98</v>
      </c>
      <c r="D321" s="142">
        <v>46078</v>
      </c>
      <c r="E321" s="142">
        <v>46048</v>
      </c>
      <c r="F321" s="114" t="s">
        <v>163</v>
      </c>
      <c r="G321" s="48" t="s">
        <v>262</v>
      </c>
      <c r="H321" s="143" t="s">
        <v>51</v>
      </c>
      <c r="I321" s="240" t="s">
        <v>640</v>
      </c>
      <c r="J321" s="84" t="s">
        <v>52</v>
      </c>
      <c r="K321" s="27" t="s">
        <v>165</v>
      </c>
      <c r="L321" s="21">
        <v>1</v>
      </c>
      <c r="M321" s="87" t="s">
        <v>54</v>
      </c>
      <c r="N321" s="3" t="s">
        <v>55</v>
      </c>
      <c r="O321" s="3">
        <v>22</v>
      </c>
      <c r="P321" s="33" t="s">
        <v>56</v>
      </c>
      <c r="Q321" s="116">
        <v>46091</v>
      </c>
      <c r="R321" s="116">
        <v>46093</v>
      </c>
      <c r="S321" s="3">
        <v>22</v>
      </c>
      <c r="T321" s="3" t="s">
        <v>55</v>
      </c>
      <c r="U321" s="3" t="s">
        <v>55</v>
      </c>
      <c r="V321" s="3" t="s">
        <v>55</v>
      </c>
      <c r="W321" s="3" t="s">
        <v>55</v>
      </c>
      <c r="X321" s="3" t="s">
        <v>55</v>
      </c>
      <c r="Y321" s="3" t="s">
        <v>55</v>
      </c>
      <c r="Z321" s="3" t="s">
        <v>55</v>
      </c>
      <c r="AA321" s="1">
        <v>3</v>
      </c>
      <c r="AB321" s="1">
        <v>3</v>
      </c>
      <c r="AC321" s="3">
        <v>0</v>
      </c>
      <c r="AD321" s="16">
        <v>46094</v>
      </c>
      <c r="AE321" s="16">
        <v>46094</v>
      </c>
      <c r="AF321" s="28">
        <v>46094</v>
      </c>
      <c r="AG321" s="28">
        <v>46101</v>
      </c>
      <c r="AH321" s="140">
        <v>46106</v>
      </c>
      <c r="AI321" s="33">
        <f t="shared" si="37"/>
        <v>3</v>
      </c>
      <c r="AJ321" s="144" t="s">
        <v>1000</v>
      </c>
      <c r="AK321" s="35" t="s">
        <v>1001</v>
      </c>
      <c r="AL321" s="19">
        <f t="shared" si="30"/>
        <v>1</v>
      </c>
      <c r="AM321" s="67">
        <f>IFERROR(NETWORKDAYS(D321,Q321,Hoja1!$A$1:$A$29),"N/A")</f>
        <v>10</v>
      </c>
      <c r="AN321" s="21">
        <f>IFERROR(NETWORKDAYS(D321,AE321,Hoja1!$A$1:$A$29),"N/A")</f>
        <v>13</v>
      </c>
      <c r="AO321" s="78">
        <v>0</v>
      </c>
      <c r="AP321" s="21">
        <f t="shared" si="38"/>
        <v>13</v>
      </c>
      <c r="AQ321" s="21">
        <f>IFERROR(NETWORKDAYS(AF321,AG321,Hoja1!$A$1:$A$29),"N/A")</f>
        <v>6</v>
      </c>
      <c r="AR321" s="78">
        <v>1</v>
      </c>
      <c r="AS321" s="75">
        <f t="shared" si="36"/>
        <v>5</v>
      </c>
      <c r="AT321" s="21">
        <f>IFERROR(NETWORKDAYS(D321,AG321,Hoja1!$A$1:$A$29),"N/A")</f>
        <v>18</v>
      </c>
      <c r="AU321" s="21">
        <f t="shared" si="35"/>
        <v>17</v>
      </c>
      <c r="AV321" s="143" t="s">
        <v>59</v>
      </c>
      <c r="AW321" s="143" t="s">
        <v>452</v>
      </c>
      <c r="AX321" s="87" t="s">
        <v>881</v>
      </c>
      <c r="AY321" s="114" t="s">
        <v>446</v>
      </c>
      <c r="AZ321" s="87" t="s">
        <v>445</v>
      </c>
      <c r="BA321" s="114"/>
      <c r="BB321" s="114"/>
    </row>
    <row r="322" spans="1:54" ht="15" customHeight="1" x14ac:dyDescent="0.25">
      <c r="A322" s="95">
        <v>15734</v>
      </c>
      <c r="B322" s="87" t="s">
        <v>69</v>
      </c>
      <c r="C322" s="43" t="s">
        <v>98</v>
      </c>
      <c r="D322" s="428">
        <v>46048</v>
      </c>
      <c r="E322" s="142">
        <v>46048</v>
      </c>
      <c r="F322" s="114" t="s">
        <v>163</v>
      </c>
      <c r="G322" s="48" t="s">
        <v>688</v>
      </c>
      <c r="H322" s="179" t="s">
        <v>1465</v>
      </c>
      <c r="I322" s="202" t="s">
        <v>456</v>
      </c>
      <c r="J322" s="84" t="s">
        <v>52</v>
      </c>
      <c r="K322" s="27" t="s">
        <v>165</v>
      </c>
      <c r="L322" s="21">
        <v>1</v>
      </c>
      <c r="M322" s="159" t="s">
        <v>247</v>
      </c>
      <c r="N322" s="3" t="s">
        <v>55</v>
      </c>
      <c r="O322" s="3">
        <v>0</v>
      </c>
      <c r="P322" s="33"/>
      <c r="Q322" s="116" t="s">
        <v>55</v>
      </c>
      <c r="R322" s="116" t="s">
        <v>55</v>
      </c>
      <c r="S322" s="3">
        <v>0</v>
      </c>
      <c r="T322" s="3" t="s">
        <v>55</v>
      </c>
      <c r="U322" s="3" t="s">
        <v>55</v>
      </c>
      <c r="V322" s="3" t="s">
        <v>55</v>
      </c>
      <c r="W322" s="3" t="s">
        <v>55</v>
      </c>
      <c r="X322" s="3" t="s">
        <v>55</v>
      </c>
      <c r="Y322" s="3" t="s">
        <v>55</v>
      </c>
      <c r="Z322" s="3" t="s">
        <v>55</v>
      </c>
      <c r="AA322" s="1">
        <v>1</v>
      </c>
      <c r="AB322" s="1">
        <v>1</v>
      </c>
      <c r="AC322" s="3">
        <v>0</v>
      </c>
      <c r="AD322" s="16">
        <v>46077</v>
      </c>
      <c r="AE322" s="28">
        <v>46071</v>
      </c>
      <c r="AF322" s="28" t="s">
        <v>55</v>
      </c>
      <c r="AG322" s="28">
        <v>46077</v>
      </c>
      <c r="AH322" s="140">
        <v>46083</v>
      </c>
      <c r="AI322" s="33">
        <v>3</v>
      </c>
      <c r="AJ322" s="144" t="s">
        <v>1002</v>
      </c>
      <c r="AK322" s="35" t="s">
        <v>1003</v>
      </c>
      <c r="AL322" s="19" t="str">
        <f t="shared" si="30"/>
        <v>N/A</v>
      </c>
      <c r="AM322" s="67" t="str">
        <f>IFERROR(NETWORKDAYS(D322,Q322,Hoja1!$A$1:$A$29),"N/A")</f>
        <v>N/A</v>
      </c>
      <c r="AN322" s="21">
        <f>IFERROR(NETWORKDAYS(D322,AE322,Hoja1!$A$1:$A$29),"N/A")</f>
        <v>18</v>
      </c>
      <c r="AO322" s="78">
        <v>10</v>
      </c>
      <c r="AP322" s="21">
        <f t="shared" si="38"/>
        <v>8</v>
      </c>
      <c r="AQ322" s="21" t="str">
        <f>IFERROR(NETWORKDAYS(AF322,AG322,Hoja1!$A$1:$A$29),"N/A")</f>
        <v>N/A</v>
      </c>
      <c r="AR322" s="33">
        <v>0</v>
      </c>
      <c r="AS322" s="19" t="s">
        <v>82</v>
      </c>
      <c r="AT322" s="21">
        <f>IFERROR(NETWORKDAYS(D322,AG322,Hoja1!$A$1:$A$29),"N/A")</f>
        <v>22</v>
      </c>
      <c r="AU322" s="21">
        <f t="shared" si="35"/>
        <v>12</v>
      </c>
      <c r="AV322" s="143" t="s">
        <v>145</v>
      </c>
      <c r="AW322" s="143" t="s">
        <v>180</v>
      </c>
      <c r="AX322" s="251"/>
      <c r="AY322" s="1"/>
      <c r="AZ322" s="1"/>
      <c r="BA322" s="1"/>
      <c r="BB322" s="1"/>
    </row>
    <row r="323" spans="1:54" ht="15" customHeight="1" x14ac:dyDescent="0.25">
      <c r="A323" s="55">
        <v>15741</v>
      </c>
      <c r="B323" s="87" t="s">
        <v>79</v>
      </c>
      <c r="C323" s="87" t="s">
        <v>79</v>
      </c>
      <c r="D323" s="142">
        <v>46065</v>
      </c>
      <c r="E323" s="142">
        <v>46048</v>
      </c>
      <c r="F323" s="232" t="s">
        <v>90</v>
      </c>
      <c r="G323" s="48" t="s">
        <v>91</v>
      </c>
      <c r="H323" s="143" t="s">
        <v>51</v>
      </c>
      <c r="I323" s="87" t="s">
        <v>92</v>
      </c>
      <c r="J323" s="84" t="s">
        <v>52</v>
      </c>
      <c r="K323" s="84" t="s">
        <v>111</v>
      </c>
      <c r="L323" s="21">
        <v>1</v>
      </c>
      <c r="M323" s="87" t="s">
        <v>54</v>
      </c>
      <c r="N323" s="3" t="s">
        <v>55</v>
      </c>
      <c r="O323" s="3">
        <v>2</v>
      </c>
      <c r="P323" s="3" t="s">
        <v>112</v>
      </c>
      <c r="Q323" s="73">
        <v>46071</v>
      </c>
      <c r="R323" s="73">
        <v>46071</v>
      </c>
      <c r="S323" s="3">
        <v>2</v>
      </c>
      <c r="T323" s="3" t="s">
        <v>55</v>
      </c>
      <c r="U323" s="3" t="s">
        <v>55</v>
      </c>
      <c r="V323" s="3" t="s">
        <v>55</v>
      </c>
      <c r="W323" s="3" t="s">
        <v>55</v>
      </c>
      <c r="X323" s="3" t="s">
        <v>55</v>
      </c>
      <c r="Y323" s="3" t="s">
        <v>55</v>
      </c>
      <c r="Z323" s="3" t="s">
        <v>55</v>
      </c>
      <c r="AA323" s="2">
        <v>2</v>
      </c>
      <c r="AB323" s="2">
        <v>1</v>
      </c>
      <c r="AC323" s="3">
        <v>0</v>
      </c>
      <c r="AD323" s="28">
        <v>46086</v>
      </c>
      <c r="AE323" s="28">
        <v>46086</v>
      </c>
      <c r="AF323" s="28">
        <v>46086</v>
      </c>
      <c r="AG323" s="28">
        <v>46092</v>
      </c>
      <c r="AH323" s="140">
        <v>46093</v>
      </c>
      <c r="AI323" s="33">
        <f t="shared" ref="AI323:AI334" si="39">MONTH(AH323)</f>
        <v>3</v>
      </c>
      <c r="AJ323" s="144" t="s">
        <v>1004</v>
      </c>
      <c r="AK323" s="35" t="s">
        <v>1327</v>
      </c>
      <c r="AL323" s="19">
        <f t="shared" ref="AL323:AL386" si="40">IFERROR(S323/O323,"N/A")</f>
        <v>1</v>
      </c>
      <c r="AM323" s="67">
        <f>IFERROR(NETWORKDAYS(D323,Q323,Hoja1!$A$1:$A$29),"N/A")</f>
        <v>5</v>
      </c>
      <c r="AN323" s="21">
        <f>IFERROR(NETWORKDAYS(D323,AE323,Hoja1!$A$1:$A$29),"N/A")</f>
        <v>16</v>
      </c>
      <c r="AO323" s="78">
        <v>0</v>
      </c>
      <c r="AP323" s="21">
        <f t="shared" si="38"/>
        <v>16</v>
      </c>
      <c r="AQ323" s="21">
        <f>IFERROR(NETWORKDAYS(AF323,AG323,Hoja1!$A$1:$A$29),"N/A")</f>
        <v>5</v>
      </c>
      <c r="AR323" s="78">
        <v>0</v>
      </c>
      <c r="AS323" s="75">
        <f t="shared" ref="AS323:AS370" si="41">AQ323-AR323</f>
        <v>5</v>
      </c>
      <c r="AT323" s="21">
        <f>IFERROR(NETWORKDAYS(D323,AG323,Hoja1!$A$1:$A$29),"N/A")</f>
        <v>20</v>
      </c>
      <c r="AU323" s="21">
        <f t="shared" si="35"/>
        <v>20</v>
      </c>
      <c r="AV323" s="143" t="s">
        <v>127</v>
      </c>
      <c r="AW323" s="143" t="s">
        <v>294</v>
      </c>
      <c r="AX323" s="87"/>
      <c r="AY323" s="87"/>
      <c r="AZ323" s="87"/>
      <c r="BA323" s="87"/>
      <c r="BB323" s="87"/>
    </row>
    <row r="324" spans="1:54" ht="15" customHeight="1" x14ac:dyDescent="0.25">
      <c r="A324" s="57">
        <v>15749</v>
      </c>
      <c r="B324" s="87" t="s">
        <v>69</v>
      </c>
      <c r="C324" s="27" t="s">
        <v>202</v>
      </c>
      <c r="D324" s="428">
        <v>46049</v>
      </c>
      <c r="E324" s="142">
        <v>46049</v>
      </c>
      <c r="F324" s="232" t="s">
        <v>62</v>
      </c>
      <c r="G324" s="114" t="s">
        <v>71</v>
      </c>
      <c r="H324" s="143" t="s">
        <v>51</v>
      </c>
      <c r="I324" s="240" t="s">
        <v>96</v>
      </c>
      <c r="J324" s="87" t="s">
        <v>73</v>
      </c>
      <c r="K324" s="111" t="s">
        <v>351</v>
      </c>
      <c r="L324" s="21">
        <v>1</v>
      </c>
      <c r="M324" s="87" t="s">
        <v>54</v>
      </c>
      <c r="N324" s="3" t="s">
        <v>55</v>
      </c>
      <c r="O324" s="3">
        <v>6</v>
      </c>
      <c r="P324" s="3" t="s">
        <v>112</v>
      </c>
      <c r="Q324" s="116">
        <v>46052</v>
      </c>
      <c r="R324" s="155">
        <v>46058</v>
      </c>
      <c r="S324" s="3">
        <v>6</v>
      </c>
      <c r="T324" s="3" t="s">
        <v>55</v>
      </c>
      <c r="U324" s="3" t="s">
        <v>55</v>
      </c>
      <c r="V324" s="3" t="s">
        <v>55</v>
      </c>
      <c r="W324" s="3" t="s">
        <v>55</v>
      </c>
      <c r="X324" s="3" t="s">
        <v>55</v>
      </c>
      <c r="Y324" s="3" t="s">
        <v>55</v>
      </c>
      <c r="Z324" s="3" t="s">
        <v>55</v>
      </c>
      <c r="AA324" s="1">
        <v>3</v>
      </c>
      <c r="AB324" s="1">
        <v>3</v>
      </c>
      <c r="AC324" s="3">
        <v>0</v>
      </c>
      <c r="AD324" s="28">
        <v>46072</v>
      </c>
      <c r="AE324" s="28">
        <v>46073</v>
      </c>
      <c r="AF324" s="28">
        <v>46076</v>
      </c>
      <c r="AG324" s="28">
        <v>46079</v>
      </c>
      <c r="AH324" s="38">
        <v>46083</v>
      </c>
      <c r="AI324" s="33">
        <f t="shared" si="39"/>
        <v>3</v>
      </c>
      <c r="AJ324" s="144" t="s">
        <v>1005</v>
      </c>
      <c r="AK324" s="35" t="s">
        <v>1328</v>
      </c>
      <c r="AL324" s="19">
        <f t="shared" si="40"/>
        <v>1</v>
      </c>
      <c r="AM324" s="67">
        <f>IFERROR(NETWORKDAYS(D324,Q324,Hoja1!$A$1:$A$29),"N/A")</f>
        <v>4</v>
      </c>
      <c r="AN324" s="21">
        <f>IFERROR(NETWORKDAYS(D324,AE324,Hoja1!$A$1:$A$29),"N/A")</f>
        <v>19</v>
      </c>
      <c r="AO324" s="78">
        <v>4</v>
      </c>
      <c r="AP324" s="21">
        <f t="shared" si="38"/>
        <v>15</v>
      </c>
      <c r="AQ324" s="21">
        <f>IFERROR(NETWORKDAYS(AF324,AG324,Hoja1!$A$1:$A$29),"N/A")</f>
        <v>4</v>
      </c>
      <c r="AR324" s="78">
        <v>0</v>
      </c>
      <c r="AS324" s="75">
        <f t="shared" si="41"/>
        <v>4</v>
      </c>
      <c r="AT324" s="21">
        <f>IFERROR(NETWORKDAYS(D324,AG324,Hoja1!$A$1:$A$29),"N/A")</f>
        <v>23</v>
      </c>
      <c r="AU324" s="21">
        <f t="shared" si="35"/>
        <v>19</v>
      </c>
      <c r="AV324" s="143" t="s">
        <v>59</v>
      </c>
      <c r="AW324" s="143" t="s">
        <v>82</v>
      </c>
      <c r="AX324" s="114"/>
      <c r="AY324" s="114"/>
      <c r="AZ324" s="114"/>
      <c r="BA324" s="114"/>
      <c r="BB324" s="114"/>
    </row>
    <row r="325" spans="1:54" ht="15" customHeight="1" x14ac:dyDescent="0.25">
      <c r="A325" s="95">
        <v>15752</v>
      </c>
      <c r="B325" s="145" t="s">
        <v>169</v>
      </c>
      <c r="C325" s="145" t="s">
        <v>169</v>
      </c>
      <c r="D325" s="142">
        <v>46049</v>
      </c>
      <c r="E325" s="142">
        <v>46049</v>
      </c>
      <c r="F325" s="84" t="s">
        <v>62</v>
      </c>
      <c r="G325" s="84" t="s">
        <v>71</v>
      </c>
      <c r="H325" s="143" t="s">
        <v>101</v>
      </c>
      <c r="I325" s="240" t="s">
        <v>1006</v>
      </c>
      <c r="J325" s="87" t="s">
        <v>142</v>
      </c>
      <c r="K325" s="114" t="s">
        <v>66</v>
      </c>
      <c r="L325" s="21">
        <v>1</v>
      </c>
      <c r="M325" s="87" t="s">
        <v>54</v>
      </c>
      <c r="N325" s="33" t="s">
        <v>55</v>
      </c>
      <c r="O325" s="33">
        <v>0</v>
      </c>
      <c r="P325" s="33"/>
      <c r="Q325" s="142" t="s">
        <v>55</v>
      </c>
      <c r="R325" s="142" t="s">
        <v>55</v>
      </c>
      <c r="S325" s="33">
        <v>0</v>
      </c>
      <c r="T325" s="33" t="s">
        <v>55</v>
      </c>
      <c r="U325" s="33" t="s">
        <v>55</v>
      </c>
      <c r="V325" s="33" t="s">
        <v>55</v>
      </c>
      <c r="W325" s="33" t="s">
        <v>55</v>
      </c>
      <c r="X325" s="33" t="s">
        <v>55</v>
      </c>
      <c r="Y325" s="33" t="s">
        <v>55</v>
      </c>
      <c r="Z325" s="33" t="s">
        <v>55</v>
      </c>
      <c r="AA325" s="1">
        <v>1</v>
      </c>
      <c r="AB325" s="1">
        <v>1</v>
      </c>
      <c r="AC325" s="33">
        <v>0</v>
      </c>
      <c r="AD325" s="28">
        <v>46073</v>
      </c>
      <c r="AE325" s="28">
        <v>46073</v>
      </c>
      <c r="AF325" s="28">
        <v>46073</v>
      </c>
      <c r="AG325" s="28">
        <v>46080</v>
      </c>
      <c r="AH325" s="38">
        <v>46083</v>
      </c>
      <c r="AI325" s="33">
        <f t="shared" si="39"/>
        <v>3</v>
      </c>
      <c r="AJ325" s="144" t="s">
        <v>1007</v>
      </c>
      <c r="AK325" s="35" t="s">
        <v>1008</v>
      </c>
      <c r="AL325" s="19" t="str">
        <f t="shared" si="40"/>
        <v>N/A</v>
      </c>
      <c r="AM325" s="67" t="str">
        <f>IFERROR(NETWORKDAYS(D325,Q325,Hoja1!$A$1:$A$29),"N/A")</f>
        <v>N/A</v>
      </c>
      <c r="AN325" s="21">
        <f>IFERROR(NETWORKDAYS(D325,AE325,Hoja1!$A$1:$A$29),"N/A")</f>
        <v>19</v>
      </c>
      <c r="AO325" s="78">
        <v>13</v>
      </c>
      <c r="AP325" s="21">
        <f t="shared" si="38"/>
        <v>6</v>
      </c>
      <c r="AQ325" s="21">
        <f>IFERROR(NETWORKDAYS(AF325,AG325,Hoja1!$A$1:$A$29),"N/A")</f>
        <v>6</v>
      </c>
      <c r="AR325" s="78">
        <v>1</v>
      </c>
      <c r="AS325" s="75">
        <f t="shared" si="41"/>
        <v>5</v>
      </c>
      <c r="AT325" s="21">
        <f>IFERROR(NETWORKDAYS(D325,AG325,Hoja1!$A$1:$A$29),"N/A")</f>
        <v>24</v>
      </c>
      <c r="AU325" s="21">
        <f t="shared" si="35"/>
        <v>10</v>
      </c>
      <c r="AV325" s="143" t="s">
        <v>104</v>
      </c>
      <c r="AW325" s="143" t="s">
        <v>386</v>
      </c>
      <c r="AX325" s="84"/>
      <c r="AY325" s="84"/>
      <c r="AZ325" s="84"/>
      <c r="BA325" s="84"/>
      <c r="BB325" s="84"/>
    </row>
    <row r="326" spans="1:54" ht="15" customHeight="1" x14ac:dyDescent="0.25">
      <c r="A326" s="149">
        <v>15755</v>
      </c>
      <c r="B326" s="152" t="s">
        <v>85</v>
      </c>
      <c r="C326" s="152" t="s">
        <v>85</v>
      </c>
      <c r="D326" s="428">
        <v>46049</v>
      </c>
      <c r="E326" s="142">
        <v>46049</v>
      </c>
      <c r="F326" s="232" t="s">
        <v>62</v>
      </c>
      <c r="G326" s="84" t="s">
        <v>375</v>
      </c>
      <c r="H326" s="143" t="s">
        <v>51</v>
      </c>
      <c r="I326" s="145" t="s">
        <v>516</v>
      </c>
      <c r="J326" s="84" t="s">
        <v>52</v>
      </c>
      <c r="K326" s="84" t="s">
        <v>86</v>
      </c>
      <c r="L326" s="21">
        <v>1</v>
      </c>
      <c r="M326" s="87" t="s">
        <v>54</v>
      </c>
      <c r="N326" s="33" t="s">
        <v>55</v>
      </c>
      <c r="O326" s="33">
        <v>4</v>
      </c>
      <c r="P326" s="3" t="s">
        <v>112</v>
      </c>
      <c r="Q326" s="147">
        <v>46051</v>
      </c>
      <c r="R326" s="147">
        <v>46051</v>
      </c>
      <c r="S326" s="33">
        <v>4</v>
      </c>
      <c r="T326" s="33" t="s">
        <v>55</v>
      </c>
      <c r="U326" s="33" t="s">
        <v>55</v>
      </c>
      <c r="V326" s="33" t="s">
        <v>55</v>
      </c>
      <c r="W326" s="33" t="s">
        <v>55</v>
      </c>
      <c r="X326" s="33" t="s">
        <v>55</v>
      </c>
      <c r="Y326" s="33" t="s">
        <v>55</v>
      </c>
      <c r="Z326" s="18" t="s">
        <v>55</v>
      </c>
      <c r="AA326" s="21">
        <v>4</v>
      </c>
      <c r="AB326" s="21">
        <v>1</v>
      </c>
      <c r="AC326" s="33">
        <v>0</v>
      </c>
      <c r="AD326" s="53">
        <v>46066</v>
      </c>
      <c r="AE326" s="28">
        <v>46066</v>
      </c>
      <c r="AF326" s="28">
        <v>46069</v>
      </c>
      <c r="AG326" s="28">
        <v>46078</v>
      </c>
      <c r="AH326" s="38">
        <v>46083</v>
      </c>
      <c r="AI326" s="33">
        <f t="shared" si="39"/>
        <v>3</v>
      </c>
      <c r="AJ326" s="144" t="s">
        <v>1009</v>
      </c>
      <c r="AK326" s="35" t="s">
        <v>1010</v>
      </c>
      <c r="AL326" s="19">
        <f t="shared" si="40"/>
        <v>1</v>
      </c>
      <c r="AM326" s="67">
        <f>IFERROR(NETWORKDAYS(D326,Q326,Hoja1!$A$1:$A$29),"N/A")</f>
        <v>3</v>
      </c>
      <c r="AN326" s="21">
        <f>IFERROR(NETWORKDAYS(D326,AE326,Hoja1!$A$1:$A$29),"N/A")</f>
        <v>14</v>
      </c>
      <c r="AO326" s="78">
        <v>0</v>
      </c>
      <c r="AP326" s="21">
        <f t="shared" si="38"/>
        <v>14</v>
      </c>
      <c r="AQ326" s="21">
        <f>IFERROR(NETWORKDAYS(AF326,AG326,Hoja1!$A$1:$A$29),"N/A")</f>
        <v>8</v>
      </c>
      <c r="AR326" s="78">
        <v>3</v>
      </c>
      <c r="AS326" s="75">
        <f t="shared" si="41"/>
        <v>5</v>
      </c>
      <c r="AT326" s="21">
        <f>IFERROR(NETWORKDAYS(D326,AG326,Hoja1!$A$1:$A$29),"N/A")</f>
        <v>22</v>
      </c>
      <c r="AU326" s="21">
        <f t="shared" si="35"/>
        <v>19</v>
      </c>
      <c r="AV326" s="143" t="s">
        <v>131</v>
      </c>
      <c r="AW326" s="143" t="s">
        <v>967</v>
      </c>
      <c r="AX326" s="111"/>
      <c r="AY326" s="111"/>
      <c r="AZ326" s="111"/>
      <c r="BA326" s="111"/>
      <c r="BB326" s="111"/>
    </row>
    <row r="327" spans="1:54" ht="15" customHeight="1" x14ac:dyDescent="0.25">
      <c r="A327" s="54">
        <v>15756</v>
      </c>
      <c r="B327" s="87" t="s">
        <v>79</v>
      </c>
      <c r="C327" s="87" t="s">
        <v>79</v>
      </c>
      <c r="D327" s="142">
        <v>46050</v>
      </c>
      <c r="E327" s="142">
        <v>46050</v>
      </c>
      <c r="F327" s="143" t="s">
        <v>99</v>
      </c>
      <c r="G327" s="152" t="s">
        <v>128</v>
      </c>
      <c r="H327" s="143" t="s">
        <v>51</v>
      </c>
      <c r="I327" s="87" t="s">
        <v>92</v>
      </c>
      <c r="J327" s="84" t="s">
        <v>52</v>
      </c>
      <c r="K327" s="111" t="s">
        <v>129</v>
      </c>
      <c r="L327" s="21">
        <v>1</v>
      </c>
      <c r="M327" s="87" t="s">
        <v>54</v>
      </c>
      <c r="N327" s="2" t="s">
        <v>55</v>
      </c>
      <c r="O327" s="151">
        <v>3</v>
      </c>
      <c r="P327" s="3" t="s">
        <v>112</v>
      </c>
      <c r="Q327" s="104">
        <v>46091</v>
      </c>
      <c r="R327" s="104">
        <v>46091</v>
      </c>
      <c r="S327" s="151">
        <v>3</v>
      </c>
      <c r="T327" s="2" t="s">
        <v>55</v>
      </c>
      <c r="U327" s="2" t="s">
        <v>55</v>
      </c>
      <c r="V327" s="2" t="s">
        <v>55</v>
      </c>
      <c r="W327" s="2" t="s">
        <v>55</v>
      </c>
      <c r="X327" s="2" t="s">
        <v>55</v>
      </c>
      <c r="Y327" s="2" t="s">
        <v>55</v>
      </c>
      <c r="Z327" s="2" t="s">
        <v>55</v>
      </c>
      <c r="AA327" s="151">
        <v>2</v>
      </c>
      <c r="AB327" s="151">
        <v>2</v>
      </c>
      <c r="AC327" s="2">
        <v>0</v>
      </c>
      <c r="AD327" s="28">
        <v>46094</v>
      </c>
      <c r="AE327" s="28">
        <v>46094</v>
      </c>
      <c r="AF327" s="28">
        <v>46094</v>
      </c>
      <c r="AG327" s="28">
        <v>46101</v>
      </c>
      <c r="AH327" s="140">
        <v>46106</v>
      </c>
      <c r="AI327" s="33">
        <f t="shared" si="39"/>
        <v>3</v>
      </c>
      <c r="AJ327" s="144" t="s">
        <v>1011</v>
      </c>
      <c r="AK327" s="35" t="s">
        <v>1012</v>
      </c>
      <c r="AL327" s="19">
        <f t="shared" si="40"/>
        <v>1</v>
      </c>
      <c r="AM327" s="67">
        <f>IFERROR(NETWORKDAYS(D327,Q327,Hoja1!$A$1:$A$29),"N/A")</f>
        <v>30</v>
      </c>
      <c r="AN327" s="21">
        <f>IFERROR(NETWORKDAYS(D327,AE327,Hoja1!$A$1:$A$29),"N/A")</f>
        <v>33</v>
      </c>
      <c r="AO327" s="78">
        <v>9</v>
      </c>
      <c r="AP327" s="21">
        <f t="shared" si="38"/>
        <v>24</v>
      </c>
      <c r="AQ327" s="21">
        <f>IFERROR(NETWORKDAYS(AF327,AG327,Hoja1!$A$1:$A$29),"N/A")</f>
        <v>6</v>
      </c>
      <c r="AR327" s="78">
        <v>2</v>
      </c>
      <c r="AS327" s="75">
        <f t="shared" si="41"/>
        <v>4</v>
      </c>
      <c r="AT327" s="21">
        <f>IFERROR(NETWORKDAYS(D327,AG327,Hoja1!$A$1:$A$29),"N/A")</f>
        <v>38</v>
      </c>
      <c r="AU327" s="21">
        <f t="shared" si="35"/>
        <v>27</v>
      </c>
      <c r="AV327" s="143" t="s">
        <v>131</v>
      </c>
      <c r="AW327" s="143" t="s">
        <v>1013</v>
      </c>
      <c r="AX327" s="152"/>
      <c r="AY327" s="152"/>
      <c r="AZ327" s="152"/>
      <c r="BA327" s="152"/>
      <c r="BB327" s="152"/>
    </row>
    <row r="328" spans="1:54" ht="15" customHeight="1" x14ac:dyDescent="0.25">
      <c r="A328" s="54">
        <v>15758</v>
      </c>
      <c r="B328" s="87" t="s">
        <v>79</v>
      </c>
      <c r="C328" s="87" t="s">
        <v>79</v>
      </c>
      <c r="D328" s="428">
        <v>46051</v>
      </c>
      <c r="E328" s="142">
        <v>46051</v>
      </c>
      <c r="F328" s="143" t="s">
        <v>99</v>
      </c>
      <c r="G328" s="152" t="s">
        <v>100</v>
      </c>
      <c r="H328" s="143" t="s">
        <v>51</v>
      </c>
      <c r="I328" s="87" t="s">
        <v>92</v>
      </c>
      <c r="J328" s="84" t="s">
        <v>52</v>
      </c>
      <c r="K328" s="111" t="s">
        <v>129</v>
      </c>
      <c r="L328" s="21">
        <v>1</v>
      </c>
      <c r="M328" s="87" t="s">
        <v>54</v>
      </c>
      <c r="N328" s="2" t="s">
        <v>55</v>
      </c>
      <c r="O328" s="151">
        <v>4</v>
      </c>
      <c r="P328" s="3" t="s">
        <v>112</v>
      </c>
      <c r="Q328" s="104">
        <v>46055</v>
      </c>
      <c r="R328" s="104">
        <v>46055</v>
      </c>
      <c r="S328" s="151">
        <v>4</v>
      </c>
      <c r="T328" s="2" t="s">
        <v>55</v>
      </c>
      <c r="U328" s="2" t="s">
        <v>55</v>
      </c>
      <c r="V328" s="2" t="s">
        <v>55</v>
      </c>
      <c r="W328" s="2" t="s">
        <v>55</v>
      </c>
      <c r="X328" s="2" t="s">
        <v>55</v>
      </c>
      <c r="Y328" s="2" t="s">
        <v>55</v>
      </c>
      <c r="Z328" s="2" t="s">
        <v>55</v>
      </c>
      <c r="AA328" s="151">
        <v>1</v>
      </c>
      <c r="AB328" s="151">
        <v>1</v>
      </c>
      <c r="AC328" s="2">
        <v>0</v>
      </c>
      <c r="AD328" s="30">
        <v>46078</v>
      </c>
      <c r="AE328" s="28">
        <v>46079</v>
      </c>
      <c r="AF328" s="28">
        <v>46079</v>
      </c>
      <c r="AG328" s="28">
        <v>46090</v>
      </c>
      <c r="AH328" s="104">
        <v>46093</v>
      </c>
      <c r="AI328" s="33">
        <f t="shared" si="39"/>
        <v>3</v>
      </c>
      <c r="AJ328" s="144" t="s">
        <v>1014</v>
      </c>
      <c r="AK328" s="35" t="s">
        <v>1015</v>
      </c>
      <c r="AL328" s="19">
        <f t="shared" si="40"/>
        <v>1</v>
      </c>
      <c r="AM328" s="67">
        <f>IFERROR(NETWORKDAYS(D328,Q328,Hoja1!$A$1:$A$29),"N/A")</f>
        <v>3</v>
      </c>
      <c r="AN328" s="21">
        <f>IFERROR(NETWORKDAYS(D328,AE328,Hoja1!$A$1:$A$29),"N/A")</f>
        <v>21</v>
      </c>
      <c r="AO328" s="78">
        <v>3</v>
      </c>
      <c r="AP328" s="21">
        <f t="shared" si="38"/>
        <v>18</v>
      </c>
      <c r="AQ328" s="21">
        <f>IFERROR(NETWORKDAYS(AF328,AG328,Hoja1!$A$1:$A$29),"N/A")</f>
        <v>8</v>
      </c>
      <c r="AR328" s="78">
        <v>3</v>
      </c>
      <c r="AS328" s="75">
        <f t="shared" si="41"/>
        <v>5</v>
      </c>
      <c r="AT328" s="21">
        <f>IFERROR(NETWORKDAYS(D328,AG328,Hoja1!$A$1:$A$29),"N/A")</f>
        <v>28</v>
      </c>
      <c r="AU328" s="21">
        <f t="shared" si="35"/>
        <v>22</v>
      </c>
      <c r="AV328" s="143" t="s">
        <v>59</v>
      </c>
      <c r="AW328" s="143" t="s">
        <v>288</v>
      </c>
      <c r="AX328" s="152"/>
      <c r="AY328" s="152"/>
      <c r="AZ328" s="152"/>
      <c r="BA328" s="152"/>
      <c r="BB328" s="152"/>
    </row>
    <row r="329" spans="1:54" ht="15" customHeight="1" x14ac:dyDescent="0.25">
      <c r="A329" s="95">
        <v>15763</v>
      </c>
      <c r="B329" s="87" t="s">
        <v>69</v>
      </c>
      <c r="C329" s="84" t="s">
        <v>122</v>
      </c>
      <c r="D329" s="142">
        <v>46050</v>
      </c>
      <c r="E329" s="142">
        <v>46050</v>
      </c>
      <c r="F329" s="84" t="s">
        <v>62</v>
      </c>
      <c r="G329" s="84" t="s">
        <v>80</v>
      </c>
      <c r="H329" s="143" t="s">
        <v>51</v>
      </c>
      <c r="I329" s="143" t="s">
        <v>1016</v>
      </c>
      <c r="J329" s="87" t="s">
        <v>142</v>
      </c>
      <c r="K329" s="84" t="s">
        <v>66</v>
      </c>
      <c r="L329" s="21">
        <v>1</v>
      </c>
      <c r="M329" s="87" t="s">
        <v>54</v>
      </c>
      <c r="N329" s="33" t="s">
        <v>55</v>
      </c>
      <c r="O329" s="33">
        <v>6</v>
      </c>
      <c r="P329" s="33" t="s">
        <v>56</v>
      </c>
      <c r="Q329" s="142">
        <v>46059</v>
      </c>
      <c r="R329" s="142">
        <v>46059</v>
      </c>
      <c r="S329" s="33">
        <v>6</v>
      </c>
      <c r="T329" s="33" t="s">
        <v>55</v>
      </c>
      <c r="U329" s="33" t="s">
        <v>55</v>
      </c>
      <c r="V329" s="33" t="s">
        <v>55</v>
      </c>
      <c r="W329" s="33" t="s">
        <v>55</v>
      </c>
      <c r="X329" s="33" t="s">
        <v>55</v>
      </c>
      <c r="Y329" s="33" t="s">
        <v>55</v>
      </c>
      <c r="Z329" s="33" t="s">
        <v>55</v>
      </c>
      <c r="AA329" s="33">
        <v>3</v>
      </c>
      <c r="AB329" s="33">
        <v>3</v>
      </c>
      <c r="AC329" s="33">
        <v>0</v>
      </c>
      <c r="AD329" s="28">
        <v>46079</v>
      </c>
      <c r="AE329" s="28">
        <v>46084</v>
      </c>
      <c r="AF329" s="28">
        <v>46085</v>
      </c>
      <c r="AG329" s="28">
        <v>46092</v>
      </c>
      <c r="AH329" s="16">
        <v>46093</v>
      </c>
      <c r="AI329" s="33">
        <f t="shared" si="39"/>
        <v>3</v>
      </c>
      <c r="AJ329" s="144" t="s">
        <v>1017</v>
      </c>
      <c r="AK329" s="35" t="s">
        <v>1018</v>
      </c>
      <c r="AL329" s="19">
        <f t="shared" si="40"/>
        <v>1</v>
      </c>
      <c r="AM329" s="67">
        <f>IFERROR(NETWORKDAYS(D329,Q329,Hoja1!$A$1:$A$29),"N/A")</f>
        <v>8</v>
      </c>
      <c r="AN329" s="21">
        <f>IFERROR(NETWORKDAYS(D329,AE329,Hoja1!$A$1:$A$29),"N/A")</f>
        <v>25</v>
      </c>
      <c r="AO329" s="78">
        <v>5</v>
      </c>
      <c r="AP329" s="21">
        <f t="shared" si="38"/>
        <v>20</v>
      </c>
      <c r="AQ329" s="21">
        <f>IFERROR(NETWORKDAYS(AF329,AG329,Hoja1!$A$1:$A$29),"N/A")</f>
        <v>6</v>
      </c>
      <c r="AR329" s="78">
        <v>1</v>
      </c>
      <c r="AS329" s="75">
        <f t="shared" si="41"/>
        <v>5</v>
      </c>
      <c r="AT329" s="21">
        <f>IFERROR(NETWORKDAYS(D329,AG329,Hoja1!$A$1:$A$29),"N/A")</f>
        <v>31</v>
      </c>
      <c r="AU329" s="21">
        <f t="shared" si="35"/>
        <v>25</v>
      </c>
      <c r="AV329" s="143" t="s">
        <v>104</v>
      </c>
      <c r="AW329" s="143" t="s">
        <v>1019</v>
      </c>
      <c r="AX329" s="84"/>
      <c r="AY329" s="84"/>
      <c r="AZ329" s="84"/>
      <c r="BA329" s="84"/>
      <c r="BB329" s="84"/>
    </row>
    <row r="330" spans="1:54" ht="15" customHeight="1" x14ac:dyDescent="0.25">
      <c r="A330" s="55">
        <v>15771</v>
      </c>
      <c r="B330" s="87" t="s">
        <v>79</v>
      </c>
      <c r="C330" s="87" t="s">
        <v>79</v>
      </c>
      <c r="D330" s="428">
        <v>46055</v>
      </c>
      <c r="E330" s="142">
        <v>46052</v>
      </c>
      <c r="F330" s="232" t="s">
        <v>90</v>
      </c>
      <c r="G330" s="48" t="s">
        <v>91</v>
      </c>
      <c r="H330" s="143" t="s">
        <v>51</v>
      </c>
      <c r="I330" s="87" t="s">
        <v>92</v>
      </c>
      <c r="J330" s="84" t="s">
        <v>52</v>
      </c>
      <c r="K330" s="84" t="s">
        <v>111</v>
      </c>
      <c r="L330" s="21">
        <v>1</v>
      </c>
      <c r="M330" s="87" t="s">
        <v>54</v>
      </c>
      <c r="N330" s="3" t="s">
        <v>55</v>
      </c>
      <c r="O330" s="3">
        <v>4</v>
      </c>
      <c r="P330" s="3" t="s">
        <v>112</v>
      </c>
      <c r="Q330" s="73">
        <v>46078</v>
      </c>
      <c r="R330" s="73">
        <v>46078</v>
      </c>
      <c r="S330" s="3">
        <v>4</v>
      </c>
      <c r="T330" s="3" t="s">
        <v>55</v>
      </c>
      <c r="U330" s="3" t="s">
        <v>55</v>
      </c>
      <c r="V330" s="3" t="s">
        <v>55</v>
      </c>
      <c r="W330" s="3" t="s">
        <v>55</v>
      </c>
      <c r="X330" s="3" t="s">
        <v>55</v>
      </c>
      <c r="Y330" s="3" t="s">
        <v>55</v>
      </c>
      <c r="Z330" s="3" t="s">
        <v>55</v>
      </c>
      <c r="AA330" s="2">
        <v>1</v>
      </c>
      <c r="AB330" s="2">
        <v>1</v>
      </c>
      <c r="AC330" s="3">
        <v>0</v>
      </c>
      <c r="AD330" s="28">
        <v>46086</v>
      </c>
      <c r="AE330" s="28">
        <v>46086</v>
      </c>
      <c r="AF330" s="28">
        <v>46086</v>
      </c>
      <c r="AG330" s="28">
        <v>46092</v>
      </c>
      <c r="AH330" s="140">
        <v>46093</v>
      </c>
      <c r="AI330" s="33">
        <f t="shared" si="39"/>
        <v>3</v>
      </c>
      <c r="AJ330" s="144" t="s">
        <v>1020</v>
      </c>
      <c r="AK330" s="35" t="s">
        <v>1329</v>
      </c>
      <c r="AL330" s="19">
        <f t="shared" si="40"/>
        <v>1</v>
      </c>
      <c r="AM330" s="67">
        <f>IFERROR(NETWORKDAYS(D330,Q330,Hoja1!$A$1:$A$29),"N/A")</f>
        <v>18</v>
      </c>
      <c r="AN330" s="21">
        <f>IFERROR(NETWORKDAYS(D330,AE330,Hoja1!$A$1:$A$29),"N/A")</f>
        <v>24</v>
      </c>
      <c r="AO330" s="78">
        <v>2</v>
      </c>
      <c r="AP330" s="21">
        <f t="shared" si="38"/>
        <v>22</v>
      </c>
      <c r="AQ330" s="21">
        <f>IFERROR(NETWORKDAYS(AF330,AG330,Hoja1!$A$1:$A$29),"N/A")</f>
        <v>5</v>
      </c>
      <c r="AR330" s="78">
        <v>0</v>
      </c>
      <c r="AS330" s="75">
        <f t="shared" si="41"/>
        <v>5</v>
      </c>
      <c r="AT330" s="21">
        <f>IFERROR(NETWORKDAYS(D330,AG330,Hoja1!$A$1:$A$29),"N/A")</f>
        <v>28</v>
      </c>
      <c r="AU330" s="21">
        <f t="shared" si="35"/>
        <v>26</v>
      </c>
      <c r="AV330" s="143" t="s">
        <v>127</v>
      </c>
      <c r="AW330" s="143" t="s">
        <v>490</v>
      </c>
      <c r="AX330" s="87"/>
      <c r="AY330" s="87"/>
      <c r="AZ330" s="87"/>
      <c r="BA330" s="87"/>
      <c r="BB330" s="87"/>
    </row>
    <row r="331" spans="1:54" ht="15" customHeight="1" x14ac:dyDescent="0.25">
      <c r="A331" s="55">
        <v>15773</v>
      </c>
      <c r="B331" s="87" t="s">
        <v>79</v>
      </c>
      <c r="C331" s="87" t="s">
        <v>79</v>
      </c>
      <c r="D331" s="142">
        <v>46055</v>
      </c>
      <c r="E331" s="142">
        <v>46052</v>
      </c>
      <c r="F331" s="232" t="s">
        <v>90</v>
      </c>
      <c r="G331" s="48" t="s">
        <v>91</v>
      </c>
      <c r="H331" s="143" t="s">
        <v>51</v>
      </c>
      <c r="I331" s="87" t="s">
        <v>92</v>
      </c>
      <c r="J331" s="84" t="s">
        <v>52</v>
      </c>
      <c r="K331" s="84" t="s">
        <v>111</v>
      </c>
      <c r="L331" s="21">
        <v>1</v>
      </c>
      <c r="M331" s="87" t="s">
        <v>54</v>
      </c>
      <c r="N331" s="3" t="s">
        <v>55</v>
      </c>
      <c r="O331" s="3">
        <v>4</v>
      </c>
      <c r="P331" s="3" t="s">
        <v>112</v>
      </c>
      <c r="Q331" s="73">
        <v>46078</v>
      </c>
      <c r="R331" s="73">
        <v>46078</v>
      </c>
      <c r="S331" s="3">
        <v>4</v>
      </c>
      <c r="T331" s="3" t="s">
        <v>55</v>
      </c>
      <c r="U331" s="3" t="s">
        <v>55</v>
      </c>
      <c r="V331" s="3" t="s">
        <v>55</v>
      </c>
      <c r="W331" s="3" t="s">
        <v>55</v>
      </c>
      <c r="X331" s="3" t="s">
        <v>55</v>
      </c>
      <c r="Y331" s="3" t="s">
        <v>55</v>
      </c>
      <c r="Z331" s="3" t="s">
        <v>55</v>
      </c>
      <c r="AA331" s="2">
        <v>4</v>
      </c>
      <c r="AB331" s="2">
        <v>1</v>
      </c>
      <c r="AC331" s="3">
        <v>0</v>
      </c>
      <c r="AD331" s="30">
        <v>46093</v>
      </c>
      <c r="AE331" s="30">
        <v>46093</v>
      </c>
      <c r="AF331" s="30">
        <v>46097</v>
      </c>
      <c r="AG331" s="28">
        <v>46101</v>
      </c>
      <c r="AH331" s="140">
        <v>46106</v>
      </c>
      <c r="AI331" s="33">
        <f t="shared" si="39"/>
        <v>3</v>
      </c>
      <c r="AJ331" s="144" t="s">
        <v>1021</v>
      </c>
      <c r="AK331" s="35" t="s">
        <v>1330</v>
      </c>
      <c r="AL331" s="19">
        <f t="shared" si="40"/>
        <v>1</v>
      </c>
      <c r="AM331" s="67">
        <f>IFERROR(NETWORKDAYS(D331,Q331,Hoja1!$A$1:$A$29),"N/A")</f>
        <v>18</v>
      </c>
      <c r="AN331" s="21">
        <f>IFERROR(NETWORKDAYS(D331,AE331,Hoja1!$A$1:$A$29),"N/A")</f>
        <v>29</v>
      </c>
      <c r="AO331" s="78">
        <v>6</v>
      </c>
      <c r="AP331" s="21">
        <f t="shared" si="38"/>
        <v>23</v>
      </c>
      <c r="AQ331" s="21">
        <f>IFERROR(NETWORKDAYS(AF331,AG331,Hoja1!$A$1:$A$29),"N/A")</f>
        <v>5</v>
      </c>
      <c r="AR331" s="78">
        <v>0</v>
      </c>
      <c r="AS331" s="75">
        <f t="shared" si="41"/>
        <v>5</v>
      </c>
      <c r="AT331" s="21">
        <f>IFERROR(NETWORKDAYS(D331,AG331,Hoja1!$A$1:$A$29),"N/A")</f>
        <v>35</v>
      </c>
      <c r="AU331" s="21">
        <f t="shared" si="35"/>
        <v>29</v>
      </c>
      <c r="AV331" s="143" t="s">
        <v>127</v>
      </c>
      <c r="AW331" s="143" t="s">
        <v>1022</v>
      </c>
      <c r="AX331" s="87" t="s">
        <v>446</v>
      </c>
      <c r="AY331" s="87"/>
      <c r="AZ331" s="87"/>
      <c r="BA331" s="87"/>
      <c r="BB331" s="87"/>
    </row>
    <row r="332" spans="1:54" ht="15" customHeight="1" x14ac:dyDescent="0.25">
      <c r="A332" s="157">
        <v>15774</v>
      </c>
      <c r="B332" s="87" t="s">
        <v>69</v>
      </c>
      <c r="C332" s="43" t="s">
        <v>98</v>
      </c>
      <c r="D332" s="428">
        <v>46055</v>
      </c>
      <c r="E332" s="142">
        <v>46055</v>
      </c>
      <c r="F332" s="202" t="s">
        <v>62</v>
      </c>
      <c r="G332" s="202" t="s">
        <v>80</v>
      </c>
      <c r="H332" s="143" t="s">
        <v>51</v>
      </c>
      <c r="I332" s="27" t="s">
        <v>72</v>
      </c>
      <c r="J332" s="87" t="s">
        <v>73</v>
      </c>
      <c r="K332" s="202" t="s">
        <v>66</v>
      </c>
      <c r="L332" s="21">
        <v>1</v>
      </c>
      <c r="M332" s="87" t="s">
        <v>54</v>
      </c>
      <c r="N332" s="33" t="s">
        <v>55</v>
      </c>
      <c r="O332" s="33">
        <v>8</v>
      </c>
      <c r="P332" s="33" t="s">
        <v>56</v>
      </c>
      <c r="Q332" s="142">
        <v>46057</v>
      </c>
      <c r="R332" s="142">
        <v>46064</v>
      </c>
      <c r="S332" s="33">
        <v>8</v>
      </c>
      <c r="T332" s="33" t="s">
        <v>55</v>
      </c>
      <c r="U332" s="33" t="s">
        <v>55</v>
      </c>
      <c r="V332" s="33" t="s">
        <v>55</v>
      </c>
      <c r="W332" s="33" t="s">
        <v>55</v>
      </c>
      <c r="X332" s="33" t="s">
        <v>55</v>
      </c>
      <c r="Y332" s="33" t="s">
        <v>55</v>
      </c>
      <c r="Z332" s="33" t="s">
        <v>55</v>
      </c>
      <c r="AA332" s="33">
        <v>1</v>
      </c>
      <c r="AB332" s="33">
        <v>1</v>
      </c>
      <c r="AC332" s="33">
        <v>0</v>
      </c>
      <c r="AD332" s="28">
        <v>46085</v>
      </c>
      <c r="AE332" s="28">
        <v>46085</v>
      </c>
      <c r="AF332" s="28">
        <v>46085</v>
      </c>
      <c r="AG332" s="28">
        <v>46091</v>
      </c>
      <c r="AH332" s="140">
        <v>46093</v>
      </c>
      <c r="AI332" s="33">
        <f t="shared" si="39"/>
        <v>3</v>
      </c>
      <c r="AJ332" s="144" t="s">
        <v>1023</v>
      </c>
      <c r="AK332" s="35" t="s">
        <v>1024</v>
      </c>
      <c r="AL332" s="19">
        <f t="shared" si="40"/>
        <v>1</v>
      </c>
      <c r="AM332" s="67">
        <f>IFERROR(NETWORKDAYS(D332,Q332,Hoja1!$A$1:$A$29),"N/A")</f>
        <v>3</v>
      </c>
      <c r="AN332" s="21">
        <f>IFERROR(NETWORKDAYS(D332,AE332,Hoja1!$A$1:$A$29),"N/A")</f>
        <v>23</v>
      </c>
      <c r="AO332" s="78">
        <v>5</v>
      </c>
      <c r="AP332" s="21">
        <f t="shared" si="38"/>
        <v>18</v>
      </c>
      <c r="AQ332" s="21">
        <f>IFERROR(NETWORKDAYS(AF332,AG332,Hoja1!$A$1:$A$29),"N/A")</f>
        <v>5</v>
      </c>
      <c r="AR332" s="78">
        <v>0</v>
      </c>
      <c r="AS332" s="75">
        <f t="shared" si="41"/>
        <v>5</v>
      </c>
      <c r="AT332" s="21">
        <f>IFERROR(NETWORKDAYS(D332,AG332,Hoja1!$A$1:$A$29),"N/A")</f>
        <v>27</v>
      </c>
      <c r="AU332" s="21">
        <f t="shared" si="35"/>
        <v>22</v>
      </c>
      <c r="AV332" s="143" t="s">
        <v>77</v>
      </c>
      <c r="AW332" s="143" t="s">
        <v>82</v>
      </c>
      <c r="AX332" s="87"/>
      <c r="AY332" s="87"/>
      <c r="AZ332" s="87"/>
      <c r="BA332" s="87"/>
      <c r="BB332" s="87"/>
    </row>
    <row r="333" spans="1:54" ht="15" customHeight="1" x14ac:dyDescent="0.25">
      <c r="A333" s="56">
        <v>15775</v>
      </c>
      <c r="B333" s="145" t="s">
        <v>169</v>
      </c>
      <c r="C333" s="145" t="s">
        <v>169</v>
      </c>
      <c r="D333" s="142">
        <v>46055</v>
      </c>
      <c r="E333" s="142">
        <v>46055</v>
      </c>
      <c r="F333" s="202" t="s">
        <v>879</v>
      </c>
      <c r="G333" s="48" t="s">
        <v>50</v>
      </c>
      <c r="H333" s="143" t="s">
        <v>51</v>
      </c>
      <c r="I333" s="48" t="s">
        <v>1293</v>
      </c>
      <c r="J333" s="87" t="s">
        <v>105</v>
      </c>
      <c r="K333" s="48" t="s">
        <v>106</v>
      </c>
      <c r="L333" s="21">
        <v>1</v>
      </c>
      <c r="M333" s="87" t="s">
        <v>54</v>
      </c>
      <c r="N333" s="18" t="s">
        <v>55</v>
      </c>
      <c r="O333" s="3">
        <v>14</v>
      </c>
      <c r="P333" s="3" t="s">
        <v>112</v>
      </c>
      <c r="Q333" s="30">
        <v>46087</v>
      </c>
      <c r="R333" s="30">
        <v>46087</v>
      </c>
      <c r="S333" s="3">
        <v>14</v>
      </c>
      <c r="T333" s="18" t="s">
        <v>55</v>
      </c>
      <c r="U333" s="18" t="s">
        <v>55</v>
      </c>
      <c r="V333" s="18" t="s">
        <v>55</v>
      </c>
      <c r="W333" s="18" t="s">
        <v>55</v>
      </c>
      <c r="X333" s="18" t="s">
        <v>55</v>
      </c>
      <c r="Y333" s="18" t="s">
        <v>55</v>
      </c>
      <c r="Z333" s="18" t="s">
        <v>55</v>
      </c>
      <c r="AA333" s="3">
        <v>2</v>
      </c>
      <c r="AB333" s="3">
        <v>2</v>
      </c>
      <c r="AC333" s="3">
        <v>0</v>
      </c>
      <c r="AD333" s="28">
        <v>46094</v>
      </c>
      <c r="AE333" s="28">
        <v>46094</v>
      </c>
      <c r="AF333" s="28">
        <v>46094</v>
      </c>
      <c r="AG333" s="28">
        <v>46101</v>
      </c>
      <c r="AH333" s="140">
        <v>46106</v>
      </c>
      <c r="AI333" s="33">
        <f t="shared" si="39"/>
        <v>3</v>
      </c>
      <c r="AJ333" s="144" t="s">
        <v>1025</v>
      </c>
      <c r="AK333" s="35" t="s">
        <v>1331</v>
      </c>
      <c r="AL333" s="19">
        <f t="shared" si="40"/>
        <v>1</v>
      </c>
      <c r="AM333" s="67">
        <f>IFERROR(NETWORKDAYS(D333,Q333,Hoja1!$A$1:$A$29),"N/A")</f>
        <v>25</v>
      </c>
      <c r="AN333" s="21">
        <f>IFERROR(NETWORKDAYS(D333,AE333,Hoja1!$A$1:$A$29),"N/A")</f>
        <v>30</v>
      </c>
      <c r="AO333" s="78">
        <v>2</v>
      </c>
      <c r="AP333" s="21">
        <f t="shared" si="38"/>
        <v>28</v>
      </c>
      <c r="AQ333" s="21">
        <f>IFERROR(NETWORKDAYS(AF333,AG333,Hoja1!$A$1:$A$29),"N/A")</f>
        <v>6</v>
      </c>
      <c r="AR333" s="78">
        <v>0</v>
      </c>
      <c r="AS333" s="75">
        <f t="shared" si="41"/>
        <v>6</v>
      </c>
      <c r="AT333" s="21">
        <f>IFERROR(NETWORKDAYS(D333,AG333,Hoja1!$A$1:$A$29),"N/A")</f>
        <v>35</v>
      </c>
      <c r="AU333" s="21">
        <f t="shared" si="35"/>
        <v>33</v>
      </c>
      <c r="AV333" s="143" t="s">
        <v>419</v>
      </c>
      <c r="AW333" s="143" t="s">
        <v>1026</v>
      </c>
      <c r="AX333" s="87"/>
      <c r="AY333" s="87"/>
      <c r="AZ333" s="87"/>
      <c r="BA333" s="87"/>
      <c r="BB333" s="87"/>
    </row>
    <row r="334" spans="1:54" ht="15" customHeight="1" x14ac:dyDescent="0.25">
      <c r="A334" s="55">
        <v>15777</v>
      </c>
      <c r="B334" s="152" t="s">
        <v>85</v>
      </c>
      <c r="C334" s="152" t="s">
        <v>85</v>
      </c>
      <c r="D334" s="428">
        <v>46055</v>
      </c>
      <c r="E334" s="142">
        <v>46055</v>
      </c>
      <c r="F334" s="232" t="s">
        <v>90</v>
      </c>
      <c r="G334" s="48" t="s">
        <v>1027</v>
      </c>
      <c r="H334" s="143" t="s">
        <v>51</v>
      </c>
      <c r="I334" s="48" t="s">
        <v>1406</v>
      </c>
      <c r="J334" s="84" t="s">
        <v>52</v>
      </c>
      <c r="K334" s="84" t="s">
        <v>171</v>
      </c>
      <c r="L334" s="21">
        <v>1</v>
      </c>
      <c r="M334" s="87" t="s">
        <v>54</v>
      </c>
      <c r="N334" s="3" t="s">
        <v>55</v>
      </c>
      <c r="O334" s="3">
        <v>4</v>
      </c>
      <c r="P334" s="3" t="s">
        <v>112</v>
      </c>
      <c r="Q334" s="73">
        <v>46057</v>
      </c>
      <c r="R334" s="73">
        <v>46057</v>
      </c>
      <c r="S334" s="3">
        <v>4</v>
      </c>
      <c r="T334" s="3" t="s">
        <v>55</v>
      </c>
      <c r="U334" s="3" t="s">
        <v>55</v>
      </c>
      <c r="V334" s="3" t="s">
        <v>55</v>
      </c>
      <c r="W334" s="3" t="s">
        <v>55</v>
      </c>
      <c r="X334" s="3" t="s">
        <v>55</v>
      </c>
      <c r="Y334" s="3" t="s">
        <v>55</v>
      </c>
      <c r="Z334" s="3" t="s">
        <v>55</v>
      </c>
      <c r="AA334" s="2">
        <v>4</v>
      </c>
      <c r="AB334" s="2">
        <v>1</v>
      </c>
      <c r="AC334" s="3">
        <v>0</v>
      </c>
      <c r="AD334" s="28">
        <v>46064</v>
      </c>
      <c r="AE334" s="28">
        <v>46071</v>
      </c>
      <c r="AF334" s="28">
        <v>46076</v>
      </c>
      <c r="AG334" s="28">
        <v>46080</v>
      </c>
      <c r="AH334" s="37">
        <v>46083</v>
      </c>
      <c r="AI334" s="33">
        <f t="shared" si="39"/>
        <v>3</v>
      </c>
      <c r="AJ334" s="144" t="s">
        <v>1028</v>
      </c>
      <c r="AK334" s="35" t="s">
        <v>1332</v>
      </c>
      <c r="AL334" s="19">
        <f t="shared" si="40"/>
        <v>1</v>
      </c>
      <c r="AM334" s="67">
        <f>IFERROR(NETWORKDAYS(D334,Q334,Hoja1!$A$1:$A$29),"N/A")</f>
        <v>3</v>
      </c>
      <c r="AN334" s="21">
        <f>IFERROR(NETWORKDAYS(D334,AE334,Hoja1!$A$1:$A$29),"N/A")</f>
        <v>13</v>
      </c>
      <c r="AO334" s="78">
        <v>0</v>
      </c>
      <c r="AP334" s="21">
        <f t="shared" si="38"/>
        <v>13</v>
      </c>
      <c r="AQ334" s="21">
        <f>IFERROR(NETWORKDAYS(AF334,AG334,Hoja1!$A$1:$A$29),"N/A")</f>
        <v>5</v>
      </c>
      <c r="AR334" s="78">
        <v>0</v>
      </c>
      <c r="AS334" s="75">
        <f t="shared" si="41"/>
        <v>5</v>
      </c>
      <c r="AT334" s="21">
        <f>IFERROR(NETWORKDAYS(D334,AG334,Hoja1!$A$1:$A$29),"N/A")</f>
        <v>20</v>
      </c>
      <c r="AU334" s="21">
        <f t="shared" si="35"/>
        <v>20</v>
      </c>
      <c r="AV334" s="143" t="s">
        <v>59</v>
      </c>
      <c r="AW334" s="143" t="s">
        <v>918</v>
      </c>
      <c r="AX334" s="111"/>
      <c r="AY334" s="111"/>
      <c r="AZ334" s="111"/>
      <c r="BA334" s="111"/>
      <c r="BB334" s="111"/>
    </row>
    <row r="335" spans="1:54" ht="15" customHeight="1" x14ac:dyDescent="0.25">
      <c r="A335" s="57">
        <v>15780</v>
      </c>
      <c r="B335" s="87" t="s">
        <v>69</v>
      </c>
      <c r="C335" s="43" t="s">
        <v>98</v>
      </c>
      <c r="D335" s="142">
        <v>46055</v>
      </c>
      <c r="E335" s="142">
        <v>46055</v>
      </c>
      <c r="F335" s="114" t="s">
        <v>163</v>
      </c>
      <c r="G335" s="48" t="s">
        <v>688</v>
      </c>
      <c r="H335" s="84" t="s">
        <v>271</v>
      </c>
      <c r="I335" s="84" t="s">
        <v>227</v>
      </c>
      <c r="J335" s="84" t="s">
        <v>52</v>
      </c>
      <c r="K335" s="27" t="s">
        <v>165</v>
      </c>
      <c r="L335" s="21">
        <v>1</v>
      </c>
      <c r="M335" s="87" t="s">
        <v>54</v>
      </c>
      <c r="N335" s="3" t="s">
        <v>55</v>
      </c>
      <c r="O335" s="3">
        <v>0</v>
      </c>
      <c r="P335" s="33"/>
      <c r="Q335" s="116" t="s">
        <v>55</v>
      </c>
      <c r="R335" s="116" t="s">
        <v>55</v>
      </c>
      <c r="S335" s="3">
        <v>0</v>
      </c>
      <c r="T335" s="3" t="s">
        <v>55</v>
      </c>
      <c r="U335" s="3" t="s">
        <v>55</v>
      </c>
      <c r="V335" s="3" t="s">
        <v>55</v>
      </c>
      <c r="W335" s="3" t="s">
        <v>55</v>
      </c>
      <c r="X335" s="3" t="s">
        <v>55</v>
      </c>
      <c r="Y335" s="3" t="s">
        <v>55</v>
      </c>
      <c r="Z335" s="3" t="s">
        <v>55</v>
      </c>
      <c r="AA335" s="1">
        <v>0</v>
      </c>
      <c r="AB335" s="1">
        <v>0</v>
      </c>
      <c r="AC335" s="3">
        <v>0</v>
      </c>
      <c r="AD335" s="16" t="s">
        <v>55</v>
      </c>
      <c r="AE335" s="28">
        <v>46055</v>
      </c>
      <c r="AF335" s="28">
        <v>46056</v>
      </c>
      <c r="AG335" s="28">
        <v>46083</v>
      </c>
      <c r="AH335" s="16">
        <v>46083</v>
      </c>
      <c r="AI335" s="33">
        <v>3</v>
      </c>
      <c r="AJ335" s="144" t="s">
        <v>1029</v>
      </c>
      <c r="AK335" s="35" t="s">
        <v>1030</v>
      </c>
      <c r="AL335" s="19" t="str">
        <f t="shared" si="40"/>
        <v>N/A</v>
      </c>
      <c r="AM335" s="67" t="str">
        <f>IFERROR(NETWORKDAYS(D335,Q335,Hoja1!$A$1:$A$29),"N/A")</f>
        <v>N/A</v>
      </c>
      <c r="AN335" s="21">
        <f>IFERROR(NETWORKDAYS(D335,AE335,Hoja1!$A$1:$A$29),"N/A")</f>
        <v>1</v>
      </c>
      <c r="AO335" s="78">
        <v>0</v>
      </c>
      <c r="AP335" s="19" t="s">
        <v>82</v>
      </c>
      <c r="AQ335" s="21">
        <f>IFERROR(NETWORKDAYS(AF335,AG335,Hoja1!$A$1:$A$29),"N/A")</f>
        <v>20</v>
      </c>
      <c r="AR335" s="78">
        <v>15</v>
      </c>
      <c r="AS335" s="75">
        <f t="shared" si="41"/>
        <v>5</v>
      </c>
      <c r="AT335" s="21">
        <f>IFERROR(NETWORKDAYS(D335,AG335,Hoja1!$A$1:$A$29),"N/A")</f>
        <v>21</v>
      </c>
      <c r="AU335" s="21">
        <f t="shared" si="35"/>
        <v>6</v>
      </c>
      <c r="AV335" s="143" t="s">
        <v>145</v>
      </c>
      <c r="AW335" s="143" t="s">
        <v>180</v>
      </c>
      <c r="AX335" s="114"/>
      <c r="AY335" s="114"/>
      <c r="AZ335" s="114"/>
      <c r="BA335" s="114"/>
      <c r="BB335" s="114"/>
    </row>
    <row r="336" spans="1:54" ht="15" customHeight="1" x14ac:dyDescent="0.25">
      <c r="A336" s="58">
        <v>15783</v>
      </c>
      <c r="B336" s="84" t="s">
        <v>597</v>
      </c>
      <c r="C336" s="84" t="s">
        <v>597</v>
      </c>
      <c r="D336" s="428">
        <v>46056</v>
      </c>
      <c r="E336" s="142">
        <v>46055</v>
      </c>
      <c r="F336" s="232" t="s">
        <v>62</v>
      </c>
      <c r="G336" s="48" t="s">
        <v>71</v>
      </c>
      <c r="H336" s="143" t="s">
        <v>116</v>
      </c>
      <c r="I336" s="48" t="s">
        <v>1031</v>
      </c>
      <c r="J336" s="87" t="s">
        <v>142</v>
      </c>
      <c r="K336" s="111" t="s">
        <v>351</v>
      </c>
      <c r="L336" s="21">
        <v>1</v>
      </c>
      <c r="M336" s="87" t="s">
        <v>54</v>
      </c>
      <c r="N336" s="3" t="s">
        <v>55</v>
      </c>
      <c r="O336" s="3">
        <v>3</v>
      </c>
      <c r="P336" s="3" t="s">
        <v>112</v>
      </c>
      <c r="Q336" s="155">
        <v>46065</v>
      </c>
      <c r="R336" s="155">
        <v>46078</v>
      </c>
      <c r="S336" s="3">
        <v>3</v>
      </c>
      <c r="T336" s="30">
        <v>46058</v>
      </c>
      <c r="U336" s="30">
        <v>46059</v>
      </c>
      <c r="V336" s="30">
        <v>46065</v>
      </c>
      <c r="W336" s="3" t="s">
        <v>55</v>
      </c>
      <c r="X336" s="3" t="s">
        <v>55</v>
      </c>
      <c r="Y336" s="3" t="s">
        <v>55</v>
      </c>
      <c r="Z336" s="37">
        <v>46078</v>
      </c>
      <c r="AA336" s="3">
        <v>2</v>
      </c>
      <c r="AB336" s="3">
        <v>2</v>
      </c>
      <c r="AC336" s="3">
        <v>0</v>
      </c>
      <c r="AD336" s="28">
        <v>46093</v>
      </c>
      <c r="AE336" s="28">
        <v>46093</v>
      </c>
      <c r="AF336" s="28">
        <v>46094</v>
      </c>
      <c r="AG336" s="28">
        <v>46100</v>
      </c>
      <c r="AH336" s="140">
        <v>46106</v>
      </c>
      <c r="AI336" s="33">
        <f t="shared" ref="AI336:AI369" si="42">MONTH(AH336)</f>
        <v>3</v>
      </c>
      <c r="AJ336" s="144" t="s">
        <v>1032</v>
      </c>
      <c r="AK336" s="35" t="s">
        <v>1333</v>
      </c>
      <c r="AL336" s="19">
        <f t="shared" si="40"/>
        <v>1</v>
      </c>
      <c r="AM336" s="67">
        <f>IFERROR(NETWORKDAYS(D336,Q336,Hoja1!$A$1:$A$29),"N/A")</f>
        <v>8</v>
      </c>
      <c r="AN336" s="21">
        <f>IFERROR(NETWORKDAYS(D336,AE336,Hoja1!$A$1:$A$29),"N/A")</f>
        <v>28</v>
      </c>
      <c r="AO336" s="78">
        <v>5</v>
      </c>
      <c r="AP336" s="21">
        <f t="shared" ref="AP336:AP399" si="43">AN336-AO336</f>
        <v>23</v>
      </c>
      <c r="AQ336" s="21">
        <f>IFERROR(NETWORKDAYS(AF336,AG336,Hoja1!$A$1:$A$29),"N/A")</f>
        <v>5</v>
      </c>
      <c r="AR336" s="78">
        <v>0</v>
      </c>
      <c r="AS336" s="75">
        <f t="shared" si="41"/>
        <v>5</v>
      </c>
      <c r="AT336" s="21">
        <f>IFERROR(NETWORKDAYS(D336,AG336,Hoja1!$A$1:$A$29),"N/A")</f>
        <v>33</v>
      </c>
      <c r="AU336" s="21">
        <f t="shared" si="35"/>
        <v>28</v>
      </c>
      <c r="AV336" s="143" t="s">
        <v>127</v>
      </c>
      <c r="AW336" s="143" t="s">
        <v>1033</v>
      </c>
      <c r="AX336" s="46"/>
      <c r="AY336" s="87"/>
      <c r="AZ336" s="87"/>
      <c r="BA336" s="87"/>
      <c r="BB336" s="87"/>
    </row>
    <row r="337" spans="1:54" ht="15" customHeight="1" x14ac:dyDescent="0.25">
      <c r="A337" s="54">
        <v>15784</v>
      </c>
      <c r="B337" s="87" t="s">
        <v>79</v>
      </c>
      <c r="C337" s="87" t="s">
        <v>79</v>
      </c>
      <c r="D337" s="142">
        <v>46064</v>
      </c>
      <c r="E337" s="142">
        <v>46055</v>
      </c>
      <c r="F337" s="84" t="s">
        <v>62</v>
      </c>
      <c r="G337" s="87" t="s">
        <v>80</v>
      </c>
      <c r="H337" s="143" t="s">
        <v>101</v>
      </c>
      <c r="I337" s="87" t="s">
        <v>92</v>
      </c>
      <c r="J337" s="84" t="s">
        <v>52</v>
      </c>
      <c r="K337" s="87" t="s">
        <v>74</v>
      </c>
      <c r="L337" s="21">
        <v>1</v>
      </c>
      <c r="M337" s="87" t="s">
        <v>54</v>
      </c>
      <c r="N337" s="2" t="s">
        <v>55</v>
      </c>
      <c r="O337" s="3">
        <v>0</v>
      </c>
      <c r="P337" s="33"/>
      <c r="Q337" s="18" t="s">
        <v>55</v>
      </c>
      <c r="R337" s="18" t="s">
        <v>55</v>
      </c>
      <c r="S337" s="3">
        <v>0</v>
      </c>
      <c r="T337" s="18" t="s">
        <v>55</v>
      </c>
      <c r="U337" s="18" t="s">
        <v>55</v>
      </c>
      <c r="V337" s="18" t="s">
        <v>55</v>
      </c>
      <c r="W337" s="18" t="s">
        <v>55</v>
      </c>
      <c r="X337" s="18" t="s">
        <v>55</v>
      </c>
      <c r="Y337" s="18" t="s">
        <v>55</v>
      </c>
      <c r="Z337" s="18" t="s">
        <v>55</v>
      </c>
      <c r="AA337" s="3">
        <v>1</v>
      </c>
      <c r="AB337" s="3">
        <v>1</v>
      </c>
      <c r="AC337" s="3">
        <v>0</v>
      </c>
      <c r="AD337" s="148">
        <v>46076</v>
      </c>
      <c r="AE337" s="148">
        <v>46076</v>
      </c>
      <c r="AF337" s="148">
        <v>46076</v>
      </c>
      <c r="AG337" s="28">
        <v>46080</v>
      </c>
      <c r="AH337" s="38">
        <v>46083</v>
      </c>
      <c r="AI337" s="33">
        <f t="shared" si="42"/>
        <v>3</v>
      </c>
      <c r="AJ337" s="144" t="s">
        <v>1034</v>
      </c>
      <c r="AK337" s="35" t="s">
        <v>1035</v>
      </c>
      <c r="AL337" s="19" t="str">
        <f t="shared" si="40"/>
        <v>N/A</v>
      </c>
      <c r="AM337" s="67" t="str">
        <f>IFERROR(NETWORKDAYS(D337,Q337,Hoja1!$A$1:$A$29),"N/A")</f>
        <v>N/A</v>
      </c>
      <c r="AN337" s="21">
        <f>IFERROR(NETWORKDAYS(D337,AE337,Hoja1!$A$1:$A$29),"N/A")</f>
        <v>9</v>
      </c>
      <c r="AO337" s="78">
        <v>0</v>
      </c>
      <c r="AP337" s="21">
        <f t="shared" si="43"/>
        <v>9</v>
      </c>
      <c r="AQ337" s="21">
        <f>IFERROR(NETWORKDAYS(AF337,AG337,Hoja1!$A$1:$A$29),"N/A")</f>
        <v>5</v>
      </c>
      <c r="AR337" s="78">
        <v>0</v>
      </c>
      <c r="AS337" s="75">
        <f t="shared" si="41"/>
        <v>5</v>
      </c>
      <c r="AT337" s="21">
        <f>IFERROR(NETWORKDAYS(D337,AG337,Hoja1!$A$1:$A$29),"N/A")</f>
        <v>13</v>
      </c>
      <c r="AU337" s="21">
        <f t="shared" si="35"/>
        <v>13</v>
      </c>
      <c r="AV337" s="143" t="s">
        <v>104</v>
      </c>
      <c r="AW337" s="143" t="s">
        <v>960</v>
      </c>
      <c r="AX337" s="87" t="s">
        <v>454</v>
      </c>
      <c r="AY337" s="87"/>
      <c r="AZ337" s="87"/>
      <c r="BA337" s="87"/>
      <c r="BB337" s="87"/>
    </row>
    <row r="338" spans="1:54" ht="15" customHeight="1" x14ac:dyDescent="0.25">
      <c r="A338" s="54">
        <v>15785</v>
      </c>
      <c r="B338" s="87" t="s">
        <v>79</v>
      </c>
      <c r="C338" s="87" t="s">
        <v>79</v>
      </c>
      <c r="D338" s="428">
        <v>46055</v>
      </c>
      <c r="E338" s="142">
        <v>46055</v>
      </c>
      <c r="F338" s="84" t="s">
        <v>62</v>
      </c>
      <c r="G338" s="87" t="s">
        <v>80</v>
      </c>
      <c r="H338" s="143" t="s">
        <v>101</v>
      </c>
      <c r="I338" s="87" t="s">
        <v>92</v>
      </c>
      <c r="J338" s="84" t="s">
        <v>52</v>
      </c>
      <c r="K338" s="87" t="s">
        <v>74</v>
      </c>
      <c r="L338" s="21">
        <v>1</v>
      </c>
      <c r="M338" s="87" t="s">
        <v>54</v>
      </c>
      <c r="N338" s="18" t="s">
        <v>55</v>
      </c>
      <c r="O338" s="3">
        <v>0</v>
      </c>
      <c r="P338" s="33"/>
      <c r="Q338" s="2" t="s">
        <v>55</v>
      </c>
      <c r="R338" s="2" t="s">
        <v>55</v>
      </c>
      <c r="S338" s="3">
        <v>0</v>
      </c>
      <c r="T338" s="18" t="s">
        <v>55</v>
      </c>
      <c r="U338" s="18" t="s">
        <v>55</v>
      </c>
      <c r="V338" s="18" t="s">
        <v>55</v>
      </c>
      <c r="W338" s="18" t="s">
        <v>55</v>
      </c>
      <c r="X338" s="18" t="s">
        <v>55</v>
      </c>
      <c r="Y338" s="18" t="s">
        <v>55</v>
      </c>
      <c r="Z338" s="18" t="s">
        <v>55</v>
      </c>
      <c r="AA338" s="3">
        <v>1</v>
      </c>
      <c r="AB338" s="3">
        <v>1</v>
      </c>
      <c r="AC338" s="3">
        <v>0</v>
      </c>
      <c r="AD338" s="148">
        <v>46076</v>
      </c>
      <c r="AE338" s="148">
        <v>46076</v>
      </c>
      <c r="AF338" s="148">
        <v>46076</v>
      </c>
      <c r="AG338" s="28">
        <v>46080</v>
      </c>
      <c r="AH338" s="38">
        <v>46083</v>
      </c>
      <c r="AI338" s="33">
        <f t="shared" si="42"/>
        <v>3</v>
      </c>
      <c r="AJ338" s="144" t="s">
        <v>1036</v>
      </c>
      <c r="AK338" s="35" t="s">
        <v>1037</v>
      </c>
      <c r="AL338" s="19" t="str">
        <f t="shared" si="40"/>
        <v>N/A</v>
      </c>
      <c r="AM338" s="67" t="str">
        <f>IFERROR(NETWORKDAYS(D338,Q338,Hoja1!$A$1:$A$29),"N/A")</f>
        <v>N/A</v>
      </c>
      <c r="AN338" s="21">
        <f>IFERROR(NETWORKDAYS(D338,AE338,Hoja1!$A$1:$A$29),"N/A")</f>
        <v>16</v>
      </c>
      <c r="AO338" s="78">
        <v>6</v>
      </c>
      <c r="AP338" s="21">
        <f t="shared" si="43"/>
        <v>10</v>
      </c>
      <c r="AQ338" s="21">
        <f>IFERROR(NETWORKDAYS(AF338,AG338,Hoja1!$A$1:$A$29),"N/A")</f>
        <v>5</v>
      </c>
      <c r="AR338" s="78">
        <v>0</v>
      </c>
      <c r="AS338" s="75">
        <f t="shared" si="41"/>
        <v>5</v>
      </c>
      <c r="AT338" s="21">
        <f>IFERROR(NETWORKDAYS(D338,AG338,Hoja1!$A$1:$A$29),"N/A")</f>
        <v>20</v>
      </c>
      <c r="AU338" s="21">
        <f t="shared" si="35"/>
        <v>14</v>
      </c>
      <c r="AV338" s="143" t="s">
        <v>104</v>
      </c>
      <c r="AW338" s="143" t="s">
        <v>1038</v>
      </c>
      <c r="AX338" s="87"/>
      <c r="AY338" s="87"/>
      <c r="AZ338" s="87"/>
      <c r="BA338" s="87"/>
      <c r="BB338" s="87"/>
    </row>
    <row r="339" spans="1:54" ht="15" customHeight="1" x14ac:dyDescent="0.25">
      <c r="A339" s="56">
        <v>15788</v>
      </c>
      <c r="B339" s="87" t="s">
        <v>79</v>
      </c>
      <c r="C339" s="87" t="s">
        <v>79</v>
      </c>
      <c r="D339" s="142">
        <v>46056</v>
      </c>
      <c r="E339" s="142">
        <v>46056</v>
      </c>
      <c r="F339" s="202" t="s">
        <v>879</v>
      </c>
      <c r="G339" s="48" t="s">
        <v>321</v>
      </c>
      <c r="H339" s="143" t="s">
        <v>101</v>
      </c>
      <c r="I339" s="87" t="s">
        <v>92</v>
      </c>
      <c r="J339" s="84" t="s">
        <v>52</v>
      </c>
      <c r="K339" s="48" t="s">
        <v>106</v>
      </c>
      <c r="L339" s="21">
        <v>1</v>
      </c>
      <c r="M339" s="87" t="s">
        <v>54</v>
      </c>
      <c r="N339" s="18" t="s">
        <v>55</v>
      </c>
      <c r="O339" s="18">
        <v>0</v>
      </c>
      <c r="P339" s="33"/>
      <c r="Q339" s="18" t="s">
        <v>55</v>
      </c>
      <c r="R339" s="18" t="s">
        <v>55</v>
      </c>
      <c r="S339" s="18">
        <v>0</v>
      </c>
      <c r="T339" s="18" t="s">
        <v>55</v>
      </c>
      <c r="U339" s="18" t="s">
        <v>55</v>
      </c>
      <c r="V339" s="18" t="s">
        <v>55</v>
      </c>
      <c r="W339" s="18" t="s">
        <v>55</v>
      </c>
      <c r="X339" s="18" t="s">
        <v>55</v>
      </c>
      <c r="Y339" s="18" t="s">
        <v>55</v>
      </c>
      <c r="Z339" s="18" t="s">
        <v>55</v>
      </c>
      <c r="AA339" s="3">
        <v>1</v>
      </c>
      <c r="AB339" s="3">
        <v>1</v>
      </c>
      <c r="AC339" s="3">
        <v>0</v>
      </c>
      <c r="AD339" s="30">
        <v>46063</v>
      </c>
      <c r="AE339" s="28">
        <v>46065</v>
      </c>
      <c r="AF339" s="28">
        <v>46065</v>
      </c>
      <c r="AG339" s="28">
        <v>46073</v>
      </c>
      <c r="AH339" s="37">
        <v>46083</v>
      </c>
      <c r="AI339" s="33">
        <f t="shared" si="42"/>
        <v>3</v>
      </c>
      <c r="AJ339" s="144" t="s">
        <v>1039</v>
      </c>
      <c r="AK339" s="35" t="s">
        <v>1334</v>
      </c>
      <c r="AL339" s="19" t="str">
        <f t="shared" si="40"/>
        <v>N/A</v>
      </c>
      <c r="AM339" s="67" t="str">
        <f>IFERROR(NETWORKDAYS(D339,Q339,Hoja1!$A$1:$A$29),"N/A")</f>
        <v>N/A</v>
      </c>
      <c r="AN339" s="21">
        <f>IFERROR(NETWORKDAYS(D339,AE339,Hoja1!$A$1:$A$29),"N/A")</f>
        <v>8</v>
      </c>
      <c r="AO339" s="78">
        <v>0</v>
      </c>
      <c r="AP339" s="21">
        <f t="shared" si="43"/>
        <v>8</v>
      </c>
      <c r="AQ339" s="21">
        <f>IFERROR(NETWORKDAYS(AF339,AG339,Hoja1!$A$1:$A$29),"N/A")</f>
        <v>7</v>
      </c>
      <c r="AR339" s="78">
        <v>0</v>
      </c>
      <c r="AS339" s="75">
        <f t="shared" si="41"/>
        <v>7</v>
      </c>
      <c r="AT339" s="21">
        <f>IFERROR(NETWORKDAYS(D339,AG339,Hoja1!$A$1:$A$29),"N/A")</f>
        <v>14</v>
      </c>
      <c r="AU339" s="21">
        <f t="shared" si="35"/>
        <v>14</v>
      </c>
      <c r="AV339" s="143" t="s">
        <v>104</v>
      </c>
      <c r="AW339" s="143" t="s">
        <v>1369</v>
      </c>
      <c r="AX339" s="87"/>
      <c r="AY339" s="87"/>
      <c r="AZ339" s="87"/>
      <c r="BA339" s="87"/>
      <c r="BB339" s="87"/>
    </row>
    <row r="340" spans="1:54" ht="15" customHeight="1" x14ac:dyDescent="0.25">
      <c r="A340" s="54">
        <v>15792</v>
      </c>
      <c r="B340" s="87" t="s">
        <v>69</v>
      </c>
      <c r="C340" s="43" t="s">
        <v>98</v>
      </c>
      <c r="D340" s="428">
        <v>46056</v>
      </c>
      <c r="E340" s="142">
        <v>46056</v>
      </c>
      <c r="F340" s="202" t="s">
        <v>879</v>
      </c>
      <c r="G340" s="48" t="s">
        <v>50</v>
      </c>
      <c r="H340" s="143" t="s">
        <v>51</v>
      </c>
      <c r="I340" s="87" t="s">
        <v>885</v>
      </c>
      <c r="J340" s="84" t="s">
        <v>52</v>
      </c>
      <c r="K340" s="87" t="s">
        <v>53</v>
      </c>
      <c r="L340" s="21">
        <v>1</v>
      </c>
      <c r="M340" s="87" t="s">
        <v>54</v>
      </c>
      <c r="N340" s="3" t="s">
        <v>55</v>
      </c>
      <c r="O340" s="3">
        <v>16</v>
      </c>
      <c r="P340" s="33" t="s">
        <v>56</v>
      </c>
      <c r="Q340" s="30">
        <v>46084</v>
      </c>
      <c r="R340" s="30">
        <v>46084</v>
      </c>
      <c r="S340" s="3">
        <v>16</v>
      </c>
      <c r="T340" s="3" t="s">
        <v>55</v>
      </c>
      <c r="U340" s="3" t="s">
        <v>55</v>
      </c>
      <c r="V340" s="3" t="s">
        <v>55</v>
      </c>
      <c r="W340" s="3" t="s">
        <v>55</v>
      </c>
      <c r="X340" s="3" t="s">
        <v>55</v>
      </c>
      <c r="Y340" s="3" t="s">
        <v>55</v>
      </c>
      <c r="Z340" s="18" t="s">
        <v>55</v>
      </c>
      <c r="AA340" s="3">
        <v>3</v>
      </c>
      <c r="AB340" s="3">
        <v>3</v>
      </c>
      <c r="AC340" s="3">
        <v>0</v>
      </c>
      <c r="AD340" s="30">
        <v>46091</v>
      </c>
      <c r="AE340" s="28">
        <v>46091</v>
      </c>
      <c r="AF340" s="28">
        <v>46091</v>
      </c>
      <c r="AG340" s="28">
        <v>46100</v>
      </c>
      <c r="AH340" s="30">
        <v>46100</v>
      </c>
      <c r="AI340" s="33">
        <f t="shared" si="42"/>
        <v>3</v>
      </c>
      <c r="AJ340" s="144" t="s">
        <v>1040</v>
      </c>
      <c r="AK340" s="35" t="s">
        <v>1041</v>
      </c>
      <c r="AL340" s="19">
        <f t="shared" si="40"/>
        <v>1</v>
      </c>
      <c r="AM340" s="67">
        <f>IFERROR(NETWORKDAYS(D340,Q340,Hoja1!$A$1:$A$29),"N/A")</f>
        <v>21</v>
      </c>
      <c r="AN340" s="21">
        <f>IFERROR(NETWORKDAYS(D340,AE340,Hoja1!$A$1:$A$29),"N/A")</f>
        <v>26</v>
      </c>
      <c r="AO340" s="78">
        <v>7</v>
      </c>
      <c r="AP340" s="21">
        <f t="shared" si="43"/>
        <v>19</v>
      </c>
      <c r="AQ340" s="21">
        <f>IFERROR(NETWORKDAYS(AF340,AG340,Hoja1!$A$1:$A$29),"N/A")</f>
        <v>8</v>
      </c>
      <c r="AR340" s="78">
        <v>3</v>
      </c>
      <c r="AS340" s="75">
        <f t="shared" si="41"/>
        <v>5</v>
      </c>
      <c r="AT340" s="21">
        <f>IFERROR(NETWORKDAYS(D340,AG340,Hoja1!$A$1:$A$29),"N/A")</f>
        <v>33</v>
      </c>
      <c r="AU340" s="21">
        <f t="shared" si="35"/>
        <v>23</v>
      </c>
      <c r="AV340" s="143" t="s">
        <v>59</v>
      </c>
      <c r="AW340" s="143" t="s">
        <v>1042</v>
      </c>
      <c r="AX340" s="87"/>
      <c r="AY340" s="87"/>
      <c r="AZ340" s="87"/>
      <c r="BA340" s="87"/>
      <c r="BB340" s="87"/>
    </row>
    <row r="341" spans="1:54" ht="15" customHeight="1" x14ac:dyDescent="0.25">
      <c r="A341" s="55">
        <v>15796</v>
      </c>
      <c r="B341" s="87" t="s">
        <v>79</v>
      </c>
      <c r="C341" s="87" t="s">
        <v>79</v>
      </c>
      <c r="D341" s="142">
        <v>46085</v>
      </c>
      <c r="E341" s="142">
        <v>46057</v>
      </c>
      <c r="F341" s="232" t="s">
        <v>90</v>
      </c>
      <c r="G341" s="48" t="s">
        <v>91</v>
      </c>
      <c r="H341" s="143" t="s">
        <v>51</v>
      </c>
      <c r="I341" s="111" t="s">
        <v>239</v>
      </c>
      <c r="J341" s="84" t="s">
        <v>52</v>
      </c>
      <c r="K341" s="84" t="s">
        <v>111</v>
      </c>
      <c r="L341" s="21">
        <v>1</v>
      </c>
      <c r="M341" s="87" t="s">
        <v>54</v>
      </c>
      <c r="N341" s="3" t="s">
        <v>55</v>
      </c>
      <c r="O341" s="3">
        <v>3</v>
      </c>
      <c r="P341" s="3" t="s">
        <v>112</v>
      </c>
      <c r="Q341" s="73">
        <v>46090</v>
      </c>
      <c r="R341" s="73">
        <v>46090</v>
      </c>
      <c r="S341" s="3">
        <v>3</v>
      </c>
      <c r="T341" s="3" t="s">
        <v>55</v>
      </c>
      <c r="U341" s="3" t="s">
        <v>55</v>
      </c>
      <c r="V341" s="3" t="s">
        <v>55</v>
      </c>
      <c r="W341" s="3" t="s">
        <v>55</v>
      </c>
      <c r="X341" s="3" t="s">
        <v>55</v>
      </c>
      <c r="Y341" s="3" t="s">
        <v>55</v>
      </c>
      <c r="Z341" s="3" t="s">
        <v>55</v>
      </c>
      <c r="AA341" s="2">
        <v>3</v>
      </c>
      <c r="AB341" s="2">
        <v>1</v>
      </c>
      <c r="AC341" s="3">
        <v>0</v>
      </c>
      <c r="AD341" s="30">
        <v>46097</v>
      </c>
      <c r="AE341" s="30">
        <v>46097</v>
      </c>
      <c r="AF341" s="30">
        <v>46097</v>
      </c>
      <c r="AG341" s="28">
        <v>46101</v>
      </c>
      <c r="AH341" s="140">
        <v>46106</v>
      </c>
      <c r="AI341" s="33">
        <f t="shared" si="42"/>
        <v>3</v>
      </c>
      <c r="AJ341" s="144" t="s">
        <v>1043</v>
      </c>
      <c r="AK341" s="146" t="s">
        <v>1335</v>
      </c>
      <c r="AL341" s="19">
        <f t="shared" si="40"/>
        <v>1</v>
      </c>
      <c r="AM341" s="67">
        <f>IFERROR(NETWORKDAYS(D341,Q341,Hoja1!$A$1:$A$29),"N/A")</f>
        <v>4</v>
      </c>
      <c r="AN341" s="21">
        <f>IFERROR(NETWORKDAYS(D341,AE341,Hoja1!$A$1:$A$29),"N/A")</f>
        <v>9</v>
      </c>
      <c r="AO341" s="78">
        <v>0</v>
      </c>
      <c r="AP341" s="21">
        <f t="shared" si="43"/>
        <v>9</v>
      </c>
      <c r="AQ341" s="21">
        <f>IFERROR(NETWORKDAYS(AF341,AG341,Hoja1!$A$1:$A$29),"N/A")</f>
        <v>5</v>
      </c>
      <c r="AR341" s="78">
        <v>0</v>
      </c>
      <c r="AS341" s="75">
        <f t="shared" si="41"/>
        <v>5</v>
      </c>
      <c r="AT341" s="21">
        <f>IFERROR(NETWORKDAYS(D341,AG341,Hoja1!$A$1:$A$29),"N/A")</f>
        <v>13</v>
      </c>
      <c r="AU341" s="21">
        <f t="shared" si="35"/>
        <v>13</v>
      </c>
      <c r="AV341" s="143" t="s">
        <v>59</v>
      </c>
      <c r="AW341" s="143" t="s">
        <v>1044</v>
      </c>
      <c r="AX341" s="87" t="s">
        <v>871</v>
      </c>
      <c r="AY341" s="87"/>
      <c r="AZ341" s="87"/>
      <c r="BA341" s="87"/>
      <c r="BB341" s="87"/>
    </row>
    <row r="342" spans="1:54" ht="15" customHeight="1" x14ac:dyDescent="0.25">
      <c r="A342" s="54">
        <v>15800</v>
      </c>
      <c r="B342" s="87" t="s">
        <v>79</v>
      </c>
      <c r="C342" s="87" t="s">
        <v>79</v>
      </c>
      <c r="D342" s="428">
        <v>46058</v>
      </c>
      <c r="E342" s="142">
        <v>46058</v>
      </c>
      <c r="F342" s="143" t="s">
        <v>99</v>
      </c>
      <c r="G342" s="152" t="s">
        <v>100</v>
      </c>
      <c r="H342" s="143" t="s">
        <v>101</v>
      </c>
      <c r="I342" s="111" t="s">
        <v>239</v>
      </c>
      <c r="J342" s="84" t="s">
        <v>52</v>
      </c>
      <c r="K342" s="111" t="s">
        <v>129</v>
      </c>
      <c r="L342" s="21">
        <v>1</v>
      </c>
      <c r="M342" s="87" t="s">
        <v>54</v>
      </c>
      <c r="N342" s="2" t="s">
        <v>55</v>
      </c>
      <c r="O342" s="151">
        <v>0</v>
      </c>
      <c r="P342" s="33"/>
      <c r="Q342" s="2" t="s">
        <v>55</v>
      </c>
      <c r="R342" s="2" t="s">
        <v>55</v>
      </c>
      <c r="S342" s="2">
        <v>0</v>
      </c>
      <c r="T342" s="2" t="s">
        <v>55</v>
      </c>
      <c r="U342" s="2" t="s">
        <v>55</v>
      </c>
      <c r="V342" s="2" t="s">
        <v>55</v>
      </c>
      <c r="W342" s="2" t="s">
        <v>55</v>
      </c>
      <c r="X342" s="2" t="s">
        <v>55</v>
      </c>
      <c r="Y342" s="2" t="s">
        <v>55</v>
      </c>
      <c r="Z342" s="2" t="s">
        <v>55</v>
      </c>
      <c r="AA342" s="151">
        <v>1</v>
      </c>
      <c r="AB342" s="151">
        <v>1</v>
      </c>
      <c r="AC342" s="2">
        <v>0</v>
      </c>
      <c r="AD342" s="104">
        <v>46069</v>
      </c>
      <c r="AE342" s="104">
        <v>46069</v>
      </c>
      <c r="AF342" s="104">
        <v>46069</v>
      </c>
      <c r="AG342" s="28">
        <v>46079</v>
      </c>
      <c r="AH342" s="37">
        <v>46083</v>
      </c>
      <c r="AI342" s="33">
        <f t="shared" si="42"/>
        <v>3</v>
      </c>
      <c r="AJ342" s="144" t="s">
        <v>1045</v>
      </c>
      <c r="AK342" s="35" t="s">
        <v>1046</v>
      </c>
      <c r="AL342" s="19" t="str">
        <f t="shared" si="40"/>
        <v>N/A</v>
      </c>
      <c r="AM342" s="67" t="str">
        <f>IFERROR(NETWORKDAYS(D342,Q342,Hoja1!$A$1:$A$29),"N/A")</f>
        <v>N/A</v>
      </c>
      <c r="AN342" s="21">
        <f>IFERROR(NETWORKDAYS(D342,AE342,Hoja1!$A$1:$A$29),"N/A")</f>
        <v>8</v>
      </c>
      <c r="AO342" s="78">
        <v>2</v>
      </c>
      <c r="AP342" s="21">
        <f t="shared" si="43"/>
        <v>6</v>
      </c>
      <c r="AQ342" s="21">
        <f>IFERROR(NETWORKDAYS(AF342,AG342,Hoja1!$A$1:$A$29),"N/A")</f>
        <v>9</v>
      </c>
      <c r="AR342" s="78">
        <v>5</v>
      </c>
      <c r="AS342" s="75">
        <f t="shared" si="41"/>
        <v>4</v>
      </c>
      <c r="AT342" s="21">
        <f>IFERROR(NETWORKDAYS(D342,AG342,Hoja1!$A$1:$A$29),"N/A")</f>
        <v>16</v>
      </c>
      <c r="AU342" s="21">
        <f t="shared" si="35"/>
        <v>9</v>
      </c>
      <c r="AV342" s="143" t="s">
        <v>104</v>
      </c>
      <c r="AW342" s="143" t="s">
        <v>95</v>
      </c>
      <c r="AX342" s="152"/>
      <c r="AY342" s="152"/>
      <c r="AZ342" s="152"/>
      <c r="BA342" s="152"/>
      <c r="BB342" s="152"/>
    </row>
    <row r="343" spans="1:54" ht="15" customHeight="1" x14ac:dyDescent="0.25">
      <c r="A343" s="55">
        <v>15802</v>
      </c>
      <c r="B343" s="87" t="s">
        <v>69</v>
      </c>
      <c r="C343" s="87" t="s">
        <v>202</v>
      </c>
      <c r="D343" s="142">
        <v>46057</v>
      </c>
      <c r="E343" s="142">
        <v>46057</v>
      </c>
      <c r="F343" s="114" t="s">
        <v>163</v>
      </c>
      <c r="G343" s="111" t="s">
        <v>1047</v>
      </c>
      <c r="H343" s="143" t="s">
        <v>51</v>
      </c>
      <c r="I343" s="27" t="s">
        <v>72</v>
      </c>
      <c r="J343" s="87" t="s">
        <v>73</v>
      </c>
      <c r="K343" s="27" t="s">
        <v>165</v>
      </c>
      <c r="L343" s="21">
        <v>1</v>
      </c>
      <c r="M343" s="87" t="s">
        <v>54</v>
      </c>
      <c r="N343" s="3" t="s">
        <v>55</v>
      </c>
      <c r="O343" s="3">
        <v>1</v>
      </c>
      <c r="P343" s="3" t="s">
        <v>112</v>
      </c>
      <c r="Q343" s="153">
        <v>46063</v>
      </c>
      <c r="R343" s="153">
        <v>46073</v>
      </c>
      <c r="S343" s="3">
        <v>1</v>
      </c>
      <c r="T343" s="3" t="s">
        <v>55</v>
      </c>
      <c r="U343" s="3" t="s">
        <v>55</v>
      </c>
      <c r="V343" s="3" t="s">
        <v>55</v>
      </c>
      <c r="W343" s="3" t="s">
        <v>55</v>
      </c>
      <c r="X343" s="3" t="s">
        <v>55</v>
      </c>
      <c r="Y343" s="3" t="s">
        <v>55</v>
      </c>
      <c r="Z343" s="3" t="s">
        <v>55</v>
      </c>
      <c r="AA343" s="2">
        <v>1</v>
      </c>
      <c r="AB343" s="2">
        <v>1</v>
      </c>
      <c r="AC343" s="3">
        <v>0</v>
      </c>
      <c r="AD343" s="104">
        <v>46076</v>
      </c>
      <c r="AE343" s="104">
        <v>46076</v>
      </c>
      <c r="AF343" s="104">
        <v>46076</v>
      </c>
      <c r="AG343" s="28">
        <v>46080</v>
      </c>
      <c r="AH343" s="37">
        <v>46083</v>
      </c>
      <c r="AI343" s="33">
        <f t="shared" si="42"/>
        <v>3</v>
      </c>
      <c r="AJ343" s="144" t="s">
        <v>1048</v>
      </c>
      <c r="AK343" s="35" t="s">
        <v>1336</v>
      </c>
      <c r="AL343" s="19">
        <f t="shared" si="40"/>
        <v>1</v>
      </c>
      <c r="AM343" s="67">
        <f>IFERROR(NETWORKDAYS(D343,Q343,Hoja1!$A$1:$A$29),"N/A")</f>
        <v>5</v>
      </c>
      <c r="AN343" s="21">
        <f>IFERROR(NETWORKDAYS(D343,AE343,Hoja1!$A$1:$A$29),"N/A")</f>
        <v>14</v>
      </c>
      <c r="AO343" s="78">
        <v>0</v>
      </c>
      <c r="AP343" s="21">
        <f t="shared" si="43"/>
        <v>14</v>
      </c>
      <c r="AQ343" s="21">
        <f>IFERROR(NETWORKDAYS(AF343,AG343,Hoja1!$A$1:$A$29),"N/A")</f>
        <v>5</v>
      </c>
      <c r="AR343" s="78">
        <v>0</v>
      </c>
      <c r="AS343" s="75">
        <f t="shared" si="41"/>
        <v>5</v>
      </c>
      <c r="AT343" s="21">
        <f>IFERROR(NETWORKDAYS(D343,AG343,Hoja1!$A$1:$A$29),"N/A")</f>
        <v>18</v>
      </c>
      <c r="AU343" s="21">
        <f t="shared" si="35"/>
        <v>18</v>
      </c>
      <c r="AV343" s="143" t="s">
        <v>127</v>
      </c>
      <c r="AW343" s="143" t="s">
        <v>82</v>
      </c>
      <c r="AX343" s="46"/>
      <c r="AY343" s="111"/>
      <c r="AZ343" s="111"/>
      <c r="BA343" s="111"/>
      <c r="BB343" s="111"/>
    </row>
    <row r="344" spans="1:54" ht="15" customHeight="1" x14ac:dyDescent="0.25">
      <c r="A344" s="226">
        <v>15803</v>
      </c>
      <c r="B344" s="184" t="s">
        <v>79</v>
      </c>
      <c r="C344" s="184" t="s">
        <v>79</v>
      </c>
      <c r="D344" s="429">
        <v>46065</v>
      </c>
      <c r="E344" s="174">
        <v>46054</v>
      </c>
      <c r="F344" s="176" t="s">
        <v>99</v>
      </c>
      <c r="G344" s="173" t="s">
        <v>221</v>
      </c>
      <c r="H344" s="176" t="s">
        <v>101</v>
      </c>
      <c r="I344" s="173" t="s">
        <v>976</v>
      </c>
      <c r="J344" s="197" t="s">
        <v>52</v>
      </c>
      <c r="K344" s="177" t="s">
        <v>129</v>
      </c>
      <c r="L344" s="66">
        <v>1</v>
      </c>
      <c r="M344" s="184" t="s">
        <v>54</v>
      </c>
      <c r="N344" s="137" t="s">
        <v>55</v>
      </c>
      <c r="O344" s="230">
        <v>6</v>
      </c>
      <c r="P344" s="99"/>
      <c r="Q344" s="137" t="s">
        <v>55</v>
      </c>
      <c r="R344" s="137" t="s">
        <v>55</v>
      </c>
      <c r="S344" s="137">
        <v>3</v>
      </c>
      <c r="T344" s="137" t="s">
        <v>55</v>
      </c>
      <c r="U344" s="137" t="s">
        <v>55</v>
      </c>
      <c r="V344" s="137" t="s">
        <v>55</v>
      </c>
      <c r="W344" s="137" t="s">
        <v>55</v>
      </c>
      <c r="X344" s="137" t="s">
        <v>55</v>
      </c>
      <c r="Y344" s="137" t="s">
        <v>55</v>
      </c>
      <c r="Z344" s="137" t="s">
        <v>55</v>
      </c>
      <c r="AA344" s="230">
        <v>2</v>
      </c>
      <c r="AB344" s="230">
        <v>2</v>
      </c>
      <c r="AC344" s="137">
        <v>0</v>
      </c>
      <c r="AD344" s="178">
        <v>46079</v>
      </c>
      <c r="AE344" s="178">
        <v>46080</v>
      </c>
      <c r="AF344" s="178">
        <v>46080</v>
      </c>
      <c r="AG344" s="178">
        <v>46091</v>
      </c>
      <c r="AH344" s="231">
        <v>46093</v>
      </c>
      <c r="AI344" s="99">
        <f t="shared" si="42"/>
        <v>3</v>
      </c>
      <c r="AJ344" s="227" t="s">
        <v>1049</v>
      </c>
      <c r="AK344" s="97" t="s">
        <v>1050</v>
      </c>
      <c r="AL344" s="19">
        <f t="shared" si="40"/>
        <v>0.5</v>
      </c>
      <c r="AM344" s="67" t="str">
        <f>IFERROR(NETWORKDAYS(D344,Q344,Hoja1!$A$1:$A$29),"N/A")</f>
        <v>N/A</v>
      </c>
      <c r="AN344" s="21">
        <f>IFERROR(NETWORKDAYS(D344,AE344,Hoja1!$A$1:$A$29),"N/A")</f>
        <v>12</v>
      </c>
      <c r="AO344" s="273">
        <v>0</v>
      </c>
      <c r="AP344" s="66">
        <f t="shared" si="43"/>
        <v>12</v>
      </c>
      <c r="AQ344" s="21">
        <f>IFERROR(NETWORKDAYS(AF344,AG344,Hoja1!$A$1:$A$29),"N/A")</f>
        <v>8</v>
      </c>
      <c r="AR344" s="65">
        <v>4</v>
      </c>
      <c r="AS344" s="68">
        <f t="shared" si="41"/>
        <v>4</v>
      </c>
      <c r="AT344" s="21">
        <f>IFERROR(NETWORKDAYS(D344,AG344,Hoja1!$A$1:$A$29),"N/A")</f>
        <v>19</v>
      </c>
      <c r="AU344" s="66">
        <f t="shared" si="35"/>
        <v>15</v>
      </c>
      <c r="AV344" s="176" t="s">
        <v>104</v>
      </c>
      <c r="AW344" s="176" t="s">
        <v>1051</v>
      </c>
      <c r="AX344" s="184" t="s">
        <v>871</v>
      </c>
      <c r="AY344" s="173"/>
      <c r="AZ344" s="173"/>
      <c r="BA344" s="173"/>
      <c r="BB344" s="173"/>
    </row>
    <row r="345" spans="1:54" ht="15" customHeight="1" x14ac:dyDescent="0.25">
      <c r="A345" s="54">
        <v>15804</v>
      </c>
      <c r="B345" s="87" t="s">
        <v>79</v>
      </c>
      <c r="C345" s="87" t="s">
        <v>79</v>
      </c>
      <c r="D345" s="142">
        <v>46079</v>
      </c>
      <c r="E345" s="142">
        <v>46058</v>
      </c>
      <c r="F345" s="143" t="s">
        <v>99</v>
      </c>
      <c r="G345" s="152" t="s">
        <v>100</v>
      </c>
      <c r="H345" s="143" t="s">
        <v>101</v>
      </c>
      <c r="I345" s="87" t="s">
        <v>92</v>
      </c>
      <c r="J345" s="84" t="s">
        <v>52</v>
      </c>
      <c r="K345" s="111" t="s">
        <v>129</v>
      </c>
      <c r="L345" s="21">
        <v>1</v>
      </c>
      <c r="M345" s="87" t="s">
        <v>54</v>
      </c>
      <c r="N345" s="2" t="s">
        <v>55</v>
      </c>
      <c r="O345" s="151">
        <v>3</v>
      </c>
      <c r="P345" s="33"/>
      <c r="Q345" s="2" t="s">
        <v>55</v>
      </c>
      <c r="R345" s="2" t="s">
        <v>55</v>
      </c>
      <c r="S345" s="2">
        <v>3</v>
      </c>
      <c r="T345" s="2" t="s">
        <v>55</v>
      </c>
      <c r="U345" s="2" t="s">
        <v>55</v>
      </c>
      <c r="V345" s="2" t="s">
        <v>55</v>
      </c>
      <c r="W345" s="2" t="s">
        <v>55</v>
      </c>
      <c r="X345" s="2" t="s">
        <v>55</v>
      </c>
      <c r="Y345" s="2" t="s">
        <v>55</v>
      </c>
      <c r="Z345" s="2" t="s">
        <v>55</v>
      </c>
      <c r="AA345" s="151">
        <v>2</v>
      </c>
      <c r="AB345" s="151">
        <v>2</v>
      </c>
      <c r="AC345" s="2">
        <v>0</v>
      </c>
      <c r="AD345" s="104">
        <v>46086</v>
      </c>
      <c r="AE345" s="104">
        <v>46086</v>
      </c>
      <c r="AF345" s="104">
        <v>46086</v>
      </c>
      <c r="AG345" s="28">
        <v>46092</v>
      </c>
      <c r="AH345" s="28">
        <v>46093</v>
      </c>
      <c r="AI345" s="33">
        <f t="shared" si="42"/>
        <v>3</v>
      </c>
      <c r="AJ345" s="144" t="s">
        <v>1052</v>
      </c>
      <c r="AK345" s="35" t="s">
        <v>1337</v>
      </c>
      <c r="AL345" s="19">
        <f t="shared" si="40"/>
        <v>1</v>
      </c>
      <c r="AM345" s="67" t="str">
        <f>IFERROR(NETWORKDAYS(D345,Q345,Hoja1!$A$1:$A$29),"N/A")</f>
        <v>N/A</v>
      </c>
      <c r="AN345" s="21">
        <f>IFERROR(NETWORKDAYS(D345,AE345,Hoja1!$A$1:$A$29),"N/A")</f>
        <v>6</v>
      </c>
      <c r="AO345" s="272">
        <v>0</v>
      </c>
      <c r="AP345" s="21">
        <f t="shared" si="43"/>
        <v>6</v>
      </c>
      <c r="AQ345" s="21">
        <f>IFERROR(NETWORKDAYS(AF345,AG345,Hoja1!$A$1:$A$29),"N/A")</f>
        <v>5</v>
      </c>
      <c r="AR345" s="78">
        <v>1</v>
      </c>
      <c r="AS345" s="75">
        <f t="shared" si="41"/>
        <v>4</v>
      </c>
      <c r="AT345" s="21">
        <f>IFERROR(NETWORKDAYS(D345,AG345,Hoja1!$A$1:$A$29),"N/A")</f>
        <v>10</v>
      </c>
      <c r="AU345" s="21">
        <f t="shared" si="35"/>
        <v>9</v>
      </c>
      <c r="AV345" s="143" t="s">
        <v>104</v>
      </c>
      <c r="AW345" s="143" t="s">
        <v>258</v>
      </c>
      <c r="AX345" s="87" t="s">
        <v>871</v>
      </c>
      <c r="AY345" s="152"/>
      <c r="AZ345" s="152"/>
      <c r="BA345" s="152"/>
      <c r="BB345" s="152"/>
    </row>
    <row r="346" spans="1:54" ht="15" customHeight="1" x14ac:dyDescent="0.25">
      <c r="A346" s="54">
        <v>15806</v>
      </c>
      <c r="B346" s="48" t="s">
        <v>49</v>
      </c>
      <c r="C346" s="48" t="s">
        <v>49</v>
      </c>
      <c r="D346" s="428">
        <v>46057</v>
      </c>
      <c r="E346" s="142">
        <v>46057</v>
      </c>
      <c r="F346" s="84" t="s">
        <v>62</v>
      </c>
      <c r="G346" s="48" t="s">
        <v>71</v>
      </c>
      <c r="H346" s="143" t="s">
        <v>116</v>
      </c>
      <c r="I346" s="87" t="s">
        <v>1053</v>
      </c>
      <c r="J346" s="87" t="s">
        <v>142</v>
      </c>
      <c r="K346" s="87" t="s">
        <v>74</v>
      </c>
      <c r="L346" s="21">
        <v>1</v>
      </c>
      <c r="M346" s="87" t="s">
        <v>54</v>
      </c>
      <c r="N346" s="18" t="s">
        <v>55</v>
      </c>
      <c r="O346" s="3">
        <v>5</v>
      </c>
      <c r="P346" s="33" t="s">
        <v>112</v>
      </c>
      <c r="Q346" s="44">
        <v>46069</v>
      </c>
      <c r="R346" s="44">
        <v>46079</v>
      </c>
      <c r="S346" s="3">
        <v>5</v>
      </c>
      <c r="T346" s="18" t="s">
        <v>55</v>
      </c>
      <c r="U346" s="37">
        <v>46058</v>
      </c>
      <c r="V346" s="37">
        <v>46069</v>
      </c>
      <c r="W346" s="37">
        <v>46084</v>
      </c>
      <c r="X346" s="37">
        <v>46086</v>
      </c>
      <c r="Y346" s="37">
        <v>46086</v>
      </c>
      <c r="Z346" s="37">
        <v>46078</v>
      </c>
      <c r="AA346" s="3">
        <v>3</v>
      </c>
      <c r="AB346" s="3">
        <v>3</v>
      </c>
      <c r="AC346" s="3">
        <v>0</v>
      </c>
      <c r="AD346" s="28">
        <v>46087</v>
      </c>
      <c r="AE346" s="28">
        <v>46094</v>
      </c>
      <c r="AF346" s="28">
        <v>46097</v>
      </c>
      <c r="AG346" s="28">
        <v>46101</v>
      </c>
      <c r="AH346" s="140">
        <v>46106</v>
      </c>
      <c r="AI346" s="33">
        <f t="shared" si="42"/>
        <v>3</v>
      </c>
      <c r="AJ346" s="144" t="s">
        <v>1054</v>
      </c>
      <c r="AK346" s="35" t="s">
        <v>1055</v>
      </c>
      <c r="AL346" s="19">
        <f t="shared" si="40"/>
        <v>1</v>
      </c>
      <c r="AM346" s="67">
        <f>IFERROR(NETWORKDAYS(D346,Q346,Hoja1!$A$1:$A$29),"N/A")</f>
        <v>9</v>
      </c>
      <c r="AN346" s="21">
        <f>IFERROR(NETWORKDAYS(D346,AE346,Hoja1!$A$1:$A$29),"N/A")</f>
        <v>28</v>
      </c>
      <c r="AO346" s="78">
        <v>8</v>
      </c>
      <c r="AP346" s="21">
        <f t="shared" si="43"/>
        <v>20</v>
      </c>
      <c r="AQ346" s="21">
        <f>IFERROR(NETWORKDAYS(AF346,AG346,Hoja1!$A$1:$A$29),"N/A")</f>
        <v>5</v>
      </c>
      <c r="AR346" s="78">
        <v>0</v>
      </c>
      <c r="AS346" s="75">
        <f t="shared" si="41"/>
        <v>5</v>
      </c>
      <c r="AT346" s="21">
        <f>IFERROR(NETWORKDAYS(D346,AG346,Hoja1!$A$1:$A$29),"N/A")</f>
        <v>33</v>
      </c>
      <c r="AU346" s="21">
        <f t="shared" si="35"/>
        <v>25</v>
      </c>
      <c r="AV346" s="143" t="s">
        <v>145</v>
      </c>
      <c r="AW346" s="143" t="s">
        <v>180</v>
      </c>
      <c r="AX346" s="87"/>
      <c r="AY346" s="87"/>
      <c r="AZ346" s="87"/>
      <c r="BA346" s="87"/>
      <c r="BB346" s="87"/>
    </row>
    <row r="347" spans="1:54" ht="15" customHeight="1" x14ac:dyDescent="0.25">
      <c r="A347" s="54">
        <v>15813</v>
      </c>
      <c r="B347" s="87" t="s">
        <v>69</v>
      </c>
      <c r="C347" s="43" t="s">
        <v>98</v>
      </c>
      <c r="D347" s="142">
        <v>46058</v>
      </c>
      <c r="E347" s="142">
        <v>46058</v>
      </c>
      <c r="F347" s="202" t="s">
        <v>879</v>
      </c>
      <c r="G347" s="48" t="s">
        <v>50</v>
      </c>
      <c r="H347" s="143" t="s">
        <v>51</v>
      </c>
      <c r="I347" s="202" t="s">
        <v>456</v>
      </c>
      <c r="J347" s="84" t="s">
        <v>52</v>
      </c>
      <c r="K347" s="87" t="s">
        <v>53</v>
      </c>
      <c r="L347" s="21">
        <v>1</v>
      </c>
      <c r="M347" s="87" t="s">
        <v>54</v>
      </c>
      <c r="N347" s="3" t="s">
        <v>55</v>
      </c>
      <c r="O347" s="3">
        <v>5</v>
      </c>
      <c r="P347" s="3" t="s">
        <v>112</v>
      </c>
      <c r="Q347" s="30">
        <v>46063</v>
      </c>
      <c r="R347" s="30">
        <v>46063</v>
      </c>
      <c r="S347" s="3">
        <v>5</v>
      </c>
      <c r="T347" s="3" t="s">
        <v>55</v>
      </c>
      <c r="U347" s="3" t="s">
        <v>55</v>
      </c>
      <c r="V347" s="3" t="s">
        <v>55</v>
      </c>
      <c r="W347" s="3" t="s">
        <v>55</v>
      </c>
      <c r="X347" s="3" t="s">
        <v>55</v>
      </c>
      <c r="Y347" s="3" t="s">
        <v>55</v>
      </c>
      <c r="Z347" s="18" t="s">
        <v>55</v>
      </c>
      <c r="AA347" s="3">
        <v>3</v>
      </c>
      <c r="AB347" s="3">
        <v>3</v>
      </c>
      <c r="AC347" s="3">
        <v>0</v>
      </c>
      <c r="AD347" s="30">
        <v>46071</v>
      </c>
      <c r="AE347" s="28">
        <v>46076</v>
      </c>
      <c r="AF347" s="28">
        <v>46077</v>
      </c>
      <c r="AG347" s="28">
        <v>46083</v>
      </c>
      <c r="AH347" s="37">
        <v>46083</v>
      </c>
      <c r="AI347" s="33">
        <f t="shared" si="42"/>
        <v>3</v>
      </c>
      <c r="AJ347" s="144" t="s">
        <v>1056</v>
      </c>
      <c r="AK347" s="35" t="s">
        <v>1057</v>
      </c>
      <c r="AL347" s="19">
        <f t="shared" si="40"/>
        <v>1</v>
      </c>
      <c r="AM347" s="67">
        <f>IFERROR(NETWORKDAYS(D347,Q347,Hoja1!$A$1:$A$29),"N/A")</f>
        <v>4</v>
      </c>
      <c r="AN347" s="21">
        <f>IFERROR(NETWORKDAYS(D347,AE347,Hoja1!$A$1:$A$29),"N/A")</f>
        <v>13</v>
      </c>
      <c r="AO347" s="78">
        <v>0</v>
      </c>
      <c r="AP347" s="21">
        <f t="shared" si="43"/>
        <v>13</v>
      </c>
      <c r="AQ347" s="21">
        <f>IFERROR(NETWORKDAYS(AF347,AG347,Hoja1!$A$1:$A$29),"N/A")</f>
        <v>5</v>
      </c>
      <c r="AR347" s="78">
        <v>0</v>
      </c>
      <c r="AS347" s="75">
        <f t="shared" si="41"/>
        <v>5</v>
      </c>
      <c r="AT347" s="21">
        <f>IFERROR(NETWORKDAYS(D347,AG347,Hoja1!$A$1:$A$29),"N/A")</f>
        <v>18</v>
      </c>
      <c r="AU347" s="21">
        <f t="shared" si="35"/>
        <v>18</v>
      </c>
      <c r="AV347" s="143" t="s">
        <v>127</v>
      </c>
      <c r="AW347" s="143" t="s">
        <v>229</v>
      </c>
      <c r="AX347" s="87"/>
      <c r="AY347" s="87"/>
      <c r="AZ347" s="87"/>
      <c r="BA347" s="87"/>
      <c r="BB347" s="87"/>
    </row>
    <row r="348" spans="1:54" ht="15" customHeight="1" x14ac:dyDescent="0.25">
      <c r="A348" s="95">
        <v>15814</v>
      </c>
      <c r="B348" s="87" t="s">
        <v>69</v>
      </c>
      <c r="C348" s="114" t="s">
        <v>122</v>
      </c>
      <c r="D348" s="428">
        <v>46059</v>
      </c>
      <c r="E348" s="142">
        <v>46059</v>
      </c>
      <c r="F348" s="114" t="s">
        <v>62</v>
      </c>
      <c r="G348" s="114" t="s">
        <v>80</v>
      </c>
      <c r="H348" s="143" t="s">
        <v>101</v>
      </c>
      <c r="I348" s="114" t="s">
        <v>193</v>
      </c>
      <c r="J348" s="84" t="s">
        <v>118</v>
      </c>
      <c r="K348" s="114" t="s">
        <v>66</v>
      </c>
      <c r="L348" s="21">
        <v>1</v>
      </c>
      <c r="M348" s="87" t="s">
        <v>54</v>
      </c>
      <c r="N348" s="33" t="s">
        <v>55</v>
      </c>
      <c r="O348" s="33">
        <v>0</v>
      </c>
      <c r="P348" s="33"/>
      <c r="Q348" s="142" t="s">
        <v>55</v>
      </c>
      <c r="R348" s="142" t="s">
        <v>55</v>
      </c>
      <c r="S348" s="33">
        <v>0</v>
      </c>
      <c r="T348" s="33" t="s">
        <v>55</v>
      </c>
      <c r="U348" s="33" t="s">
        <v>55</v>
      </c>
      <c r="V348" s="33" t="s">
        <v>55</v>
      </c>
      <c r="W348" s="33" t="s">
        <v>55</v>
      </c>
      <c r="X348" s="33" t="s">
        <v>55</v>
      </c>
      <c r="Y348" s="33" t="s">
        <v>55</v>
      </c>
      <c r="Z348" s="33" t="s">
        <v>55</v>
      </c>
      <c r="AA348" s="1">
        <v>1</v>
      </c>
      <c r="AB348" s="1">
        <v>1</v>
      </c>
      <c r="AC348" s="33">
        <v>0</v>
      </c>
      <c r="AD348" s="148">
        <v>46076</v>
      </c>
      <c r="AE348" s="28">
        <v>46078</v>
      </c>
      <c r="AF348" s="28">
        <v>46079</v>
      </c>
      <c r="AG348" s="28">
        <v>46087</v>
      </c>
      <c r="AH348" s="140">
        <v>46093</v>
      </c>
      <c r="AI348" s="33">
        <f t="shared" si="42"/>
        <v>3</v>
      </c>
      <c r="AJ348" s="144" t="s">
        <v>1058</v>
      </c>
      <c r="AK348" s="35" t="s">
        <v>1059</v>
      </c>
      <c r="AL348" s="19" t="str">
        <f t="shared" si="40"/>
        <v>N/A</v>
      </c>
      <c r="AM348" s="67" t="str">
        <f>IFERROR(NETWORKDAYS(D348,Q348,Hoja1!$A$1:$A$29),"N/A")</f>
        <v>N/A</v>
      </c>
      <c r="AN348" s="21">
        <f>IFERROR(NETWORKDAYS(D348,AE348,Hoja1!$A$1:$A$29),"N/A")</f>
        <v>14</v>
      </c>
      <c r="AO348" s="78">
        <v>0</v>
      </c>
      <c r="AP348" s="21">
        <f t="shared" si="43"/>
        <v>14</v>
      </c>
      <c r="AQ348" s="21">
        <f>IFERROR(NETWORKDAYS(AF348,AG348,Hoja1!$A$1:$A$29),"N/A")</f>
        <v>7</v>
      </c>
      <c r="AR348" s="78">
        <v>2</v>
      </c>
      <c r="AS348" s="75">
        <f t="shared" si="41"/>
        <v>5</v>
      </c>
      <c r="AT348" s="21">
        <f>IFERROR(NETWORKDAYS(D348,AG348,Hoja1!$A$1:$A$29),"N/A")</f>
        <v>21</v>
      </c>
      <c r="AU348" s="21">
        <f t="shared" si="35"/>
        <v>19</v>
      </c>
      <c r="AV348" s="143" t="s">
        <v>104</v>
      </c>
      <c r="AW348" s="143" t="s">
        <v>1060</v>
      </c>
      <c r="AX348" s="114"/>
      <c r="AY348" s="114"/>
      <c r="AZ348" s="114"/>
      <c r="BA348" s="114"/>
      <c r="BB348" s="114"/>
    </row>
    <row r="349" spans="1:54" ht="15" customHeight="1" x14ac:dyDescent="0.25">
      <c r="A349" s="149">
        <v>15823</v>
      </c>
      <c r="B349" s="152" t="s">
        <v>85</v>
      </c>
      <c r="C349" s="152" t="s">
        <v>85</v>
      </c>
      <c r="D349" s="142">
        <v>46062</v>
      </c>
      <c r="E349" s="142">
        <v>46062</v>
      </c>
      <c r="F349" s="232" t="s">
        <v>62</v>
      </c>
      <c r="G349" s="84" t="s">
        <v>80</v>
      </c>
      <c r="H349" s="143" t="s">
        <v>101</v>
      </c>
      <c r="I349" s="48" t="s">
        <v>1406</v>
      </c>
      <c r="J349" s="84" t="s">
        <v>52</v>
      </c>
      <c r="K349" s="84" t="s">
        <v>86</v>
      </c>
      <c r="L349" s="21">
        <v>1</v>
      </c>
      <c r="M349" s="87" t="s">
        <v>54</v>
      </c>
      <c r="N349" s="33" t="s">
        <v>55</v>
      </c>
      <c r="O349" s="33">
        <v>0</v>
      </c>
      <c r="P349" s="33"/>
      <c r="Q349" s="142" t="s">
        <v>55</v>
      </c>
      <c r="R349" s="142" t="s">
        <v>55</v>
      </c>
      <c r="S349" s="33">
        <v>0</v>
      </c>
      <c r="T349" s="33" t="s">
        <v>55</v>
      </c>
      <c r="U349" s="33" t="s">
        <v>55</v>
      </c>
      <c r="V349" s="33" t="s">
        <v>55</v>
      </c>
      <c r="W349" s="33" t="s">
        <v>55</v>
      </c>
      <c r="X349" s="33" t="s">
        <v>55</v>
      </c>
      <c r="Y349" s="33" t="s">
        <v>55</v>
      </c>
      <c r="Z349" s="33" t="s">
        <v>55</v>
      </c>
      <c r="AA349" s="33">
        <v>1</v>
      </c>
      <c r="AB349" s="33">
        <v>1</v>
      </c>
      <c r="AC349" s="33">
        <v>0</v>
      </c>
      <c r="AD349" s="148">
        <v>46076</v>
      </c>
      <c r="AE349" s="148">
        <v>46076</v>
      </c>
      <c r="AF349" s="148">
        <v>46076</v>
      </c>
      <c r="AG349" s="28">
        <v>46080</v>
      </c>
      <c r="AH349" s="38">
        <v>46083</v>
      </c>
      <c r="AI349" s="33">
        <f t="shared" si="42"/>
        <v>3</v>
      </c>
      <c r="AJ349" s="144" t="s">
        <v>1061</v>
      </c>
      <c r="AK349" s="35" t="s">
        <v>1062</v>
      </c>
      <c r="AL349" s="19" t="str">
        <f t="shared" si="40"/>
        <v>N/A</v>
      </c>
      <c r="AM349" s="67" t="str">
        <f>IFERROR(NETWORKDAYS(D349,Q349,Hoja1!$A$1:$A$29),"N/A")</f>
        <v>N/A</v>
      </c>
      <c r="AN349" s="21">
        <f>IFERROR(NETWORKDAYS(D349,AE349,Hoja1!$A$1:$A$29),"N/A")</f>
        <v>11</v>
      </c>
      <c r="AO349" s="78">
        <v>0</v>
      </c>
      <c r="AP349" s="21">
        <f t="shared" si="43"/>
        <v>11</v>
      </c>
      <c r="AQ349" s="21">
        <f>IFERROR(NETWORKDAYS(AF349,AG349,Hoja1!$A$1:$A$29),"N/A")</f>
        <v>5</v>
      </c>
      <c r="AR349" s="78">
        <v>0</v>
      </c>
      <c r="AS349" s="75">
        <f t="shared" si="41"/>
        <v>5</v>
      </c>
      <c r="AT349" s="21">
        <f>IFERROR(NETWORKDAYS(D349,AG349,Hoja1!$A$1:$A$29),"N/A")</f>
        <v>15</v>
      </c>
      <c r="AU349" s="21">
        <f t="shared" si="35"/>
        <v>15</v>
      </c>
      <c r="AV349" s="143" t="s">
        <v>145</v>
      </c>
      <c r="AW349" s="143" t="s">
        <v>1063</v>
      </c>
      <c r="AX349" s="87"/>
      <c r="AY349" s="87"/>
      <c r="AZ349" s="87"/>
      <c r="BA349" s="87"/>
      <c r="BB349" s="87"/>
    </row>
    <row r="350" spans="1:54" ht="15" customHeight="1" x14ac:dyDescent="0.25">
      <c r="A350" s="55">
        <v>15825</v>
      </c>
      <c r="B350" s="87" t="s">
        <v>69</v>
      </c>
      <c r="C350" s="84" t="s">
        <v>202</v>
      </c>
      <c r="D350" s="428">
        <v>46062</v>
      </c>
      <c r="E350" s="142">
        <v>46062</v>
      </c>
      <c r="F350" s="232" t="s">
        <v>62</v>
      </c>
      <c r="G350" s="87" t="s">
        <v>71</v>
      </c>
      <c r="H350" s="143" t="s">
        <v>51</v>
      </c>
      <c r="I350" s="84" t="s">
        <v>96</v>
      </c>
      <c r="J350" s="87" t="s">
        <v>73</v>
      </c>
      <c r="K350" s="111" t="s">
        <v>351</v>
      </c>
      <c r="L350" s="21">
        <v>1</v>
      </c>
      <c r="M350" s="87" t="s">
        <v>54</v>
      </c>
      <c r="N350" s="3" t="s">
        <v>55</v>
      </c>
      <c r="O350" s="3">
        <v>3</v>
      </c>
      <c r="P350" s="33" t="s">
        <v>56</v>
      </c>
      <c r="Q350" s="155">
        <v>46069</v>
      </c>
      <c r="R350" s="155">
        <v>46078</v>
      </c>
      <c r="S350" s="3">
        <v>3</v>
      </c>
      <c r="T350" s="3" t="s">
        <v>55</v>
      </c>
      <c r="U350" s="3" t="s">
        <v>55</v>
      </c>
      <c r="V350" s="3" t="s">
        <v>55</v>
      </c>
      <c r="W350" s="3" t="s">
        <v>55</v>
      </c>
      <c r="X350" s="3" t="s">
        <v>55</v>
      </c>
      <c r="Y350" s="3" t="s">
        <v>55</v>
      </c>
      <c r="Z350" s="3" t="s">
        <v>55</v>
      </c>
      <c r="AA350" s="3">
        <v>4</v>
      </c>
      <c r="AB350" s="3">
        <v>4</v>
      </c>
      <c r="AC350" s="3">
        <v>0</v>
      </c>
      <c r="AD350" s="28">
        <v>46085</v>
      </c>
      <c r="AE350" s="28">
        <v>46090</v>
      </c>
      <c r="AF350" s="28">
        <v>46090</v>
      </c>
      <c r="AG350" s="28">
        <v>46098</v>
      </c>
      <c r="AH350" s="140">
        <v>46106</v>
      </c>
      <c r="AI350" s="33">
        <f t="shared" si="42"/>
        <v>3</v>
      </c>
      <c r="AJ350" s="144" t="s">
        <v>1064</v>
      </c>
      <c r="AK350" s="35" t="s">
        <v>1338</v>
      </c>
      <c r="AL350" s="19">
        <f t="shared" si="40"/>
        <v>1</v>
      </c>
      <c r="AM350" s="67">
        <f>IFERROR(NETWORKDAYS(D350,Q350,Hoja1!$A$1:$A$29),"N/A")</f>
        <v>6</v>
      </c>
      <c r="AN350" s="21">
        <f>IFERROR(NETWORKDAYS(D350,AE350,Hoja1!$A$1:$A$29),"N/A")</f>
        <v>21</v>
      </c>
      <c r="AO350" s="78">
        <v>4</v>
      </c>
      <c r="AP350" s="21">
        <f t="shared" si="43"/>
        <v>17</v>
      </c>
      <c r="AQ350" s="21">
        <f>IFERROR(NETWORKDAYS(AF350,AG350,Hoja1!$A$1:$A$29),"N/A")</f>
        <v>7</v>
      </c>
      <c r="AR350" s="78">
        <v>2</v>
      </c>
      <c r="AS350" s="75">
        <f t="shared" si="41"/>
        <v>5</v>
      </c>
      <c r="AT350" s="21">
        <f>IFERROR(NETWORKDAYS(D350,AG350,Hoja1!$A$1:$A$29),"N/A")</f>
        <v>27</v>
      </c>
      <c r="AU350" s="21">
        <f t="shared" si="35"/>
        <v>21</v>
      </c>
      <c r="AV350" s="143" t="s">
        <v>104</v>
      </c>
      <c r="AW350" s="143" t="s">
        <v>82</v>
      </c>
      <c r="AX350" s="114"/>
      <c r="AY350" s="114"/>
      <c r="AZ350" s="114"/>
      <c r="BA350" s="114"/>
      <c r="BB350" s="114"/>
    </row>
    <row r="351" spans="1:54" ht="15" customHeight="1" x14ac:dyDescent="0.25">
      <c r="A351" s="55">
        <v>15826</v>
      </c>
      <c r="B351" s="87" t="s">
        <v>69</v>
      </c>
      <c r="C351" s="43" t="s">
        <v>98</v>
      </c>
      <c r="D351" s="142">
        <v>46062</v>
      </c>
      <c r="E351" s="142">
        <v>46065</v>
      </c>
      <c r="F351" s="114" t="s">
        <v>163</v>
      </c>
      <c r="G351" s="111" t="s">
        <v>688</v>
      </c>
      <c r="H351" s="143" t="s">
        <v>51</v>
      </c>
      <c r="I351" s="202" t="s">
        <v>456</v>
      </c>
      <c r="J351" s="84" t="s">
        <v>52</v>
      </c>
      <c r="K351" s="27" t="s">
        <v>165</v>
      </c>
      <c r="L351" s="21">
        <v>1</v>
      </c>
      <c r="M351" s="87" t="s">
        <v>54</v>
      </c>
      <c r="N351" s="3" t="s">
        <v>55</v>
      </c>
      <c r="O351" s="3">
        <v>7</v>
      </c>
      <c r="P351" s="3" t="s">
        <v>112</v>
      </c>
      <c r="Q351" s="153">
        <v>46064</v>
      </c>
      <c r="R351" s="153">
        <v>46073</v>
      </c>
      <c r="S351" s="3">
        <v>7</v>
      </c>
      <c r="T351" s="3" t="s">
        <v>55</v>
      </c>
      <c r="U351" s="3" t="s">
        <v>55</v>
      </c>
      <c r="V351" s="3" t="s">
        <v>55</v>
      </c>
      <c r="W351" s="3" t="s">
        <v>55</v>
      </c>
      <c r="X351" s="3" t="s">
        <v>55</v>
      </c>
      <c r="Y351" s="3" t="s">
        <v>55</v>
      </c>
      <c r="Z351" s="3" t="s">
        <v>55</v>
      </c>
      <c r="AA351" s="2">
        <v>3</v>
      </c>
      <c r="AB351" s="2">
        <v>3</v>
      </c>
      <c r="AC351" s="3">
        <v>0</v>
      </c>
      <c r="AD351" s="104">
        <v>46076</v>
      </c>
      <c r="AE351" s="104">
        <v>46076</v>
      </c>
      <c r="AF351" s="104">
        <v>46076</v>
      </c>
      <c r="AG351" s="28">
        <v>46080</v>
      </c>
      <c r="AH351" s="37">
        <v>46083</v>
      </c>
      <c r="AI351" s="33">
        <f t="shared" si="42"/>
        <v>3</v>
      </c>
      <c r="AJ351" s="144" t="s">
        <v>1065</v>
      </c>
      <c r="AK351" s="35" t="s">
        <v>1339</v>
      </c>
      <c r="AL351" s="19">
        <f t="shared" si="40"/>
        <v>1</v>
      </c>
      <c r="AM351" s="67">
        <f>IFERROR(NETWORKDAYS(D351,Q351,Hoja1!$A$1:$A$29),"N/A")</f>
        <v>3</v>
      </c>
      <c r="AN351" s="21">
        <f>IFERROR(NETWORKDAYS(D351,AE351,Hoja1!$A$1:$A$29),"N/A")</f>
        <v>11</v>
      </c>
      <c r="AO351" s="78">
        <v>0</v>
      </c>
      <c r="AP351" s="21">
        <f t="shared" si="43"/>
        <v>11</v>
      </c>
      <c r="AQ351" s="21">
        <f>IFERROR(NETWORKDAYS(AF351,AG351,Hoja1!$A$1:$A$29),"N/A")</f>
        <v>5</v>
      </c>
      <c r="AR351" s="78">
        <v>0</v>
      </c>
      <c r="AS351" s="75">
        <f t="shared" si="41"/>
        <v>5</v>
      </c>
      <c r="AT351" s="21">
        <f>IFERROR(NETWORKDAYS(D351,AG351,Hoja1!$A$1:$A$29),"N/A")</f>
        <v>15</v>
      </c>
      <c r="AU351" s="21">
        <f t="shared" si="35"/>
        <v>15</v>
      </c>
      <c r="AV351" s="143" t="s">
        <v>265</v>
      </c>
      <c r="AW351" s="143" t="s">
        <v>1066</v>
      </c>
      <c r="AX351" s="114"/>
      <c r="AY351" s="111"/>
      <c r="AZ351" s="111"/>
      <c r="BA351" s="111"/>
      <c r="BB351" s="111"/>
    </row>
    <row r="352" spans="1:54" ht="15" customHeight="1" x14ac:dyDescent="0.25">
      <c r="A352" s="149">
        <v>15827</v>
      </c>
      <c r="B352" s="152" t="s">
        <v>85</v>
      </c>
      <c r="C352" s="152" t="s">
        <v>85</v>
      </c>
      <c r="D352" s="428">
        <v>46062</v>
      </c>
      <c r="E352" s="142">
        <v>46062</v>
      </c>
      <c r="F352" s="232" t="s">
        <v>62</v>
      </c>
      <c r="G352" s="84" t="s">
        <v>71</v>
      </c>
      <c r="H352" s="143" t="s">
        <v>101</v>
      </c>
      <c r="I352" s="145" t="s">
        <v>1067</v>
      </c>
      <c r="J352" s="87" t="s">
        <v>142</v>
      </c>
      <c r="K352" s="84" t="s">
        <v>86</v>
      </c>
      <c r="L352" s="21">
        <v>1</v>
      </c>
      <c r="M352" s="87" t="s">
        <v>54</v>
      </c>
      <c r="N352" s="33" t="s">
        <v>55</v>
      </c>
      <c r="O352" s="33">
        <v>0</v>
      </c>
      <c r="P352" s="33"/>
      <c r="Q352" s="142" t="s">
        <v>55</v>
      </c>
      <c r="R352" s="142" t="s">
        <v>55</v>
      </c>
      <c r="S352" s="33">
        <v>0</v>
      </c>
      <c r="T352" s="33" t="s">
        <v>55</v>
      </c>
      <c r="U352" s="33" t="s">
        <v>55</v>
      </c>
      <c r="V352" s="33" t="s">
        <v>55</v>
      </c>
      <c r="W352" s="33" t="s">
        <v>55</v>
      </c>
      <c r="X352" s="33" t="s">
        <v>55</v>
      </c>
      <c r="Y352" s="33" t="s">
        <v>55</v>
      </c>
      <c r="Z352" s="33" t="s">
        <v>55</v>
      </c>
      <c r="AA352" s="33">
        <v>3</v>
      </c>
      <c r="AB352" s="33">
        <v>3</v>
      </c>
      <c r="AC352" s="33">
        <v>0</v>
      </c>
      <c r="AD352" s="28">
        <v>46070</v>
      </c>
      <c r="AE352" s="28">
        <v>46071</v>
      </c>
      <c r="AF352" s="28">
        <v>46071</v>
      </c>
      <c r="AG352" s="28">
        <v>46079</v>
      </c>
      <c r="AH352" s="38">
        <v>46083</v>
      </c>
      <c r="AI352" s="33">
        <f t="shared" si="42"/>
        <v>3</v>
      </c>
      <c r="AJ352" s="144" t="s">
        <v>1068</v>
      </c>
      <c r="AK352" s="35" t="s">
        <v>1069</v>
      </c>
      <c r="AL352" s="19" t="str">
        <f t="shared" si="40"/>
        <v>N/A</v>
      </c>
      <c r="AM352" s="67" t="str">
        <f>IFERROR(NETWORKDAYS(D352,Q352,Hoja1!$A$1:$A$29),"N/A")</f>
        <v>N/A</v>
      </c>
      <c r="AN352" s="21">
        <f>IFERROR(NETWORKDAYS(D352,AE352,Hoja1!$A$1:$A$29),"N/A")</f>
        <v>8</v>
      </c>
      <c r="AO352" s="78">
        <v>0</v>
      </c>
      <c r="AP352" s="21">
        <f t="shared" si="43"/>
        <v>8</v>
      </c>
      <c r="AQ352" s="21">
        <f>IFERROR(NETWORKDAYS(AF352,AG352,Hoja1!$A$1:$A$29),"N/A")</f>
        <v>7</v>
      </c>
      <c r="AR352" s="78">
        <v>2</v>
      </c>
      <c r="AS352" s="75">
        <f t="shared" si="41"/>
        <v>5</v>
      </c>
      <c r="AT352" s="21">
        <f>IFERROR(NETWORKDAYS(D352,AG352,Hoja1!$A$1:$A$29),"N/A")</f>
        <v>14</v>
      </c>
      <c r="AU352" s="21">
        <f t="shared" si="35"/>
        <v>12</v>
      </c>
      <c r="AV352" s="143" t="s">
        <v>145</v>
      </c>
      <c r="AW352" s="143" t="s">
        <v>1063</v>
      </c>
      <c r="AX352" s="87"/>
      <c r="AY352" s="87"/>
      <c r="AZ352" s="87"/>
      <c r="BA352" s="87"/>
      <c r="BB352" s="87"/>
    </row>
    <row r="353" spans="1:54" ht="15" customHeight="1" x14ac:dyDescent="0.25">
      <c r="A353" s="149">
        <v>15832</v>
      </c>
      <c r="B353" s="152" t="s">
        <v>85</v>
      </c>
      <c r="C353" s="152" t="s">
        <v>85</v>
      </c>
      <c r="D353" s="142">
        <v>46063</v>
      </c>
      <c r="E353" s="142">
        <v>46063</v>
      </c>
      <c r="F353" s="232" t="s">
        <v>62</v>
      </c>
      <c r="G353" s="84" t="s">
        <v>71</v>
      </c>
      <c r="H353" s="143" t="s">
        <v>101</v>
      </c>
      <c r="I353" s="145" t="s">
        <v>1070</v>
      </c>
      <c r="J353" s="87" t="s">
        <v>142</v>
      </c>
      <c r="K353" s="84" t="s">
        <v>86</v>
      </c>
      <c r="L353" s="21">
        <v>1</v>
      </c>
      <c r="M353" s="87" t="s">
        <v>54</v>
      </c>
      <c r="N353" s="33" t="s">
        <v>55</v>
      </c>
      <c r="O353" s="33">
        <v>0</v>
      </c>
      <c r="P353" s="33"/>
      <c r="Q353" s="142" t="s">
        <v>55</v>
      </c>
      <c r="R353" s="142" t="s">
        <v>55</v>
      </c>
      <c r="S353" s="33">
        <v>0</v>
      </c>
      <c r="T353" s="33" t="s">
        <v>55</v>
      </c>
      <c r="U353" s="33" t="s">
        <v>55</v>
      </c>
      <c r="V353" s="33" t="s">
        <v>55</v>
      </c>
      <c r="W353" s="33" t="s">
        <v>55</v>
      </c>
      <c r="X353" s="33" t="s">
        <v>55</v>
      </c>
      <c r="Y353" s="33" t="s">
        <v>55</v>
      </c>
      <c r="Z353" s="33" t="s">
        <v>55</v>
      </c>
      <c r="AA353" s="33">
        <v>1</v>
      </c>
      <c r="AB353" s="33">
        <v>1</v>
      </c>
      <c r="AC353" s="33">
        <v>0</v>
      </c>
      <c r="AD353" s="53">
        <v>46069</v>
      </c>
      <c r="AE353" s="28">
        <v>46071</v>
      </c>
      <c r="AF353" s="28">
        <v>46072</v>
      </c>
      <c r="AG353" s="28">
        <v>46080</v>
      </c>
      <c r="AH353" s="38">
        <v>46083</v>
      </c>
      <c r="AI353" s="33">
        <f t="shared" si="42"/>
        <v>3</v>
      </c>
      <c r="AJ353" s="144" t="s">
        <v>1071</v>
      </c>
      <c r="AK353" s="35" t="s">
        <v>1072</v>
      </c>
      <c r="AL353" s="19" t="str">
        <f t="shared" si="40"/>
        <v>N/A</v>
      </c>
      <c r="AM353" s="67" t="str">
        <f>IFERROR(NETWORKDAYS(D353,Q353,Hoja1!$A$1:$A$29),"N/A")</f>
        <v>N/A</v>
      </c>
      <c r="AN353" s="21">
        <f>IFERROR(NETWORKDAYS(D353,AE353,Hoja1!$A$1:$A$29),"N/A")</f>
        <v>7</v>
      </c>
      <c r="AO353" s="78">
        <v>0</v>
      </c>
      <c r="AP353" s="21">
        <f t="shared" si="43"/>
        <v>7</v>
      </c>
      <c r="AQ353" s="21">
        <f>IFERROR(NETWORKDAYS(AF353,AG353,Hoja1!$A$1:$A$29),"N/A")</f>
        <v>7</v>
      </c>
      <c r="AR353" s="78">
        <v>2</v>
      </c>
      <c r="AS353" s="75">
        <f t="shared" si="41"/>
        <v>5</v>
      </c>
      <c r="AT353" s="21">
        <f>IFERROR(NETWORKDAYS(D353,AG353,Hoja1!$A$1:$A$29),"N/A")</f>
        <v>14</v>
      </c>
      <c r="AU353" s="21">
        <f t="shared" si="35"/>
        <v>12</v>
      </c>
      <c r="AV353" s="143" t="s">
        <v>104</v>
      </c>
      <c r="AW353" s="143" t="s">
        <v>1073</v>
      </c>
      <c r="AX353" s="87"/>
      <c r="AY353" s="87"/>
      <c r="AZ353" s="87"/>
      <c r="BA353" s="87"/>
      <c r="BB353" s="87"/>
    </row>
    <row r="354" spans="1:54" ht="15" customHeight="1" x14ac:dyDescent="0.25">
      <c r="A354" s="54">
        <v>15834</v>
      </c>
      <c r="B354" s="87" t="s">
        <v>79</v>
      </c>
      <c r="C354" s="87" t="s">
        <v>79</v>
      </c>
      <c r="D354" s="428">
        <v>46063</v>
      </c>
      <c r="E354" s="142">
        <v>46063</v>
      </c>
      <c r="F354" s="84" t="s">
        <v>62</v>
      </c>
      <c r="G354" s="87" t="s">
        <v>80</v>
      </c>
      <c r="H354" s="143" t="s">
        <v>51</v>
      </c>
      <c r="I354" s="27" t="s">
        <v>72</v>
      </c>
      <c r="J354" s="87" t="s">
        <v>73</v>
      </c>
      <c r="K354" s="87" t="s">
        <v>74</v>
      </c>
      <c r="L354" s="21">
        <v>1</v>
      </c>
      <c r="M354" s="87" t="s">
        <v>54</v>
      </c>
      <c r="N354" s="2" t="s">
        <v>55</v>
      </c>
      <c r="O354" s="3">
        <v>1</v>
      </c>
      <c r="P354" s="3" t="s">
        <v>112</v>
      </c>
      <c r="Q354" s="37">
        <v>46064</v>
      </c>
      <c r="R354" s="37">
        <v>46064</v>
      </c>
      <c r="S354" s="3">
        <v>1</v>
      </c>
      <c r="T354" s="18" t="s">
        <v>55</v>
      </c>
      <c r="U354" s="18" t="s">
        <v>55</v>
      </c>
      <c r="V354" s="18" t="s">
        <v>55</v>
      </c>
      <c r="W354" s="18" t="s">
        <v>55</v>
      </c>
      <c r="X354" s="18" t="s">
        <v>55</v>
      </c>
      <c r="Y354" s="18" t="s">
        <v>55</v>
      </c>
      <c r="Z354" s="18" t="s">
        <v>55</v>
      </c>
      <c r="AA354" s="3">
        <v>2</v>
      </c>
      <c r="AB354" s="3">
        <v>1</v>
      </c>
      <c r="AC354" s="3">
        <v>0</v>
      </c>
      <c r="AD354" s="28">
        <v>46073</v>
      </c>
      <c r="AE354" s="28">
        <v>46073</v>
      </c>
      <c r="AF354" s="28">
        <v>46073</v>
      </c>
      <c r="AG354" s="28">
        <v>46087</v>
      </c>
      <c r="AH354" s="28">
        <v>46090</v>
      </c>
      <c r="AI354" s="33">
        <f t="shared" si="42"/>
        <v>3</v>
      </c>
      <c r="AJ354" s="144" t="s">
        <v>1074</v>
      </c>
      <c r="AK354" s="35" t="s">
        <v>1340</v>
      </c>
      <c r="AL354" s="19">
        <f t="shared" si="40"/>
        <v>1</v>
      </c>
      <c r="AM354" s="67">
        <f>IFERROR(NETWORKDAYS(D354,Q354,Hoja1!$A$1:$A$29),"N/A")</f>
        <v>2</v>
      </c>
      <c r="AN354" s="21">
        <f>IFERROR(NETWORKDAYS(D354,AE354,Hoja1!$A$1:$A$29),"N/A")</f>
        <v>9</v>
      </c>
      <c r="AO354" s="78">
        <v>0</v>
      </c>
      <c r="AP354" s="21">
        <f t="shared" si="43"/>
        <v>9</v>
      </c>
      <c r="AQ354" s="21">
        <f>IFERROR(NETWORKDAYS(AF354,AG354,Hoja1!$A$1:$A$29),"N/A")</f>
        <v>11</v>
      </c>
      <c r="AR354" s="78">
        <v>6</v>
      </c>
      <c r="AS354" s="75">
        <f t="shared" si="41"/>
        <v>5</v>
      </c>
      <c r="AT354" s="21">
        <f>IFERROR(NETWORKDAYS(D354,AG354,Hoja1!$A$1:$A$29),"N/A")</f>
        <v>19</v>
      </c>
      <c r="AU354" s="21">
        <f t="shared" ref="AU354:AU417" si="44">AT354-AO354-AR354</f>
        <v>13</v>
      </c>
      <c r="AV354" s="143" t="s">
        <v>77</v>
      </c>
      <c r="AW354" s="49" t="s">
        <v>82</v>
      </c>
      <c r="AX354" s="87"/>
      <c r="AY354" s="87"/>
      <c r="AZ354" s="87"/>
      <c r="BA354" s="87"/>
      <c r="BB354" s="87"/>
    </row>
    <row r="355" spans="1:54" ht="15" customHeight="1" x14ac:dyDescent="0.25">
      <c r="A355" s="58">
        <v>15835</v>
      </c>
      <c r="B355" s="87" t="s">
        <v>69</v>
      </c>
      <c r="C355" s="43" t="s">
        <v>98</v>
      </c>
      <c r="D355" s="142">
        <v>46065</v>
      </c>
      <c r="E355" s="142">
        <v>46064</v>
      </c>
      <c r="F355" s="232" t="s">
        <v>62</v>
      </c>
      <c r="G355" s="87" t="s">
        <v>80</v>
      </c>
      <c r="H355" s="143" t="s">
        <v>101</v>
      </c>
      <c r="I355" s="87" t="s">
        <v>885</v>
      </c>
      <c r="J355" s="84" t="s">
        <v>52</v>
      </c>
      <c r="K355" s="87" t="s">
        <v>66</v>
      </c>
      <c r="L355" s="21">
        <v>1</v>
      </c>
      <c r="M355" s="87" t="s">
        <v>54</v>
      </c>
      <c r="N355" s="3" t="s">
        <v>55</v>
      </c>
      <c r="O355" s="3">
        <v>0</v>
      </c>
      <c r="P355" s="33"/>
      <c r="Q355" s="3" t="s">
        <v>55</v>
      </c>
      <c r="R355" s="3" t="s">
        <v>55</v>
      </c>
      <c r="S355" s="3">
        <v>0</v>
      </c>
      <c r="T355" s="3" t="s">
        <v>55</v>
      </c>
      <c r="U355" s="3" t="s">
        <v>55</v>
      </c>
      <c r="V355" s="3" t="s">
        <v>55</v>
      </c>
      <c r="W355" s="3" t="s">
        <v>55</v>
      </c>
      <c r="X355" s="3" t="s">
        <v>55</v>
      </c>
      <c r="Y355" s="3" t="s">
        <v>55</v>
      </c>
      <c r="Z355" s="3" t="s">
        <v>55</v>
      </c>
      <c r="AA355" s="3">
        <v>1</v>
      </c>
      <c r="AB355" s="3">
        <v>1</v>
      </c>
      <c r="AC355" s="3">
        <v>0</v>
      </c>
      <c r="AD355" s="28">
        <v>46073</v>
      </c>
      <c r="AE355" s="28">
        <v>46077</v>
      </c>
      <c r="AF355" s="28">
        <v>46077</v>
      </c>
      <c r="AG355" s="28">
        <v>46080</v>
      </c>
      <c r="AH355" s="38">
        <v>46083</v>
      </c>
      <c r="AI355" s="33">
        <f t="shared" si="42"/>
        <v>3</v>
      </c>
      <c r="AJ355" s="144" t="s">
        <v>1075</v>
      </c>
      <c r="AK355" s="35" t="s">
        <v>1341</v>
      </c>
      <c r="AL355" s="19" t="str">
        <f t="shared" si="40"/>
        <v>N/A</v>
      </c>
      <c r="AM355" s="67" t="str">
        <f>IFERROR(NETWORKDAYS(D355,Q355,Hoja1!$A$1:$A$29),"N/A")</f>
        <v>N/A</v>
      </c>
      <c r="AN355" s="21">
        <f>IFERROR(NETWORKDAYS(D355,AE355,Hoja1!$A$1:$A$29),"N/A")</f>
        <v>9</v>
      </c>
      <c r="AO355" s="78">
        <v>0</v>
      </c>
      <c r="AP355" s="21">
        <f t="shared" si="43"/>
        <v>9</v>
      </c>
      <c r="AQ355" s="21">
        <f>IFERROR(NETWORKDAYS(AF355,AG355,Hoja1!$A$1:$A$29),"N/A")</f>
        <v>4</v>
      </c>
      <c r="AR355" s="78">
        <v>0</v>
      </c>
      <c r="AS355" s="75">
        <f t="shared" si="41"/>
        <v>4</v>
      </c>
      <c r="AT355" s="21">
        <f>IFERROR(NETWORKDAYS(D355,AG355,Hoja1!$A$1:$A$29),"N/A")</f>
        <v>12</v>
      </c>
      <c r="AU355" s="21">
        <f t="shared" si="44"/>
        <v>12</v>
      </c>
      <c r="AV355" s="143" t="s">
        <v>104</v>
      </c>
      <c r="AW355" s="143" t="s">
        <v>400</v>
      </c>
      <c r="AX355" s="84"/>
      <c r="AY355" s="87"/>
      <c r="AZ355" s="87"/>
      <c r="BA355" s="87"/>
      <c r="BB355" s="87"/>
    </row>
    <row r="356" spans="1:54" ht="15" customHeight="1" x14ac:dyDescent="0.25">
      <c r="A356" s="95">
        <v>15836</v>
      </c>
      <c r="B356" s="87" t="s">
        <v>69</v>
      </c>
      <c r="C356" s="43" t="s">
        <v>98</v>
      </c>
      <c r="D356" s="428">
        <v>46064</v>
      </c>
      <c r="E356" s="142">
        <v>46064</v>
      </c>
      <c r="F356" s="84" t="s">
        <v>62</v>
      </c>
      <c r="G356" s="84" t="s">
        <v>80</v>
      </c>
      <c r="H356" s="143" t="s">
        <v>51</v>
      </c>
      <c r="I356" s="87" t="s">
        <v>885</v>
      </c>
      <c r="J356" s="84" t="s">
        <v>52</v>
      </c>
      <c r="K356" s="84" t="s">
        <v>66</v>
      </c>
      <c r="L356" s="21">
        <v>1</v>
      </c>
      <c r="M356" s="87" t="s">
        <v>54</v>
      </c>
      <c r="N356" s="33" t="s">
        <v>55</v>
      </c>
      <c r="O356" s="33">
        <v>4</v>
      </c>
      <c r="P356" s="3" t="s">
        <v>112</v>
      </c>
      <c r="Q356" s="44">
        <v>46071</v>
      </c>
      <c r="R356" s="142">
        <v>46072</v>
      </c>
      <c r="S356" s="33">
        <v>4</v>
      </c>
      <c r="T356" s="33" t="s">
        <v>55</v>
      </c>
      <c r="U356" s="33" t="s">
        <v>55</v>
      </c>
      <c r="V356" s="33" t="s">
        <v>55</v>
      </c>
      <c r="W356" s="33" t="s">
        <v>55</v>
      </c>
      <c r="X356" s="33" t="s">
        <v>55</v>
      </c>
      <c r="Y356" s="33" t="s">
        <v>55</v>
      </c>
      <c r="Z356" s="33" t="s">
        <v>55</v>
      </c>
      <c r="AA356" s="33">
        <v>1</v>
      </c>
      <c r="AB356" s="33">
        <v>1</v>
      </c>
      <c r="AC356" s="33">
        <v>0</v>
      </c>
      <c r="AD356" s="28">
        <v>46078</v>
      </c>
      <c r="AE356" s="28">
        <v>46078</v>
      </c>
      <c r="AF356" s="28">
        <v>46085</v>
      </c>
      <c r="AG356" s="28">
        <v>46099</v>
      </c>
      <c r="AH356" s="140">
        <v>46106</v>
      </c>
      <c r="AI356" s="33">
        <f t="shared" si="42"/>
        <v>3</v>
      </c>
      <c r="AJ356" s="144" t="s">
        <v>1076</v>
      </c>
      <c r="AK356" s="35" t="s">
        <v>1077</v>
      </c>
      <c r="AL356" s="19">
        <f t="shared" si="40"/>
        <v>1</v>
      </c>
      <c r="AM356" s="67">
        <f>IFERROR(NETWORKDAYS(D356,Q356,Hoja1!$A$1:$A$29),"N/A")</f>
        <v>6</v>
      </c>
      <c r="AN356" s="21">
        <f>IFERROR(NETWORKDAYS(D356,AE356,Hoja1!$A$1:$A$29),"N/A")</f>
        <v>11</v>
      </c>
      <c r="AO356" s="78">
        <v>0</v>
      </c>
      <c r="AP356" s="21">
        <f t="shared" si="43"/>
        <v>11</v>
      </c>
      <c r="AQ356" s="21">
        <f>IFERROR(NETWORKDAYS(AF356,AG356,Hoja1!$A$1:$A$29),"N/A")</f>
        <v>11</v>
      </c>
      <c r="AR356" s="78">
        <v>6</v>
      </c>
      <c r="AS356" s="75">
        <f t="shared" si="41"/>
        <v>5</v>
      </c>
      <c r="AT356" s="21">
        <f>IFERROR(NETWORKDAYS(D356,AG356,Hoja1!$A$1:$A$29),"N/A")</f>
        <v>26</v>
      </c>
      <c r="AU356" s="21">
        <f t="shared" si="44"/>
        <v>20</v>
      </c>
      <c r="AV356" s="143" t="s">
        <v>413</v>
      </c>
      <c r="AW356" s="143" t="s">
        <v>804</v>
      </c>
      <c r="AX356" s="114"/>
      <c r="AY356" s="114"/>
      <c r="AZ356" s="114"/>
      <c r="BA356" s="114"/>
      <c r="BB356" s="114"/>
    </row>
    <row r="357" spans="1:54" ht="15" customHeight="1" x14ac:dyDescent="0.25">
      <c r="A357" s="95">
        <v>15837</v>
      </c>
      <c r="B357" s="87" t="s">
        <v>69</v>
      </c>
      <c r="C357" s="43" t="s">
        <v>98</v>
      </c>
      <c r="D357" s="142">
        <v>46064</v>
      </c>
      <c r="E357" s="142">
        <v>46063</v>
      </c>
      <c r="F357" s="84" t="s">
        <v>62</v>
      </c>
      <c r="G357" s="84" t="s">
        <v>80</v>
      </c>
      <c r="H357" s="143" t="s">
        <v>51</v>
      </c>
      <c r="I357" s="87" t="s">
        <v>885</v>
      </c>
      <c r="J357" s="84" t="s">
        <v>52</v>
      </c>
      <c r="K357" s="84" t="s">
        <v>66</v>
      </c>
      <c r="L357" s="21">
        <v>1</v>
      </c>
      <c r="M357" s="87" t="s">
        <v>54</v>
      </c>
      <c r="N357" s="33" t="s">
        <v>55</v>
      </c>
      <c r="O357" s="33">
        <v>4</v>
      </c>
      <c r="P357" s="3" t="s">
        <v>112</v>
      </c>
      <c r="Q357" s="44">
        <v>46071</v>
      </c>
      <c r="R357" s="116">
        <v>46100</v>
      </c>
      <c r="S357" s="33">
        <v>4</v>
      </c>
      <c r="T357" s="33" t="s">
        <v>55</v>
      </c>
      <c r="U357" s="33" t="s">
        <v>55</v>
      </c>
      <c r="V357" s="33" t="s">
        <v>55</v>
      </c>
      <c r="W357" s="33" t="s">
        <v>55</v>
      </c>
      <c r="X357" s="33" t="s">
        <v>55</v>
      </c>
      <c r="Y357" s="33" t="s">
        <v>55</v>
      </c>
      <c r="Z357" s="33" t="s">
        <v>55</v>
      </c>
      <c r="AA357" s="1">
        <v>1</v>
      </c>
      <c r="AB357" s="1">
        <v>1</v>
      </c>
      <c r="AC357" s="33">
        <v>0</v>
      </c>
      <c r="AD357" s="28">
        <v>46083</v>
      </c>
      <c r="AE357" s="28">
        <v>46085</v>
      </c>
      <c r="AF357" s="28">
        <v>46085</v>
      </c>
      <c r="AG357" s="28">
        <v>46098</v>
      </c>
      <c r="AH357" s="140">
        <v>46106</v>
      </c>
      <c r="AI357" s="33">
        <f t="shared" si="42"/>
        <v>3</v>
      </c>
      <c r="AJ357" s="144" t="s">
        <v>1078</v>
      </c>
      <c r="AK357" s="35" t="s">
        <v>1079</v>
      </c>
      <c r="AL357" s="19">
        <f t="shared" si="40"/>
        <v>1</v>
      </c>
      <c r="AM357" s="67">
        <f>IFERROR(NETWORKDAYS(D357,Q357,Hoja1!$A$1:$A$29),"N/A")</f>
        <v>6</v>
      </c>
      <c r="AN357" s="21">
        <f>IFERROR(NETWORKDAYS(D357,AE357,Hoja1!$A$1:$A$29),"N/A")</f>
        <v>16</v>
      </c>
      <c r="AO357" s="78">
        <v>0</v>
      </c>
      <c r="AP357" s="21">
        <f t="shared" si="43"/>
        <v>16</v>
      </c>
      <c r="AQ357" s="21">
        <f>IFERROR(NETWORKDAYS(AF357,AG357,Hoja1!$A$1:$A$29),"N/A")</f>
        <v>10</v>
      </c>
      <c r="AR357" s="78">
        <v>5</v>
      </c>
      <c r="AS357" s="75">
        <f t="shared" si="41"/>
        <v>5</v>
      </c>
      <c r="AT357" s="21">
        <f>IFERROR(NETWORKDAYS(D357,AG357,Hoja1!$A$1:$A$29),"N/A")</f>
        <v>25</v>
      </c>
      <c r="AU357" s="21">
        <f t="shared" si="44"/>
        <v>20</v>
      </c>
      <c r="AV357" s="143" t="s">
        <v>59</v>
      </c>
      <c r="AW357" s="143" t="s">
        <v>1080</v>
      </c>
      <c r="AX357" s="84"/>
      <c r="AY357" s="84"/>
      <c r="AZ357" s="84"/>
      <c r="BA357" s="84"/>
      <c r="BB357" s="84"/>
    </row>
    <row r="358" spans="1:54" ht="15" customHeight="1" x14ac:dyDescent="0.25">
      <c r="A358" s="157">
        <v>15842</v>
      </c>
      <c r="B358" s="87" t="s">
        <v>69</v>
      </c>
      <c r="C358" s="159" t="s">
        <v>202</v>
      </c>
      <c r="D358" s="428">
        <v>46063</v>
      </c>
      <c r="E358" s="142">
        <v>46063</v>
      </c>
      <c r="F358" s="202" t="s">
        <v>99</v>
      </c>
      <c r="G358" s="202" t="s">
        <v>100</v>
      </c>
      <c r="H358" s="143" t="s">
        <v>51</v>
      </c>
      <c r="I358" s="27" t="s">
        <v>72</v>
      </c>
      <c r="J358" s="87" t="s">
        <v>73</v>
      </c>
      <c r="K358" s="202" t="s">
        <v>1081</v>
      </c>
      <c r="L358" s="21">
        <v>1</v>
      </c>
      <c r="M358" s="87" t="s">
        <v>54</v>
      </c>
      <c r="N358" s="33" t="s">
        <v>55</v>
      </c>
      <c r="O358" s="33">
        <v>2</v>
      </c>
      <c r="P358" s="3" t="s">
        <v>112</v>
      </c>
      <c r="Q358" s="160">
        <v>46073</v>
      </c>
      <c r="R358" s="160">
        <v>46073</v>
      </c>
      <c r="S358" s="33">
        <v>2</v>
      </c>
      <c r="T358" s="33" t="s">
        <v>55</v>
      </c>
      <c r="U358" s="33" t="s">
        <v>55</v>
      </c>
      <c r="V358" s="33" t="s">
        <v>55</v>
      </c>
      <c r="W358" s="33" t="s">
        <v>55</v>
      </c>
      <c r="X358" s="33" t="s">
        <v>55</v>
      </c>
      <c r="Y358" s="33" t="s">
        <v>55</v>
      </c>
      <c r="Z358" s="33" t="s">
        <v>55</v>
      </c>
      <c r="AA358" s="33">
        <v>1</v>
      </c>
      <c r="AB358" s="33">
        <v>1</v>
      </c>
      <c r="AC358" s="33">
        <v>0</v>
      </c>
      <c r="AD358" s="28">
        <v>46077</v>
      </c>
      <c r="AE358" s="28">
        <v>46077</v>
      </c>
      <c r="AF358" s="28">
        <v>46077</v>
      </c>
      <c r="AG358" s="28">
        <v>46080</v>
      </c>
      <c r="AH358" s="37">
        <v>46083</v>
      </c>
      <c r="AI358" s="33">
        <f t="shared" si="42"/>
        <v>3</v>
      </c>
      <c r="AJ358" s="144" t="s">
        <v>1082</v>
      </c>
      <c r="AK358" s="35" t="s">
        <v>1083</v>
      </c>
      <c r="AL358" s="19">
        <f t="shared" si="40"/>
        <v>1</v>
      </c>
      <c r="AM358" s="67">
        <f>IFERROR(NETWORKDAYS(D358,Q358,Hoja1!$A$1:$A$29),"N/A")</f>
        <v>9</v>
      </c>
      <c r="AN358" s="21">
        <f>IFERROR(NETWORKDAYS(D358,AE358,Hoja1!$A$1:$A$29),"N/A")</f>
        <v>11</v>
      </c>
      <c r="AO358" s="78">
        <v>0</v>
      </c>
      <c r="AP358" s="21">
        <f t="shared" si="43"/>
        <v>11</v>
      </c>
      <c r="AQ358" s="21">
        <f>IFERROR(NETWORKDAYS(AF358,AG358,Hoja1!$A$1:$A$29),"N/A")</f>
        <v>4</v>
      </c>
      <c r="AR358" s="78">
        <v>0</v>
      </c>
      <c r="AS358" s="75">
        <f t="shared" si="41"/>
        <v>4</v>
      </c>
      <c r="AT358" s="21">
        <f>IFERROR(NETWORKDAYS(D358,AG358,Hoja1!$A$1:$A$29),"N/A")</f>
        <v>14</v>
      </c>
      <c r="AU358" s="21">
        <f t="shared" si="44"/>
        <v>14</v>
      </c>
      <c r="AV358" s="143" t="s">
        <v>127</v>
      </c>
      <c r="AW358" s="143" t="s">
        <v>82</v>
      </c>
      <c r="AX358" s="87"/>
      <c r="AY358" s="87"/>
      <c r="AZ358" s="87"/>
      <c r="BA358" s="87"/>
      <c r="BB358" s="87"/>
    </row>
    <row r="359" spans="1:54" ht="15" customHeight="1" x14ac:dyDescent="0.25">
      <c r="A359" s="55">
        <v>15843</v>
      </c>
      <c r="B359" s="87" t="s">
        <v>69</v>
      </c>
      <c r="C359" s="159" t="s">
        <v>202</v>
      </c>
      <c r="D359" s="142">
        <v>46063</v>
      </c>
      <c r="E359" s="142">
        <v>46063</v>
      </c>
      <c r="F359" s="202" t="s">
        <v>99</v>
      </c>
      <c r="G359" s="111" t="s">
        <v>100</v>
      </c>
      <c r="H359" s="143" t="s">
        <v>51</v>
      </c>
      <c r="I359" s="111" t="s">
        <v>96</v>
      </c>
      <c r="J359" s="87" t="s">
        <v>73</v>
      </c>
      <c r="K359" s="111" t="s">
        <v>1081</v>
      </c>
      <c r="L359" s="21">
        <v>1</v>
      </c>
      <c r="M359" s="87" t="s">
        <v>54</v>
      </c>
      <c r="N359" s="3" t="s">
        <v>55</v>
      </c>
      <c r="O359" s="3">
        <v>3</v>
      </c>
      <c r="P359" s="3" t="s">
        <v>112</v>
      </c>
      <c r="Q359" s="160">
        <v>46078</v>
      </c>
      <c r="R359" s="160">
        <v>46078</v>
      </c>
      <c r="S359" s="3">
        <v>3</v>
      </c>
      <c r="T359" s="3" t="s">
        <v>55</v>
      </c>
      <c r="U359" s="3" t="s">
        <v>55</v>
      </c>
      <c r="V359" s="3" t="s">
        <v>55</v>
      </c>
      <c r="W359" s="3" t="s">
        <v>55</v>
      </c>
      <c r="X359" s="3" t="s">
        <v>55</v>
      </c>
      <c r="Y359" s="3" t="s">
        <v>55</v>
      </c>
      <c r="Z359" s="3" t="s">
        <v>55</v>
      </c>
      <c r="AA359" s="2">
        <v>2</v>
      </c>
      <c r="AB359" s="2">
        <v>2</v>
      </c>
      <c r="AC359" s="3">
        <v>0</v>
      </c>
      <c r="AD359" s="44">
        <v>46083</v>
      </c>
      <c r="AE359" s="28">
        <v>46084</v>
      </c>
      <c r="AF359" s="28">
        <v>46086</v>
      </c>
      <c r="AG359" s="28">
        <v>46092</v>
      </c>
      <c r="AH359" s="16">
        <v>46093</v>
      </c>
      <c r="AI359" s="33">
        <f t="shared" si="42"/>
        <v>3</v>
      </c>
      <c r="AJ359" s="144" t="s">
        <v>1084</v>
      </c>
      <c r="AK359" s="35" t="s">
        <v>1085</v>
      </c>
      <c r="AL359" s="19">
        <f t="shared" si="40"/>
        <v>1</v>
      </c>
      <c r="AM359" s="67">
        <f>IFERROR(NETWORKDAYS(D359,Q359,Hoja1!$A$1:$A$29),"N/A")</f>
        <v>12</v>
      </c>
      <c r="AN359" s="21">
        <f>IFERROR(NETWORKDAYS(D359,AE359,Hoja1!$A$1:$A$29),"N/A")</f>
        <v>16</v>
      </c>
      <c r="AO359" s="78">
        <v>0</v>
      </c>
      <c r="AP359" s="21">
        <f t="shared" si="43"/>
        <v>16</v>
      </c>
      <c r="AQ359" s="21">
        <f>IFERROR(NETWORKDAYS(AF359,AG359,Hoja1!$A$1:$A$29),"N/A")</f>
        <v>5</v>
      </c>
      <c r="AR359" s="78">
        <v>0</v>
      </c>
      <c r="AS359" s="75">
        <f t="shared" si="41"/>
        <v>5</v>
      </c>
      <c r="AT359" s="21">
        <f>IFERROR(NETWORKDAYS(D359,AG359,Hoja1!$A$1:$A$29),"N/A")</f>
        <v>22</v>
      </c>
      <c r="AU359" s="21">
        <f t="shared" si="44"/>
        <v>22</v>
      </c>
      <c r="AV359" s="143" t="s">
        <v>127</v>
      </c>
      <c r="AW359" s="143" t="s">
        <v>82</v>
      </c>
      <c r="AX359" s="46"/>
      <c r="AY359" s="111"/>
      <c r="AZ359" s="111"/>
      <c r="BA359" s="111"/>
      <c r="BB359" s="111"/>
    </row>
    <row r="360" spans="1:54" ht="15" customHeight="1" x14ac:dyDescent="0.25">
      <c r="A360" s="95">
        <v>15845</v>
      </c>
      <c r="B360" s="87" t="s">
        <v>69</v>
      </c>
      <c r="C360" s="43" t="s">
        <v>98</v>
      </c>
      <c r="D360" s="428">
        <v>46063</v>
      </c>
      <c r="E360" s="142">
        <v>46063</v>
      </c>
      <c r="F360" s="202" t="s">
        <v>99</v>
      </c>
      <c r="G360" s="84" t="s">
        <v>135</v>
      </c>
      <c r="H360" s="143" t="s">
        <v>51</v>
      </c>
      <c r="I360" s="87" t="s">
        <v>885</v>
      </c>
      <c r="J360" s="84" t="s">
        <v>52</v>
      </c>
      <c r="K360" s="84" t="s">
        <v>1081</v>
      </c>
      <c r="L360" s="21">
        <v>1</v>
      </c>
      <c r="M360" s="87" t="s">
        <v>54</v>
      </c>
      <c r="N360" s="33" t="s">
        <v>55</v>
      </c>
      <c r="O360" s="33">
        <v>5</v>
      </c>
      <c r="P360" s="3" t="s">
        <v>112</v>
      </c>
      <c r="Q360" s="30">
        <v>46066</v>
      </c>
      <c r="R360" s="30">
        <v>46066</v>
      </c>
      <c r="S360" s="33">
        <v>5</v>
      </c>
      <c r="T360" s="33" t="s">
        <v>55</v>
      </c>
      <c r="U360" s="33" t="s">
        <v>55</v>
      </c>
      <c r="V360" s="33" t="s">
        <v>55</v>
      </c>
      <c r="W360" s="33" t="s">
        <v>55</v>
      </c>
      <c r="X360" s="33" t="s">
        <v>55</v>
      </c>
      <c r="Y360" s="33" t="s">
        <v>55</v>
      </c>
      <c r="Z360" s="33" t="s">
        <v>55</v>
      </c>
      <c r="AA360" s="33">
        <v>1</v>
      </c>
      <c r="AB360" s="33">
        <v>1</v>
      </c>
      <c r="AC360" s="33">
        <v>0</v>
      </c>
      <c r="AD360" s="28">
        <v>46071</v>
      </c>
      <c r="AE360" s="28">
        <v>46072</v>
      </c>
      <c r="AF360" s="28">
        <v>46072</v>
      </c>
      <c r="AG360" s="28">
        <v>46083</v>
      </c>
      <c r="AH360" s="37">
        <v>46083</v>
      </c>
      <c r="AI360" s="33">
        <f t="shared" si="42"/>
        <v>3</v>
      </c>
      <c r="AJ360" s="144" t="s">
        <v>1086</v>
      </c>
      <c r="AK360" s="35" t="s">
        <v>1087</v>
      </c>
      <c r="AL360" s="19">
        <f t="shared" si="40"/>
        <v>1</v>
      </c>
      <c r="AM360" s="67">
        <f>IFERROR(NETWORKDAYS(D360,Q360,Hoja1!$A$1:$A$29),"N/A")</f>
        <v>4</v>
      </c>
      <c r="AN360" s="21">
        <f>IFERROR(NETWORKDAYS(D360,AE360,Hoja1!$A$1:$A$29),"N/A")</f>
        <v>8</v>
      </c>
      <c r="AO360" s="78">
        <v>0</v>
      </c>
      <c r="AP360" s="21">
        <f t="shared" si="43"/>
        <v>8</v>
      </c>
      <c r="AQ360" s="21">
        <f>IFERROR(NETWORKDAYS(AF360,AG360,Hoja1!$A$1:$A$29),"N/A")</f>
        <v>8</v>
      </c>
      <c r="AR360" s="78">
        <v>3</v>
      </c>
      <c r="AS360" s="75">
        <f t="shared" si="41"/>
        <v>5</v>
      </c>
      <c r="AT360" s="21">
        <f>IFERROR(NETWORKDAYS(D360,AG360,Hoja1!$A$1:$A$29),"N/A")</f>
        <v>15</v>
      </c>
      <c r="AU360" s="21">
        <f t="shared" si="44"/>
        <v>12</v>
      </c>
      <c r="AV360" s="143" t="s">
        <v>131</v>
      </c>
      <c r="AW360" s="143" t="s">
        <v>400</v>
      </c>
      <c r="AX360" s="84"/>
      <c r="AY360" s="84"/>
      <c r="AZ360" s="84"/>
      <c r="BA360" s="84"/>
      <c r="BB360" s="84"/>
    </row>
    <row r="361" spans="1:54" ht="15" customHeight="1" x14ac:dyDescent="0.25">
      <c r="A361" s="95">
        <v>15846</v>
      </c>
      <c r="B361" s="87" t="s">
        <v>69</v>
      </c>
      <c r="C361" s="43" t="s">
        <v>98</v>
      </c>
      <c r="D361" s="142">
        <v>46063</v>
      </c>
      <c r="E361" s="142">
        <v>46063</v>
      </c>
      <c r="F361" s="202" t="s">
        <v>99</v>
      </c>
      <c r="G361" s="84" t="s">
        <v>128</v>
      </c>
      <c r="H361" s="143" t="s">
        <v>101</v>
      </c>
      <c r="I361" s="87" t="s">
        <v>885</v>
      </c>
      <c r="J361" s="84" t="s">
        <v>52</v>
      </c>
      <c r="K361" s="84" t="s">
        <v>1081</v>
      </c>
      <c r="L361" s="21">
        <v>1</v>
      </c>
      <c r="M361" s="87" t="s">
        <v>54</v>
      </c>
      <c r="N361" s="33" t="s">
        <v>55</v>
      </c>
      <c r="O361" s="33">
        <v>0</v>
      </c>
      <c r="P361" s="33"/>
      <c r="Q361" s="142" t="s">
        <v>55</v>
      </c>
      <c r="R361" s="142" t="s">
        <v>55</v>
      </c>
      <c r="S361" s="33">
        <v>0</v>
      </c>
      <c r="T361" s="33" t="s">
        <v>55</v>
      </c>
      <c r="U361" s="33" t="s">
        <v>55</v>
      </c>
      <c r="V361" s="33" t="s">
        <v>55</v>
      </c>
      <c r="W361" s="33" t="s">
        <v>55</v>
      </c>
      <c r="X361" s="33" t="s">
        <v>55</v>
      </c>
      <c r="Y361" s="33" t="s">
        <v>55</v>
      </c>
      <c r="Z361" s="33" t="s">
        <v>55</v>
      </c>
      <c r="AA361" s="33">
        <v>1</v>
      </c>
      <c r="AB361" s="33">
        <v>1</v>
      </c>
      <c r="AC361" s="33">
        <v>0</v>
      </c>
      <c r="AD361" s="28">
        <v>46071</v>
      </c>
      <c r="AE361" s="28">
        <v>46072</v>
      </c>
      <c r="AF361" s="28">
        <v>46072</v>
      </c>
      <c r="AG361" s="28">
        <v>46080</v>
      </c>
      <c r="AH361" s="37">
        <v>46083</v>
      </c>
      <c r="AI361" s="33">
        <f t="shared" si="42"/>
        <v>3</v>
      </c>
      <c r="AJ361" s="144" t="s">
        <v>1088</v>
      </c>
      <c r="AK361" s="35" t="s">
        <v>1089</v>
      </c>
      <c r="AL361" s="19" t="str">
        <f t="shared" si="40"/>
        <v>N/A</v>
      </c>
      <c r="AM361" s="67" t="str">
        <f>IFERROR(NETWORKDAYS(D361,Q361,Hoja1!$A$1:$A$29),"N/A")</f>
        <v>N/A</v>
      </c>
      <c r="AN361" s="21">
        <f>IFERROR(NETWORKDAYS(D361,AE361,Hoja1!$A$1:$A$29),"N/A")</f>
        <v>8</v>
      </c>
      <c r="AO361" s="78">
        <v>0</v>
      </c>
      <c r="AP361" s="21">
        <f t="shared" si="43"/>
        <v>8</v>
      </c>
      <c r="AQ361" s="21">
        <f>IFERROR(NETWORKDAYS(AF361,AG361,Hoja1!$A$1:$A$29),"N/A")</f>
        <v>7</v>
      </c>
      <c r="AR361" s="78">
        <v>3</v>
      </c>
      <c r="AS361" s="75">
        <f t="shared" si="41"/>
        <v>4</v>
      </c>
      <c r="AT361" s="21">
        <f>IFERROR(NETWORKDAYS(D361,AG361,Hoja1!$A$1:$A$29),"N/A")</f>
        <v>14</v>
      </c>
      <c r="AU361" s="21">
        <f t="shared" si="44"/>
        <v>11</v>
      </c>
      <c r="AV361" s="143" t="s">
        <v>104</v>
      </c>
      <c r="AW361" s="143" t="s">
        <v>1370</v>
      </c>
      <c r="AX361" s="84"/>
      <c r="AY361" s="84"/>
      <c r="AZ361" s="84"/>
      <c r="BA361" s="84"/>
      <c r="BB361" s="84"/>
    </row>
    <row r="362" spans="1:54" ht="15" customHeight="1" x14ac:dyDescent="0.25">
      <c r="A362" s="149">
        <v>15847</v>
      </c>
      <c r="B362" s="145" t="s">
        <v>169</v>
      </c>
      <c r="C362" s="145" t="s">
        <v>169</v>
      </c>
      <c r="D362" s="428">
        <v>46063</v>
      </c>
      <c r="E362" s="142">
        <v>46063</v>
      </c>
      <c r="F362" s="232" t="s">
        <v>62</v>
      </c>
      <c r="G362" s="84" t="s">
        <v>71</v>
      </c>
      <c r="H362" s="143" t="s">
        <v>101</v>
      </c>
      <c r="I362" s="145" t="s">
        <v>205</v>
      </c>
      <c r="J362" s="87" t="s">
        <v>105</v>
      </c>
      <c r="K362" s="84" t="s">
        <v>86</v>
      </c>
      <c r="L362" s="21">
        <v>1</v>
      </c>
      <c r="M362" s="87" t="s">
        <v>54</v>
      </c>
      <c r="N362" s="33" t="s">
        <v>55</v>
      </c>
      <c r="O362" s="33">
        <v>0</v>
      </c>
      <c r="P362" s="33"/>
      <c r="Q362" s="142" t="s">
        <v>55</v>
      </c>
      <c r="R362" s="142" t="s">
        <v>55</v>
      </c>
      <c r="S362" s="33">
        <v>0</v>
      </c>
      <c r="T362" s="33" t="s">
        <v>55</v>
      </c>
      <c r="U362" s="33" t="s">
        <v>55</v>
      </c>
      <c r="V362" s="33" t="s">
        <v>55</v>
      </c>
      <c r="W362" s="33" t="s">
        <v>55</v>
      </c>
      <c r="X362" s="33" t="s">
        <v>55</v>
      </c>
      <c r="Y362" s="33" t="s">
        <v>55</v>
      </c>
      <c r="Z362" s="33" t="s">
        <v>55</v>
      </c>
      <c r="AA362" s="33">
        <v>1</v>
      </c>
      <c r="AB362" s="33">
        <v>1</v>
      </c>
      <c r="AC362" s="33">
        <v>0</v>
      </c>
      <c r="AD362" s="28">
        <v>46073</v>
      </c>
      <c r="AE362" s="28">
        <v>46073</v>
      </c>
      <c r="AF362" s="28">
        <v>46076</v>
      </c>
      <c r="AG362" s="28">
        <v>46080</v>
      </c>
      <c r="AH362" s="38">
        <v>46083</v>
      </c>
      <c r="AI362" s="33">
        <f t="shared" si="42"/>
        <v>3</v>
      </c>
      <c r="AJ362" s="144" t="s">
        <v>1090</v>
      </c>
      <c r="AK362" s="35" t="s">
        <v>1091</v>
      </c>
      <c r="AL362" s="19" t="str">
        <f t="shared" si="40"/>
        <v>N/A</v>
      </c>
      <c r="AM362" s="67" t="str">
        <f>IFERROR(NETWORKDAYS(D362,Q362,Hoja1!$A$1:$A$29),"N/A")</f>
        <v>N/A</v>
      </c>
      <c r="AN362" s="21">
        <f>IFERROR(NETWORKDAYS(D362,AE362,Hoja1!$A$1:$A$29),"N/A")</f>
        <v>9</v>
      </c>
      <c r="AO362" s="78">
        <v>0</v>
      </c>
      <c r="AP362" s="21">
        <f t="shared" si="43"/>
        <v>9</v>
      </c>
      <c r="AQ362" s="21">
        <f>IFERROR(NETWORKDAYS(AF362,AG362,Hoja1!$A$1:$A$29),"N/A")</f>
        <v>5</v>
      </c>
      <c r="AR362" s="78">
        <v>0</v>
      </c>
      <c r="AS362" s="75">
        <f t="shared" si="41"/>
        <v>5</v>
      </c>
      <c r="AT362" s="21">
        <f>IFERROR(NETWORKDAYS(D362,AG362,Hoja1!$A$1:$A$29),"N/A")</f>
        <v>14</v>
      </c>
      <c r="AU362" s="21">
        <f t="shared" si="44"/>
        <v>14</v>
      </c>
      <c r="AV362" s="143" t="s">
        <v>104</v>
      </c>
      <c r="AW362" s="143" t="s">
        <v>1092</v>
      </c>
      <c r="AX362" s="87"/>
      <c r="AY362" s="87"/>
      <c r="AZ362" s="87"/>
      <c r="BA362" s="87"/>
      <c r="BB362" s="87"/>
    </row>
    <row r="363" spans="1:54" ht="15" customHeight="1" x14ac:dyDescent="0.25">
      <c r="A363" s="149">
        <v>15849</v>
      </c>
      <c r="B363" s="145" t="s">
        <v>169</v>
      </c>
      <c r="C363" s="145" t="s">
        <v>169</v>
      </c>
      <c r="D363" s="142">
        <v>46063</v>
      </c>
      <c r="E363" s="142">
        <v>46063</v>
      </c>
      <c r="F363" s="232" t="s">
        <v>62</v>
      </c>
      <c r="G363" s="84" t="s">
        <v>71</v>
      </c>
      <c r="H363" s="143" t="s">
        <v>101</v>
      </c>
      <c r="I363" s="145" t="s">
        <v>205</v>
      </c>
      <c r="J363" s="87" t="s">
        <v>105</v>
      </c>
      <c r="K363" s="84" t="s">
        <v>86</v>
      </c>
      <c r="L363" s="21">
        <v>1</v>
      </c>
      <c r="M363" s="87" t="s">
        <v>54</v>
      </c>
      <c r="N363" s="33" t="s">
        <v>55</v>
      </c>
      <c r="O363" s="33">
        <v>0</v>
      </c>
      <c r="P363" s="33"/>
      <c r="Q363" s="142" t="s">
        <v>55</v>
      </c>
      <c r="R363" s="142" t="s">
        <v>55</v>
      </c>
      <c r="S363" s="33">
        <v>0</v>
      </c>
      <c r="T363" s="33" t="s">
        <v>55</v>
      </c>
      <c r="U363" s="33" t="s">
        <v>55</v>
      </c>
      <c r="V363" s="33" t="s">
        <v>55</v>
      </c>
      <c r="W363" s="33" t="s">
        <v>55</v>
      </c>
      <c r="X363" s="33" t="s">
        <v>55</v>
      </c>
      <c r="Y363" s="33" t="s">
        <v>55</v>
      </c>
      <c r="Z363" s="33" t="s">
        <v>55</v>
      </c>
      <c r="AA363" s="33">
        <v>1</v>
      </c>
      <c r="AB363" s="33">
        <v>1</v>
      </c>
      <c r="AC363" s="33">
        <v>0</v>
      </c>
      <c r="AD363" s="28">
        <v>46080</v>
      </c>
      <c r="AE363" s="28">
        <v>46080</v>
      </c>
      <c r="AF363" s="28">
        <v>46080</v>
      </c>
      <c r="AG363" s="28">
        <v>46092</v>
      </c>
      <c r="AH363" s="53">
        <v>46093</v>
      </c>
      <c r="AI363" s="33">
        <f t="shared" si="42"/>
        <v>3</v>
      </c>
      <c r="AJ363" s="144" t="s">
        <v>1093</v>
      </c>
      <c r="AK363" s="35" t="s">
        <v>1094</v>
      </c>
      <c r="AL363" s="19" t="str">
        <f t="shared" si="40"/>
        <v>N/A</v>
      </c>
      <c r="AM363" s="67" t="str">
        <f>IFERROR(NETWORKDAYS(D363,Q363,Hoja1!$A$1:$A$29),"N/A")</f>
        <v>N/A</v>
      </c>
      <c r="AN363" s="21">
        <f>IFERROR(NETWORKDAYS(D363,AE363,Hoja1!$A$1:$A$29),"N/A")</f>
        <v>14</v>
      </c>
      <c r="AO363" s="78">
        <v>3</v>
      </c>
      <c r="AP363" s="21">
        <f t="shared" si="43"/>
        <v>11</v>
      </c>
      <c r="AQ363" s="21">
        <f>IFERROR(NETWORKDAYS(AF363,AG363,Hoja1!$A$1:$A$29),"N/A")</f>
        <v>9</v>
      </c>
      <c r="AR363" s="78">
        <v>4</v>
      </c>
      <c r="AS363" s="75">
        <f t="shared" si="41"/>
        <v>5</v>
      </c>
      <c r="AT363" s="21">
        <f>IFERROR(NETWORKDAYS(D363,AG363,Hoja1!$A$1:$A$29),"N/A")</f>
        <v>22</v>
      </c>
      <c r="AU363" s="21">
        <f t="shared" si="44"/>
        <v>15</v>
      </c>
      <c r="AV363" s="143" t="s">
        <v>104</v>
      </c>
      <c r="AW363" s="143" t="s">
        <v>1095</v>
      </c>
      <c r="AX363" s="87" t="s">
        <v>881</v>
      </c>
      <c r="AY363" s="87"/>
      <c r="AZ363" s="87"/>
      <c r="BA363" s="87"/>
      <c r="BB363" s="87"/>
    </row>
    <row r="364" spans="1:54" ht="15" customHeight="1" x14ac:dyDescent="0.25">
      <c r="A364" s="55">
        <v>15851</v>
      </c>
      <c r="B364" s="87" t="s">
        <v>69</v>
      </c>
      <c r="C364" s="43" t="s">
        <v>98</v>
      </c>
      <c r="D364" s="428">
        <v>46064</v>
      </c>
      <c r="E364" s="142">
        <v>46064</v>
      </c>
      <c r="F364" s="232" t="s">
        <v>62</v>
      </c>
      <c r="G364" s="87" t="s">
        <v>80</v>
      </c>
      <c r="H364" s="143" t="s">
        <v>101</v>
      </c>
      <c r="I364" s="84" t="s">
        <v>227</v>
      </c>
      <c r="J364" s="84" t="s">
        <v>52</v>
      </c>
      <c r="K364" s="87" t="s">
        <v>66</v>
      </c>
      <c r="L364" s="21">
        <v>1</v>
      </c>
      <c r="M364" s="87" t="s">
        <v>54</v>
      </c>
      <c r="N364" s="3" t="s">
        <v>55</v>
      </c>
      <c r="O364" s="3">
        <v>0</v>
      </c>
      <c r="P364" s="33"/>
      <c r="Q364" s="155" t="s">
        <v>55</v>
      </c>
      <c r="R364" s="155" t="s">
        <v>55</v>
      </c>
      <c r="S364" s="3">
        <v>0</v>
      </c>
      <c r="T364" s="3" t="s">
        <v>55</v>
      </c>
      <c r="U364" s="3" t="s">
        <v>55</v>
      </c>
      <c r="V364" s="3" t="s">
        <v>55</v>
      </c>
      <c r="W364" s="3" t="s">
        <v>55</v>
      </c>
      <c r="X364" s="3" t="s">
        <v>55</v>
      </c>
      <c r="Y364" s="3" t="s">
        <v>55</v>
      </c>
      <c r="Z364" s="3" t="s">
        <v>55</v>
      </c>
      <c r="AA364" s="3">
        <v>1</v>
      </c>
      <c r="AB364" s="3">
        <v>1</v>
      </c>
      <c r="AC364" s="3">
        <v>0</v>
      </c>
      <c r="AD364" s="148">
        <v>46076</v>
      </c>
      <c r="AE364" s="148">
        <v>46076</v>
      </c>
      <c r="AF364" s="148">
        <v>46076</v>
      </c>
      <c r="AG364" s="28">
        <v>46080</v>
      </c>
      <c r="AH364" s="38">
        <v>46083</v>
      </c>
      <c r="AI364" s="33">
        <f t="shared" si="42"/>
        <v>3</v>
      </c>
      <c r="AJ364" s="144" t="s">
        <v>1096</v>
      </c>
      <c r="AK364" s="35" t="s">
        <v>1097</v>
      </c>
      <c r="AL364" s="19" t="str">
        <f t="shared" si="40"/>
        <v>N/A</v>
      </c>
      <c r="AM364" s="67" t="str">
        <f>IFERROR(NETWORKDAYS(D364,Q364,Hoja1!$A$1:$A$29),"N/A")</f>
        <v>N/A</v>
      </c>
      <c r="AN364" s="21">
        <f>IFERROR(NETWORKDAYS(D364,AE364,Hoja1!$A$1:$A$29),"N/A")</f>
        <v>9</v>
      </c>
      <c r="AO364" s="78">
        <v>0</v>
      </c>
      <c r="AP364" s="21">
        <f t="shared" si="43"/>
        <v>9</v>
      </c>
      <c r="AQ364" s="21">
        <f>IFERROR(NETWORKDAYS(AF364,AG364,Hoja1!$A$1:$A$29),"N/A")</f>
        <v>5</v>
      </c>
      <c r="AR364" s="78">
        <v>0</v>
      </c>
      <c r="AS364" s="75">
        <f t="shared" si="41"/>
        <v>5</v>
      </c>
      <c r="AT364" s="21">
        <f>IFERROR(NETWORKDAYS(D364,AG364,Hoja1!$A$1:$A$29),"N/A")</f>
        <v>13</v>
      </c>
      <c r="AU364" s="21">
        <f t="shared" si="44"/>
        <v>13</v>
      </c>
      <c r="AV364" s="143" t="s">
        <v>104</v>
      </c>
      <c r="AW364" s="143" t="s">
        <v>480</v>
      </c>
      <c r="AX364" s="114" t="s">
        <v>446</v>
      </c>
      <c r="AY364" s="114"/>
      <c r="AZ364" s="114"/>
      <c r="BA364" s="114"/>
      <c r="BB364" s="114"/>
    </row>
    <row r="365" spans="1:54" ht="15" customHeight="1" x14ac:dyDescent="0.25">
      <c r="A365" s="54">
        <v>15859</v>
      </c>
      <c r="B365" s="87" t="s">
        <v>69</v>
      </c>
      <c r="C365" s="43" t="s">
        <v>98</v>
      </c>
      <c r="D365" s="142">
        <v>46073</v>
      </c>
      <c r="E365" s="142">
        <v>46065</v>
      </c>
      <c r="F365" s="202" t="s">
        <v>879</v>
      </c>
      <c r="G365" s="48" t="s">
        <v>884</v>
      </c>
      <c r="H365" s="143" t="s">
        <v>51</v>
      </c>
      <c r="I365" s="84" t="s">
        <v>227</v>
      </c>
      <c r="J365" s="84" t="s">
        <v>52</v>
      </c>
      <c r="K365" s="87" t="s">
        <v>53</v>
      </c>
      <c r="L365" s="21">
        <v>1</v>
      </c>
      <c r="M365" s="87" t="s">
        <v>54</v>
      </c>
      <c r="N365" s="3" t="s">
        <v>55</v>
      </c>
      <c r="O365" s="3">
        <v>8</v>
      </c>
      <c r="P365" s="3" t="s">
        <v>112</v>
      </c>
      <c r="Q365" s="30">
        <v>46086</v>
      </c>
      <c r="R365" s="30">
        <v>46086</v>
      </c>
      <c r="S365" s="3">
        <v>8</v>
      </c>
      <c r="T365" s="3" t="s">
        <v>55</v>
      </c>
      <c r="U365" s="3" t="s">
        <v>55</v>
      </c>
      <c r="V365" s="3" t="s">
        <v>55</v>
      </c>
      <c r="W365" s="3" t="s">
        <v>55</v>
      </c>
      <c r="X365" s="3" t="s">
        <v>55</v>
      </c>
      <c r="Y365" s="3" t="s">
        <v>55</v>
      </c>
      <c r="Z365" s="18" t="s">
        <v>55</v>
      </c>
      <c r="AA365" s="3">
        <v>2</v>
      </c>
      <c r="AB365" s="3">
        <v>2</v>
      </c>
      <c r="AC365" s="3">
        <v>0</v>
      </c>
      <c r="AD365" s="28">
        <v>46094</v>
      </c>
      <c r="AE365" s="28">
        <v>46094</v>
      </c>
      <c r="AF365" s="28">
        <v>46094</v>
      </c>
      <c r="AG365" s="28">
        <v>46106</v>
      </c>
      <c r="AH365" s="140">
        <v>46106</v>
      </c>
      <c r="AI365" s="33">
        <f t="shared" si="42"/>
        <v>3</v>
      </c>
      <c r="AJ365" s="144" t="s">
        <v>1098</v>
      </c>
      <c r="AK365" s="35" t="s">
        <v>1099</v>
      </c>
      <c r="AL365" s="19">
        <f t="shared" si="40"/>
        <v>1</v>
      </c>
      <c r="AM365" s="67">
        <f>IFERROR(NETWORKDAYS(D365,Q365,Hoja1!$A$1:$A$29),"N/A")</f>
        <v>10</v>
      </c>
      <c r="AN365" s="21">
        <f>IFERROR(NETWORKDAYS(D365,AE365,Hoja1!$A$1:$A$29),"N/A")</f>
        <v>16</v>
      </c>
      <c r="AO365" s="78">
        <v>0</v>
      </c>
      <c r="AP365" s="21">
        <f t="shared" si="43"/>
        <v>16</v>
      </c>
      <c r="AQ365" s="21">
        <f>IFERROR(NETWORKDAYS(AF365,AG365,Hoja1!$A$1:$A$29),"N/A")</f>
        <v>8</v>
      </c>
      <c r="AR365" s="78">
        <v>3</v>
      </c>
      <c r="AS365" s="75">
        <f t="shared" si="41"/>
        <v>5</v>
      </c>
      <c r="AT365" s="21">
        <f>IFERROR(NETWORKDAYS(D365,AG365,Hoja1!$A$1:$A$29),"N/A")</f>
        <v>23</v>
      </c>
      <c r="AU365" s="21">
        <f t="shared" si="44"/>
        <v>20</v>
      </c>
      <c r="AV365" s="143" t="s">
        <v>131</v>
      </c>
      <c r="AW365" s="143" t="s">
        <v>1100</v>
      </c>
      <c r="AX365" s="114"/>
      <c r="AY365" s="114"/>
      <c r="AZ365" s="114"/>
      <c r="BA365" s="114"/>
      <c r="BB365" s="114"/>
    </row>
    <row r="366" spans="1:54" ht="15" customHeight="1" x14ac:dyDescent="0.25">
      <c r="A366" s="149">
        <v>15860</v>
      </c>
      <c r="B366" s="152" t="s">
        <v>85</v>
      </c>
      <c r="C366" s="152" t="s">
        <v>85</v>
      </c>
      <c r="D366" s="428">
        <v>46065</v>
      </c>
      <c r="E366" s="142">
        <v>46065</v>
      </c>
      <c r="F366" s="232" t="s">
        <v>62</v>
      </c>
      <c r="G366" s="84" t="s">
        <v>80</v>
      </c>
      <c r="H366" s="143" t="s">
        <v>101</v>
      </c>
      <c r="I366" s="145" t="s">
        <v>516</v>
      </c>
      <c r="J366" s="84" t="s">
        <v>52</v>
      </c>
      <c r="K366" s="84" t="s">
        <v>86</v>
      </c>
      <c r="L366" s="21">
        <v>1</v>
      </c>
      <c r="M366" s="87" t="s">
        <v>54</v>
      </c>
      <c r="N366" s="33" t="s">
        <v>55</v>
      </c>
      <c r="O366" s="33">
        <v>0</v>
      </c>
      <c r="P366" s="33"/>
      <c r="Q366" s="142" t="s">
        <v>55</v>
      </c>
      <c r="R366" s="142" t="s">
        <v>55</v>
      </c>
      <c r="S366" s="33">
        <v>0</v>
      </c>
      <c r="T366" s="33" t="s">
        <v>55</v>
      </c>
      <c r="U366" s="33" t="s">
        <v>55</v>
      </c>
      <c r="V366" s="33" t="s">
        <v>55</v>
      </c>
      <c r="W366" s="33" t="s">
        <v>55</v>
      </c>
      <c r="X366" s="33" t="s">
        <v>55</v>
      </c>
      <c r="Y366" s="33" t="s">
        <v>55</v>
      </c>
      <c r="Z366" s="33" t="s">
        <v>55</v>
      </c>
      <c r="AA366" s="33">
        <v>1</v>
      </c>
      <c r="AB366" s="33">
        <v>1</v>
      </c>
      <c r="AC366" s="33">
        <v>0</v>
      </c>
      <c r="AD366" s="28">
        <v>46076</v>
      </c>
      <c r="AE366" s="28">
        <v>46076</v>
      </c>
      <c r="AF366" s="28">
        <v>46077</v>
      </c>
      <c r="AG366" s="28">
        <v>46091</v>
      </c>
      <c r="AH366" s="38">
        <v>46093</v>
      </c>
      <c r="AI366" s="33">
        <f t="shared" si="42"/>
        <v>3</v>
      </c>
      <c r="AJ366" s="144" t="s">
        <v>1101</v>
      </c>
      <c r="AK366" s="35" t="s">
        <v>1102</v>
      </c>
      <c r="AL366" s="19" t="str">
        <f t="shared" si="40"/>
        <v>N/A</v>
      </c>
      <c r="AM366" s="67" t="str">
        <f>IFERROR(NETWORKDAYS(D366,Q366,Hoja1!$A$1:$A$29),"N/A")</f>
        <v>N/A</v>
      </c>
      <c r="AN366" s="21">
        <f>IFERROR(NETWORKDAYS(D366,AE366,Hoja1!$A$1:$A$29),"N/A")</f>
        <v>8</v>
      </c>
      <c r="AO366" s="78">
        <v>0</v>
      </c>
      <c r="AP366" s="21">
        <f t="shared" si="43"/>
        <v>8</v>
      </c>
      <c r="AQ366" s="21">
        <f>IFERROR(NETWORKDAYS(AF366,AG366,Hoja1!$A$1:$A$29),"N/A")</f>
        <v>11</v>
      </c>
      <c r="AR366" s="78">
        <v>6</v>
      </c>
      <c r="AS366" s="75">
        <f t="shared" si="41"/>
        <v>5</v>
      </c>
      <c r="AT366" s="21">
        <f>IFERROR(NETWORKDAYS(D366,AG366,Hoja1!$A$1:$A$29),"N/A")</f>
        <v>19</v>
      </c>
      <c r="AU366" s="21">
        <f t="shared" si="44"/>
        <v>13</v>
      </c>
      <c r="AV366" s="143" t="s">
        <v>145</v>
      </c>
      <c r="AW366" s="143" t="s">
        <v>1063</v>
      </c>
      <c r="AX366" s="111"/>
      <c r="AY366" s="87"/>
      <c r="AZ366" s="87"/>
      <c r="BA366" s="87"/>
      <c r="BB366" s="87"/>
    </row>
    <row r="367" spans="1:54" ht="15" customHeight="1" x14ac:dyDescent="0.25">
      <c r="A367" s="149">
        <v>15862</v>
      </c>
      <c r="B367" s="152" t="s">
        <v>85</v>
      </c>
      <c r="C367" s="152" t="s">
        <v>85</v>
      </c>
      <c r="D367" s="142">
        <v>46065</v>
      </c>
      <c r="E367" s="142">
        <v>46065</v>
      </c>
      <c r="F367" s="232" t="s">
        <v>62</v>
      </c>
      <c r="G367" s="84" t="s">
        <v>80</v>
      </c>
      <c r="H367" s="143" t="s">
        <v>101</v>
      </c>
      <c r="I367" s="145" t="s">
        <v>276</v>
      </c>
      <c r="J367" s="84" t="s">
        <v>52</v>
      </c>
      <c r="K367" s="84" t="s">
        <v>86</v>
      </c>
      <c r="L367" s="21">
        <v>1</v>
      </c>
      <c r="M367" s="87" t="s">
        <v>54</v>
      </c>
      <c r="N367" s="33" t="s">
        <v>55</v>
      </c>
      <c r="O367" s="33">
        <v>0</v>
      </c>
      <c r="P367" s="33"/>
      <c r="Q367" s="142" t="s">
        <v>55</v>
      </c>
      <c r="R367" s="142" t="s">
        <v>55</v>
      </c>
      <c r="S367" s="33">
        <v>0</v>
      </c>
      <c r="T367" s="33" t="s">
        <v>55</v>
      </c>
      <c r="U367" s="33" t="s">
        <v>55</v>
      </c>
      <c r="V367" s="33" t="s">
        <v>55</v>
      </c>
      <c r="W367" s="33" t="s">
        <v>55</v>
      </c>
      <c r="X367" s="33" t="s">
        <v>55</v>
      </c>
      <c r="Y367" s="33" t="s">
        <v>55</v>
      </c>
      <c r="Z367" s="33" t="s">
        <v>55</v>
      </c>
      <c r="AA367" s="33">
        <v>1</v>
      </c>
      <c r="AB367" s="33">
        <v>1</v>
      </c>
      <c r="AC367" s="33">
        <v>0</v>
      </c>
      <c r="AD367" s="28">
        <v>46077</v>
      </c>
      <c r="AE367" s="28">
        <v>46077</v>
      </c>
      <c r="AF367" s="28">
        <v>46077</v>
      </c>
      <c r="AG367" s="28">
        <v>46086</v>
      </c>
      <c r="AH367" s="53">
        <v>46093</v>
      </c>
      <c r="AI367" s="33">
        <f t="shared" si="42"/>
        <v>3</v>
      </c>
      <c r="AJ367" s="144" t="s">
        <v>1103</v>
      </c>
      <c r="AK367" s="35" t="s">
        <v>1104</v>
      </c>
      <c r="AL367" s="19" t="str">
        <f t="shared" si="40"/>
        <v>N/A</v>
      </c>
      <c r="AM367" s="67" t="str">
        <f>IFERROR(NETWORKDAYS(D367,Q367,Hoja1!$A$1:$A$29),"N/A")</f>
        <v>N/A</v>
      </c>
      <c r="AN367" s="21">
        <f>IFERROR(NETWORKDAYS(D367,AE367,Hoja1!$A$1:$A$29),"N/A")</f>
        <v>9</v>
      </c>
      <c r="AO367" s="78">
        <v>0</v>
      </c>
      <c r="AP367" s="21">
        <f t="shared" si="43"/>
        <v>9</v>
      </c>
      <c r="AQ367" s="21">
        <f>IFERROR(NETWORKDAYS(AF367,AG367,Hoja1!$A$1:$A$29),"N/A")</f>
        <v>8</v>
      </c>
      <c r="AR367" s="78">
        <v>3</v>
      </c>
      <c r="AS367" s="75">
        <f t="shared" si="41"/>
        <v>5</v>
      </c>
      <c r="AT367" s="21">
        <f>IFERROR(NETWORKDAYS(D367,AG367,Hoja1!$A$1:$A$29),"N/A")</f>
        <v>16</v>
      </c>
      <c r="AU367" s="21">
        <f t="shared" si="44"/>
        <v>13</v>
      </c>
      <c r="AV367" s="143" t="s">
        <v>104</v>
      </c>
      <c r="AW367" s="143" t="s">
        <v>967</v>
      </c>
      <c r="AX367" s="111"/>
      <c r="AY367" s="111"/>
      <c r="AZ367" s="111"/>
      <c r="BA367" s="111"/>
      <c r="BB367" s="111"/>
    </row>
    <row r="368" spans="1:54" ht="15" customHeight="1" x14ac:dyDescent="0.25">
      <c r="A368" s="149">
        <v>15863</v>
      </c>
      <c r="B368" s="152" t="s">
        <v>85</v>
      </c>
      <c r="C368" s="152" t="s">
        <v>85</v>
      </c>
      <c r="D368" s="428">
        <v>46065</v>
      </c>
      <c r="E368" s="142">
        <v>46065</v>
      </c>
      <c r="F368" s="232" t="s">
        <v>62</v>
      </c>
      <c r="G368" s="84" t="s">
        <v>80</v>
      </c>
      <c r="H368" s="143" t="s">
        <v>101</v>
      </c>
      <c r="I368" s="145" t="s">
        <v>516</v>
      </c>
      <c r="J368" s="84" t="s">
        <v>52</v>
      </c>
      <c r="K368" s="84" t="s">
        <v>86</v>
      </c>
      <c r="L368" s="21">
        <v>1</v>
      </c>
      <c r="M368" s="87" t="s">
        <v>54</v>
      </c>
      <c r="N368" s="33" t="s">
        <v>55</v>
      </c>
      <c r="O368" s="33">
        <v>0</v>
      </c>
      <c r="P368" s="33"/>
      <c r="Q368" s="142" t="s">
        <v>55</v>
      </c>
      <c r="R368" s="142" t="s">
        <v>55</v>
      </c>
      <c r="S368" s="33">
        <v>0</v>
      </c>
      <c r="T368" s="33" t="s">
        <v>55</v>
      </c>
      <c r="U368" s="33" t="s">
        <v>55</v>
      </c>
      <c r="V368" s="33" t="s">
        <v>55</v>
      </c>
      <c r="W368" s="33" t="s">
        <v>55</v>
      </c>
      <c r="X368" s="33" t="s">
        <v>55</v>
      </c>
      <c r="Y368" s="33" t="s">
        <v>55</v>
      </c>
      <c r="Z368" s="33" t="s">
        <v>55</v>
      </c>
      <c r="AA368" s="33">
        <v>1</v>
      </c>
      <c r="AB368" s="33">
        <v>1</v>
      </c>
      <c r="AC368" s="33">
        <v>0</v>
      </c>
      <c r="AD368" s="28">
        <v>46087</v>
      </c>
      <c r="AE368" s="28">
        <v>46090</v>
      </c>
      <c r="AF368" s="28">
        <v>46091</v>
      </c>
      <c r="AG368" s="28">
        <v>46100</v>
      </c>
      <c r="AH368" s="140">
        <v>46106</v>
      </c>
      <c r="AI368" s="33">
        <f t="shared" si="42"/>
        <v>3</v>
      </c>
      <c r="AJ368" s="144" t="s">
        <v>1105</v>
      </c>
      <c r="AK368" s="35" t="s">
        <v>1106</v>
      </c>
      <c r="AL368" s="19" t="str">
        <f t="shared" si="40"/>
        <v>N/A</v>
      </c>
      <c r="AM368" s="67" t="str">
        <f>IFERROR(NETWORKDAYS(D368,Q368,Hoja1!$A$1:$A$29),"N/A")</f>
        <v>N/A</v>
      </c>
      <c r="AN368" s="21">
        <f>IFERROR(NETWORKDAYS(D368,AE368,Hoja1!$A$1:$A$29),"N/A")</f>
        <v>18</v>
      </c>
      <c r="AO368" s="78">
        <v>0</v>
      </c>
      <c r="AP368" s="21">
        <f t="shared" si="43"/>
        <v>18</v>
      </c>
      <c r="AQ368" s="21">
        <f>IFERROR(NETWORKDAYS(AF368,AG368,Hoja1!$A$1:$A$29),"N/A")</f>
        <v>8</v>
      </c>
      <c r="AR368" s="78">
        <v>3</v>
      </c>
      <c r="AS368" s="75">
        <f t="shared" si="41"/>
        <v>5</v>
      </c>
      <c r="AT368" s="21">
        <f>IFERROR(NETWORKDAYS(D368,AG368,Hoja1!$A$1:$A$29),"N/A")</f>
        <v>26</v>
      </c>
      <c r="AU368" s="21">
        <f t="shared" si="44"/>
        <v>23</v>
      </c>
      <c r="AV368" s="143" t="s">
        <v>145</v>
      </c>
      <c r="AW368" s="143" t="s">
        <v>1063</v>
      </c>
      <c r="AX368" s="87"/>
      <c r="AY368" s="87"/>
      <c r="AZ368" s="87"/>
      <c r="BA368" s="87"/>
      <c r="BB368" s="87"/>
    </row>
    <row r="369" spans="1:54" ht="15" customHeight="1" x14ac:dyDescent="0.25">
      <c r="A369" s="55">
        <v>15864</v>
      </c>
      <c r="B369" s="87" t="s">
        <v>69</v>
      </c>
      <c r="C369" s="43" t="s">
        <v>98</v>
      </c>
      <c r="D369" s="142">
        <v>46065</v>
      </c>
      <c r="E369" s="142">
        <v>46065</v>
      </c>
      <c r="F369" s="114" t="s">
        <v>163</v>
      </c>
      <c r="G369" s="114" t="s">
        <v>164</v>
      </c>
      <c r="H369" s="143" t="s">
        <v>51</v>
      </c>
      <c r="I369" s="240" t="s">
        <v>640</v>
      </c>
      <c r="J369" s="84" t="s">
        <v>52</v>
      </c>
      <c r="K369" s="27" t="s">
        <v>165</v>
      </c>
      <c r="L369" s="21">
        <v>1</v>
      </c>
      <c r="M369" s="87" t="s">
        <v>54</v>
      </c>
      <c r="N369" s="3" t="s">
        <v>55</v>
      </c>
      <c r="O369" s="3">
        <v>6</v>
      </c>
      <c r="P369" s="3" t="s">
        <v>112</v>
      </c>
      <c r="Q369" s="116">
        <v>46070</v>
      </c>
      <c r="R369" s="116">
        <v>46093</v>
      </c>
      <c r="S369" s="3">
        <v>6</v>
      </c>
      <c r="T369" s="3" t="s">
        <v>55</v>
      </c>
      <c r="U369" s="3" t="s">
        <v>55</v>
      </c>
      <c r="V369" s="3" t="s">
        <v>55</v>
      </c>
      <c r="W369" s="3" t="s">
        <v>55</v>
      </c>
      <c r="X369" s="3" t="s">
        <v>55</v>
      </c>
      <c r="Y369" s="3" t="s">
        <v>55</v>
      </c>
      <c r="Z369" s="3" t="s">
        <v>55</v>
      </c>
      <c r="AA369" s="1">
        <v>3</v>
      </c>
      <c r="AB369" s="1">
        <v>3</v>
      </c>
      <c r="AC369" s="3">
        <v>0</v>
      </c>
      <c r="AD369" s="28">
        <v>46094</v>
      </c>
      <c r="AE369" s="28">
        <v>46093</v>
      </c>
      <c r="AF369" s="28">
        <v>46094</v>
      </c>
      <c r="AG369" s="28">
        <v>46101</v>
      </c>
      <c r="AH369" s="140">
        <v>46106</v>
      </c>
      <c r="AI369" s="33">
        <f t="shared" si="42"/>
        <v>3</v>
      </c>
      <c r="AJ369" s="144" t="s">
        <v>1107</v>
      </c>
      <c r="AK369" s="35" t="s">
        <v>1342</v>
      </c>
      <c r="AL369" s="19">
        <f t="shared" si="40"/>
        <v>1</v>
      </c>
      <c r="AM369" s="67">
        <f>IFERROR(NETWORKDAYS(D369,Q369,Hoja1!$A$1:$A$29),"N/A")</f>
        <v>4</v>
      </c>
      <c r="AN369" s="21">
        <f>IFERROR(NETWORKDAYS(D369,AE369,Hoja1!$A$1:$A$29),"N/A")</f>
        <v>21</v>
      </c>
      <c r="AO369" s="78">
        <v>4</v>
      </c>
      <c r="AP369" s="21">
        <f t="shared" si="43"/>
        <v>17</v>
      </c>
      <c r="AQ369" s="21">
        <f>IFERROR(NETWORKDAYS(AF369,AG369,Hoja1!$A$1:$A$29),"N/A")</f>
        <v>6</v>
      </c>
      <c r="AR369" s="78">
        <v>1</v>
      </c>
      <c r="AS369" s="75">
        <f t="shared" si="41"/>
        <v>5</v>
      </c>
      <c r="AT369" s="21">
        <f>IFERROR(NETWORKDAYS(D369,AG369,Hoja1!$A$1:$A$29),"N/A")</f>
        <v>27</v>
      </c>
      <c r="AU369" s="21">
        <f t="shared" si="44"/>
        <v>22</v>
      </c>
      <c r="AV369" s="143" t="s">
        <v>127</v>
      </c>
      <c r="AW369" s="143" t="s">
        <v>1108</v>
      </c>
      <c r="AX369" s="46"/>
      <c r="AY369" s="84"/>
      <c r="AZ369" s="84"/>
      <c r="BA369" s="84"/>
      <c r="BB369" s="84"/>
    </row>
    <row r="370" spans="1:54" ht="15" customHeight="1" x14ac:dyDescent="0.25">
      <c r="A370" s="54">
        <v>15867</v>
      </c>
      <c r="B370" s="87" t="s">
        <v>401</v>
      </c>
      <c r="C370" s="87" t="s">
        <v>401</v>
      </c>
      <c r="D370" s="428">
        <v>46065</v>
      </c>
      <c r="E370" s="142">
        <v>46065</v>
      </c>
      <c r="F370" s="84" t="s">
        <v>62</v>
      </c>
      <c r="G370" s="48" t="s">
        <v>71</v>
      </c>
      <c r="H370" s="87" t="s">
        <v>116</v>
      </c>
      <c r="I370" s="87" t="s">
        <v>1109</v>
      </c>
      <c r="J370" s="87" t="s">
        <v>142</v>
      </c>
      <c r="K370" s="87" t="s">
        <v>74</v>
      </c>
      <c r="L370" s="21">
        <v>1</v>
      </c>
      <c r="M370" s="87" t="s">
        <v>54</v>
      </c>
      <c r="N370" s="18" t="s">
        <v>55</v>
      </c>
      <c r="O370" s="3">
        <v>3</v>
      </c>
      <c r="P370" s="3" t="s">
        <v>112</v>
      </c>
      <c r="Q370" s="160">
        <v>46073</v>
      </c>
      <c r="R370" s="30">
        <v>46080</v>
      </c>
      <c r="S370" s="3">
        <v>3</v>
      </c>
      <c r="T370" s="142">
        <v>46066</v>
      </c>
      <c r="U370" s="37">
        <v>46069</v>
      </c>
      <c r="V370" s="37">
        <v>46077</v>
      </c>
      <c r="W370" s="18" t="s">
        <v>55</v>
      </c>
      <c r="X370" s="18" t="s">
        <v>55</v>
      </c>
      <c r="Y370" s="18" t="s">
        <v>55</v>
      </c>
      <c r="Z370" s="37">
        <v>46079</v>
      </c>
      <c r="AA370" s="3">
        <v>3</v>
      </c>
      <c r="AB370" s="3">
        <v>3</v>
      </c>
      <c r="AC370" s="3">
        <v>0</v>
      </c>
      <c r="AD370" s="28">
        <v>46090</v>
      </c>
      <c r="AE370" s="28">
        <v>46092</v>
      </c>
      <c r="AF370" s="28">
        <v>46092</v>
      </c>
      <c r="AG370" s="28">
        <v>46099</v>
      </c>
      <c r="AH370" s="28">
        <v>46106</v>
      </c>
      <c r="AI370" s="3">
        <v>3</v>
      </c>
      <c r="AJ370" s="144" t="s">
        <v>1110</v>
      </c>
      <c r="AK370" s="35" t="s">
        <v>1111</v>
      </c>
      <c r="AL370" s="19">
        <f t="shared" si="40"/>
        <v>1</v>
      </c>
      <c r="AM370" s="67">
        <f>IFERROR(NETWORKDAYS(D370,Q370,Hoja1!$A$1:$A$29),"N/A")</f>
        <v>7</v>
      </c>
      <c r="AN370" s="21">
        <f>IFERROR(NETWORKDAYS(D370,AE370,Hoja1!$A$1:$A$29),"N/A")</f>
        <v>20</v>
      </c>
      <c r="AO370" s="78">
        <v>0</v>
      </c>
      <c r="AP370" s="21">
        <f t="shared" si="43"/>
        <v>20</v>
      </c>
      <c r="AQ370" s="21">
        <f>IFERROR(NETWORKDAYS(AF370,AG370,Hoja1!$A$1:$A$29),"N/A")</f>
        <v>6</v>
      </c>
      <c r="AR370" s="78">
        <v>1</v>
      </c>
      <c r="AS370" s="75">
        <f t="shared" si="41"/>
        <v>5</v>
      </c>
      <c r="AT370" s="21">
        <f>IFERROR(NETWORKDAYS(D370,AG370,Hoja1!$A$1:$A$29),"N/A")</f>
        <v>25</v>
      </c>
      <c r="AU370" s="21">
        <f t="shared" si="44"/>
        <v>24</v>
      </c>
      <c r="AV370" s="143" t="s">
        <v>59</v>
      </c>
      <c r="AW370" s="143" t="s">
        <v>1112</v>
      </c>
      <c r="AX370" s="87"/>
      <c r="AY370" s="87"/>
      <c r="AZ370" s="87"/>
      <c r="BA370" s="87"/>
      <c r="BB370" s="87"/>
    </row>
    <row r="371" spans="1:54" ht="15" customHeight="1" x14ac:dyDescent="0.25">
      <c r="A371" s="54">
        <v>15870</v>
      </c>
      <c r="B371" s="87" t="s">
        <v>69</v>
      </c>
      <c r="C371" s="43" t="s">
        <v>98</v>
      </c>
      <c r="D371" s="142">
        <v>46066</v>
      </c>
      <c r="E371" s="142">
        <v>46066</v>
      </c>
      <c r="F371" s="202" t="s">
        <v>879</v>
      </c>
      <c r="G371" s="48" t="s">
        <v>50</v>
      </c>
      <c r="H371" s="179" t="s">
        <v>1465</v>
      </c>
      <c r="I371" s="240" t="s">
        <v>582</v>
      </c>
      <c r="J371" s="84" t="s">
        <v>52</v>
      </c>
      <c r="K371" s="87" t="s">
        <v>53</v>
      </c>
      <c r="L371" s="21">
        <v>1</v>
      </c>
      <c r="M371" s="159" t="s">
        <v>247</v>
      </c>
      <c r="N371" s="3" t="s">
        <v>55</v>
      </c>
      <c r="O371" s="3">
        <v>1</v>
      </c>
      <c r="P371" s="3" t="s">
        <v>112</v>
      </c>
      <c r="Q371" s="30">
        <v>46100</v>
      </c>
      <c r="R371" s="30">
        <v>46100</v>
      </c>
      <c r="S371" s="3">
        <v>1</v>
      </c>
      <c r="T371" s="3" t="s">
        <v>55</v>
      </c>
      <c r="U371" s="3" t="s">
        <v>55</v>
      </c>
      <c r="V371" s="3" t="s">
        <v>55</v>
      </c>
      <c r="W371" s="3" t="s">
        <v>55</v>
      </c>
      <c r="X371" s="3" t="s">
        <v>55</v>
      </c>
      <c r="Y371" s="3" t="s">
        <v>55</v>
      </c>
      <c r="Z371" s="18" t="s">
        <v>55</v>
      </c>
      <c r="AA371" s="3">
        <v>1</v>
      </c>
      <c r="AB371" s="3">
        <v>1</v>
      </c>
      <c r="AC371" s="3">
        <v>0</v>
      </c>
      <c r="AD371" s="30">
        <v>46083</v>
      </c>
      <c r="AE371" s="28">
        <v>46087</v>
      </c>
      <c r="AF371" s="28" t="s">
        <v>55</v>
      </c>
      <c r="AG371" s="28">
        <v>46087</v>
      </c>
      <c r="AH371" s="3" t="s">
        <v>55</v>
      </c>
      <c r="AI371" s="33">
        <v>3</v>
      </c>
      <c r="AJ371" s="144" t="s">
        <v>1113</v>
      </c>
      <c r="AK371" s="48" t="s">
        <v>1114</v>
      </c>
      <c r="AL371" s="19">
        <f t="shared" si="40"/>
        <v>1</v>
      </c>
      <c r="AM371" s="67">
        <f>IFERROR(NETWORKDAYS(D371,Q371,Hoja1!$A$1:$A$29),"N/A")</f>
        <v>25</v>
      </c>
      <c r="AN371" s="21">
        <f>IFERROR(NETWORKDAYS(D371,AE371,Hoja1!$A$1:$A$29),"N/A")</f>
        <v>16</v>
      </c>
      <c r="AO371" s="272">
        <v>4</v>
      </c>
      <c r="AP371" s="21">
        <f t="shared" si="43"/>
        <v>12</v>
      </c>
      <c r="AQ371" s="21" t="str">
        <f>IFERROR(NETWORKDAYS(AF371,AG371,Hoja1!$A$1:$A$29),"N/A")</f>
        <v>N/A</v>
      </c>
      <c r="AR371" s="78">
        <v>0</v>
      </c>
      <c r="AS371" s="19" t="s">
        <v>82</v>
      </c>
      <c r="AT371" s="21">
        <f>IFERROR(NETWORKDAYS(D371,AG371,Hoja1!$A$1:$A$29),"N/A")</f>
        <v>16</v>
      </c>
      <c r="AU371" s="21">
        <f t="shared" si="44"/>
        <v>12</v>
      </c>
      <c r="AV371" s="143" t="s">
        <v>145</v>
      </c>
      <c r="AW371" s="143" t="s">
        <v>180</v>
      </c>
      <c r="AX371" s="1"/>
      <c r="AY371" s="1"/>
      <c r="AZ371" s="1"/>
      <c r="BA371" s="1"/>
      <c r="BB371" s="1"/>
    </row>
    <row r="372" spans="1:54" ht="15" customHeight="1" x14ac:dyDescent="0.25">
      <c r="A372" s="228">
        <v>15871</v>
      </c>
      <c r="B372" s="129" t="s">
        <v>79</v>
      </c>
      <c r="C372" s="129" t="s">
        <v>79</v>
      </c>
      <c r="D372" s="431">
        <v>46090</v>
      </c>
      <c r="E372" s="222">
        <v>46072</v>
      </c>
      <c r="F372" s="181" t="s">
        <v>99</v>
      </c>
      <c r="G372" s="221" t="s">
        <v>100</v>
      </c>
      <c r="H372" s="181" t="s">
        <v>101</v>
      </c>
      <c r="I372" s="221" t="s">
        <v>899</v>
      </c>
      <c r="J372" s="118" t="s">
        <v>52</v>
      </c>
      <c r="K372" s="182" t="s">
        <v>129</v>
      </c>
      <c r="L372" s="72">
        <v>1</v>
      </c>
      <c r="M372" s="129" t="s">
        <v>54</v>
      </c>
      <c r="N372" s="133" t="s">
        <v>55</v>
      </c>
      <c r="O372" s="263">
        <v>3</v>
      </c>
      <c r="P372" s="110"/>
      <c r="Q372" s="133" t="s">
        <v>55</v>
      </c>
      <c r="R372" s="133" t="s">
        <v>55</v>
      </c>
      <c r="S372" s="263">
        <v>3</v>
      </c>
      <c r="T372" s="133" t="s">
        <v>55</v>
      </c>
      <c r="U372" s="133" t="s">
        <v>55</v>
      </c>
      <c r="V372" s="133" t="s">
        <v>55</v>
      </c>
      <c r="W372" s="133" t="s">
        <v>55</v>
      </c>
      <c r="X372" s="133" t="s">
        <v>55</v>
      </c>
      <c r="Y372" s="133" t="s">
        <v>55</v>
      </c>
      <c r="Z372" s="133" t="s">
        <v>55</v>
      </c>
      <c r="AA372" s="263">
        <v>2</v>
      </c>
      <c r="AB372" s="263">
        <v>2</v>
      </c>
      <c r="AC372" s="133">
        <v>0</v>
      </c>
      <c r="AD372" s="131">
        <v>46094</v>
      </c>
      <c r="AE372" s="131">
        <v>46094</v>
      </c>
      <c r="AF372" s="131">
        <v>46094</v>
      </c>
      <c r="AG372" s="131">
        <v>46100</v>
      </c>
      <c r="AH372" s="135">
        <v>46106</v>
      </c>
      <c r="AI372" s="110">
        <f>MONTH(AH372)</f>
        <v>3</v>
      </c>
      <c r="AJ372" s="225" t="s">
        <v>1115</v>
      </c>
      <c r="AK372" s="132" t="s">
        <v>1116</v>
      </c>
      <c r="AL372" s="19">
        <f t="shared" si="40"/>
        <v>1</v>
      </c>
      <c r="AM372" s="67" t="str">
        <f>IFERROR(NETWORKDAYS(D372,Q372,Hoja1!$A$1:$A$29),"N/A")</f>
        <v>N/A</v>
      </c>
      <c r="AN372" s="21">
        <f>IFERROR(NETWORKDAYS(D372,AE372,Hoja1!$A$1:$A$29),"N/A")</f>
        <v>5</v>
      </c>
      <c r="AO372" s="270">
        <v>0</v>
      </c>
      <c r="AP372" s="72">
        <f t="shared" si="43"/>
        <v>5</v>
      </c>
      <c r="AQ372" s="21">
        <f>IFERROR(NETWORKDAYS(AF372,AG372,Hoja1!$A$1:$A$29),"N/A")</f>
        <v>5</v>
      </c>
      <c r="AR372" s="71">
        <v>1</v>
      </c>
      <c r="AS372" s="80">
        <f>AQ372-AR372</f>
        <v>4</v>
      </c>
      <c r="AT372" s="21">
        <f>IFERROR(NETWORKDAYS(D372,AG372,Hoja1!$A$1:$A$29),"N/A")</f>
        <v>9</v>
      </c>
      <c r="AU372" s="72">
        <f t="shared" si="44"/>
        <v>8</v>
      </c>
      <c r="AV372" s="181" t="s">
        <v>104</v>
      </c>
      <c r="AW372" s="181" t="s">
        <v>1117</v>
      </c>
      <c r="AX372" s="129" t="s">
        <v>445</v>
      </c>
      <c r="AY372" s="221"/>
      <c r="AZ372" s="221"/>
      <c r="BA372" s="221"/>
      <c r="BB372" s="221"/>
    </row>
    <row r="373" spans="1:54" ht="15" customHeight="1" x14ac:dyDescent="0.25">
      <c r="A373" s="95">
        <v>15873</v>
      </c>
      <c r="B373" s="87" t="s">
        <v>69</v>
      </c>
      <c r="C373" s="43" t="s">
        <v>98</v>
      </c>
      <c r="D373" s="142">
        <v>46069</v>
      </c>
      <c r="E373" s="142">
        <v>46069</v>
      </c>
      <c r="F373" s="114" t="s">
        <v>163</v>
      </c>
      <c r="G373" s="84" t="s">
        <v>688</v>
      </c>
      <c r="H373" s="111" t="s">
        <v>116</v>
      </c>
      <c r="I373" s="111" t="s">
        <v>102</v>
      </c>
      <c r="J373" s="84" t="s">
        <v>52</v>
      </c>
      <c r="K373" s="27" t="s">
        <v>165</v>
      </c>
      <c r="L373" s="21">
        <v>1</v>
      </c>
      <c r="M373" s="87" t="s">
        <v>54</v>
      </c>
      <c r="N373" s="3" t="s">
        <v>55</v>
      </c>
      <c r="O373" s="3">
        <v>13</v>
      </c>
      <c r="P373" s="3" t="s">
        <v>112</v>
      </c>
      <c r="Q373" s="116">
        <v>46078</v>
      </c>
      <c r="R373" s="147">
        <v>46093</v>
      </c>
      <c r="S373" s="3">
        <v>13</v>
      </c>
      <c r="T373" s="3" t="s">
        <v>55</v>
      </c>
      <c r="U373" s="30">
        <v>46070</v>
      </c>
      <c r="V373" s="30">
        <v>46078</v>
      </c>
      <c r="W373" s="3" t="s">
        <v>55</v>
      </c>
      <c r="X373" s="3" t="s">
        <v>55</v>
      </c>
      <c r="Y373" s="3" t="s">
        <v>55</v>
      </c>
      <c r="Z373" s="3" t="s">
        <v>55</v>
      </c>
      <c r="AA373" s="33">
        <v>3</v>
      </c>
      <c r="AB373" s="33">
        <v>3</v>
      </c>
      <c r="AC373" s="3">
        <v>0</v>
      </c>
      <c r="AD373" s="28">
        <v>46094</v>
      </c>
      <c r="AE373" s="28">
        <v>46094</v>
      </c>
      <c r="AF373" s="28">
        <v>46094</v>
      </c>
      <c r="AG373" s="28">
        <v>46100</v>
      </c>
      <c r="AH373" s="140">
        <v>46106</v>
      </c>
      <c r="AI373" s="33">
        <v>3</v>
      </c>
      <c r="AJ373" s="144" t="s">
        <v>1118</v>
      </c>
      <c r="AK373" s="35" t="s">
        <v>1343</v>
      </c>
      <c r="AL373" s="19">
        <f t="shared" si="40"/>
        <v>1</v>
      </c>
      <c r="AM373" s="67">
        <f>IFERROR(NETWORKDAYS(D373,Q373,Hoja1!$A$1:$A$29),"N/A")</f>
        <v>8</v>
      </c>
      <c r="AN373" s="21">
        <f>IFERROR(NETWORKDAYS(D373,AE373,Hoja1!$A$1:$A$29),"N/A")</f>
        <v>20</v>
      </c>
      <c r="AO373" s="78">
        <v>0</v>
      </c>
      <c r="AP373" s="21">
        <f t="shared" si="43"/>
        <v>20</v>
      </c>
      <c r="AQ373" s="21">
        <f>IFERROR(NETWORKDAYS(AF373,AG373,Hoja1!$A$1:$A$29),"N/A")</f>
        <v>5</v>
      </c>
      <c r="AR373" s="78">
        <v>0</v>
      </c>
      <c r="AS373" s="75">
        <f>AQ373-AR373</f>
        <v>5</v>
      </c>
      <c r="AT373" s="21">
        <f>IFERROR(NETWORKDAYS(D373,AG373,Hoja1!$A$1:$A$29),"N/A")</f>
        <v>24</v>
      </c>
      <c r="AU373" s="21">
        <f t="shared" si="44"/>
        <v>24</v>
      </c>
      <c r="AV373" s="143" t="s">
        <v>421</v>
      </c>
      <c r="AW373" s="143" t="s">
        <v>804</v>
      </c>
      <c r="AX373" s="84"/>
      <c r="AY373" s="84"/>
      <c r="AZ373" s="84"/>
      <c r="BA373" s="84"/>
      <c r="BB373" s="84"/>
    </row>
    <row r="374" spans="1:54" ht="15" customHeight="1" x14ac:dyDescent="0.25">
      <c r="A374" s="149">
        <v>15874</v>
      </c>
      <c r="B374" s="152" t="s">
        <v>85</v>
      </c>
      <c r="C374" s="152" t="s">
        <v>85</v>
      </c>
      <c r="D374" s="428">
        <v>46069</v>
      </c>
      <c r="E374" s="142">
        <v>46069</v>
      </c>
      <c r="F374" s="232" t="s">
        <v>62</v>
      </c>
      <c r="G374" s="84" t="s">
        <v>71</v>
      </c>
      <c r="H374" s="143" t="s">
        <v>101</v>
      </c>
      <c r="I374" s="145" t="s">
        <v>699</v>
      </c>
      <c r="J374" s="87" t="s">
        <v>142</v>
      </c>
      <c r="K374" s="84" t="s">
        <v>86</v>
      </c>
      <c r="L374" s="21">
        <v>1</v>
      </c>
      <c r="M374" s="87" t="s">
        <v>54</v>
      </c>
      <c r="N374" s="33" t="s">
        <v>55</v>
      </c>
      <c r="O374" s="33">
        <v>0</v>
      </c>
      <c r="P374" s="33"/>
      <c r="Q374" s="142" t="s">
        <v>55</v>
      </c>
      <c r="R374" s="142" t="s">
        <v>55</v>
      </c>
      <c r="S374" s="33">
        <v>0</v>
      </c>
      <c r="T374" s="33" t="s">
        <v>55</v>
      </c>
      <c r="U374" s="33" t="s">
        <v>55</v>
      </c>
      <c r="V374" s="33" t="s">
        <v>55</v>
      </c>
      <c r="W374" s="33" t="s">
        <v>55</v>
      </c>
      <c r="X374" s="33" t="s">
        <v>55</v>
      </c>
      <c r="Y374" s="33" t="s">
        <v>55</v>
      </c>
      <c r="Z374" s="33" t="s">
        <v>55</v>
      </c>
      <c r="AA374" s="21">
        <v>1</v>
      </c>
      <c r="AB374" s="21">
        <v>1</v>
      </c>
      <c r="AC374" s="33">
        <v>0</v>
      </c>
      <c r="AD374" s="53">
        <v>46076</v>
      </c>
      <c r="AE374" s="53">
        <v>46076</v>
      </c>
      <c r="AF374" s="53">
        <v>46076</v>
      </c>
      <c r="AG374" s="28">
        <v>46080</v>
      </c>
      <c r="AH374" s="38">
        <v>46083</v>
      </c>
      <c r="AI374" s="33">
        <f>MONTH(AH374)</f>
        <v>3</v>
      </c>
      <c r="AJ374" s="144" t="s">
        <v>1119</v>
      </c>
      <c r="AK374" s="35" t="s">
        <v>1120</v>
      </c>
      <c r="AL374" s="19" t="str">
        <f t="shared" si="40"/>
        <v>N/A</v>
      </c>
      <c r="AM374" s="67" t="str">
        <f>IFERROR(NETWORKDAYS(D374,Q374,Hoja1!$A$1:$A$29),"N/A")</f>
        <v>N/A</v>
      </c>
      <c r="AN374" s="21">
        <f>IFERROR(NETWORKDAYS(D374,AE374,Hoja1!$A$1:$A$29),"N/A")</f>
        <v>6</v>
      </c>
      <c r="AO374" s="78">
        <v>0</v>
      </c>
      <c r="AP374" s="21">
        <f t="shared" si="43"/>
        <v>6</v>
      </c>
      <c r="AQ374" s="21">
        <f>IFERROR(NETWORKDAYS(AF374,AG374,Hoja1!$A$1:$A$29),"N/A")</f>
        <v>5</v>
      </c>
      <c r="AR374" s="78">
        <v>0</v>
      </c>
      <c r="AS374" s="75">
        <f>AQ374-AR374</f>
        <v>5</v>
      </c>
      <c r="AT374" s="21">
        <f>IFERROR(NETWORKDAYS(D374,AG374,Hoja1!$A$1:$A$29),"N/A")</f>
        <v>10</v>
      </c>
      <c r="AU374" s="21">
        <f t="shared" si="44"/>
        <v>10</v>
      </c>
      <c r="AV374" s="143" t="s">
        <v>104</v>
      </c>
      <c r="AW374" s="143" t="s">
        <v>1121</v>
      </c>
      <c r="AX374" s="111"/>
      <c r="AY374" s="111"/>
      <c r="AZ374" s="111"/>
      <c r="BA374" s="111"/>
      <c r="BB374" s="111"/>
    </row>
    <row r="375" spans="1:54" ht="15" customHeight="1" x14ac:dyDescent="0.25">
      <c r="A375" s="55">
        <v>15877</v>
      </c>
      <c r="B375" s="152" t="s">
        <v>85</v>
      </c>
      <c r="C375" s="152" t="s">
        <v>85</v>
      </c>
      <c r="D375" s="142">
        <v>46069</v>
      </c>
      <c r="E375" s="142">
        <v>46069</v>
      </c>
      <c r="F375" s="232" t="s">
        <v>62</v>
      </c>
      <c r="G375" s="48" t="s">
        <v>71</v>
      </c>
      <c r="H375" s="179" t="s">
        <v>1465</v>
      </c>
      <c r="I375" s="159" t="s">
        <v>1122</v>
      </c>
      <c r="J375" s="87" t="s">
        <v>142</v>
      </c>
      <c r="K375" s="84" t="s">
        <v>86</v>
      </c>
      <c r="L375" s="21">
        <v>1</v>
      </c>
      <c r="M375" s="159" t="s">
        <v>247</v>
      </c>
      <c r="N375" s="3" t="s">
        <v>55</v>
      </c>
      <c r="O375" s="3">
        <v>0</v>
      </c>
      <c r="P375" s="33"/>
      <c r="Q375" s="3" t="s">
        <v>55</v>
      </c>
      <c r="R375" s="3" t="s">
        <v>55</v>
      </c>
      <c r="S375" s="3">
        <v>0</v>
      </c>
      <c r="T375" s="3" t="s">
        <v>55</v>
      </c>
      <c r="U375" s="3" t="s">
        <v>55</v>
      </c>
      <c r="V375" s="3" t="s">
        <v>55</v>
      </c>
      <c r="W375" s="3" t="s">
        <v>55</v>
      </c>
      <c r="X375" s="3" t="s">
        <v>55</v>
      </c>
      <c r="Y375" s="3" t="s">
        <v>55</v>
      </c>
      <c r="Z375" s="3" t="s">
        <v>55</v>
      </c>
      <c r="AA375" s="3">
        <v>1</v>
      </c>
      <c r="AB375" s="3">
        <v>1</v>
      </c>
      <c r="AC375" s="3">
        <v>0</v>
      </c>
      <c r="AD375" s="28">
        <v>46099</v>
      </c>
      <c r="AE375" s="28">
        <v>46099</v>
      </c>
      <c r="AF375" s="28" t="s">
        <v>55</v>
      </c>
      <c r="AG375" s="140">
        <v>46107</v>
      </c>
      <c r="AH375" s="140">
        <v>46107</v>
      </c>
      <c r="AI375" s="33">
        <v>3</v>
      </c>
      <c r="AJ375" s="144" t="s">
        <v>1123</v>
      </c>
      <c r="AK375" s="35" t="s">
        <v>1344</v>
      </c>
      <c r="AL375" s="19" t="str">
        <f t="shared" si="40"/>
        <v>N/A</v>
      </c>
      <c r="AM375" s="67" t="str">
        <f>IFERROR(NETWORKDAYS(D375,Q375,Hoja1!$A$1:$A$29),"N/A")</f>
        <v>N/A</v>
      </c>
      <c r="AN375" s="21">
        <f>IFERROR(NETWORKDAYS(D375,AE375,Hoja1!$A$1:$A$29),"N/A")</f>
        <v>23</v>
      </c>
      <c r="AO375" s="78">
        <v>0</v>
      </c>
      <c r="AP375" s="21">
        <f t="shared" si="43"/>
        <v>23</v>
      </c>
      <c r="AQ375" s="21" t="str">
        <f>IFERROR(NETWORKDAYS(AF375,AG375,Hoja1!$A$1:$A$29),"N/A")</f>
        <v>N/A</v>
      </c>
      <c r="AR375" s="78">
        <v>0</v>
      </c>
      <c r="AS375" s="19" t="s">
        <v>82</v>
      </c>
      <c r="AT375" s="21">
        <f>IFERROR(NETWORKDAYS(D375,AG375,Hoja1!$A$1:$A$29),"N/A")</f>
        <v>28</v>
      </c>
      <c r="AU375" s="21">
        <f t="shared" si="44"/>
        <v>28</v>
      </c>
      <c r="AV375" s="143" t="s">
        <v>145</v>
      </c>
      <c r="AW375" s="143" t="s">
        <v>480</v>
      </c>
      <c r="AX375" s="1"/>
      <c r="AY375" s="1"/>
      <c r="AZ375" s="1"/>
      <c r="BA375" s="1"/>
      <c r="BB375" s="1"/>
    </row>
    <row r="376" spans="1:54" ht="15" customHeight="1" x14ac:dyDescent="0.25">
      <c r="A376" s="55">
        <v>15878</v>
      </c>
      <c r="B376" s="152" t="s">
        <v>85</v>
      </c>
      <c r="C376" s="152" t="s">
        <v>85</v>
      </c>
      <c r="D376" s="428">
        <v>46069</v>
      </c>
      <c r="E376" s="142">
        <v>46069</v>
      </c>
      <c r="F376" s="232" t="s">
        <v>62</v>
      </c>
      <c r="G376" s="48" t="s">
        <v>71</v>
      </c>
      <c r="H376" s="179" t="s">
        <v>1465</v>
      </c>
      <c r="I376" s="111" t="s">
        <v>1124</v>
      </c>
      <c r="J376" s="87" t="s">
        <v>142</v>
      </c>
      <c r="K376" s="84" t="s">
        <v>86</v>
      </c>
      <c r="L376" s="21">
        <v>1</v>
      </c>
      <c r="M376" s="159" t="s">
        <v>247</v>
      </c>
      <c r="N376" s="3" t="s">
        <v>55</v>
      </c>
      <c r="O376" s="3">
        <v>0</v>
      </c>
      <c r="P376" s="33"/>
      <c r="Q376" s="3" t="s">
        <v>55</v>
      </c>
      <c r="R376" s="3" t="s">
        <v>55</v>
      </c>
      <c r="S376" s="3">
        <v>0</v>
      </c>
      <c r="T376" s="3" t="s">
        <v>55</v>
      </c>
      <c r="U376" s="3" t="s">
        <v>55</v>
      </c>
      <c r="V376" s="3" t="s">
        <v>55</v>
      </c>
      <c r="W376" s="3" t="s">
        <v>55</v>
      </c>
      <c r="X376" s="3" t="s">
        <v>55</v>
      </c>
      <c r="Y376" s="3" t="s">
        <v>55</v>
      </c>
      <c r="Z376" s="3" t="s">
        <v>55</v>
      </c>
      <c r="AA376" s="2">
        <v>1</v>
      </c>
      <c r="AB376" s="2">
        <v>1</v>
      </c>
      <c r="AC376" s="3">
        <v>0</v>
      </c>
      <c r="AD376" s="28">
        <v>46097</v>
      </c>
      <c r="AE376" s="28">
        <v>46097</v>
      </c>
      <c r="AF376" s="28" t="s">
        <v>55</v>
      </c>
      <c r="AG376" s="140">
        <v>46108</v>
      </c>
      <c r="AH376" s="140">
        <v>46108</v>
      </c>
      <c r="AI376" s="33">
        <v>3</v>
      </c>
      <c r="AJ376" s="144" t="s">
        <v>1125</v>
      </c>
      <c r="AK376" s="146" t="s">
        <v>1126</v>
      </c>
      <c r="AL376" s="19" t="str">
        <f t="shared" si="40"/>
        <v>N/A</v>
      </c>
      <c r="AM376" s="67" t="str">
        <f>IFERROR(NETWORKDAYS(D376,Q376,Hoja1!$A$1:$A$29),"N/A")</f>
        <v>N/A</v>
      </c>
      <c r="AN376" s="21">
        <f>IFERROR(NETWORKDAYS(D376,AE376,Hoja1!$A$1:$A$29),"N/A")</f>
        <v>21</v>
      </c>
      <c r="AO376" s="78">
        <v>0</v>
      </c>
      <c r="AP376" s="21">
        <f t="shared" si="43"/>
        <v>21</v>
      </c>
      <c r="AQ376" s="21" t="str">
        <f>IFERROR(NETWORKDAYS(AF376,AG376,Hoja1!$A$1:$A$29),"N/A")</f>
        <v>N/A</v>
      </c>
      <c r="AR376" s="78">
        <v>0</v>
      </c>
      <c r="AS376" s="19" t="s">
        <v>82</v>
      </c>
      <c r="AT376" s="21">
        <f>IFERROR(NETWORKDAYS(D376,AG376,Hoja1!$A$1:$A$29),"N/A")</f>
        <v>29</v>
      </c>
      <c r="AU376" s="21">
        <f t="shared" si="44"/>
        <v>29</v>
      </c>
      <c r="AV376" s="143" t="s">
        <v>145</v>
      </c>
      <c r="AW376" s="143" t="s">
        <v>480</v>
      </c>
      <c r="AX376" s="2"/>
      <c r="AY376" s="2"/>
      <c r="AZ376" s="2"/>
      <c r="BA376" s="2"/>
      <c r="BB376" s="2"/>
    </row>
    <row r="377" spans="1:54" ht="15" customHeight="1" x14ac:dyDescent="0.25">
      <c r="A377" s="55">
        <v>15879</v>
      </c>
      <c r="B377" s="152" t="s">
        <v>85</v>
      </c>
      <c r="C377" s="152" t="s">
        <v>85</v>
      </c>
      <c r="D377" s="142">
        <v>46069</v>
      </c>
      <c r="E377" s="142">
        <v>46069</v>
      </c>
      <c r="F377" s="232" t="s">
        <v>90</v>
      </c>
      <c r="G377" s="48" t="s">
        <v>647</v>
      </c>
      <c r="H377" s="143" t="s">
        <v>51</v>
      </c>
      <c r="I377" s="48" t="s">
        <v>1406</v>
      </c>
      <c r="J377" s="84" t="s">
        <v>52</v>
      </c>
      <c r="K377" s="84" t="s">
        <v>171</v>
      </c>
      <c r="L377" s="21">
        <v>1</v>
      </c>
      <c r="M377" s="87" t="s">
        <v>54</v>
      </c>
      <c r="N377" s="3" t="s">
        <v>55</v>
      </c>
      <c r="O377" s="3">
        <v>4</v>
      </c>
      <c r="P377" s="3" t="s">
        <v>112</v>
      </c>
      <c r="Q377" s="73">
        <v>46071</v>
      </c>
      <c r="R377" s="73">
        <v>46071</v>
      </c>
      <c r="S377" s="3">
        <v>4</v>
      </c>
      <c r="T377" s="3" t="s">
        <v>55</v>
      </c>
      <c r="U377" s="3" t="s">
        <v>55</v>
      </c>
      <c r="V377" s="3" t="s">
        <v>55</v>
      </c>
      <c r="W377" s="3" t="s">
        <v>55</v>
      </c>
      <c r="X377" s="3" t="s">
        <v>55</v>
      </c>
      <c r="Y377" s="3" t="s">
        <v>55</v>
      </c>
      <c r="Z377" s="3" t="s">
        <v>55</v>
      </c>
      <c r="AA377" s="2">
        <v>4</v>
      </c>
      <c r="AB377" s="2">
        <v>1</v>
      </c>
      <c r="AC377" s="3">
        <v>0</v>
      </c>
      <c r="AD377" s="28">
        <v>46071</v>
      </c>
      <c r="AE377" s="28">
        <v>46079</v>
      </c>
      <c r="AF377" s="28">
        <v>46091</v>
      </c>
      <c r="AG377" s="28">
        <v>46097</v>
      </c>
      <c r="AH377" s="140">
        <v>46106</v>
      </c>
      <c r="AI377" s="33">
        <f t="shared" ref="AI377:AI386" si="45">MONTH(AH377)</f>
        <v>3</v>
      </c>
      <c r="AJ377" s="144" t="s">
        <v>1127</v>
      </c>
      <c r="AK377" s="146" t="s">
        <v>1128</v>
      </c>
      <c r="AL377" s="19">
        <f t="shared" si="40"/>
        <v>1</v>
      </c>
      <c r="AM377" s="67">
        <f>IFERROR(NETWORKDAYS(D377,Q377,Hoja1!$A$1:$A$29),"N/A")</f>
        <v>3</v>
      </c>
      <c r="AN377" s="21">
        <f>IFERROR(NETWORKDAYS(D377,AE377,Hoja1!$A$1:$A$29),"N/A")</f>
        <v>9</v>
      </c>
      <c r="AO377" s="78">
        <v>0</v>
      </c>
      <c r="AP377" s="21">
        <f t="shared" si="43"/>
        <v>9</v>
      </c>
      <c r="AQ377" s="21">
        <f>IFERROR(NETWORKDAYS(AF377,AG377,Hoja1!$A$1:$A$29),"N/A")</f>
        <v>5</v>
      </c>
      <c r="AR377" s="78">
        <v>0</v>
      </c>
      <c r="AS377" s="75">
        <f t="shared" ref="AS377:AS382" si="46">AQ377-AR377</f>
        <v>5</v>
      </c>
      <c r="AT377" s="21">
        <f>IFERROR(NETWORKDAYS(D377,AG377,Hoja1!$A$1:$A$29),"N/A")</f>
        <v>21</v>
      </c>
      <c r="AU377" s="21">
        <f t="shared" si="44"/>
        <v>21</v>
      </c>
      <c r="AV377" s="143" t="s">
        <v>59</v>
      </c>
      <c r="AW377" s="143" t="s">
        <v>1129</v>
      </c>
      <c r="AX377" s="111"/>
      <c r="AY377" s="111"/>
      <c r="AZ377" s="111"/>
      <c r="BA377" s="111"/>
      <c r="BB377" s="111"/>
    </row>
    <row r="378" spans="1:54" ht="15" customHeight="1" x14ac:dyDescent="0.25">
      <c r="A378" s="54">
        <v>15898</v>
      </c>
      <c r="B378" s="152" t="s">
        <v>85</v>
      </c>
      <c r="C378" s="152" t="s">
        <v>85</v>
      </c>
      <c r="D378" s="428">
        <v>46070</v>
      </c>
      <c r="E378" s="142">
        <v>46070</v>
      </c>
      <c r="F378" s="143" t="s">
        <v>99</v>
      </c>
      <c r="G378" s="152" t="s">
        <v>100</v>
      </c>
      <c r="H378" s="143" t="s">
        <v>51</v>
      </c>
      <c r="I378" s="27" t="s">
        <v>72</v>
      </c>
      <c r="J378" s="87" t="s">
        <v>73</v>
      </c>
      <c r="K378" s="111" t="s">
        <v>129</v>
      </c>
      <c r="L378" s="21">
        <v>1</v>
      </c>
      <c r="M378" s="87" t="s">
        <v>54</v>
      </c>
      <c r="N378" s="2" t="s">
        <v>55</v>
      </c>
      <c r="O378" s="151">
        <v>2</v>
      </c>
      <c r="P378" s="3" t="s">
        <v>112</v>
      </c>
      <c r="Q378" s="160">
        <v>46073</v>
      </c>
      <c r="R378" s="160">
        <v>46073</v>
      </c>
      <c r="S378" s="151">
        <v>2</v>
      </c>
      <c r="T378" s="2" t="s">
        <v>55</v>
      </c>
      <c r="U378" s="2" t="s">
        <v>55</v>
      </c>
      <c r="V378" s="2" t="s">
        <v>55</v>
      </c>
      <c r="W378" s="2" t="s">
        <v>55</v>
      </c>
      <c r="X378" s="2" t="s">
        <v>55</v>
      </c>
      <c r="Y378" s="2" t="s">
        <v>55</v>
      </c>
      <c r="Z378" s="2" t="s">
        <v>55</v>
      </c>
      <c r="AA378" s="151">
        <v>1</v>
      </c>
      <c r="AB378" s="151">
        <v>1</v>
      </c>
      <c r="AC378" s="2">
        <v>0</v>
      </c>
      <c r="AD378" s="104">
        <v>46084</v>
      </c>
      <c r="AE378" s="28">
        <v>46084</v>
      </c>
      <c r="AF378" s="28">
        <v>46084</v>
      </c>
      <c r="AG378" s="28">
        <v>46097</v>
      </c>
      <c r="AH378" s="262">
        <v>46106</v>
      </c>
      <c r="AI378" s="33">
        <f t="shared" si="45"/>
        <v>3</v>
      </c>
      <c r="AJ378" s="144" t="s">
        <v>1130</v>
      </c>
      <c r="AK378" s="35" t="s">
        <v>1345</v>
      </c>
      <c r="AL378" s="19">
        <f t="shared" si="40"/>
        <v>1</v>
      </c>
      <c r="AM378" s="67">
        <f>IFERROR(NETWORKDAYS(D378,Q378,Hoja1!$A$1:$A$29),"N/A")</f>
        <v>4</v>
      </c>
      <c r="AN378" s="21">
        <f>IFERROR(NETWORKDAYS(D378,AE378,Hoja1!$A$1:$A$29),"N/A")</f>
        <v>11</v>
      </c>
      <c r="AO378" s="78">
        <v>0</v>
      </c>
      <c r="AP378" s="21">
        <f t="shared" si="43"/>
        <v>11</v>
      </c>
      <c r="AQ378" s="21">
        <f>IFERROR(NETWORKDAYS(AF378,AG378,Hoja1!$A$1:$A$29),"N/A")</f>
        <v>10</v>
      </c>
      <c r="AR378" s="78">
        <v>5</v>
      </c>
      <c r="AS378" s="75">
        <f t="shared" si="46"/>
        <v>5</v>
      </c>
      <c r="AT378" s="21">
        <f>IFERROR(NETWORKDAYS(D378,AG378,Hoja1!$A$1:$A$29),"N/A")</f>
        <v>20</v>
      </c>
      <c r="AU378" s="21">
        <f t="shared" si="44"/>
        <v>15</v>
      </c>
      <c r="AV378" s="143" t="s">
        <v>127</v>
      </c>
      <c r="AW378" s="143" t="s">
        <v>82</v>
      </c>
      <c r="AX378" s="87" t="s">
        <v>871</v>
      </c>
      <c r="AY378" s="152"/>
      <c r="AZ378" s="152"/>
      <c r="BA378" s="152"/>
      <c r="BB378" s="152"/>
    </row>
    <row r="379" spans="1:54" ht="15" customHeight="1" x14ac:dyDescent="0.25">
      <c r="A379" s="54">
        <v>15899</v>
      </c>
      <c r="B379" s="152" t="s">
        <v>85</v>
      </c>
      <c r="C379" s="152" t="s">
        <v>85</v>
      </c>
      <c r="D379" s="142">
        <v>46070</v>
      </c>
      <c r="E379" s="142">
        <v>46070</v>
      </c>
      <c r="F379" s="143" t="s">
        <v>99</v>
      </c>
      <c r="G379" s="152" t="s">
        <v>128</v>
      </c>
      <c r="H379" s="143" t="s">
        <v>51</v>
      </c>
      <c r="I379" s="27" t="s">
        <v>72</v>
      </c>
      <c r="J379" s="87" t="s">
        <v>73</v>
      </c>
      <c r="K379" s="111" t="s">
        <v>129</v>
      </c>
      <c r="L379" s="21">
        <v>1</v>
      </c>
      <c r="M379" s="87" t="s">
        <v>54</v>
      </c>
      <c r="N379" s="2" t="s">
        <v>55</v>
      </c>
      <c r="O379" s="151">
        <v>4</v>
      </c>
      <c r="P379" s="33" t="s">
        <v>56</v>
      </c>
      <c r="Q379" s="104">
        <v>46079</v>
      </c>
      <c r="R379" s="104">
        <v>46079</v>
      </c>
      <c r="S379" s="151">
        <v>4</v>
      </c>
      <c r="T379" s="2" t="s">
        <v>55</v>
      </c>
      <c r="U379" s="2" t="s">
        <v>55</v>
      </c>
      <c r="V379" s="2" t="s">
        <v>55</v>
      </c>
      <c r="W379" s="2" t="s">
        <v>55</v>
      </c>
      <c r="X379" s="2" t="s">
        <v>55</v>
      </c>
      <c r="Y379" s="2" t="s">
        <v>55</v>
      </c>
      <c r="Z379" s="2" t="s">
        <v>55</v>
      </c>
      <c r="AA379" s="151">
        <v>2</v>
      </c>
      <c r="AB379" s="151">
        <v>1</v>
      </c>
      <c r="AC379" s="2">
        <v>0</v>
      </c>
      <c r="AD379" s="28">
        <v>46094</v>
      </c>
      <c r="AE379" s="28">
        <v>46094</v>
      </c>
      <c r="AF379" s="28">
        <v>46094</v>
      </c>
      <c r="AG379" s="262">
        <v>46101</v>
      </c>
      <c r="AH379" s="140">
        <v>46106</v>
      </c>
      <c r="AI379" s="33">
        <f t="shared" si="45"/>
        <v>3</v>
      </c>
      <c r="AJ379" s="144" t="s">
        <v>1131</v>
      </c>
      <c r="AK379" s="35" t="s">
        <v>1346</v>
      </c>
      <c r="AL379" s="19">
        <f t="shared" si="40"/>
        <v>1</v>
      </c>
      <c r="AM379" s="67">
        <f>IFERROR(NETWORKDAYS(D379,Q379,Hoja1!$A$1:$A$29),"N/A")</f>
        <v>8</v>
      </c>
      <c r="AN379" s="21">
        <f>IFERROR(NETWORKDAYS(D379,AE379,Hoja1!$A$1:$A$29),"N/A")</f>
        <v>19</v>
      </c>
      <c r="AO379" s="78">
        <v>4</v>
      </c>
      <c r="AP379" s="21">
        <f t="shared" si="43"/>
        <v>15</v>
      </c>
      <c r="AQ379" s="21">
        <f>IFERROR(NETWORKDAYS(AF379,AG379,Hoja1!$A$1:$A$29),"N/A")</f>
        <v>6</v>
      </c>
      <c r="AR379" s="78">
        <v>1</v>
      </c>
      <c r="AS379" s="75">
        <f t="shared" si="46"/>
        <v>5</v>
      </c>
      <c r="AT379" s="21">
        <f>IFERROR(NETWORKDAYS(D379,AG379,Hoja1!$A$1:$A$29),"N/A")</f>
        <v>24</v>
      </c>
      <c r="AU379" s="21">
        <f t="shared" si="44"/>
        <v>19</v>
      </c>
      <c r="AV379" s="143" t="s">
        <v>127</v>
      </c>
      <c r="AW379" s="143" t="s">
        <v>82</v>
      </c>
      <c r="AX379" s="87" t="s">
        <v>871</v>
      </c>
      <c r="AY379" s="87"/>
      <c r="AZ379" s="152"/>
      <c r="BA379" s="152"/>
      <c r="BB379" s="152"/>
    </row>
    <row r="380" spans="1:54" ht="15" customHeight="1" x14ac:dyDescent="0.25">
      <c r="A380" s="55">
        <v>15902</v>
      </c>
      <c r="B380" s="87" t="s">
        <v>79</v>
      </c>
      <c r="C380" s="87" t="s">
        <v>79</v>
      </c>
      <c r="D380" s="161">
        <v>46070</v>
      </c>
      <c r="E380" s="142">
        <v>46070</v>
      </c>
      <c r="F380" s="232" t="s">
        <v>90</v>
      </c>
      <c r="G380" s="48" t="s">
        <v>91</v>
      </c>
      <c r="H380" s="143" t="s">
        <v>51</v>
      </c>
      <c r="I380" s="87" t="s">
        <v>92</v>
      </c>
      <c r="J380" s="84" t="s">
        <v>52</v>
      </c>
      <c r="K380" s="84" t="s">
        <v>111</v>
      </c>
      <c r="L380" s="21">
        <v>1</v>
      </c>
      <c r="M380" s="87" t="s">
        <v>54</v>
      </c>
      <c r="N380" s="3" t="s">
        <v>55</v>
      </c>
      <c r="O380" s="3">
        <v>4</v>
      </c>
      <c r="P380" s="3" t="s">
        <v>112</v>
      </c>
      <c r="Q380" s="73">
        <v>46079</v>
      </c>
      <c r="R380" s="73">
        <v>46079</v>
      </c>
      <c r="S380" s="3">
        <v>4</v>
      </c>
      <c r="T380" s="3" t="s">
        <v>55</v>
      </c>
      <c r="U380" s="3" t="s">
        <v>55</v>
      </c>
      <c r="V380" s="3" t="s">
        <v>55</v>
      </c>
      <c r="W380" s="3" t="s">
        <v>55</v>
      </c>
      <c r="X380" s="3" t="s">
        <v>55</v>
      </c>
      <c r="Y380" s="3" t="s">
        <v>55</v>
      </c>
      <c r="Z380" s="3" t="s">
        <v>55</v>
      </c>
      <c r="AA380" s="2">
        <v>1</v>
      </c>
      <c r="AB380" s="2">
        <v>1</v>
      </c>
      <c r="AC380" s="3">
        <v>0</v>
      </c>
      <c r="AD380" s="28">
        <v>46086</v>
      </c>
      <c r="AE380" s="28">
        <v>46086</v>
      </c>
      <c r="AF380" s="28">
        <v>46086</v>
      </c>
      <c r="AG380" s="28">
        <v>46092</v>
      </c>
      <c r="AH380" s="140">
        <v>46093</v>
      </c>
      <c r="AI380" s="33">
        <f t="shared" si="45"/>
        <v>3</v>
      </c>
      <c r="AJ380" s="144" t="s">
        <v>1132</v>
      </c>
      <c r="AK380" s="146" t="s">
        <v>1133</v>
      </c>
      <c r="AL380" s="19">
        <f t="shared" si="40"/>
        <v>1</v>
      </c>
      <c r="AM380" s="67">
        <f>IFERROR(NETWORKDAYS(D380,Q380,Hoja1!$A$1:$A$29),"N/A")</f>
        <v>8</v>
      </c>
      <c r="AN380" s="21">
        <f>IFERROR(NETWORKDAYS(D380,AE380,Hoja1!$A$1:$A$29),"N/A")</f>
        <v>13</v>
      </c>
      <c r="AO380" s="78">
        <v>0</v>
      </c>
      <c r="AP380" s="21">
        <f t="shared" si="43"/>
        <v>13</v>
      </c>
      <c r="AQ380" s="21">
        <f>IFERROR(NETWORKDAYS(AF380,AG380,Hoja1!$A$1:$A$29),"N/A")</f>
        <v>5</v>
      </c>
      <c r="AR380" s="78">
        <v>0</v>
      </c>
      <c r="AS380" s="75">
        <f t="shared" si="46"/>
        <v>5</v>
      </c>
      <c r="AT380" s="21">
        <f>IFERROR(NETWORKDAYS(D380,AG380,Hoja1!$A$1:$A$29),"N/A")</f>
        <v>17</v>
      </c>
      <c r="AU380" s="21">
        <f t="shared" si="44"/>
        <v>17</v>
      </c>
      <c r="AV380" s="143" t="s">
        <v>127</v>
      </c>
      <c r="AW380" s="162" t="s">
        <v>1134</v>
      </c>
      <c r="AX380" s="87" t="s">
        <v>871</v>
      </c>
      <c r="AY380" s="87"/>
      <c r="AZ380" s="87"/>
      <c r="BA380" s="87"/>
      <c r="BB380" s="87"/>
    </row>
    <row r="381" spans="1:54" ht="15" customHeight="1" x14ac:dyDescent="0.25">
      <c r="A381" s="149">
        <v>15904</v>
      </c>
      <c r="B381" s="152" t="s">
        <v>85</v>
      </c>
      <c r="C381" s="152" t="s">
        <v>85</v>
      </c>
      <c r="D381" s="142">
        <v>46070</v>
      </c>
      <c r="E381" s="142">
        <v>46070</v>
      </c>
      <c r="F381" s="232" t="s">
        <v>62</v>
      </c>
      <c r="G381" s="84" t="s">
        <v>71</v>
      </c>
      <c r="H381" s="143" t="s">
        <v>101</v>
      </c>
      <c r="I381" s="145" t="s">
        <v>1135</v>
      </c>
      <c r="J381" s="87" t="s">
        <v>142</v>
      </c>
      <c r="K381" s="84" t="s">
        <v>86</v>
      </c>
      <c r="L381" s="21">
        <v>1</v>
      </c>
      <c r="M381" s="87" t="s">
        <v>54</v>
      </c>
      <c r="N381" s="33" t="s">
        <v>55</v>
      </c>
      <c r="O381" s="33">
        <v>0</v>
      </c>
      <c r="P381" s="33"/>
      <c r="Q381" s="142" t="s">
        <v>55</v>
      </c>
      <c r="R381" s="142" t="s">
        <v>55</v>
      </c>
      <c r="S381" s="33">
        <v>0</v>
      </c>
      <c r="T381" s="33" t="s">
        <v>55</v>
      </c>
      <c r="U381" s="33" t="s">
        <v>55</v>
      </c>
      <c r="V381" s="33" t="s">
        <v>55</v>
      </c>
      <c r="W381" s="33" t="s">
        <v>55</v>
      </c>
      <c r="X381" s="33" t="s">
        <v>55</v>
      </c>
      <c r="Y381" s="33" t="s">
        <v>55</v>
      </c>
      <c r="Z381" s="33" t="s">
        <v>55</v>
      </c>
      <c r="AA381" s="33">
        <v>1</v>
      </c>
      <c r="AB381" s="33">
        <v>1</v>
      </c>
      <c r="AC381" s="33">
        <v>0</v>
      </c>
      <c r="AD381" s="28">
        <v>46071</v>
      </c>
      <c r="AE381" s="28">
        <v>46071</v>
      </c>
      <c r="AF381" s="28">
        <v>46072</v>
      </c>
      <c r="AG381" s="28">
        <v>46080</v>
      </c>
      <c r="AH381" s="38">
        <v>46083</v>
      </c>
      <c r="AI381" s="33">
        <f t="shared" si="45"/>
        <v>3</v>
      </c>
      <c r="AJ381" s="144" t="s">
        <v>1136</v>
      </c>
      <c r="AK381" s="35" t="s">
        <v>1137</v>
      </c>
      <c r="AL381" s="19" t="str">
        <f t="shared" si="40"/>
        <v>N/A</v>
      </c>
      <c r="AM381" s="67" t="str">
        <f>IFERROR(NETWORKDAYS(D381,Q381,Hoja1!$A$1:$A$29),"N/A")</f>
        <v>N/A</v>
      </c>
      <c r="AN381" s="21">
        <f>IFERROR(NETWORKDAYS(D381,AE381,Hoja1!$A$1:$A$29),"N/A")</f>
        <v>2</v>
      </c>
      <c r="AO381" s="78">
        <v>0</v>
      </c>
      <c r="AP381" s="21">
        <f t="shared" si="43"/>
        <v>2</v>
      </c>
      <c r="AQ381" s="21">
        <f>IFERROR(NETWORKDAYS(AF381,AG381,Hoja1!$A$1:$A$29),"N/A")</f>
        <v>7</v>
      </c>
      <c r="AR381" s="78">
        <v>2</v>
      </c>
      <c r="AS381" s="75">
        <f t="shared" si="46"/>
        <v>5</v>
      </c>
      <c r="AT381" s="21">
        <f>IFERROR(NETWORKDAYS(D381,AG381,Hoja1!$A$1:$A$29),"N/A")</f>
        <v>9</v>
      </c>
      <c r="AU381" s="21">
        <f t="shared" si="44"/>
        <v>7</v>
      </c>
      <c r="AV381" s="143" t="s">
        <v>104</v>
      </c>
      <c r="AW381" s="143" t="s">
        <v>242</v>
      </c>
      <c r="AX381" s="87"/>
      <c r="AY381" s="87"/>
      <c r="AZ381" s="87"/>
      <c r="BA381" s="87"/>
      <c r="BB381" s="87"/>
    </row>
    <row r="382" spans="1:54" ht="15" customHeight="1" x14ac:dyDescent="0.25">
      <c r="A382" s="149">
        <v>15905</v>
      </c>
      <c r="B382" s="152" t="s">
        <v>85</v>
      </c>
      <c r="C382" s="152" t="s">
        <v>85</v>
      </c>
      <c r="D382" s="428">
        <v>46070</v>
      </c>
      <c r="E382" s="142">
        <v>46070</v>
      </c>
      <c r="F382" s="232" t="s">
        <v>62</v>
      </c>
      <c r="G382" s="84" t="s">
        <v>71</v>
      </c>
      <c r="H382" s="143" t="s">
        <v>101</v>
      </c>
      <c r="I382" s="145" t="s">
        <v>1135</v>
      </c>
      <c r="J382" s="87" t="s">
        <v>142</v>
      </c>
      <c r="K382" s="84" t="s">
        <v>86</v>
      </c>
      <c r="L382" s="21">
        <v>1</v>
      </c>
      <c r="M382" s="87" t="s">
        <v>54</v>
      </c>
      <c r="N382" s="33" t="s">
        <v>55</v>
      </c>
      <c r="O382" s="33">
        <v>0</v>
      </c>
      <c r="P382" s="33"/>
      <c r="Q382" s="142" t="s">
        <v>55</v>
      </c>
      <c r="R382" s="142" t="s">
        <v>55</v>
      </c>
      <c r="S382" s="33">
        <v>0</v>
      </c>
      <c r="T382" s="33" t="s">
        <v>55</v>
      </c>
      <c r="U382" s="33" t="s">
        <v>55</v>
      </c>
      <c r="V382" s="33" t="s">
        <v>55</v>
      </c>
      <c r="W382" s="33" t="s">
        <v>55</v>
      </c>
      <c r="X382" s="33" t="s">
        <v>55</v>
      </c>
      <c r="Y382" s="33" t="s">
        <v>55</v>
      </c>
      <c r="Z382" s="33" t="s">
        <v>55</v>
      </c>
      <c r="AA382" s="33">
        <v>1</v>
      </c>
      <c r="AB382" s="33">
        <v>1</v>
      </c>
      <c r="AC382" s="33">
        <v>0</v>
      </c>
      <c r="AD382" s="28">
        <v>46077</v>
      </c>
      <c r="AE382" s="28">
        <v>46078</v>
      </c>
      <c r="AF382" s="28">
        <v>46079</v>
      </c>
      <c r="AG382" s="28">
        <v>46085</v>
      </c>
      <c r="AH382" s="28">
        <v>46093</v>
      </c>
      <c r="AI382" s="33">
        <f t="shared" si="45"/>
        <v>3</v>
      </c>
      <c r="AJ382" s="144" t="s">
        <v>1138</v>
      </c>
      <c r="AK382" s="35" t="s">
        <v>1139</v>
      </c>
      <c r="AL382" s="19" t="str">
        <f t="shared" si="40"/>
        <v>N/A</v>
      </c>
      <c r="AM382" s="67" t="str">
        <f>IFERROR(NETWORKDAYS(D382,Q382,Hoja1!$A$1:$A$29),"N/A")</f>
        <v>N/A</v>
      </c>
      <c r="AN382" s="21">
        <f>IFERROR(NETWORKDAYS(D382,AE382,Hoja1!$A$1:$A$29),"N/A")</f>
        <v>7</v>
      </c>
      <c r="AO382" s="78">
        <v>0</v>
      </c>
      <c r="AP382" s="21">
        <f t="shared" si="43"/>
        <v>7</v>
      </c>
      <c r="AQ382" s="21">
        <f>IFERROR(NETWORKDAYS(AF382,AG382,Hoja1!$A$1:$A$29),"N/A")</f>
        <v>5</v>
      </c>
      <c r="AR382" s="78">
        <v>0</v>
      </c>
      <c r="AS382" s="75">
        <f t="shared" si="46"/>
        <v>5</v>
      </c>
      <c r="AT382" s="21">
        <f>IFERROR(NETWORKDAYS(D382,AG382,Hoja1!$A$1:$A$29),"N/A")</f>
        <v>12</v>
      </c>
      <c r="AU382" s="21">
        <f t="shared" si="44"/>
        <v>12</v>
      </c>
      <c r="AV382" s="143" t="s">
        <v>145</v>
      </c>
      <c r="AW382" s="143" t="s">
        <v>1063</v>
      </c>
      <c r="AX382" s="111"/>
      <c r="AY382" s="87"/>
      <c r="AZ382" s="87"/>
      <c r="BA382" s="87"/>
      <c r="BB382" s="87"/>
    </row>
    <row r="383" spans="1:54" ht="15" customHeight="1" x14ac:dyDescent="0.25">
      <c r="A383" s="54">
        <v>15906</v>
      </c>
      <c r="B383" s="145" t="s">
        <v>169</v>
      </c>
      <c r="C383" s="145" t="s">
        <v>169</v>
      </c>
      <c r="D383" s="142">
        <v>46071</v>
      </c>
      <c r="E383" s="142">
        <v>46071</v>
      </c>
      <c r="F383" s="143" t="s">
        <v>99</v>
      </c>
      <c r="G383" s="152" t="s">
        <v>100</v>
      </c>
      <c r="H383" s="143" t="s">
        <v>51</v>
      </c>
      <c r="I383" s="27" t="s">
        <v>72</v>
      </c>
      <c r="J383" s="87" t="s">
        <v>73</v>
      </c>
      <c r="K383" s="111" t="s">
        <v>129</v>
      </c>
      <c r="L383" s="21">
        <v>1</v>
      </c>
      <c r="M383" s="87" t="s">
        <v>54</v>
      </c>
      <c r="N383" s="2" t="s">
        <v>55</v>
      </c>
      <c r="O383" s="151">
        <v>2</v>
      </c>
      <c r="P383" s="3" t="s">
        <v>112</v>
      </c>
      <c r="Q383" s="160">
        <v>46073</v>
      </c>
      <c r="R383" s="160">
        <v>46073</v>
      </c>
      <c r="S383" s="151">
        <v>2</v>
      </c>
      <c r="T383" s="2" t="s">
        <v>55</v>
      </c>
      <c r="U383" s="2" t="s">
        <v>55</v>
      </c>
      <c r="V383" s="2" t="s">
        <v>55</v>
      </c>
      <c r="W383" s="2" t="s">
        <v>55</v>
      </c>
      <c r="X383" s="2" t="s">
        <v>55</v>
      </c>
      <c r="Y383" s="2" t="s">
        <v>55</v>
      </c>
      <c r="Z383" s="2" t="s">
        <v>55</v>
      </c>
      <c r="AA383" s="151">
        <v>1</v>
      </c>
      <c r="AB383" s="151">
        <v>1</v>
      </c>
      <c r="AC383" s="2">
        <v>0</v>
      </c>
      <c r="AD383" s="104">
        <v>46085</v>
      </c>
      <c r="AE383" s="104">
        <v>46085</v>
      </c>
      <c r="AF383" s="104">
        <v>46085</v>
      </c>
      <c r="AG383" s="28">
        <v>46091</v>
      </c>
      <c r="AH383" s="104">
        <v>46093</v>
      </c>
      <c r="AI383" s="33">
        <f t="shared" si="45"/>
        <v>3</v>
      </c>
      <c r="AJ383" s="144" t="s">
        <v>1140</v>
      </c>
      <c r="AK383" s="35" t="s">
        <v>1141</v>
      </c>
      <c r="AL383" s="19">
        <f t="shared" si="40"/>
        <v>1</v>
      </c>
      <c r="AM383" s="67">
        <f>IFERROR(NETWORKDAYS(D383,Q383,Hoja1!$A$1:$A$29),"N/A")</f>
        <v>3</v>
      </c>
      <c r="AN383" s="21">
        <f>IFERROR(NETWORKDAYS(D383,AE383,Hoja1!$A$1:$A$29),"N/A")</f>
        <v>11</v>
      </c>
      <c r="AO383" s="78">
        <v>0</v>
      </c>
      <c r="AP383" s="21">
        <f t="shared" si="43"/>
        <v>11</v>
      </c>
      <c r="AQ383" s="21">
        <f>IFERROR(NETWORKDAYS(AF383,AG383,Hoja1!$A$1:$A$29),"N/A")</f>
        <v>5</v>
      </c>
      <c r="AR383" s="78">
        <v>0</v>
      </c>
      <c r="AS383" s="163">
        <v>4</v>
      </c>
      <c r="AT383" s="21">
        <f>IFERROR(NETWORKDAYS(D383,AG383,Hoja1!$A$1:$A$29),"N/A")</f>
        <v>15</v>
      </c>
      <c r="AU383" s="21">
        <f t="shared" si="44"/>
        <v>15</v>
      </c>
      <c r="AV383" s="143" t="s">
        <v>127</v>
      </c>
      <c r="AW383" s="143" t="s">
        <v>82</v>
      </c>
      <c r="AX383" s="152"/>
      <c r="AY383" s="152"/>
      <c r="AZ383" s="152"/>
      <c r="BA383" s="152"/>
      <c r="BB383" s="152"/>
    </row>
    <row r="384" spans="1:54" ht="15" customHeight="1" x14ac:dyDescent="0.25">
      <c r="A384" s="149">
        <v>15907</v>
      </c>
      <c r="B384" s="152" t="s">
        <v>85</v>
      </c>
      <c r="C384" s="152" t="s">
        <v>85</v>
      </c>
      <c r="D384" s="428">
        <v>46070</v>
      </c>
      <c r="E384" s="142">
        <v>46070</v>
      </c>
      <c r="F384" s="232" t="s">
        <v>62</v>
      </c>
      <c r="G384" s="84" t="s">
        <v>71</v>
      </c>
      <c r="H384" s="143" t="s">
        <v>101</v>
      </c>
      <c r="I384" s="145" t="s">
        <v>1142</v>
      </c>
      <c r="J384" s="87" t="s">
        <v>142</v>
      </c>
      <c r="K384" s="84" t="s">
        <v>86</v>
      </c>
      <c r="L384" s="21">
        <v>1</v>
      </c>
      <c r="M384" s="87" t="s">
        <v>54</v>
      </c>
      <c r="N384" s="33" t="s">
        <v>55</v>
      </c>
      <c r="O384" s="33">
        <v>0</v>
      </c>
      <c r="P384" s="33"/>
      <c r="Q384" s="142" t="s">
        <v>55</v>
      </c>
      <c r="R384" s="142" t="s">
        <v>55</v>
      </c>
      <c r="S384" s="33">
        <v>0</v>
      </c>
      <c r="T384" s="33" t="s">
        <v>55</v>
      </c>
      <c r="U384" s="33" t="s">
        <v>55</v>
      </c>
      <c r="V384" s="33" t="s">
        <v>55</v>
      </c>
      <c r="W384" s="33" t="s">
        <v>55</v>
      </c>
      <c r="X384" s="33" t="s">
        <v>55</v>
      </c>
      <c r="Y384" s="33" t="s">
        <v>55</v>
      </c>
      <c r="Z384" s="33" t="s">
        <v>55</v>
      </c>
      <c r="AA384" s="33">
        <v>1</v>
      </c>
      <c r="AB384" s="33">
        <v>1</v>
      </c>
      <c r="AC384" s="33">
        <v>0</v>
      </c>
      <c r="AD384" s="28">
        <v>46077</v>
      </c>
      <c r="AE384" s="28">
        <v>46078</v>
      </c>
      <c r="AF384" s="28">
        <v>46079</v>
      </c>
      <c r="AG384" s="28">
        <v>46090</v>
      </c>
      <c r="AH384" s="53">
        <v>46093</v>
      </c>
      <c r="AI384" s="33">
        <f t="shared" si="45"/>
        <v>3</v>
      </c>
      <c r="AJ384" s="144" t="s">
        <v>1143</v>
      </c>
      <c r="AK384" s="35" t="s">
        <v>1144</v>
      </c>
      <c r="AL384" s="19" t="str">
        <f t="shared" si="40"/>
        <v>N/A</v>
      </c>
      <c r="AM384" s="67" t="str">
        <f>IFERROR(NETWORKDAYS(D384,Q384,Hoja1!$A$1:$A$29),"N/A")</f>
        <v>N/A</v>
      </c>
      <c r="AN384" s="21">
        <f>IFERROR(NETWORKDAYS(D384,AE384,Hoja1!$A$1:$A$29),"N/A")</f>
        <v>7</v>
      </c>
      <c r="AO384" s="78">
        <v>0</v>
      </c>
      <c r="AP384" s="21">
        <f t="shared" si="43"/>
        <v>7</v>
      </c>
      <c r="AQ384" s="21">
        <f>IFERROR(NETWORKDAYS(AF384,AG384,Hoja1!$A$1:$A$29),"N/A")</f>
        <v>8</v>
      </c>
      <c r="AR384" s="78">
        <v>3</v>
      </c>
      <c r="AS384" s="75">
        <f>AQ384-AR384</f>
        <v>5</v>
      </c>
      <c r="AT384" s="21">
        <f>IFERROR(NETWORKDAYS(D384,AG384,Hoja1!$A$1:$A$29),"N/A")</f>
        <v>15</v>
      </c>
      <c r="AU384" s="21">
        <f t="shared" si="44"/>
        <v>12</v>
      </c>
      <c r="AV384" s="143" t="s">
        <v>104</v>
      </c>
      <c r="AW384" s="143" t="s">
        <v>1145</v>
      </c>
      <c r="AX384" s="87"/>
      <c r="AY384" s="87"/>
      <c r="AZ384" s="87"/>
      <c r="BA384" s="87"/>
      <c r="BB384" s="87"/>
    </row>
    <row r="385" spans="1:54" ht="15" customHeight="1" x14ac:dyDescent="0.25">
      <c r="A385" s="149">
        <v>15909</v>
      </c>
      <c r="B385" s="152" t="s">
        <v>85</v>
      </c>
      <c r="C385" s="152" t="s">
        <v>85</v>
      </c>
      <c r="D385" s="142">
        <v>46071</v>
      </c>
      <c r="E385" s="142">
        <v>46071</v>
      </c>
      <c r="F385" s="232" t="s">
        <v>62</v>
      </c>
      <c r="G385" s="84" t="s">
        <v>71</v>
      </c>
      <c r="H385" s="143" t="s">
        <v>101</v>
      </c>
      <c r="I385" s="145" t="s">
        <v>1146</v>
      </c>
      <c r="J385" s="87" t="s">
        <v>142</v>
      </c>
      <c r="K385" s="84" t="s">
        <v>86</v>
      </c>
      <c r="L385" s="21">
        <v>1</v>
      </c>
      <c r="M385" s="87" t="s">
        <v>54</v>
      </c>
      <c r="N385" s="33" t="s">
        <v>55</v>
      </c>
      <c r="O385" s="33">
        <v>0</v>
      </c>
      <c r="P385" s="33"/>
      <c r="Q385" s="142" t="s">
        <v>55</v>
      </c>
      <c r="R385" s="142" t="s">
        <v>55</v>
      </c>
      <c r="S385" s="33">
        <v>0</v>
      </c>
      <c r="T385" s="33" t="s">
        <v>55</v>
      </c>
      <c r="U385" s="33" t="s">
        <v>55</v>
      </c>
      <c r="V385" s="33" t="s">
        <v>55</v>
      </c>
      <c r="W385" s="33" t="s">
        <v>55</v>
      </c>
      <c r="X385" s="33" t="s">
        <v>55</v>
      </c>
      <c r="Y385" s="33" t="s">
        <v>55</v>
      </c>
      <c r="Z385" s="33" t="s">
        <v>55</v>
      </c>
      <c r="AA385" s="33">
        <v>1</v>
      </c>
      <c r="AB385" s="33">
        <v>1</v>
      </c>
      <c r="AC385" s="33">
        <v>0</v>
      </c>
      <c r="AD385" s="28">
        <v>46077</v>
      </c>
      <c r="AE385" s="28">
        <v>46078</v>
      </c>
      <c r="AF385" s="28">
        <v>46079</v>
      </c>
      <c r="AG385" s="28">
        <v>46091</v>
      </c>
      <c r="AH385" s="53">
        <v>46093</v>
      </c>
      <c r="AI385" s="33">
        <f t="shared" si="45"/>
        <v>3</v>
      </c>
      <c r="AJ385" s="144" t="s">
        <v>1147</v>
      </c>
      <c r="AK385" s="35" t="s">
        <v>1148</v>
      </c>
      <c r="AL385" s="19" t="str">
        <f t="shared" si="40"/>
        <v>N/A</v>
      </c>
      <c r="AM385" s="67" t="str">
        <f>IFERROR(NETWORKDAYS(D385,Q385,Hoja1!$A$1:$A$29),"N/A")</f>
        <v>N/A</v>
      </c>
      <c r="AN385" s="21">
        <f>IFERROR(NETWORKDAYS(D385,AE385,Hoja1!$A$1:$A$29),"N/A")</f>
        <v>6</v>
      </c>
      <c r="AO385" s="78">
        <v>0</v>
      </c>
      <c r="AP385" s="21">
        <f t="shared" si="43"/>
        <v>6</v>
      </c>
      <c r="AQ385" s="21">
        <f>IFERROR(NETWORKDAYS(AF385,AG385,Hoja1!$A$1:$A$29),"N/A")</f>
        <v>9</v>
      </c>
      <c r="AR385" s="78">
        <v>4</v>
      </c>
      <c r="AS385" s="75">
        <f>AQ385-AR385</f>
        <v>5</v>
      </c>
      <c r="AT385" s="21">
        <f>IFERROR(NETWORKDAYS(D385,AG385,Hoja1!$A$1:$A$29),"N/A")</f>
        <v>15</v>
      </c>
      <c r="AU385" s="21">
        <f t="shared" si="44"/>
        <v>11</v>
      </c>
      <c r="AV385" s="143" t="s">
        <v>145</v>
      </c>
      <c r="AW385" s="143" t="s">
        <v>1063</v>
      </c>
      <c r="AX385" s="87"/>
      <c r="AY385" s="87"/>
      <c r="AZ385" s="87"/>
      <c r="BA385" s="87"/>
      <c r="BB385" s="87"/>
    </row>
    <row r="386" spans="1:54" ht="15" customHeight="1" x14ac:dyDescent="0.25">
      <c r="A386" s="149">
        <v>15911</v>
      </c>
      <c r="B386" s="152" t="s">
        <v>85</v>
      </c>
      <c r="C386" s="152" t="s">
        <v>85</v>
      </c>
      <c r="D386" s="428">
        <v>46071</v>
      </c>
      <c r="E386" s="142">
        <v>46071</v>
      </c>
      <c r="F386" s="232" t="s">
        <v>62</v>
      </c>
      <c r="G386" s="84" t="s">
        <v>71</v>
      </c>
      <c r="H386" s="143" t="s">
        <v>101</v>
      </c>
      <c r="I386" s="145" t="s">
        <v>1149</v>
      </c>
      <c r="J386" s="87" t="s">
        <v>142</v>
      </c>
      <c r="K386" s="84" t="s">
        <v>86</v>
      </c>
      <c r="L386" s="21">
        <v>1</v>
      </c>
      <c r="M386" s="87" t="s">
        <v>54</v>
      </c>
      <c r="N386" s="33" t="s">
        <v>55</v>
      </c>
      <c r="O386" s="33">
        <v>0</v>
      </c>
      <c r="P386" s="33"/>
      <c r="Q386" s="142" t="s">
        <v>55</v>
      </c>
      <c r="R386" s="142" t="s">
        <v>55</v>
      </c>
      <c r="S386" s="33">
        <v>0</v>
      </c>
      <c r="T386" s="33" t="s">
        <v>55</v>
      </c>
      <c r="U386" s="33" t="s">
        <v>55</v>
      </c>
      <c r="V386" s="33" t="s">
        <v>55</v>
      </c>
      <c r="W386" s="33" t="s">
        <v>55</v>
      </c>
      <c r="X386" s="33" t="s">
        <v>55</v>
      </c>
      <c r="Y386" s="33" t="s">
        <v>55</v>
      </c>
      <c r="Z386" s="33" t="s">
        <v>55</v>
      </c>
      <c r="AA386" s="33">
        <v>1</v>
      </c>
      <c r="AB386" s="33">
        <v>1</v>
      </c>
      <c r="AC386" s="33">
        <v>0</v>
      </c>
      <c r="AD386" s="28">
        <v>46077</v>
      </c>
      <c r="AE386" s="28">
        <v>46078</v>
      </c>
      <c r="AF386" s="28">
        <v>46079</v>
      </c>
      <c r="AG386" s="28">
        <v>46091</v>
      </c>
      <c r="AH386" s="53">
        <v>46093</v>
      </c>
      <c r="AI386" s="33">
        <f t="shared" si="45"/>
        <v>3</v>
      </c>
      <c r="AJ386" s="144" t="s">
        <v>1150</v>
      </c>
      <c r="AK386" s="35" t="s">
        <v>1151</v>
      </c>
      <c r="AL386" s="19" t="str">
        <f t="shared" si="40"/>
        <v>N/A</v>
      </c>
      <c r="AM386" s="67" t="str">
        <f>IFERROR(NETWORKDAYS(D386,Q386,Hoja1!$A$1:$A$29),"N/A")</f>
        <v>N/A</v>
      </c>
      <c r="AN386" s="21">
        <f>IFERROR(NETWORKDAYS(D386,AE386,Hoja1!$A$1:$A$29),"N/A")</f>
        <v>6</v>
      </c>
      <c r="AO386" s="78">
        <v>0</v>
      </c>
      <c r="AP386" s="21">
        <f t="shared" si="43"/>
        <v>6</v>
      </c>
      <c r="AQ386" s="21">
        <f>IFERROR(NETWORKDAYS(AF386,AG386,Hoja1!$A$1:$A$29),"N/A")</f>
        <v>9</v>
      </c>
      <c r="AR386" s="78">
        <v>4</v>
      </c>
      <c r="AS386" s="75">
        <f>AQ386-AR386</f>
        <v>5</v>
      </c>
      <c r="AT386" s="21">
        <f>IFERROR(NETWORKDAYS(D386,AG386,Hoja1!$A$1:$A$29),"N/A")</f>
        <v>15</v>
      </c>
      <c r="AU386" s="21">
        <f t="shared" si="44"/>
        <v>11</v>
      </c>
      <c r="AV386" s="143" t="s">
        <v>145</v>
      </c>
      <c r="AW386" s="143" t="s">
        <v>1063</v>
      </c>
      <c r="AX386" s="87"/>
      <c r="AY386" s="87"/>
      <c r="AZ386" s="87"/>
      <c r="BA386" s="87"/>
      <c r="BB386" s="87"/>
    </row>
    <row r="387" spans="1:54" ht="15" customHeight="1" x14ac:dyDescent="0.25">
      <c r="A387" s="55">
        <v>15914</v>
      </c>
      <c r="B387" s="152" t="s">
        <v>85</v>
      </c>
      <c r="C387" s="152" t="s">
        <v>85</v>
      </c>
      <c r="D387" s="142">
        <v>46071</v>
      </c>
      <c r="E387" s="142">
        <v>46071</v>
      </c>
      <c r="F387" s="232" t="s">
        <v>62</v>
      </c>
      <c r="G387" s="48" t="s">
        <v>71</v>
      </c>
      <c r="H387" s="179" t="s">
        <v>1465</v>
      </c>
      <c r="I387" s="111" t="s">
        <v>1152</v>
      </c>
      <c r="J387" s="87" t="s">
        <v>142</v>
      </c>
      <c r="K387" s="84" t="s">
        <v>86</v>
      </c>
      <c r="L387" s="21">
        <v>1</v>
      </c>
      <c r="M387" s="159" t="s">
        <v>247</v>
      </c>
      <c r="N387" s="3" t="s">
        <v>55</v>
      </c>
      <c r="O387" s="3">
        <v>0</v>
      </c>
      <c r="P387" s="33"/>
      <c r="Q387" s="3" t="s">
        <v>55</v>
      </c>
      <c r="R387" s="3" t="s">
        <v>55</v>
      </c>
      <c r="S387" s="3">
        <v>0</v>
      </c>
      <c r="T387" s="3" t="s">
        <v>55</v>
      </c>
      <c r="U387" s="3" t="s">
        <v>55</v>
      </c>
      <c r="V387" s="3" t="s">
        <v>55</v>
      </c>
      <c r="W387" s="3" t="s">
        <v>55</v>
      </c>
      <c r="X387" s="3" t="s">
        <v>55</v>
      </c>
      <c r="Y387" s="3" t="s">
        <v>55</v>
      </c>
      <c r="Z387" s="3" t="s">
        <v>55</v>
      </c>
      <c r="AA387" s="2">
        <v>1</v>
      </c>
      <c r="AB387" s="2">
        <v>1</v>
      </c>
      <c r="AC387" s="3">
        <v>0</v>
      </c>
      <c r="AD387" s="28">
        <v>46077</v>
      </c>
      <c r="AE387" s="28">
        <v>46077</v>
      </c>
      <c r="AF387" s="28" t="s">
        <v>55</v>
      </c>
      <c r="AG387" s="140">
        <v>46083</v>
      </c>
      <c r="AH387" s="140">
        <v>46083</v>
      </c>
      <c r="AI387" s="33">
        <v>3</v>
      </c>
      <c r="AJ387" s="144" t="s">
        <v>1153</v>
      </c>
      <c r="AK387" s="146" t="s">
        <v>1154</v>
      </c>
      <c r="AL387" s="19" t="str">
        <f t="shared" ref="AL387:AL450" si="47">IFERROR(S387/O387,"N/A")</f>
        <v>N/A</v>
      </c>
      <c r="AM387" s="67" t="str">
        <f>IFERROR(NETWORKDAYS(D387,Q387,Hoja1!$A$1:$A$29),"N/A")</f>
        <v>N/A</v>
      </c>
      <c r="AN387" s="21">
        <f>IFERROR(NETWORKDAYS(D387,AE387,Hoja1!$A$1:$A$29),"N/A")</f>
        <v>5</v>
      </c>
      <c r="AO387" s="78">
        <v>0</v>
      </c>
      <c r="AP387" s="21">
        <f t="shared" si="43"/>
        <v>5</v>
      </c>
      <c r="AQ387" s="21" t="str">
        <f>IFERROR(NETWORKDAYS(AF387,AG387,Hoja1!$A$1:$A$29),"N/A")</f>
        <v>N/A</v>
      </c>
      <c r="AR387" s="78">
        <v>0</v>
      </c>
      <c r="AS387" s="19" t="s">
        <v>82</v>
      </c>
      <c r="AT387" s="21">
        <f>IFERROR(NETWORKDAYS(D387,AG387,Hoja1!$A$1:$A$29),"N/A")</f>
        <v>9</v>
      </c>
      <c r="AU387" s="21">
        <f t="shared" si="44"/>
        <v>9</v>
      </c>
      <c r="AV387" s="143" t="s">
        <v>145</v>
      </c>
      <c r="AW387" s="143" t="s">
        <v>480</v>
      </c>
      <c r="AX387" s="2"/>
      <c r="AY387" s="2"/>
      <c r="AZ387" s="2"/>
      <c r="BA387" s="2"/>
      <c r="BB387" s="2"/>
    </row>
    <row r="388" spans="1:54" ht="15" customHeight="1" x14ac:dyDescent="0.25">
      <c r="A388" s="149">
        <v>15916</v>
      </c>
      <c r="B388" s="152" t="s">
        <v>85</v>
      </c>
      <c r="C388" s="152" t="s">
        <v>85</v>
      </c>
      <c r="D388" s="428">
        <v>46071</v>
      </c>
      <c r="E388" s="142">
        <v>46071</v>
      </c>
      <c r="F388" s="232" t="s">
        <v>62</v>
      </c>
      <c r="G388" s="84" t="s">
        <v>71</v>
      </c>
      <c r="H388" s="143" t="s">
        <v>101</v>
      </c>
      <c r="I388" s="145" t="s">
        <v>1155</v>
      </c>
      <c r="J388" s="87" t="s">
        <v>142</v>
      </c>
      <c r="K388" s="84" t="s">
        <v>86</v>
      </c>
      <c r="L388" s="21">
        <v>1</v>
      </c>
      <c r="M388" s="87" t="s">
        <v>54</v>
      </c>
      <c r="N388" s="33" t="s">
        <v>55</v>
      </c>
      <c r="O388" s="33">
        <v>0</v>
      </c>
      <c r="P388" s="33"/>
      <c r="Q388" s="142" t="s">
        <v>55</v>
      </c>
      <c r="R388" s="142" t="s">
        <v>55</v>
      </c>
      <c r="S388" s="33">
        <v>0</v>
      </c>
      <c r="T388" s="33" t="s">
        <v>55</v>
      </c>
      <c r="U388" s="33" t="s">
        <v>55</v>
      </c>
      <c r="V388" s="33" t="s">
        <v>55</v>
      </c>
      <c r="W388" s="33" t="s">
        <v>55</v>
      </c>
      <c r="X388" s="33" t="s">
        <v>55</v>
      </c>
      <c r="Y388" s="33" t="s">
        <v>55</v>
      </c>
      <c r="Z388" s="33" t="s">
        <v>55</v>
      </c>
      <c r="AA388" s="33">
        <v>1</v>
      </c>
      <c r="AB388" s="33">
        <v>1</v>
      </c>
      <c r="AC388" s="33">
        <v>0</v>
      </c>
      <c r="AD388" s="28">
        <v>46086</v>
      </c>
      <c r="AE388" s="28">
        <v>46093</v>
      </c>
      <c r="AF388" s="28">
        <v>46094</v>
      </c>
      <c r="AG388" s="28">
        <v>46105</v>
      </c>
      <c r="AH388" s="140">
        <v>46106</v>
      </c>
      <c r="AI388" s="33">
        <f>MONTH(AH388)</f>
        <v>3</v>
      </c>
      <c r="AJ388" s="144" t="s">
        <v>1156</v>
      </c>
      <c r="AK388" s="35" t="s">
        <v>1157</v>
      </c>
      <c r="AL388" s="19" t="str">
        <f t="shared" si="47"/>
        <v>N/A</v>
      </c>
      <c r="AM388" s="67" t="str">
        <f>IFERROR(NETWORKDAYS(D388,Q388,Hoja1!$A$1:$A$29),"N/A")</f>
        <v>N/A</v>
      </c>
      <c r="AN388" s="21">
        <f>IFERROR(NETWORKDAYS(D388,AE388,Hoja1!$A$1:$A$29),"N/A")</f>
        <v>17</v>
      </c>
      <c r="AO388" s="78">
        <v>0</v>
      </c>
      <c r="AP388" s="21">
        <f t="shared" si="43"/>
        <v>17</v>
      </c>
      <c r="AQ388" s="21">
        <f>IFERROR(NETWORKDAYS(AF388,AG388,Hoja1!$A$1:$A$29),"N/A")</f>
        <v>7</v>
      </c>
      <c r="AR388" s="78">
        <v>2</v>
      </c>
      <c r="AS388" s="75">
        <f>AQ388-AR388</f>
        <v>5</v>
      </c>
      <c r="AT388" s="21">
        <f>IFERROR(NETWORKDAYS(D388,AG388,Hoja1!$A$1:$A$29),"N/A")</f>
        <v>24</v>
      </c>
      <c r="AU388" s="21">
        <f t="shared" si="44"/>
        <v>22</v>
      </c>
      <c r="AV388" s="143" t="s">
        <v>145</v>
      </c>
      <c r="AW388" s="143" t="s">
        <v>180</v>
      </c>
      <c r="AX388" s="87"/>
      <c r="AY388" s="87"/>
      <c r="AZ388" s="87"/>
      <c r="BA388" s="87"/>
      <c r="BB388" s="87"/>
    </row>
    <row r="389" spans="1:54" ht="15" customHeight="1" x14ac:dyDescent="0.25">
      <c r="A389" s="226">
        <v>15917</v>
      </c>
      <c r="B389" s="184" t="s">
        <v>69</v>
      </c>
      <c r="C389" s="112" t="s">
        <v>98</v>
      </c>
      <c r="D389" s="432">
        <v>46071</v>
      </c>
      <c r="E389" s="174">
        <v>46071</v>
      </c>
      <c r="F389" s="187" t="s">
        <v>879</v>
      </c>
      <c r="G389" s="185" t="s">
        <v>50</v>
      </c>
      <c r="H389" s="190" t="s">
        <v>1465</v>
      </c>
      <c r="I389" s="241" t="s">
        <v>582</v>
      </c>
      <c r="J389" s="197" t="s">
        <v>52</v>
      </c>
      <c r="K389" s="184" t="s">
        <v>53</v>
      </c>
      <c r="L389" s="66">
        <v>1</v>
      </c>
      <c r="M389" s="200" t="s">
        <v>247</v>
      </c>
      <c r="N389" s="96" t="s">
        <v>55</v>
      </c>
      <c r="O389" s="96">
        <v>1</v>
      </c>
      <c r="P389" s="96" t="s">
        <v>112</v>
      </c>
      <c r="Q389" s="138">
        <v>46072</v>
      </c>
      <c r="R389" s="138">
        <v>46072</v>
      </c>
      <c r="S389" s="96">
        <v>1</v>
      </c>
      <c r="T389" s="96" t="s">
        <v>55</v>
      </c>
      <c r="U389" s="96" t="s">
        <v>55</v>
      </c>
      <c r="V389" s="96" t="s">
        <v>55</v>
      </c>
      <c r="W389" s="96" t="s">
        <v>55</v>
      </c>
      <c r="X389" s="96" t="s">
        <v>55</v>
      </c>
      <c r="Y389" s="96" t="s">
        <v>55</v>
      </c>
      <c r="Z389" s="175" t="s">
        <v>55</v>
      </c>
      <c r="AA389" s="96">
        <v>1</v>
      </c>
      <c r="AB389" s="96">
        <v>1</v>
      </c>
      <c r="AC389" s="96">
        <v>0</v>
      </c>
      <c r="AD389" s="138">
        <v>46084</v>
      </c>
      <c r="AE389" s="178">
        <v>46086</v>
      </c>
      <c r="AF389" s="178" t="s">
        <v>55</v>
      </c>
      <c r="AG389" s="178">
        <v>46086</v>
      </c>
      <c r="AH389" s="96" t="s">
        <v>55</v>
      </c>
      <c r="AI389" s="99">
        <v>3</v>
      </c>
      <c r="AJ389" s="227" t="s">
        <v>1158</v>
      </c>
      <c r="AK389" s="185" t="s">
        <v>1159</v>
      </c>
      <c r="AL389" s="19">
        <f t="shared" si="47"/>
        <v>1</v>
      </c>
      <c r="AM389" s="67">
        <f>IFERROR(NETWORKDAYS(D389,Q389,Hoja1!$A$1:$A$29),"N/A")</f>
        <v>2</v>
      </c>
      <c r="AN389" s="21">
        <f>IFERROR(NETWORKDAYS(D389,AE389,Hoja1!$A$1:$A$29),"N/A")</f>
        <v>12</v>
      </c>
      <c r="AO389" s="273">
        <v>0</v>
      </c>
      <c r="AP389" s="66">
        <f t="shared" si="43"/>
        <v>12</v>
      </c>
      <c r="AQ389" s="21" t="str">
        <f>IFERROR(NETWORKDAYS(AF389,AG389,Hoja1!$A$1:$A$29),"N/A")</f>
        <v>N/A</v>
      </c>
      <c r="AR389" s="65">
        <v>0</v>
      </c>
      <c r="AS389" s="105" t="s">
        <v>82</v>
      </c>
      <c r="AT389" s="21">
        <f>IFERROR(NETWORKDAYS(D389,AG389,Hoja1!$A$1:$A$29),"N/A")</f>
        <v>12</v>
      </c>
      <c r="AU389" s="66">
        <f t="shared" si="44"/>
        <v>12</v>
      </c>
      <c r="AV389" s="176" t="s">
        <v>145</v>
      </c>
      <c r="AW389" s="176" t="s">
        <v>180</v>
      </c>
      <c r="AX389" s="106"/>
      <c r="AY389" s="106"/>
      <c r="AZ389" s="106"/>
      <c r="BA389" s="106"/>
      <c r="BB389" s="106"/>
    </row>
    <row r="390" spans="1:54" ht="15" customHeight="1" x14ac:dyDescent="0.25">
      <c r="A390" s="54">
        <v>15918</v>
      </c>
      <c r="B390" s="87" t="s">
        <v>69</v>
      </c>
      <c r="C390" s="43" t="s">
        <v>98</v>
      </c>
      <c r="D390" s="428">
        <v>46058</v>
      </c>
      <c r="E390" s="142">
        <v>46071</v>
      </c>
      <c r="F390" s="202" t="s">
        <v>879</v>
      </c>
      <c r="G390" s="48" t="s">
        <v>50</v>
      </c>
      <c r="H390" s="143" t="s">
        <v>51</v>
      </c>
      <c r="I390" s="202" t="s">
        <v>456</v>
      </c>
      <c r="J390" s="84" t="s">
        <v>52</v>
      </c>
      <c r="K390" s="87" t="s">
        <v>53</v>
      </c>
      <c r="L390" s="21">
        <v>1</v>
      </c>
      <c r="M390" s="87" t="s">
        <v>54</v>
      </c>
      <c r="N390" s="3" t="s">
        <v>55</v>
      </c>
      <c r="O390" s="3">
        <v>5</v>
      </c>
      <c r="P390" s="3" t="s">
        <v>112</v>
      </c>
      <c r="Q390" s="30">
        <v>46063</v>
      </c>
      <c r="R390" s="30">
        <v>46063</v>
      </c>
      <c r="S390" s="3">
        <v>5</v>
      </c>
      <c r="T390" s="3" t="s">
        <v>55</v>
      </c>
      <c r="U390" s="3" t="s">
        <v>55</v>
      </c>
      <c r="V390" s="3" t="s">
        <v>55</v>
      </c>
      <c r="W390" s="3" t="s">
        <v>55</v>
      </c>
      <c r="X390" s="3" t="s">
        <v>55</v>
      </c>
      <c r="Y390" s="3" t="s">
        <v>55</v>
      </c>
      <c r="Z390" s="18" t="s">
        <v>55</v>
      </c>
      <c r="AA390" s="3">
        <v>1</v>
      </c>
      <c r="AB390" s="3">
        <v>1</v>
      </c>
      <c r="AC390" s="3">
        <v>0</v>
      </c>
      <c r="AD390" s="30">
        <v>46071</v>
      </c>
      <c r="AE390" s="28">
        <v>46076</v>
      </c>
      <c r="AF390" s="28">
        <v>46077</v>
      </c>
      <c r="AG390" s="28">
        <v>46083</v>
      </c>
      <c r="AH390" s="37">
        <v>46083</v>
      </c>
      <c r="AI390" s="33">
        <f>MONTH(AH390)</f>
        <v>3</v>
      </c>
      <c r="AJ390" s="144" t="s">
        <v>1160</v>
      </c>
      <c r="AK390" s="35" t="s">
        <v>1161</v>
      </c>
      <c r="AL390" s="19">
        <f t="shared" si="47"/>
        <v>1</v>
      </c>
      <c r="AM390" s="67">
        <f>IFERROR(NETWORKDAYS(D390,Q390,Hoja1!$A$1:$A$29),"N/A")</f>
        <v>4</v>
      </c>
      <c r="AN390" s="21">
        <f>IFERROR(NETWORKDAYS(D390,AE390,Hoja1!$A$1:$A$29),"N/A")</f>
        <v>13</v>
      </c>
      <c r="AO390" s="78">
        <v>0</v>
      </c>
      <c r="AP390" s="21">
        <f t="shared" si="43"/>
        <v>13</v>
      </c>
      <c r="AQ390" s="21">
        <f>IFERROR(NETWORKDAYS(AF390,AG390,Hoja1!$A$1:$A$29),"N/A")</f>
        <v>5</v>
      </c>
      <c r="AR390" s="78">
        <v>0</v>
      </c>
      <c r="AS390" s="75">
        <f>AQ390-AR390</f>
        <v>5</v>
      </c>
      <c r="AT390" s="21">
        <f>IFERROR(NETWORKDAYS(D390,AG390,Hoja1!$A$1:$A$29),"N/A")</f>
        <v>18</v>
      </c>
      <c r="AU390" s="21">
        <f t="shared" si="44"/>
        <v>18</v>
      </c>
      <c r="AV390" s="143" t="s">
        <v>59</v>
      </c>
      <c r="AW390" s="143" t="s">
        <v>242</v>
      </c>
      <c r="AX390" s="87" t="s">
        <v>871</v>
      </c>
      <c r="AY390" s="87"/>
      <c r="AZ390" s="87"/>
      <c r="BA390" s="87"/>
      <c r="BB390" s="87"/>
    </row>
    <row r="391" spans="1:54" ht="15" customHeight="1" x14ac:dyDescent="0.25">
      <c r="A391" s="54">
        <v>15919</v>
      </c>
      <c r="B391" s="87" t="s">
        <v>69</v>
      </c>
      <c r="C391" s="43" t="s">
        <v>98</v>
      </c>
      <c r="D391" s="142">
        <v>46071</v>
      </c>
      <c r="E391" s="142">
        <v>46071</v>
      </c>
      <c r="F391" s="202" t="s">
        <v>879</v>
      </c>
      <c r="G391" s="48" t="s">
        <v>50</v>
      </c>
      <c r="H391" s="143" t="s">
        <v>51</v>
      </c>
      <c r="I391" s="202" t="s">
        <v>456</v>
      </c>
      <c r="J391" s="84" t="s">
        <v>52</v>
      </c>
      <c r="K391" s="87" t="s">
        <v>53</v>
      </c>
      <c r="L391" s="21">
        <v>1</v>
      </c>
      <c r="M391" s="87" t="s">
        <v>54</v>
      </c>
      <c r="N391" s="3" t="s">
        <v>55</v>
      </c>
      <c r="O391" s="3">
        <v>5</v>
      </c>
      <c r="P391" s="3" t="s">
        <v>112</v>
      </c>
      <c r="Q391" s="30">
        <v>46083</v>
      </c>
      <c r="R391" s="30">
        <v>46083</v>
      </c>
      <c r="S391" s="3">
        <v>5</v>
      </c>
      <c r="T391" s="3" t="s">
        <v>55</v>
      </c>
      <c r="U391" s="3" t="s">
        <v>55</v>
      </c>
      <c r="V391" s="3" t="s">
        <v>55</v>
      </c>
      <c r="W391" s="3" t="s">
        <v>55</v>
      </c>
      <c r="X391" s="3" t="s">
        <v>55</v>
      </c>
      <c r="Y391" s="3" t="s">
        <v>55</v>
      </c>
      <c r="Z391" s="18" t="s">
        <v>55</v>
      </c>
      <c r="AA391" s="3">
        <v>2</v>
      </c>
      <c r="AB391" s="3">
        <v>2</v>
      </c>
      <c r="AC391" s="3">
        <v>0</v>
      </c>
      <c r="AD391" s="30">
        <v>46090</v>
      </c>
      <c r="AE391" s="28">
        <v>46092</v>
      </c>
      <c r="AF391" s="28">
        <v>46094</v>
      </c>
      <c r="AG391" s="28">
        <v>46106</v>
      </c>
      <c r="AH391" s="140">
        <v>46106</v>
      </c>
      <c r="AI391" s="33">
        <f>MONTH(AH391)</f>
        <v>3</v>
      </c>
      <c r="AJ391" s="144" t="s">
        <v>1162</v>
      </c>
      <c r="AK391" s="35" t="s">
        <v>1163</v>
      </c>
      <c r="AL391" s="19">
        <f t="shared" si="47"/>
        <v>1</v>
      </c>
      <c r="AM391" s="67">
        <f>IFERROR(NETWORKDAYS(D391,Q391,Hoja1!$A$1:$A$29),"N/A")</f>
        <v>9</v>
      </c>
      <c r="AN391" s="21">
        <f>IFERROR(NETWORKDAYS(D391,AE391,Hoja1!$A$1:$A$29),"N/A")</f>
        <v>16</v>
      </c>
      <c r="AO391" s="78">
        <v>3</v>
      </c>
      <c r="AP391" s="21">
        <f t="shared" si="43"/>
        <v>13</v>
      </c>
      <c r="AQ391" s="21">
        <f>IFERROR(NETWORKDAYS(AF391,AG391,Hoja1!$A$1:$A$29),"N/A")</f>
        <v>8</v>
      </c>
      <c r="AR391" s="78">
        <v>3</v>
      </c>
      <c r="AS391" s="75">
        <f>AQ391-AR391</f>
        <v>5</v>
      </c>
      <c r="AT391" s="21">
        <f>IFERROR(NETWORKDAYS(D391,AG391,Hoja1!$A$1:$A$29),"N/A")</f>
        <v>25</v>
      </c>
      <c r="AU391" s="21">
        <f t="shared" si="44"/>
        <v>19</v>
      </c>
      <c r="AV391" s="143" t="s">
        <v>419</v>
      </c>
      <c r="AW391" s="143" t="s">
        <v>661</v>
      </c>
      <c r="AX391" s="114"/>
      <c r="AY391" s="114"/>
      <c r="AZ391" s="114"/>
      <c r="BA391" s="114"/>
      <c r="BB391" s="114"/>
    </row>
    <row r="392" spans="1:54" ht="15" customHeight="1" x14ac:dyDescent="0.25">
      <c r="A392" s="54">
        <v>15920</v>
      </c>
      <c r="B392" s="87" t="s">
        <v>69</v>
      </c>
      <c r="C392" s="43" t="s">
        <v>98</v>
      </c>
      <c r="D392" s="428">
        <v>46071</v>
      </c>
      <c r="E392" s="142">
        <v>46071</v>
      </c>
      <c r="F392" s="202" t="s">
        <v>879</v>
      </c>
      <c r="G392" s="48" t="s">
        <v>50</v>
      </c>
      <c r="H392" s="143" t="s">
        <v>51</v>
      </c>
      <c r="I392" s="202" t="s">
        <v>456</v>
      </c>
      <c r="J392" s="84" t="s">
        <v>52</v>
      </c>
      <c r="K392" s="87" t="s">
        <v>53</v>
      </c>
      <c r="L392" s="21">
        <v>1</v>
      </c>
      <c r="M392" s="87" t="s">
        <v>54</v>
      </c>
      <c r="N392" s="3" t="s">
        <v>55</v>
      </c>
      <c r="O392" s="3">
        <v>5</v>
      </c>
      <c r="P392" s="3" t="s">
        <v>112</v>
      </c>
      <c r="Q392" s="30">
        <v>46078</v>
      </c>
      <c r="R392" s="30">
        <v>46078</v>
      </c>
      <c r="S392" s="3">
        <v>5</v>
      </c>
      <c r="T392" s="3" t="s">
        <v>55</v>
      </c>
      <c r="U392" s="3" t="s">
        <v>55</v>
      </c>
      <c r="V392" s="3" t="s">
        <v>55</v>
      </c>
      <c r="W392" s="3" t="s">
        <v>55</v>
      </c>
      <c r="X392" s="3" t="s">
        <v>55</v>
      </c>
      <c r="Y392" s="3" t="s">
        <v>55</v>
      </c>
      <c r="Z392" s="18" t="s">
        <v>55</v>
      </c>
      <c r="AA392" s="3">
        <v>2</v>
      </c>
      <c r="AB392" s="3">
        <v>2</v>
      </c>
      <c r="AC392" s="3">
        <v>0</v>
      </c>
      <c r="AD392" s="30">
        <v>46090</v>
      </c>
      <c r="AE392" s="28">
        <v>46092</v>
      </c>
      <c r="AF392" s="28">
        <v>46094</v>
      </c>
      <c r="AG392" s="28">
        <v>46106</v>
      </c>
      <c r="AH392" s="140">
        <v>46106</v>
      </c>
      <c r="AI392" s="33">
        <f>MONTH(AH392)</f>
        <v>3</v>
      </c>
      <c r="AJ392" s="144" t="s">
        <v>1164</v>
      </c>
      <c r="AK392" s="35" t="s">
        <v>1165</v>
      </c>
      <c r="AL392" s="19">
        <f t="shared" si="47"/>
        <v>1</v>
      </c>
      <c r="AM392" s="67">
        <f>IFERROR(NETWORKDAYS(D392,Q392,Hoja1!$A$1:$A$29),"N/A")</f>
        <v>6</v>
      </c>
      <c r="AN392" s="21">
        <f>IFERROR(NETWORKDAYS(D392,AE392,Hoja1!$A$1:$A$29),"N/A")</f>
        <v>16</v>
      </c>
      <c r="AO392" s="78">
        <v>3</v>
      </c>
      <c r="AP392" s="21">
        <f t="shared" si="43"/>
        <v>13</v>
      </c>
      <c r="AQ392" s="21">
        <f>IFERROR(NETWORKDAYS(AF392,AG392,Hoja1!$A$1:$A$29),"N/A")</f>
        <v>8</v>
      </c>
      <c r="AR392" s="78">
        <v>3</v>
      </c>
      <c r="AS392" s="75">
        <f>AQ392-AR392</f>
        <v>5</v>
      </c>
      <c r="AT392" s="21">
        <f>IFERROR(NETWORKDAYS(D392,AG392,Hoja1!$A$1:$A$29),"N/A")</f>
        <v>25</v>
      </c>
      <c r="AU392" s="21">
        <f t="shared" si="44"/>
        <v>19</v>
      </c>
      <c r="AV392" s="143" t="s">
        <v>419</v>
      </c>
      <c r="AW392" s="143" t="s">
        <v>661</v>
      </c>
      <c r="AX392" s="114"/>
      <c r="AY392" s="114"/>
      <c r="AZ392" s="114"/>
      <c r="BA392" s="114"/>
      <c r="BB392" s="114"/>
    </row>
    <row r="393" spans="1:54" ht="15" customHeight="1" x14ac:dyDescent="0.25">
      <c r="A393" s="54">
        <v>15922</v>
      </c>
      <c r="B393" s="87" t="s">
        <v>69</v>
      </c>
      <c r="C393" s="43" t="s">
        <v>98</v>
      </c>
      <c r="D393" s="142">
        <v>46045</v>
      </c>
      <c r="E393" s="142">
        <v>46071</v>
      </c>
      <c r="F393" s="202" t="s">
        <v>879</v>
      </c>
      <c r="G393" s="48" t="s">
        <v>50</v>
      </c>
      <c r="H393" s="179" t="s">
        <v>1465</v>
      </c>
      <c r="I393" s="240" t="s">
        <v>582</v>
      </c>
      <c r="J393" s="84" t="s">
        <v>52</v>
      </c>
      <c r="K393" s="87" t="s">
        <v>53</v>
      </c>
      <c r="L393" s="21">
        <v>1</v>
      </c>
      <c r="M393" s="159" t="s">
        <v>247</v>
      </c>
      <c r="N393" s="3" t="s">
        <v>55</v>
      </c>
      <c r="O393" s="3">
        <v>5</v>
      </c>
      <c r="P393" s="3" t="s">
        <v>112</v>
      </c>
      <c r="Q393" s="30">
        <v>46057</v>
      </c>
      <c r="R393" s="30">
        <v>46057</v>
      </c>
      <c r="S393" s="3">
        <v>5</v>
      </c>
      <c r="T393" s="3" t="s">
        <v>55</v>
      </c>
      <c r="U393" s="3" t="s">
        <v>55</v>
      </c>
      <c r="V393" s="3" t="s">
        <v>55</v>
      </c>
      <c r="W393" s="3" t="s">
        <v>55</v>
      </c>
      <c r="X393" s="3" t="s">
        <v>55</v>
      </c>
      <c r="Y393" s="3" t="s">
        <v>55</v>
      </c>
      <c r="Z393" s="18" t="s">
        <v>55</v>
      </c>
      <c r="AA393" s="3">
        <v>3</v>
      </c>
      <c r="AB393" s="3">
        <v>3</v>
      </c>
      <c r="AC393" s="3">
        <v>0</v>
      </c>
      <c r="AD393" s="30">
        <v>46078</v>
      </c>
      <c r="AE393" s="28">
        <v>46085</v>
      </c>
      <c r="AF393" s="28" t="s">
        <v>55</v>
      </c>
      <c r="AG393" s="28">
        <v>46085</v>
      </c>
      <c r="AH393" s="3" t="s">
        <v>55</v>
      </c>
      <c r="AI393" s="33">
        <v>3</v>
      </c>
      <c r="AJ393" s="144" t="s">
        <v>1166</v>
      </c>
      <c r="AK393" s="48" t="s">
        <v>1347</v>
      </c>
      <c r="AL393" s="19">
        <f t="shared" si="47"/>
        <v>1</v>
      </c>
      <c r="AM393" s="67">
        <f>IFERROR(NETWORKDAYS(D393,Q393,Hoja1!$A$1:$A$29),"N/A")</f>
        <v>9</v>
      </c>
      <c r="AN393" s="21">
        <f>IFERROR(NETWORKDAYS(D393,AE393,Hoja1!$A$1:$A$29),"N/A")</f>
        <v>29</v>
      </c>
      <c r="AO393" s="272">
        <v>9</v>
      </c>
      <c r="AP393" s="21">
        <f t="shared" si="43"/>
        <v>20</v>
      </c>
      <c r="AQ393" s="21" t="str">
        <f>IFERROR(NETWORKDAYS(AF393,AG393,Hoja1!$A$1:$A$29),"N/A")</f>
        <v>N/A</v>
      </c>
      <c r="AR393" s="78">
        <v>0</v>
      </c>
      <c r="AS393" s="19" t="s">
        <v>82</v>
      </c>
      <c r="AT393" s="21">
        <f>IFERROR(NETWORKDAYS(D393,AG393,Hoja1!$A$1:$A$29),"N/A")</f>
        <v>29</v>
      </c>
      <c r="AU393" s="21">
        <f t="shared" si="44"/>
        <v>20</v>
      </c>
      <c r="AV393" s="143" t="s">
        <v>145</v>
      </c>
      <c r="AW393" s="143" t="s">
        <v>180</v>
      </c>
      <c r="AX393" s="1"/>
      <c r="AY393" s="1"/>
      <c r="AZ393" s="1"/>
      <c r="BA393" s="1"/>
      <c r="BB393" s="1"/>
    </row>
    <row r="394" spans="1:54" ht="15" customHeight="1" x14ac:dyDescent="0.25">
      <c r="A394" s="149">
        <v>15924</v>
      </c>
      <c r="B394" s="152" t="s">
        <v>85</v>
      </c>
      <c r="C394" s="152" t="s">
        <v>85</v>
      </c>
      <c r="D394" s="428">
        <v>46078</v>
      </c>
      <c r="E394" s="142">
        <v>46071</v>
      </c>
      <c r="F394" s="232" t="s">
        <v>62</v>
      </c>
      <c r="G394" s="84" t="s">
        <v>71</v>
      </c>
      <c r="H394" s="143" t="s">
        <v>51</v>
      </c>
      <c r="I394" s="27" t="s">
        <v>72</v>
      </c>
      <c r="J394" s="87" t="s">
        <v>73</v>
      </c>
      <c r="K394" s="84" t="s">
        <v>86</v>
      </c>
      <c r="L394" s="21">
        <v>1</v>
      </c>
      <c r="M394" s="87" t="s">
        <v>54</v>
      </c>
      <c r="N394" s="33" t="s">
        <v>55</v>
      </c>
      <c r="O394" s="33">
        <v>3</v>
      </c>
      <c r="P394" s="33" t="s">
        <v>56</v>
      </c>
      <c r="Q394" s="142">
        <v>46080</v>
      </c>
      <c r="R394" s="142">
        <v>46086</v>
      </c>
      <c r="S394" s="33">
        <v>3</v>
      </c>
      <c r="T394" s="33" t="s">
        <v>55</v>
      </c>
      <c r="U394" s="33" t="s">
        <v>55</v>
      </c>
      <c r="V394" s="33" t="s">
        <v>55</v>
      </c>
      <c r="W394" s="33" t="s">
        <v>55</v>
      </c>
      <c r="X394" s="33" t="s">
        <v>55</v>
      </c>
      <c r="Y394" s="33" t="s">
        <v>55</v>
      </c>
      <c r="Z394" s="18" t="s">
        <v>55</v>
      </c>
      <c r="AA394" s="33">
        <v>4</v>
      </c>
      <c r="AB394" s="33">
        <v>1</v>
      </c>
      <c r="AC394" s="33">
        <v>0</v>
      </c>
      <c r="AD394" s="28">
        <v>46092</v>
      </c>
      <c r="AE394" s="28">
        <v>46093</v>
      </c>
      <c r="AF394" s="28">
        <v>46097</v>
      </c>
      <c r="AG394" s="28">
        <v>46101</v>
      </c>
      <c r="AH394" s="140">
        <v>46106</v>
      </c>
      <c r="AI394" s="33">
        <f>MONTH(AH394)</f>
        <v>3</v>
      </c>
      <c r="AJ394" s="144" t="s">
        <v>1167</v>
      </c>
      <c r="AK394" s="35" t="s">
        <v>1348</v>
      </c>
      <c r="AL394" s="19">
        <f t="shared" si="47"/>
        <v>1</v>
      </c>
      <c r="AM394" s="67">
        <f>IFERROR(NETWORKDAYS(D394,Q394,Hoja1!$A$1:$A$29),"N/A")</f>
        <v>3</v>
      </c>
      <c r="AN394" s="21">
        <f>IFERROR(NETWORKDAYS(D394,AE394,Hoja1!$A$1:$A$29),"N/A")</f>
        <v>12</v>
      </c>
      <c r="AO394" s="78">
        <v>0</v>
      </c>
      <c r="AP394" s="21">
        <f t="shared" si="43"/>
        <v>12</v>
      </c>
      <c r="AQ394" s="21">
        <f>IFERROR(NETWORKDAYS(AF394,AG394,Hoja1!$A$1:$A$29),"N/A")</f>
        <v>5</v>
      </c>
      <c r="AR394" s="78">
        <v>0</v>
      </c>
      <c r="AS394" s="75">
        <f>AQ394-AR394</f>
        <v>5</v>
      </c>
      <c r="AT394" s="21">
        <f>IFERROR(NETWORKDAYS(D394,AG394,Hoja1!$A$1:$A$29),"N/A")</f>
        <v>18</v>
      </c>
      <c r="AU394" s="21">
        <f t="shared" si="44"/>
        <v>18</v>
      </c>
      <c r="AV394" s="143" t="s">
        <v>77</v>
      </c>
      <c r="AW394" s="143" t="s">
        <v>82</v>
      </c>
      <c r="AX394" s="87" t="s">
        <v>990</v>
      </c>
      <c r="AY394" s="87"/>
      <c r="AZ394" s="87"/>
      <c r="BA394" s="87"/>
      <c r="BB394" s="87"/>
    </row>
    <row r="395" spans="1:54" ht="15" customHeight="1" x14ac:dyDescent="0.25">
      <c r="A395" s="149">
        <v>15928</v>
      </c>
      <c r="B395" s="145" t="s">
        <v>169</v>
      </c>
      <c r="C395" s="145" t="s">
        <v>169</v>
      </c>
      <c r="D395" s="142">
        <v>46072</v>
      </c>
      <c r="E395" s="142">
        <v>46072</v>
      </c>
      <c r="F395" s="232" t="s">
        <v>62</v>
      </c>
      <c r="G395" s="84" t="s">
        <v>71</v>
      </c>
      <c r="H395" s="143" t="s">
        <v>101</v>
      </c>
      <c r="I395" s="145" t="s">
        <v>96</v>
      </c>
      <c r="J395" s="87" t="s">
        <v>73</v>
      </c>
      <c r="K395" s="84" t="s">
        <v>86</v>
      </c>
      <c r="L395" s="21">
        <v>1</v>
      </c>
      <c r="M395" s="87" t="s">
        <v>54</v>
      </c>
      <c r="N395" s="33" t="s">
        <v>55</v>
      </c>
      <c r="O395" s="33">
        <v>0</v>
      </c>
      <c r="P395" s="33"/>
      <c r="Q395" s="142" t="s">
        <v>55</v>
      </c>
      <c r="R395" s="142" t="s">
        <v>55</v>
      </c>
      <c r="S395" s="33">
        <v>0</v>
      </c>
      <c r="T395" s="33" t="s">
        <v>55</v>
      </c>
      <c r="U395" s="33" t="s">
        <v>55</v>
      </c>
      <c r="V395" s="33" t="s">
        <v>55</v>
      </c>
      <c r="W395" s="33" t="s">
        <v>55</v>
      </c>
      <c r="X395" s="33" t="s">
        <v>55</v>
      </c>
      <c r="Y395" s="33" t="s">
        <v>55</v>
      </c>
      <c r="Z395" s="33" t="s">
        <v>55</v>
      </c>
      <c r="AA395" s="33">
        <v>1</v>
      </c>
      <c r="AB395" s="33">
        <v>1</v>
      </c>
      <c r="AC395" s="33">
        <v>0</v>
      </c>
      <c r="AD395" s="28">
        <v>46078</v>
      </c>
      <c r="AE395" s="28">
        <v>46079</v>
      </c>
      <c r="AF395" s="28">
        <v>46080</v>
      </c>
      <c r="AG395" s="28">
        <v>46091</v>
      </c>
      <c r="AH395" s="38">
        <v>46093</v>
      </c>
      <c r="AI395" s="33">
        <f>MONTH(AH395)</f>
        <v>3</v>
      </c>
      <c r="AJ395" s="144" t="s">
        <v>1168</v>
      </c>
      <c r="AK395" s="35" t="s">
        <v>1169</v>
      </c>
      <c r="AL395" s="19" t="str">
        <f t="shared" si="47"/>
        <v>N/A</v>
      </c>
      <c r="AM395" s="67" t="str">
        <f>IFERROR(NETWORKDAYS(D395,Q395,Hoja1!$A$1:$A$29),"N/A")</f>
        <v>N/A</v>
      </c>
      <c r="AN395" s="21">
        <f>IFERROR(NETWORKDAYS(D395,AE395,Hoja1!$A$1:$A$29),"N/A")</f>
        <v>6</v>
      </c>
      <c r="AO395" s="78">
        <v>0</v>
      </c>
      <c r="AP395" s="21">
        <f t="shared" si="43"/>
        <v>6</v>
      </c>
      <c r="AQ395" s="21">
        <f>IFERROR(NETWORKDAYS(AF395,AG395,Hoja1!$A$1:$A$29),"N/A")</f>
        <v>8</v>
      </c>
      <c r="AR395" s="78">
        <v>3</v>
      </c>
      <c r="AS395" s="75">
        <f>AQ395-AR395</f>
        <v>5</v>
      </c>
      <c r="AT395" s="21">
        <f>IFERROR(NETWORKDAYS(D395,AG395,Hoja1!$A$1:$A$29),"N/A")</f>
        <v>14</v>
      </c>
      <c r="AU395" s="21">
        <f t="shared" si="44"/>
        <v>11</v>
      </c>
      <c r="AV395" s="143" t="s">
        <v>104</v>
      </c>
      <c r="AW395" s="143" t="s">
        <v>82</v>
      </c>
      <c r="AX395" s="87"/>
      <c r="AY395" s="87"/>
      <c r="AZ395" s="87"/>
      <c r="BA395" s="87"/>
      <c r="BB395" s="87"/>
    </row>
    <row r="396" spans="1:54" ht="15" customHeight="1" x14ac:dyDescent="0.25">
      <c r="A396" s="226">
        <v>15931</v>
      </c>
      <c r="B396" s="184" t="s">
        <v>69</v>
      </c>
      <c r="C396" s="112" t="s">
        <v>98</v>
      </c>
      <c r="D396" s="429">
        <v>46072</v>
      </c>
      <c r="E396" s="174">
        <v>46072</v>
      </c>
      <c r="F396" s="187" t="s">
        <v>879</v>
      </c>
      <c r="G396" s="185" t="s">
        <v>50</v>
      </c>
      <c r="H396" s="190" t="s">
        <v>1465</v>
      </c>
      <c r="I396" s="184" t="s">
        <v>1170</v>
      </c>
      <c r="J396" s="197" t="s">
        <v>52</v>
      </c>
      <c r="K396" s="184" t="s">
        <v>53</v>
      </c>
      <c r="L396" s="66">
        <v>1</v>
      </c>
      <c r="M396" s="200" t="s">
        <v>247</v>
      </c>
      <c r="N396" s="96" t="s">
        <v>55</v>
      </c>
      <c r="O396" s="96">
        <v>1</v>
      </c>
      <c r="P396" s="96" t="s">
        <v>112</v>
      </c>
      <c r="Q396" s="138">
        <v>46097</v>
      </c>
      <c r="R396" s="138">
        <v>46097</v>
      </c>
      <c r="S396" s="96">
        <v>1</v>
      </c>
      <c r="T396" s="96" t="s">
        <v>55</v>
      </c>
      <c r="U396" s="96" t="s">
        <v>55</v>
      </c>
      <c r="V396" s="96" t="s">
        <v>55</v>
      </c>
      <c r="W396" s="96" t="s">
        <v>55</v>
      </c>
      <c r="X396" s="96" t="s">
        <v>55</v>
      </c>
      <c r="Y396" s="96" t="s">
        <v>55</v>
      </c>
      <c r="Z396" s="175" t="s">
        <v>55</v>
      </c>
      <c r="AA396" s="96">
        <v>1</v>
      </c>
      <c r="AB396" s="96">
        <v>1</v>
      </c>
      <c r="AC396" s="96">
        <v>0</v>
      </c>
      <c r="AD396" s="138">
        <v>46111</v>
      </c>
      <c r="AE396" s="178">
        <v>46112</v>
      </c>
      <c r="AF396" s="178" t="s">
        <v>55</v>
      </c>
      <c r="AG396" s="178">
        <v>46112</v>
      </c>
      <c r="AH396" s="96" t="s">
        <v>55</v>
      </c>
      <c r="AI396" s="99">
        <v>3</v>
      </c>
      <c r="AJ396" s="227" t="s">
        <v>1171</v>
      </c>
      <c r="AK396" s="185" t="s">
        <v>1172</v>
      </c>
      <c r="AL396" s="19">
        <f t="shared" si="47"/>
        <v>1</v>
      </c>
      <c r="AM396" s="67">
        <f>IFERROR(NETWORKDAYS(D396,Q396,Hoja1!$A$1:$A$29),"N/A")</f>
        <v>18</v>
      </c>
      <c r="AN396" s="21">
        <f>IFERROR(NETWORKDAYS(D396,AE396,Hoja1!$A$1:$A$29),"N/A")</f>
        <v>28</v>
      </c>
      <c r="AO396" s="273">
        <v>6</v>
      </c>
      <c r="AP396" s="66">
        <f t="shared" si="43"/>
        <v>22</v>
      </c>
      <c r="AQ396" s="21" t="str">
        <f>IFERROR(NETWORKDAYS(AF396,AG396,Hoja1!$A$1:$A$29),"N/A")</f>
        <v>N/A</v>
      </c>
      <c r="AR396" s="65">
        <v>0</v>
      </c>
      <c r="AS396" s="105" t="s">
        <v>82</v>
      </c>
      <c r="AT396" s="21">
        <f>IFERROR(NETWORKDAYS(D396,AG396,Hoja1!$A$1:$A$29),"N/A")</f>
        <v>28</v>
      </c>
      <c r="AU396" s="66">
        <f t="shared" si="44"/>
        <v>22</v>
      </c>
      <c r="AV396" s="176" t="s">
        <v>145</v>
      </c>
      <c r="AW396" s="176" t="s">
        <v>180</v>
      </c>
      <c r="AX396" s="106"/>
      <c r="AY396" s="106"/>
      <c r="AZ396" s="106"/>
      <c r="BA396" s="106"/>
      <c r="BB396" s="106"/>
    </row>
    <row r="397" spans="1:54" ht="15" customHeight="1" x14ac:dyDescent="0.25">
      <c r="A397" s="54">
        <v>15932</v>
      </c>
      <c r="B397" s="87" t="s">
        <v>69</v>
      </c>
      <c r="C397" s="43" t="s">
        <v>98</v>
      </c>
      <c r="D397" s="142">
        <v>46072</v>
      </c>
      <c r="E397" s="142">
        <v>46072</v>
      </c>
      <c r="F397" s="202" t="s">
        <v>879</v>
      </c>
      <c r="G397" s="48" t="s">
        <v>50</v>
      </c>
      <c r="H397" s="143" t="s">
        <v>51</v>
      </c>
      <c r="I397" s="87" t="s">
        <v>885</v>
      </c>
      <c r="J397" s="84" t="s">
        <v>52</v>
      </c>
      <c r="K397" s="87" t="s">
        <v>53</v>
      </c>
      <c r="L397" s="21">
        <v>1</v>
      </c>
      <c r="M397" s="87" t="s">
        <v>54</v>
      </c>
      <c r="N397" s="3" t="s">
        <v>55</v>
      </c>
      <c r="O397" s="3">
        <v>6</v>
      </c>
      <c r="P397" s="33" t="s">
        <v>56</v>
      </c>
      <c r="Q397" s="30">
        <v>46084</v>
      </c>
      <c r="R397" s="30">
        <v>46084</v>
      </c>
      <c r="S397" s="3">
        <v>6</v>
      </c>
      <c r="T397" s="3" t="s">
        <v>55</v>
      </c>
      <c r="U397" s="3" t="s">
        <v>55</v>
      </c>
      <c r="V397" s="3" t="s">
        <v>55</v>
      </c>
      <c r="W397" s="3" t="s">
        <v>55</v>
      </c>
      <c r="X397" s="3" t="s">
        <v>55</v>
      </c>
      <c r="Y397" s="3" t="s">
        <v>55</v>
      </c>
      <c r="Z397" s="18" t="s">
        <v>55</v>
      </c>
      <c r="AA397" s="3">
        <v>1</v>
      </c>
      <c r="AB397" s="3">
        <v>1</v>
      </c>
      <c r="AC397" s="3">
        <v>0</v>
      </c>
      <c r="AD397" s="30">
        <v>46090</v>
      </c>
      <c r="AE397" s="28">
        <v>46091</v>
      </c>
      <c r="AF397" s="28">
        <v>46092</v>
      </c>
      <c r="AG397" s="28">
        <v>46100</v>
      </c>
      <c r="AH397" s="30">
        <v>46100</v>
      </c>
      <c r="AI397" s="33">
        <f t="shared" ref="AI397:AI417" si="48">MONTH(AH397)</f>
        <v>3</v>
      </c>
      <c r="AJ397" s="144" t="s">
        <v>1173</v>
      </c>
      <c r="AK397" s="35" t="s">
        <v>1174</v>
      </c>
      <c r="AL397" s="19">
        <f t="shared" si="47"/>
        <v>1</v>
      </c>
      <c r="AM397" s="67">
        <f>IFERROR(NETWORKDAYS(D397,Q397,Hoja1!$A$1:$A$29),"N/A")</f>
        <v>9</v>
      </c>
      <c r="AN397" s="21">
        <f>IFERROR(NETWORKDAYS(D397,AE397,Hoja1!$A$1:$A$29),"N/A")</f>
        <v>14</v>
      </c>
      <c r="AO397" s="78">
        <v>0</v>
      </c>
      <c r="AP397" s="21">
        <f t="shared" si="43"/>
        <v>14</v>
      </c>
      <c r="AQ397" s="21">
        <f>IFERROR(NETWORKDAYS(AF397,AG397,Hoja1!$A$1:$A$29),"N/A")</f>
        <v>7</v>
      </c>
      <c r="AR397" s="78">
        <v>2</v>
      </c>
      <c r="AS397" s="75">
        <f t="shared" ref="AS397:AS417" si="49">AQ397-AR397</f>
        <v>5</v>
      </c>
      <c r="AT397" s="21">
        <f>IFERROR(NETWORKDAYS(D397,AG397,Hoja1!$A$1:$A$29),"N/A")</f>
        <v>21</v>
      </c>
      <c r="AU397" s="21">
        <f t="shared" si="44"/>
        <v>19</v>
      </c>
      <c r="AV397" s="143" t="s">
        <v>104</v>
      </c>
      <c r="AW397" s="143" t="s">
        <v>1175</v>
      </c>
      <c r="AX397" s="87"/>
      <c r="AY397" s="87"/>
      <c r="AZ397" s="87"/>
      <c r="BA397" s="87"/>
      <c r="BB397" s="87"/>
    </row>
    <row r="398" spans="1:54" ht="15" customHeight="1" x14ac:dyDescent="0.25">
      <c r="A398" s="54">
        <v>15933</v>
      </c>
      <c r="B398" s="87" t="s">
        <v>79</v>
      </c>
      <c r="C398" s="87" t="s">
        <v>79</v>
      </c>
      <c r="D398" s="428">
        <v>46073</v>
      </c>
      <c r="E398" s="142">
        <v>46072</v>
      </c>
      <c r="F398" s="84" t="s">
        <v>62</v>
      </c>
      <c r="G398" s="87" t="s">
        <v>80</v>
      </c>
      <c r="H398" s="143" t="s">
        <v>101</v>
      </c>
      <c r="I398" s="87" t="s">
        <v>92</v>
      </c>
      <c r="J398" s="84" t="s">
        <v>52</v>
      </c>
      <c r="K398" s="87" t="s">
        <v>74</v>
      </c>
      <c r="L398" s="21">
        <v>1</v>
      </c>
      <c r="M398" s="87" t="s">
        <v>54</v>
      </c>
      <c r="N398" s="2" t="s">
        <v>55</v>
      </c>
      <c r="O398" s="3">
        <v>0</v>
      </c>
      <c r="P398" s="33"/>
      <c r="Q398" s="18" t="s">
        <v>55</v>
      </c>
      <c r="R398" s="18" t="s">
        <v>55</v>
      </c>
      <c r="S398" s="3">
        <v>0</v>
      </c>
      <c r="T398" s="18" t="s">
        <v>55</v>
      </c>
      <c r="U398" s="18" t="s">
        <v>55</v>
      </c>
      <c r="V398" s="18" t="s">
        <v>55</v>
      </c>
      <c r="W398" s="18" t="s">
        <v>55</v>
      </c>
      <c r="X398" s="18" t="s">
        <v>55</v>
      </c>
      <c r="Y398" s="18" t="s">
        <v>55</v>
      </c>
      <c r="Z398" s="18" t="s">
        <v>55</v>
      </c>
      <c r="AA398" s="3">
        <v>1</v>
      </c>
      <c r="AB398" s="3">
        <v>1</v>
      </c>
      <c r="AC398" s="3">
        <v>0</v>
      </c>
      <c r="AD398" s="28">
        <v>46085</v>
      </c>
      <c r="AE398" s="28">
        <v>46085</v>
      </c>
      <c r="AF398" s="28">
        <v>46085</v>
      </c>
      <c r="AG398" s="28">
        <v>46092</v>
      </c>
      <c r="AH398" s="28">
        <v>46093</v>
      </c>
      <c r="AI398" s="33">
        <f t="shared" si="48"/>
        <v>3</v>
      </c>
      <c r="AJ398" s="144" t="s">
        <v>1176</v>
      </c>
      <c r="AK398" s="35" t="s">
        <v>1177</v>
      </c>
      <c r="AL398" s="19" t="str">
        <f t="shared" si="47"/>
        <v>N/A</v>
      </c>
      <c r="AM398" s="67" t="str">
        <f>IFERROR(NETWORKDAYS(D398,Q398,Hoja1!$A$1:$A$29),"N/A")</f>
        <v>N/A</v>
      </c>
      <c r="AN398" s="21">
        <f>IFERROR(NETWORKDAYS(D398,AE398,Hoja1!$A$1:$A$29),"N/A")</f>
        <v>9</v>
      </c>
      <c r="AO398" s="78">
        <v>4</v>
      </c>
      <c r="AP398" s="21">
        <f t="shared" si="43"/>
        <v>5</v>
      </c>
      <c r="AQ398" s="21">
        <f>IFERROR(NETWORKDAYS(AF398,AG398,Hoja1!$A$1:$A$29),"N/A")</f>
        <v>6</v>
      </c>
      <c r="AR398" s="78">
        <v>1</v>
      </c>
      <c r="AS398" s="75">
        <f t="shared" si="49"/>
        <v>5</v>
      </c>
      <c r="AT398" s="21">
        <f>IFERROR(NETWORKDAYS(D398,AG398,Hoja1!$A$1:$A$29),"N/A")</f>
        <v>14</v>
      </c>
      <c r="AU398" s="21">
        <f t="shared" si="44"/>
        <v>9</v>
      </c>
      <c r="AV398" s="143" t="s">
        <v>104</v>
      </c>
      <c r="AW398" s="143" t="s">
        <v>1178</v>
      </c>
      <c r="AX398" s="87"/>
      <c r="AY398" s="87"/>
      <c r="AZ398" s="87"/>
      <c r="BA398" s="87"/>
      <c r="BB398" s="87"/>
    </row>
    <row r="399" spans="1:54" ht="15" customHeight="1" x14ac:dyDescent="0.25">
      <c r="A399" s="54">
        <v>15934</v>
      </c>
      <c r="B399" s="87" t="s">
        <v>79</v>
      </c>
      <c r="C399" s="87" t="s">
        <v>79</v>
      </c>
      <c r="D399" s="142">
        <v>46073</v>
      </c>
      <c r="E399" s="142">
        <v>46073</v>
      </c>
      <c r="F399" s="84" t="s">
        <v>62</v>
      </c>
      <c r="G399" s="87" t="s">
        <v>80</v>
      </c>
      <c r="H399" s="143" t="s">
        <v>101</v>
      </c>
      <c r="I399" s="152" t="s">
        <v>899</v>
      </c>
      <c r="J399" s="84" t="s">
        <v>52</v>
      </c>
      <c r="K399" s="87" t="s">
        <v>74</v>
      </c>
      <c r="L399" s="21">
        <v>1</v>
      </c>
      <c r="M399" s="87" t="s">
        <v>54</v>
      </c>
      <c r="N399" s="18" t="s">
        <v>55</v>
      </c>
      <c r="O399" s="3">
        <v>0</v>
      </c>
      <c r="P399" s="33"/>
      <c r="Q399" s="2" t="s">
        <v>55</v>
      </c>
      <c r="R399" s="2" t="s">
        <v>55</v>
      </c>
      <c r="S399" s="3">
        <v>0</v>
      </c>
      <c r="T399" s="18" t="s">
        <v>55</v>
      </c>
      <c r="U399" s="18" t="s">
        <v>55</v>
      </c>
      <c r="V399" s="18" t="s">
        <v>55</v>
      </c>
      <c r="W399" s="18" t="s">
        <v>55</v>
      </c>
      <c r="X399" s="18" t="s">
        <v>55</v>
      </c>
      <c r="Y399" s="18" t="s">
        <v>55</v>
      </c>
      <c r="Z399" s="18" t="s">
        <v>55</v>
      </c>
      <c r="AA399" s="3">
        <v>1</v>
      </c>
      <c r="AB399" s="3">
        <v>1</v>
      </c>
      <c r="AC399" s="3">
        <v>0</v>
      </c>
      <c r="AD399" s="148">
        <v>46076</v>
      </c>
      <c r="AE399" s="148">
        <v>46076</v>
      </c>
      <c r="AF399" s="148">
        <v>46076</v>
      </c>
      <c r="AG399" s="28">
        <v>46080</v>
      </c>
      <c r="AH399" s="38">
        <v>46083</v>
      </c>
      <c r="AI399" s="33">
        <f t="shared" si="48"/>
        <v>3</v>
      </c>
      <c r="AJ399" s="144" t="s">
        <v>1179</v>
      </c>
      <c r="AK399" s="35" t="s">
        <v>1180</v>
      </c>
      <c r="AL399" s="19" t="str">
        <f t="shared" si="47"/>
        <v>N/A</v>
      </c>
      <c r="AM399" s="67" t="str">
        <f>IFERROR(NETWORKDAYS(D399,Q399,Hoja1!$A$1:$A$29),"N/A")</f>
        <v>N/A</v>
      </c>
      <c r="AN399" s="21">
        <f>IFERROR(NETWORKDAYS(D399,AE399,Hoja1!$A$1:$A$29),"N/A")</f>
        <v>2</v>
      </c>
      <c r="AO399" s="78">
        <v>0</v>
      </c>
      <c r="AP399" s="21">
        <f t="shared" si="43"/>
        <v>2</v>
      </c>
      <c r="AQ399" s="21">
        <f>IFERROR(NETWORKDAYS(AF399,AG399,Hoja1!$A$1:$A$29),"N/A")</f>
        <v>5</v>
      </c>
      <c r="AR399" s="78">
        <v>0</v>
      </c>
      <c r="AS399" s="75">
        <f t="shared" si="49"/>
        <v>5</v>
      </c>
      <c r="AT399" s="21">
        <f>IFERROR(NETWORKDAYS(D399,AG399,Hoja1!$A$1:$A$29),"N/A")</f>
        <v>6</v>
      </c>
      <c r="AU399" s="21">
        <f t="shared" si="44"/>
        <v>6</v>
      </c>
      <c r="AV399" s="143" t="s">
        <v>104</v>
      </c>
      <c r="AW399" s="143" t="s">
        <v>888</v>
      </c>
      <c r="AX399" s="87"/>
      <c r="AY399" s="87"/>
      <c r="AZ399" s="87"/>
      <c r="BA399" s="87"/>
      <c r="BB399" s="87"/>
    </row>
    <row r="400" spans="1:54" ht="15" customHeight="1" x14ac:dyDescent="0.25">
      <c r="A400" s="55">
        <v>15937</v>
      </c>
      <c r="B400" s="48" t="s">
        <v>49</v>
      </c>
      <c r="C400" s="48" t="s">
        <v>49</v>
      </c>
      <c r="D400" s="428">
        <v>46073</v>
      </c>
      <c r="E400" s="142">
        <v>46073</v>
      </c>
      <c r="F400" s="232" t="s">
        <v>90</v>
      </c>
      <c r="G400" s="48" t="s">
        <v>91</v>
      </c>
      <c r="H400" s="143" t="s">
        <v>101</v>
      </c>
      <c r="I400" s="111" t="s">
        <v>882</v>
      </c>
      <c r="J400" s="84" t="s">
        <v>52</v>
      </c>
      <c r="K400" s="84" t="s">
        <v>171</v>
      </c>
      <c r="L400" s="21">
        <v>1</v>
      </c>
      <c r="M400" s="87" t="s">
        <v>54</v>
      </c>
      <c r="N400" s="3" t="s">
        <v>55</v>
      </c>
      <c r="O400" s="3">
        <v>0</v>
      </c>
      <c r="P400" s="3"/>
      <c r="Q400" s="3" t="s">
        <v>55</v>
      </c>
      <c r="R400" s="3" t="s">
        <v>55</v>
      </c>
      <c r="S400" s="3">
        <v>0</v>
      </c>
      <c r="T400" s="3" t="s">
        <v>55</v>
      </c>
      <c r="U400" s="3" t="s">
        <v>55</v>
      </c>
      <c r="V400" s="3" t="s">
        <v>55</v>
      </c>
      <c r="W400" s="3" t="s">
        <v>55</v>
      </c>
      <c r="X400" s="3" t="s">
        <v>55</v>
      </c>
      <c r="Y400" s="3" t="s">
        <v>55</v>
      </c>
      <c r="Z400" s="3" t="s">
        <v>55</v>
      </c>
      <c r="AA400" s="2">
        <v>1</v>
      </c>
      <c r="AB400" s="2">
        <v>1</v>
      </c>
      <c r="AC400" s="3">
        <v>0</v>
      </c>
      <c r="AD400" s="104">
        <v>46078</v>
      </c>
      <c r="AE400" s="104">
        <v>46078</v>
      </c>
      <c r="AF400" s="28">
        <v>46085</v>
      </c>
      <c r="AG400" s="28">
        <v>46091</v>
      </c>
      <c r="AH400" s="140">
        <v>46093</v>
      </c>
      <c r="AI400" s="33">
        <f t="shared" si="48"/>
        <v>3</v>
      </c>
      <c r="AJ400" s="144" t="s">
        <v>1181</v>
      </c>
      <c r="AK400" s="146" t="s">
        <v>1182</v>
      </c>
      <c r="AL400" s="19" t="str">
        <f t="shared" si="47"/>
        <v>N/A</v>
      </c>
      <c r="AM400" s="67" t="str">
        <f>IFERROR(NETWORKDAYS(D400,Q400,Hoja1!$A$1:$A$29),"N/A")</f>
        <v>N/A</v>
      </c>
      <c r="AN400" s="21">
        <f>IFERROR(NETWORKDAYS(D400,AE400,Hoja1!$A$1:$A$29),"N/A")</f>
        <v>4</v>
      </c>
      <c r="AO400" s="78">
        <v>0</v>
      </c>
      <c r="AP400" s="21">
        <f t="shared" ref="AP400:AP409" si="50">AN400-AO400</f>
        <v>4</v>
      </c>
      <c r="AQ400" s="21">
        <f>IFERROR(NETWORKDAYS(AF400,AG400,Hoja1!$A$1:$A$29),"N/A")</f>
        <v>5</v>
      </c>
      <c r="AR400" s="78">
        <v>0</v>
      </c>
      <c r="AS400" s="75">
        <f t="shared" si="49"/>
        <v>5</v>
      </c>
      <c r="AT400" s="21">
        <f>IFERROR(NETWORKDAYS(D400,AG400,Hoja1!$A$1:$A$29),"N/A")</f>
        <v>13</v>
      </c>
      <c r="AU400" s="21">
        <f t="shared" si="44"/>
        <v>13</v>
      </c>
      <c r="AV400" s="143" t="s">
        <v>104</v>
      </c>
      <c r="AW400" s="143" t="s">
        <v>1129</v>
      </c>
      <c r="AX400" s="111"/>
      <c r="AY400" s="111"/>
      <c r="AZ400" s="111"/>
      <c r="BA400" s="111"/>
      <c r="BB400" s="111"/>
    </row>
    <row r="401" spans="1:54" ht="15" customHeight="1" x14ac:dyDescent="0.25">
      <c r="A401" s="54">
        <v>15939</v>
      </c>
      <c r="B401" s="87" t="s">
        <v>79</v>
      </c>
      <c r="C401" s="87" t="s">
        <v>79</v>
      </c>
      <c r="D401" s="142">
        <v>46065</v>
      </c>
      <c r="E401" s="142">
        <v>46073</v>
      </c>
      <c r="F401" s="84" t="s">
        <v>62</v>
      </c>
      <c r="G401" s="48" t="s">
        <v>71</v>
      </c>
      <c r="H401" s="143" t="s">
        <v>51</v>
      </c>
      <c r="I401" s="27" t="s">
        <v>72</v>
      </c>
      <c r="J401" s="87" t="s">
        <v>73</v>
      </c>
      <c r="K401" s="87" t="s">
        <v>74</v>
      </c>
      <c r="L401" s="21">
        <v>1</v>
      </c>
      <c r="M401" s="87" t="s">
        <v>54</v>
      </c>
      <c r="N401" s="2" t="s">
        <v>55</v>
      </c>
      <c r="O401" s="3">
        <v>3</v>
      </c>
      <c r="P401" s="3" t="s">
        <v>112</v>
      </c>
      <c r="Q401" s="30">
        <v>46066</v>
      </c>
      <c r="R401" s="44">
        <v>46070</v>
      </c>
      <c r="S401" s="3">
        <v>3</v>
      </c>
      <c r="T401" s="18" t="s">
        <v>55</v>
      </c>
      <c r="U401" s="18" t="s">
        <v>55</v>
      </c>
      <c r="V401" s="18" t="s">
        <v>55</v>
      </c>
      <c r="W401" s="18" t="s">
        <v>55</v>
      </c>
      <c r="X401" s="18" t="s">
        <v>55</v>
      </c>
      <c r="Y401" s="18" t="s">
        <v>55</v>
      </c>
      <c r="Z401" s="18" t="s">
        <v>55</v>
      </c>
      <c r="AA401" s="3">
        <v>1</v>
      </c>
      <c r="AB401" s="3">
        <v>1</v>
      </c>
      <c r="AC401" s="3">
        <v>0</v>
      </c>
      <c r="AD401" s="28">
        <v>46073</v>
      </c>
      <c r="AE401" s="28">
        <v>46073</v>
      </c>
      <c r="AF401" s="28">
        <v>46073</v>
      </c>
      <c r="AG401" s="28">
        <v>46079</v>
      </c>
      <c r="AH401" s="38">
        <v>46083</v>
      </c>
      <c r="AI401" s="33">
        <f t="shared" si="48"/>
        <v>3</v>
      </c>
      <c r="AJ401" s="144" t="s">
        <v>1183</v>
      </c>
      <c r="AK401" s="35" t="s">
        <v>1184</v>
      </c>
      <c r="AL401" s="19">
        <f t="shared" si="47"/>
        <v>1</v>
      </c>
      <c r="AM401" s="67">
        <f>IFERROR(NETWORKDAYS(D401,Q401,Hoja1!$A$1:$A$29),"N/A")</f>
        <v>2</v>
      </c>
      <c r="AN401" s="21">
        <f>IFERROR(NETWORKDAYS(D401,AE401,Hoja1!$A$1:$A$29),"N/A")</f>
        <v>7</v>
      </c>
      <c r="AO401" s="78">
        <v>0</v>
      </c>
      <c r="AP401" s="21">
        <f t="shared" si="50"/>
        <v>7</v>
      </c>
      <c r="AQ401" s="21">
        <f>IFERROR(NETWORKDAYS(AF401,AG401,Hoja1!$A$1:$A$29),"N/A")</f>
        <v>5</v>
      </c>
      <c r="AR401" s="78">
        <v>0</v>
      </c>
      <c r="AS401" s="75">
        <f t="shared" si="49"/>
        <v>5</v>
      </c>
      <c r="AT401" s="21">
        <f>IFERROR(NETWORKDAYS(D401,AG401,Hoja1!$A$1:$A$29),"N/A")</f>
        <v>11</v>
      </c>
      <c r="AU401" s="21">
        <f t="shared" si="44"/>
        <v>11</v>
      </c>
      <c r="AV401" s="143" t="s">
        <v>77</v>
      </c>
      <c r="AW401" s="49" t="s">
        <v>82</v>
      </c>
      <c r="AX401" s="87"/>
      <c r="AY401" s="87"/>
      <c r="AZ401" s="87"/>
      <c r="BA401" s="87"/>
      <c r="BB401" s="87"/>
    </row>
    <row r="402" spans="1:54" ht="15" customHeight="1" x14ac:dyDescent="0.25">
      <c r="A402" s="54">
        <v>15946</v>
      </c>
      <c r="B402" s="87" t="s">
        <v>79</v>
      </c>
      <c r="C402" s="87" t="s">
        <v>79</v>
      </c>
      <c r="D402" s="428">
        <v>46073</v>
      </c>
      <c r="E402" s="142">
        <v>46073</v>
      </c>
      <c r="F402" s="84" t="s">
        <v>62</v>
      </c>
      <c r="G402" s="87" t="s">
        <v>80</v>
      </c>
      <c r="H402" s="143" t="s">
        <v>101</v>
      </c>
      <c r="I402" s="87" t="s">
        <v>92</v>
      </c>
      <c r="J402" s="84" t="s">
        <v>52</v>
      </c>
      <c r="K402" s="87" t="s">
        <v>74</v>
      </c>
      <c r="L402" s="21">
        <v>1</v>
      </c>
      <c r="M402" s="87" t="s">
        <v>54</v>
      </c>
      <c r="N402" s="2" t="s">
        <v>55</v>
      </c>
      <c r="O402" s="3">
        <v>0</v>
      </c>
      <c r="P402" s="33"/>
      <c r="Q402" s="18" t="s">
        <v>55</v>
      </c>
      <c r="R402" s="18" t="s">
        <v>55</v>
      </c>
      <c r="S402" s="3">
        <v>0</v>
      </c>
      <c r="T402" s="18" t="s">
        <v>55</v>
      </c>
      <c r="U402" s="18" t="s">
        <v>55</v>
      </c>
      <c r="V402" s="18" t="s">
        <v>55</v>
      </c>
      <c r="W402" s="18" t="s">
        <v>55</v>
      </c>
      <c r="X402" s="18" t="s">
        <v>55</v>
      </c>
      <c r="Y402" s="18" t="s">
        <v>55</v>
      </c>
      <c r="Z402" s="18" t="s">
        <v>55</v>
      </c>
      <c r="AA402" s="3">
        <v>1</v>
      </c>
      <c r="AB402" s="3">
        <v>1</v>
      </c>
      <c r="AC402" s="3">
        <v>0</v>
      </c>
      <c r="AD402" s="28">
        <v>46093</v>
      </c>
      <c r="AE402" s="28">
        <v>46093</v>
      </c>
      <c r="AF402" s="28">
        <v>46093</v>
      </c>
      <c r="AG402" s="28">
        <v>46101</v>
      </c>
      <c r="AH402" s="140">
        <v>46106</v>
      </c>
      <c r="AI402" s="33">
        <f t="shared" si="48"/>
        <v>3</v>
      </c>
      <c r="AJ402" s="144" t="s">
        <v>1185</v>
      </c>
      <c r="AK402" s="35" t="s">
        <v>1186</v>
      </c>
      <c r="AL402" s="19" t="str">
        <f t="shared" si="47"/>
        <v>N/A</v>
      </c>
      <c r="AM402" s="67" t="str">
        <f>IFERROR(NETWORKDAYS(D402,Q402,Hoja1!$A$1:$A$29),"N/A")</f>
        <v>N/A</v>
      </c>
      <c r="AN402" s="21">
        <f>IFERROR(NETWORKDAYS(D402,AE402,Hoja1!$A$1:$A$29),"N/A")</f>
        <v>15</v>
      </c>
      <c r="AO402" s="78">
        <v>4</v>
      </c>
      <c r="AP402" s="21">
        <f t="shared" si="50"/>
        <v>11</v>
      </c>
      <c r="AQ402" s="21">
        <f>IFERROR(NETWORKDAYS(AF402,AG402,Hoja1!$A$1:$A$29),"N/A")</f>
        <v>7</v>
      </c>
      <c r="AR402" s="78">
        <v>2</v>
      </c>
      <c r="AS402" s="75">
        <f t="shared" si="49"/>
        <v>5</v>
      </c>
      <c r="AT402" s="21">
        <f>IFERROR(NETWORKDAYS(D402,AG402,Hoja1!$A$1:$A$29),"N/A")</f>
        <v>21</v>
      </c>
      <c r="AU402" s="21">
        <f t="shared" si="44"/>
        <v>15</v>
      </c>
      <c r="AV402" s="143" t="s">
        <v>104</v>
      </c>
      <c r="AW402" s="143" t="s">
        <v>1187</v>
      </c>
      <c r="AX402" s="87" t="s">
        <v>871</v>
      </c>
      <c r="AY402" s="87"/>
      <c r="AZ402" s="87"/>
      <c r="BA402" s="87"/>
      <c r="BB402" s="87"/>
    </row>
    <row r="403" spans="1:54" ht="15" customHeight="1" x14ac:dyDescent="0.25">
      <c r="A403" s="56">
        <v>15948</v>
      </c>
      <c r="B403" s="87" t="s">
        <v>79</v>
      </c>
      <c r="C403" s="87" t="s">
        <v>79</v>
      </c>
      <c r="D403" s="142">
        <v>46064</v>
      </c>
      <c r="E403" s="142">
        <v>46076</v>
      </c>
      <c r="F403" s="202" t="s">
        <v>879</v>
      </c>
      <c r="G403" s="48" t="s">
        <v>50</v>
      </c>
      <c r="H403" s="143" t="s">
        <v>51</v>
      </c>
      <c r="I403" s="48" t="s">
        <v>1188</v>
      </c>
      <c r="J403" s="87" t="s">
        <v>625</v>
      </c>
      <c r="K403" s="48" t="s">
        <v>106</v>
      </c>
      <c r="L403" s="21">
        <v>1</v>
      </c>
      <c r="M403" s="87" t="s">
        <v>54</v>
      </c>
      <c r="N403" s="18" t="s">
        <v>55</v>
      </c>
      <c r="O403" s="3">
        <v>8</v>
      </c>
      <c r="P403" s="3" t="s">
        <v>112</v>
      </c>
      <c r="Q403" s="30">
        <v>46066</v>
      </c>
      <c r="R403" s="30">
        <v>46066</v>
      </c>
      <c r="S403" s="3">
        <v>8</v>
      </c>
      <c r="T403" s="18" t="s">
        <v>55</v>
      </c>
      <c r="U403" s="18" t="s">
        <v>55</v>
      </c>
      <c r="V403" s="18" t="s">
        <v>55</v>
      </c>
      <c r="W403" s="18" t="s">
        <v>55</v>
      </c>
      <c r="X403" s="18" t="s">
        <v>55</v>
      </c>
      <c r="Y403" s="18" t="s">
        <v>55</v>
      </c>
      <c r="Z403" s="18" t="s">
        <v>55</v>
      </c>
      <c r="AA403" s="3">
        <v>3</v>
      </c>
      <c r="AB403" s="3">
        <v>3</v>
      </c>
      <c r="AC403" s="3">
        <v>0</v>
      </c>
      <c r="AD403" s="104">
        <v>46076</v>
      </c>
      <c r="AE403" s="104">
        <v>46076</v>
      </c>
      <c r="AF403" s="28">
        <v>46079</v>
      </c>
      <c r="AG403" s="28">
        <v>46086</v>
      </c>
      <c r="AH403" s="37">
        <v>46093</v>
      </c>
      <c r="AI403" s="33">
        <f t="shared" si="48"/>
        <v>3</v>
      </c>
      <c r="AJ403" s="144" t="s">
        <v>1189</v>
      </c>
      <c r="AK403" s="35" t="s">
        <v>1190</v>
      </c>
      <c r="AL403" s="19">
        <f t="shared" si="47"/>
        <v>1</v>
      </c>
      <c r="AM403" s="67">
        <f>IFERROR(NETWORKDAYS(D403,Q403,Hoja1!$A$1:$A$29),"N/A")</f>
        <v>3</v>
      </c>
      <c r="AN403" s="21">
        <f>IFERROR(NETWORKDAYS(D403,AE403,Hoja1!$A$1:$A$29),"N/A")</f>
        <v>9</v>
      </c>
      <c r="AO403" s="78">
        <v>0</v>
      </c>
      <c r="AP403" s="21">
        <f t="shared" si="50"/>
        <v>9</v>
      </c>
      <c r="AQ403" s="21">
        <f>IFERROR(NETWORKDAYS(AF403,AG403,Hoja1!$A$1:$A$29),"N/A")</f>
        <v>6</v>
      </c>
      <c r="AR403" s="78">
        <v>0</v>
      </c>
      <c r="AS403" s="75">
        <f t="shared" si="49"/>
        <v>6</v>
      </c>
      <c r="AT403" s="21">
        <f>IFERROR(NETWORKDAYS(D403,AG403,Hoja1!$A$1:$A$29),"N/A")</f>
        <v>17</v>
      </c>
      <c r="AU403" s="21">
        <f t="shared" si="44"/>
        <v>17</v>
      </c>
      <c r="AV403" s="143" t="s">
        <v>419</v>
      </c>
      <c r="AW403" s="143" t="s">
        <v>1191</v>
      </c>
      <c r="AX403" s="87" t="s">
        <v>445</v>
      </c>
      <c r="AY403" s="87"/>
      <c r="AZ403" s="87"/>
      <c r="BA403" s="87"/>
      <c r="BB403" s="87"/>
    </row>
    <row r="404" spans="1:54" ht="15" customHeight="1" x14ac:dyDescent="0.25">
      <c r="A404" s="95">
        <v>15951</v>
      </c>
      <c r="B404" s="152" t="s">
        <v>85</v>
      </c>
      <c r="C404" s="152" t="s">
        <v>85</v>
      </c>
      <c r="D404" s="428">
        <v>46076</v>
      </c>
      <c r="E404" s="142">
        <v>46076</v>
      </c>
      <c r="F404" s="114" t="s">
        <v>163</v>
      </c>
      <c r="G404" s="84" t="s">
        <v>688</v>
      </c>
      <c r="H404" s="143" t="s">
        <v>51</v>
      </c>
      <c r="I404" s="84" t="s">
        <v>276</v>
      </c>
      <c r="J404" s="84" t="s">
        <v>52</v>
      </c>
      <c r="K404" s="27" t="s">
        <v>165</v>
      </c>
      <c r="L404" s="21">
        <v>1</v>
      </c>
      <c r="M404" s="87" t="s">
        <v>54</v>
      </c>
      <c r="N404" s="3" t="s">
        <v>55</v>
      </c>
      <c r="O404" s="3">
        <v>4</v>
      </c>
      <c r="P404" s="3" t="s">
        <v>112</v>
      </c>
      <c r="Q404" s="104">
        <v>46079</v>
      </c>
      <c r="R404" s="147">
        <v>46084</v>
      </c>
      <c r="S404" s="3">
        <v>4</v>
      </c>
      <c r="T404" s="3" t="s">
        <v>55</v>
      </c>
      <c r="U404" s="3" t="s">
        <v>55</v>
      </c>
      <c r="V404" s="3" t="s">
        <v>55</v>
      </c>
      <c r="W404" s="3" t="s">
        <v>55</v>
      </c>
      <c r="X404" s="3" t="s">
        <v>55</v>
      </c>
      <c r="Y404" s="3" t="s">
        <v>55</v>
      </c>
      <c r="Z404" s="3" t="s">
        <v>55</v>
      </c>
      <c r="AA404" s="33">
        <v>1</v>
      </c>
      <c r="AB404" s="33">
        <v>1</v>
      </c>
      <c r="AC404" s="3">
        <v>0</v>
      </c>
      <c r="AD404" s="28">
        <v>46091</v>
      </c>
      <c r="AE404" s="28">
        <v>46087</v>
      </c>
      <c r="AF404" s="28">
        <v>46091</v>
      </c>
      <c r="AG404" s="28">
        <v>46099</v>
      </c>
      <c r="AH404" s="140">
        <v>46106</v>
      </c>
      <c r="AI404" s="33">
        <f t="shared" si="48"/>
        <v>3</v>
      </c>
      <c r="AJ404" s="144" t="s">
        <v>1192</v>
      </c>
      <c r="AK404" s="35" t="s">
        <v>1193</v>
      </c>
      <c r="AL404" s="19">
        <f t="shared" si="47"/>
        <v>1</v>
      </c>
      <c r="AM404" s="67">
        <f>IFERROR(NETWORKDAYS(D404,Q404,Hoja1!$A$1:$A$29),"N/A")</f>
        <v>4</v>
      </c>
      <c r="AN404" s="21">
        <f>IFERROR(NETWORKDAYS(D404,AE404,Hoja1!$A$1:$A$29),"N/A")</f>
        <v>10</v>
      </c>
      <c r="AO404" s="78">
        <v>0</v>
      </c>
      <c r="AP404" s="21">
        <f t="shared" si="50"/>
        <v>10</v>
      </c>
      <c r="AQ404" s="21">
        <f>IFERROR(NETWORKDAYS(AF404,AG404,Hoja1!$A$1:$A$29),"N/A")</f>
        <v>7</v>
      </c>
      <c r="AR404" s="78">
        <v>2</v>
      </c>
      <c r="AS404" s="75">
        <f t="shared" si="49"/>
        <v>5</v>
      </c>
      <c r="AT404" s="21">
        <f>IFERROR(NETWORKDAYS(D404,AG404,Hoja1!$A$1:$A$29),"N/A")</f>
        <v>18</v>
      </c>
      <c r="AU404" s="21">
        <f t="shared" si="44"/>
        <v>16</v>
      </c>
      <c r="AV404" s="143" t="s">
        <v>59</v>
      </c>
      <c r="AW404" s="143" t="s">
        <v>559</v>
      </c>
      <c r="AX404" s="84"/>
      <c r="AY404" s="84"/>
      <c r="AZ404" s="84"/>
      <c r="BA404" s="84"/>
      <c r="BB404" s="84"/>
    </row>
    <row r="405" spans="1:54" ht="15" customHeight="1" x14ac:dyDescent="0.25">
      <c r="A405" s="58">
        <v>15952</v>
      </c>
      <c r="B405" s="87" t="s">
        <v>69</v>
      </c>
      <c r="C405" s="43" t="s">
        <v>98</v>
      </c>
      <c r="D405" s="142">
        <v>46076</v>
      </c>
      <c r="E405" s="142">
        <v>46076</v>
      </c>
      <c r="F405" s="202" t="s">
        <v>99</v>
      </c>
      <c r="G405" s="48" t="s">
        <v>135</v>
      </c>
      <c r="H405" s="114" t="s">
        <v>51</v>
      </c>
      <c r="I405" s="84" t="s">
        <v>227</v>
      </c>
      <c r="J405" s="84" t="s">
        <v>52</v>
      </c>
      <c r="K405" s="48" t="s">
        <v>1081</v>
      </c>
      <c r="L405" s="21">
        <v>1</v>
      </c>
      <c r="M405" s="87" t="s">
        <v>54</v>
      </c>
      <c r="N405" s="3" t="s">
        <v>55</v>
      </c>
      <c r="O405" s="3">
        <v>3</v>
      </c>
      <c r="P405" s="3" t="s">
        <v>112</v>
      </c>
      <c r="Q405" s="155">
        <v>46086</v>
      </c>
      <c r="R405" s="155">
        <v>46086</v>
      </c>
      <c r="S405" s="3">
        <v>3</v>
      </c>
      <c r="T405" s="3" t="s">
        <v>55</v>
      </c>
      <c r="U405" s="3" t="s">
        <v>55</v>
      </c>
      <c r="V405" s="3" t="s">
        <v>55</v>
      </c>
      <c r="W405" s="3" t="s">
        <v>55</v>
      </c>
      <c r="X405" s="3" t="s">
        <v>55</v>
      </c>
      <c r="Y405" s="3" t="s">
        <v>55</v>
      </c>
      <c r="Z405" s="3" t="s">
        <v>55</v>
      </c>
      <c r="AA405" s="3">
        <v>3</v>
      </c>
      <c r="AB405" s="3">
        <v>2</v>
      </c>
      <c r="AC405" s="3">
        <v>0</v>
      </c>
      <c r="AD405" s="44">
        <v>46093</v>
      </c>
      <c r="AE405" s="28">
        <v>46094</v>
      </c>
      <c r="AF405" s="28">
        <v>46094</v>
      </c>
      <c r="AG405" s="28">
        <v>46101</v>
      </c>
      <c r="AH405" s="140">
        <v>46106</v>
      </c>
      <c r="AI405" s="33">
        <f t="shared" si="48"/>
        <v>3</v>
      </c>
      <c r="AJ405" s="144" t="s">
        <v>1194</v>
      </c>
      <c r="AK405" s="35" t="s">
        <v>1349</v>
      </c>
      <c r="AL405" s="19">
        <f t="shared" si="47"/>
        <v>1</v>
      </c>
      <c r="AM405" s="67">
        <f>IFERROR(NETWORKDAYS(D405,Q405,Hoja1!$A$1:$A$29),"N/A")</f>
        <v>9</v>
      </c>
      <c r="AN405" s="21">
        <f>IFERROR(NETWORKDAYS(D405,AE405,Hoja1!$A$1:$A$29),"N/A")</f>
        <v>15</v>
      </c>
      <c r="AO405" s="78">
        <v>0</v>
      </c>
      <c r="AP405" s="21">
        <f t="shared" si="50"/>
        <v>15</v>
      </c>
      <c r="AQ405" s="21">
        <f>IFERROR(NETWORKDAYS(AF405,AG405,Hoja1!$A$1:$A$29),"N/A")</f>
        <v>6</v>
      </c>
      <c r="AR405" s="78">
        <v>1</v>
      </c>
      <c r="AS405" s="75">
        <f t="shared" si="49"/>
        <v>5</v>
      </c>
      <c r="AT405" s="21">
        <f>IFERROR(NETWORKDAYS(D405,AG405,Hoja1!$A$1:$A$29),"N/A")</f>
        <v>20</v>
      </c>
      <c r="AU405" s="21">
        <f t="shared" si="44"/>
        <v>19</v>
      </c>
      <c r="AV405" s="143" t="s">
        <v>131</v>
      </c>
      <c r="AW405" s="143" t="s">
        <v>661</v>
      </c>
      <c r="AX405" s="46"/>
      <c r="AY405" s="111"/>
      <c r="AZ405" s="111"/>
      <c r="BA405" s="111"/>
      <c r="BB405" s="111"/>
    </row>
    <row r="406" spans="1:54" ht="15" customHeight="1" x14ac:dyDescent="0.25">
      <c r="A406" s="55">
        <v>15953</v>
      </c>
      <c r="B406" s="87" t="s">
        <v>69</v>
      </c>
      <c r="C406" s="43" t="s">
        <v>98</v>
      </c>
      <c r="D406" s="428">
        <v>46076</v>
      </c>
      <c r="E406" s="142">
        <v>46076</v>
      </c>
      <c r="F406" s="114" t="s">
        <v>163</v>
      </c>
      <c r="G406" s="87" t="s">
        <v>164</v>
      </c>
      <c r="H406" s="143" t="s">
        <v>51</v>
      </c>
      <c r="I406" s="240" t="s">
        <v>640</v>
      </c>
      <c r="J406" s="84" t="s">
        <v>52</v>
      </c>
      <c r="K406" s="27" t="s">
        <v>165</v>
      </c>
      <c r="L406" s="21">
        <v>1</v>
      </c>
      <c r="M406" s="87" t="s">
        <v>54</v>
      </c>
      <c r="N406" s="3" t="s">
        <v>55</v>
      </c>
      <c r="O406" s="3">
        <v>5</v>
      </c>
      <c r="P406" s="3" t="s">
        <v>112</v>
      </c>
      <c r="Q406" s="104">
        <v>46079</v>
      </c>
      <c r="R406" s="153">
        <v>46093</v>
      </c>
      <c r="S406" s="3">
        <v>5</v>
      </c>
      <c r="T406" s="3" t="s">
        <v>55</v>
      </c>
      <c r="U406" s="3" t="s">
        <v>55</v>
      </c>
      <c r="V406" s="3" t="s">
        <v>55</v>
      </c>
      <c r="W406" s="3" t="s">
        <v>55</v>
      </c>
      <c r="X406" s="3" t="s">
        <v>55</v>
      </c>
      <c r="Y406" s="3" t="s">
        <v>55</v>
      </c>
      <c r="Z406" s="3" t="s">
        <v>55</v>
      </c>
      <c r="AA406" s="3">
        <v>1</v>
      </c>
      <c r="AB406" s="3">
        <v>1</v>
      </c>
      <c r="AC406" s="3">
        <v>0</v>
      </c>
      <c r="AD406" s="28">
        <v>46094</v>
      </c>
      <c r="AE406" s="28">
        <v>46093</v>
      </c>
      <c r="AF406" s="28">
        <v>46094</v>
      </c>
      <c r="AG406" s="28">
        <v>46101</v>
      </c>
      <c r="AH406" s="140">
        <v>46106</v>
      </c>
      <c r="AI406" s="33">
        <f t="shared" si="48"/>
        <v>3</v>
      </c>
      <c r="AJ406" s="144" t="s">
        <v>1195</v>
      </c>
      <c r="AK406" s="35" t="s">
        <v>1196</v>
      </c>
      <c r="AL406" s="19">
        <f t="shared" si="47"/>
        <v>1</v>
      </c>
      <c r="AM406" s="67">
        <f>IFERROR(NETWORKDAYS(D406,Q406,Hoja1!$A$1:$A$29),"N/A")</f>
        <v>4</v>
      </c>
      <c r="AN406" s="21">
        <f>IFERROR(NETWORKDAYS(D406,AE406,Hoja1!$A$1:$A$29),"N/A")</f>
        <v>14</v>
      </c>
      <c r="AO406" s="78">
        <v>0</v>
      </c>
      <c r="AP406" s="21">
        <f t="shared" si="50"/>
        <v>14</v>
      </c>
      <c r="AQ406" s="21">
        <f>IFERROR(NETWORKDAYS(AF406,AG406,Hoja1!$A$1:$A$29),"N/A")</f>
        <v>6</v>
      </c>
      <c r="AR406" s="78">
        <v>1</v>
      </c>
      <c r="AS406" s="75">
        <f t="shared" si="49"/>
        <v>5</v>
      </c>
      <c r="AT406" s="21">
        <f>IFERROR(NETWORKDAYS(D406,AG406,Hoja1!$A$1:$A$29),"N/A")</f>
        <v>20</v>
      </c>
      <c r="AU406" s="21">
        <f t="shared" si="44"/>
        <v>19</v>
      </c>
      <c r="AV406" s="143" t="s">
        <v>127</v>
      </c>
      <c r="AW406" s="143" t="s">
        <v>1197</v>
      </c>
      <c r="AX406" s="87"/>
      <c r="AY406" s="87"/>
      <c r="AZ406" s="87"/>
      <c r="BA406" s="87"/>
      <c r="BB406" s="87"/>
    </row>
    <row r="407" spans="1:54" ht="15" customHeight="1" x14ac:dyDescent="0.25">
      <c r="A407" s="149">
        <v>15954</v>
      </c>
      <c r="B407" s="145" t="s">
        <v>169</v>
      </c>
      <c r="C407" s="145" t="s">
        <v>169</v>
      </c>
      <c r="D407" s="142">
        <v>46076</v>
      </c>
      <c r="E407" s="142">
        <v>46076</v>
      </c>
      <c r="F407" s="232" t="s">
        <v>62</v>
      </c>
      <c r="G407" s="84" t="s">
        <v>80</v>
      </c>
      <c r="H407" s="143" t="s">
        <v>101</v>
      </c>
      <c r="I407" s="111" t="s">
        <v>872</v>
      </c>
      <c r="J407" s="87" t="s">
        <v>105</v>
      </c>
      <c r="K407" s="84" t="s">
        <v>86</v>
      </c>
      <c r="L407" s="21">
        <v>1</v>
      </c>
      <c r="M407" s="87" t="s">
        <v>54</v>
      </c>
      <c r="N407" s="33" t="s">
        <v>55</v>
      </c>
      <c r="O407" s="33">
        <v>0</v>
      </c>
      <c r="P407" s="33"/>
      <c r="Q407" s="142" t="s">
        <v>55</v>
      </c>
      <c r="R407" s="142" t="s">
        <v>55</v>
      </c>
      <c r="S407" s="33">
        <v>0</v>
      </c>
      <c r="T407" s="33" t="s">
        <v>55</v>
      </c>
      <c r="U407" s="33" t="s">
        <v>55</v>
      </c>
      <c r="V407" s="33" t="s">
        <v>55</v>
      </c>
      <c r="W407" s="33" t="s">
        <v>55</v>
      </c>
      <c r="X407" s="33" t="s">
        <v>55</v>
      </c>
      <c r="Y407" s="33" t="s">
        <v>55</v>
      </c>
      <c r="Z407" s="33" t="s">
        <v>55</v>
      </c>
      <c r="AA407" s="33">
        <v>2</v>
      </c>
      <c r="AB407" s="33">
        <v>1</v>
      </c>
      <c r="AC407" s="33">
        <v>0</v>
      </c>
      <c r="AD407" s="28">
        <v>46094</v>
      </c>
      <c r="AE407" s="28">
        <v>46094</v>
      </c>
      <c r="AF407" s="28">
        <v>46094</v>
      </c>
      <c r="AG407" s="28">
        <v>46101</v>
      </c>
      <c r="AH407" s="140">
        <v>46106</v>
      </c>
      <c r="AI407" s="33">
        <f t="shared" si="48"/>
        <v>3</v>
      </c>
      <c r="AJ407" s="144" t="s">
        <v>1198</v>
      </c>
      <c r="AK407" s="35" t="s">
        <v>1350</v>
      </c>
      <c r="AL407" s="19" t="str">
        <f t="shared" si="47"/>
        <v>N/A</v>
      </c>
      <c r="AM407" s="67" t="str">
        <f>IFERROR(NETWORKDAYS(D407,Q407,Hoja1!$A$1:$A$29),"N/A")</f>
        <v>N/A</v>
      </c>
      <c r="AN407" s="21">
        <f>IFERROR(NETWORKDAYS(D407,AE407,Hoja1!$A$1:$A$29),"N/A")</f>
        <v>15</v>
      </c>
      <c r="AO407" s="78">
        <v>0</v>
      </c>
      <c r="AP407" s="21">
        <f t="shared" si="50"/>
        <v>15</v>
      </c>
      <c r="AQ407" s="21">
        <f>IFERROR(NETWORKDAYS(AF407,AG407,Hoja1!$A$1:$A$29),"N/A")</f>
        <v>6</v>
      </c>
      <c r="AR407" s="78">
        <v>1</v>
      </c>
      <c r="AS407" s="75">
        <f t="shared" si="49"/>
        <v>5</v>
      </c>
      <c r="AT407" s="21">
        <f>IFERROR(NETWORKDAYS(D407,AG407,Hoja1!$A$1:$A$29),"N/A")</f>
        <v>20</v>
      </c>
      <c r="AU407" s="21">
        <f t="shared" si="44"/>
        <v>19</v>
      </c>
      <c r="AV407" s="143" t="s">
        <v>104</v>
      </c>
      <c r="AW407" s="143" t="s">
        <v>1199</v>
      </c>
      <c r="AX407" s="87"/>
      <c r="AY407" s="87"/>
      <c r="AZ407" s="87"/>
      <c r="BA407" s="87"/>
      <c r="BB407" s="87"/>
    </row>
    <row r="408" spans="1:54" ht="15" customHeight="1" x14ac:dyDescent="0.25">
      <c r="A408" s="54">
        <v>15962</v>
      </c>
      <c r="B408" s="87" t="s">
        <v>401</v>
      </c>
      <c r="C408" s="87" t="s">
        <v>401</v>
      </c>
      <c r="D408" s="428">
        <v>46076</v>
      </c>
      <c r="E408" s="142">
        <v>46076</v>
      </c>
      <c r="F408" s="84" t="s">
        <v>62</v>
      </c>
      <c r="G408" s="48" t="s">
        <v>71</v>
      </c>
      <c r="H408" s="143" t="s">
        <v>101</v>
      </c>
      <c r="I408" s="87" t="s">
        <v>96</v>
      </c>
      <c r="J408" s="87" t="s">
        <v>73</v>
      </c>
      <c r="K408" s="87" t="s">
        <v>74</v>
      </c>
      <c r="L408" s="21">
        <v>1</v>
      </c>
      <c r="M408" s="87" t="s">
        <v>54</v>
      </c>
      <c r="N408" s="18" t="s">
        <v>55</v>
      </c>
      <c r="O408" s="3">
        <v>0</v>
      </c>
      <c r="P408" s="33"/>
      <c r="Q408" s="2" t="s">
        <v>55</v>
      </c>
      <c r="R408" s="2" t="s">
        <v>55</v>
      </c>
      <c r="S408" s="3">
        <v>0</v>
      </c>
      <c r="T408" s="18" t="s">
        <v>55</v>
      </c>
      <c r="U408" s="18" t="s">
        <v>55</v>
      </c>
      <c r="V408" s="18" t="s">
        <v>55</v>
      </c>
      <c r="W408" s="18" t="s">
        <v>55</v>
      </c>
      <c r="X408" s="18" t="s">
        <v>55</v>
      </c>
      <c r="Y408" s="18" t="s">
        <v>55</v>
      </c>
      <c r="Z408" s="18" t="s">
        <v>55</v>
      </c>
      <c r="AA408" s="3">
        <v>1</v>
      </c>
      <c r="AB408" s="3">
        <v>1</v>
      </c>
      <c r="AC408" s="3">
        <v>0</v>
      </c>
      <c r="AD408" s="28">
        <v>46084</v>
      </c>
      <c r="AE408" s="28">
        <v>46084</v>
      </c>
      <c r="AF408" s="28">
        <v>46085</v>
      </c>
      <c r="AG408" s="28">
        <v>46092</v>
      </c>
      <c r="AH408" s="28">
        <v>46093</v>
      </c>
      <c r="AI408" s="33">
        <f t="shared" si="48"/>
        <v>3</v>
      </c>
      <c r="AJ408" s="144" t="s">
        <v>1200</v>
      </c>
      <c r="AK408" s="35" t="s">
        <v>1201</v>
      </c>
      <c r="AL408" s="19" t="str">
        <f t="shared" si="47"/>
        <v>N/A</v>
      </c>
      <c r="AM408" s="67" t="str">
        <f>IFERROR(NETWORKDAYS(D408,Q408,Hoja1!$A$1:$A$29),"N/A")</f>
        <v>N/A</v>
      </c>
      <c r="AN408" s="21">
        <f>IFERROR(NETWORKDAYS(D408,AE408,Hoja1!$A$1:$A$29),"N/A")</f>
        <v>7</v>
      </c>
      <c r="AO408" s="78">
        <v>0</v>
      </c>
      <c r="AP408" s="21">
        <f t="shared" si="50"/>
        <v>7</v>
      </c>
      <c r="AQ408" s="21">
        <f>IFERROR(NETWORKDAYS(AF408,AG408,Hoja1!$A$1:$A$29),"N/A")</f>
        <v>6</v>
      </c>
      <c r="AR408" s="78">
        <v>1</v>
      </c>
      <c r="AS408" s="75">
        <f t="shared" si="49"/>
        <v>5</v>
      </c>
      <c r="AT408" s="21">
        <f>IFERROR(NETWORKDAYS(D408,AG408,Hoja1!$A$1:$A$29),"N/A")</f>
        <v>13</v>
      </c>
      <c r="AU408" s="21">
        <f t="shared" si="44"/>
        <v>12</v>
      </c>
      <c r="AV408" s="143" t="s">
        <v>104</v>
      </c>
      <c r="AW408" s="143" t="s">
        <v>82</v>
      </c>
      <c r="AX408" s="87"/>
      <c r="AY408" s="87"/>
      <c r="AZ408" s="87"/>
      <c r="BA408" s="87"/>
      <c r="BB408" s="87"/>
    </row>
    <row r="409" spans="1:54" ht="15" customHeight="1" x14ac:dyDescent="0.25">
      <c r="A409" s="149">
        <v>15964</v>
      </c>
      <c r="B409" s="145" t="s">
        <v>169</v>
      </c>
      <c r="C409" s="145" t="s">
        <v>169</v>
      </c>
      <c r="D409" s="142">
        <v>46077</v>
      </c>
      <c r="E409" s="142">
        <v>46077</v>
      </c>
      <c r="F409" s="232" t="s">
        <v>62</v>
      </c>
      <c r="G409" s="84" t="s">
        <v>71</v>
      </c>
      <c r="H409" s="143" t="s">
        <v>101</v>
      </c>
      <c r="I409" s="145" t="s">
        <v>205</v>
      </c>
      <c r="J409" s="87" t="s">
        <v>105</v>
      </c>
      <c r="K409" s="84" t="s">
        <v>86</v>
      </c>
      <c r="L409" s="21">
        <v>1</v>
      </c>
      <c r="M409" s="87" t="s">
        <v>54</v>
      </c>
      <c r="N409" s="33" t="s">
        <v>55</v>
      </c>
      <c r="O409" s="33">
        <v>0</v>
      </c>
      <c r="P409" s="33"/>
      <c r="Q409" s="142" t="s">
        <v>55</v>
      </c>
      <c r="R409" s="142" t="s">
        <v>55</v>
      </c>
      <c r="S409" s="33">
        <v>0</v>
      </c>
      <c r="T409" s="33" t="s">
        <v>55</v>
      </c>
      <c r="U409" s="33" t="s">
        <v>55</v>
      </c>
      <c r="V409" s="33" t="s">
        <v>55</v>
      </c>
      <c r="W409" s="33" t="s">
        <v>55</v>
      </c>
      <c r="X409" s="33" t="s">
        <v>55</v>
      </c>
      <c r="Y409" s="33" t="s">
        <v>55</v>
      </c>
      <c r="Z409" s="33" t="s">
        <v>55</v>
      </c>
      <c r="AA409" s="33">
        <v>1</v>
      </c>
      <c r="AB409" s="33">
        <v>1</v>
      </c>
      <c r="AC409" s="33">
        <v>0</v>
      </c>
      <c r="AD409" s="28">
        <v>46092</v>
      </c>
      <c r="AE409" s="28">
        <v>46092</v>
      </c>
      <c r="AF409" s="28">
        <v>46092</v>
      </c>
      <c r="AG409" s="28">
        <v>46101</v>
      </c>
      <c r="AH409" s="140">
        <v>46106</v>
      </c>
      <c r="AI409" s="33">
        <f t="shared" si="48"/>
        <v>3</v>
      </c>
      <c r="AJ409" s="144" t="s">
        <v>1202</v>
      </c>
      <c r="AK409" s="35" t="s">
        <v>1351</v>
      </c>
      <c r="AL409" s="19" t="str">
        <f t="shared" si="47"/>
        <v>N/A</v>
      </c>
      <c r="AM409" s="67" t="str">
        <f>IFERROR(NETWORKDAYS(D409,Q409,Hoja1!$A$1:$A$29),"N/A")</f>
        <v>N/A</v>
      </c>
      <c r="AN409" s="21">
        <f>IFERROR(NETWORKDAYS(D409,AE409,Hoja1!$A$1:$A$29),"N/A")</f>
        <v>12</v>
      </c>
      <c r="AO409" s="78">
        <v>0</v>
      </c>
      <c r="AP409" s="21">
        <f t="shared" si="50"/>
        <v>12</v>
      </c>
      <c r="AQ409" s="21">
        <f>IFERROR(NETWORKDAYS(AF409,AG409,Hoja1!$A$1:$A$29),"N/A")</f>
        <v>8</v>
      </c>
      <c r="AR409" s="78">
        <v>3</v>
      </c>
      <c r="AS409" s="75">
        <f t="shared" si="49"/>
        <v>5</v>
      </c>
      <c r="AT409" s="21">
        <f>IFERROR(NETWORKDAYS(D409,AG409,Hoja1!$A$1:$A$29),"N/A")</f>
        <v>19</v>
      </c>
      <c r="AU409" s="21">
        <f t="shared" si="44"/>
        <v>16</v>
      </c>
      <c r="AV409" s="143" t="s">
        <v>104</v>
      </c>
      <c r="AW409" s="143" t="s">
        <v>500</v>
      </c>
      <c r="AX409" s="87"/>
      <c r="AY409" s="87"/>
      <c r="AZ409" s="87"/>
      <c r="BA409" s="87"/>
      <c r="BB409" s="87"/>
    </row>
    <row r="410" spans="1:54" ht="15" customHeight="1" x14ac:dyDescent="0.25">
      <c r="A410" s="55">
        <v>15965</v>
      </c>
      <c r="B410" s="87" t="s">
        <v>597</v>
      </c>
      <c r="C410" s="87" t="s">
        <v>597</v>
      </c>
      <c r="D410" s="428">
        <v>46077</v>
      </c>
      <c r="E410" s="142">
        <v>46077</v>
      </c>
      <c r="F410" s="232" t="s">
        <v>62</v>
      </c>
      <c r="G410" s="87" t="s">
        <v>71</v>
      </c>
      <c r="H410" s="143" t="s">
        <v>271</v>
      </c>
      <c r="I410" s="159" t="s">
        <v>1203</v>
      </c>
      <c r="J410" s="84" t="s">
        <v>118</v>
      </c>
      <c r="K410" s="111" t="s">
        <v>351</v>
      </c>
      <c r="L410" s="21">
        <v>1</v>
      </c>
      <c r="M410" s="87" t="s">
        <v>54</v>
      </c>
      <c r="N410" s="3" t="s">
        <v>55</v>
      </c>
      <c r="O410" s="3">
        <v>0</v>
      </c>
      <c r="P410" s="33"/>
      <c r="Q410" s="155" t="s">
        <v>55</v>
      </c>
      <c r="R410" s="155" t="s">
        <v>55</v>
      </c>
      <c r="S410" s="3">
        <v>0</v>
      </c>
      <c r="T410" s="3" t="s">
        <v>55</v>
      </c>
      <c r="U410" s="3" t="s">
        <v>55</v>
      </c>
      <c r="V410" s="3" t="s">
        <v>55</v>
      </c>
      <c r="W410" s="3" t="s">
        <v>55</v>
      </c>
      <c r="X410" s="3" t="s">
        <v>55</v>
      </c>
      <c r="Y410" s="3" t="s">
        <v>55</v>
      </c>
      <c r="Z410" s="3" t="s">
        <v>55</v>
      </c>
      <c r="AA410" s="3">
        <v>0</v>
      </c>
      <c r="AB410" s="3">
        <v>0</v>
      </c>
      <c r="AC410" s="3">
        <v>0</v>
      </c>
      <c r="AD410" s="33" t="s">
        <v>55</v>
      </c>
      <c r="AE410" s="28">
        <v>46080</v>
      </c>
      <c r="AF410" s="28">
        <v>46080</v>
      </c>
      <c r="AG410" s="28">
        <v>46091</v>
      </c>
      <c r="AH410" s="16">
        <v>46093</v>
      </c>
      <c r="AI410" s="3">
        <f t="shared" si="48"/>
        <v>3</v>
      </c>
      <c r="AJ410" s="144" t="s">
        <v>1204</v>
      </c>
      <c r="AK410" s="35" t="s">
        <v>1352</v>
      </c>
      <c r="AL410" s="19" t="str">
        <f t="shared" si="47"/>
        <v>N/A</v>
      </c>
      <c r="AM410" s="67" t="str">
        <f>IFERROR(NETWORKDAYS(D410,Q410,Hoja1!$A$1:$A$29),"N/A")</f>
        <v>N/A</v>
      </c>
      <c r="AN410" s="21">
        <f>IFERROR(NETWORKDAYS(D410,AE410,Hoja1!$A$1:$A$29),"N/A")</f>
        <v>4</v>
      </c>
      <c r="AO410" s="78">
        <v>0</v>
      </c>
      <c r="AP410" s="19" t="s">
        <v>82</v>
      </c>
      <c r="AQ410" s="21">
        <f>IFERROR(NETWORKDAYS(AF410,AG410,Hoja1!$A$1:$A$29),"N/A")</f>
        <v>8</v>
      </c>
      <c r="AR410" s="78">
        <v>3</v>
      </c>
      <c r="AS410" s="75">
        <f t="shared" si="49"/>
        <v>5</v>
      </c>
      <c r="AT410" s="21">
        <f>IFERROR(NETWORKDAYS(D410,AG410,Hoja1!$A$1:$A$29),"N/A")</f>
        <v>11</v>
      </c>
      <c r="AU410" s="21">
        <f t="shared" si="44"/>
        <v>8</v>
      </c>
      <c r="AV410" s="143" t="s">
        <v>145</v>
      </c>
      <c r="AW410" s="143" t="s">
        <v>610</v>
      </c>
      <c r="AX410" s="114"/>
      <c r="AY410" s="114"/>
      <c r="AZ410" s="114"/>
      <c r="BA410" s="114"/>
      <c r="BB410" s="114"/>
    </row>
    <row r="411" spans="1:54" ht="15" customHeight="1" x14ac:dyDescent="0.25">
      <c r="A411" s="55">
        <v>15970</v>
      </c>
      <c r="B411" s="87" t="s">
        <v>69</v>
      </c>
      <c r="C411" s="43" t="s">
        <v>98</v>
      </c>
      <c r="D411" s="142">
        <v>46071</v>
      </c>
      <c r="E411" s="142">
        <v>46077</v>
      </c>
      <c r="F411" s="232" t="s">
        <v>90</v>
      </c>
      <c r="G411" s="48" t="s">
        <v>91</v>
      </c>
      <c r="H411" s="143" t="s">
        <v>51</v>
      </c>
      <c r="I411" s="240" t="s">
        <v>582</v>
      </c>
      <c r="J411" s="84" t="s">
        <v>52</v>
      </c>
      <c r="K411" s="84" t="s">
        <v>111</v>
      </c>
      <c r="L411" s="21">
        <v>1</v>
      </c>
      <c r="M411" s="87" t="s">
        <v>54</v>
      </c>
      <c r="N411" s="3" t="s">
        <v>55</v>
      </c>
      <c r="O411" s="3">
        <v>3</v>
      </c>
      <c r="P411" s="3" t="s">
        <v>112</v>
      </c>
      <c r="Q411" s="73">
        <v>46078</v>
      </c>
      <c r="R411" s="73">
        <v>46078</v>
      </c>
      <c r="S411" s="3">
        <v>3</v>
      </c>
      <c r="T411" s="3" t="s">
        <v>55</v>
      </c>
      <c r="U411" s="3" t="s">
        <v>55</v>
      </c>
      <c r="V411" s="3" t="s">
        <v>55</v>
      </c>
      <c r="W411" s="3" t="s">
        <v>55</v>
      </c>
      <c r="X411" s="3" t="s">
        <v>55</v>
      </c>
      <c r="Y411" s="3" t="s">
        <v>55</v>
      </c>
      <c r="Z411" s="3" t="s">
        <v>55</v>
      </c>
      <c r="AA411" s="2">
        <v>3</v>
      </c>
      <c r="AB411" s="2">
        <v>1</v>
      </c>
      <c r="AC411" s="3">
        <v>0</v>
      </c>
      <c r="AD411" s="28">
        <v>46079</v>
      </c>
      <c r="AE411" s="28">
        <v>46079</v>
      </c>
      <c r="AF411" s="28">
        <v>46079</v>
      </c>
      <c r="AG411" s="28">
        <v>46084</v>
      </c>
      <c r="AH411" s="140">
        <v>46085</v>
      </c>
      <c r="AI411" s="33">
        <f t="shared" si="48"/>
        <v>3</v>
      </c>
      <c r="AJ411" s="144" t="s">
        <v>1205</v>
      </c>
      <c r="AK411" s="146" t="s">
        <v>1353</v>
      </c>
      <c r="AL411" s="19">
        <f t="shared" si="47"/>
        <v>1</v>
      </c>
      <c r="AM411" s="67">
        <f>IFERROR(NETWORKDAYS(D411,Q411,Hoja1!$A$1:$A$29),"N/A")</f>
        <v>6</v>
      </c>
      <c r="AN411" s="21">
        <f>IFERROR(NETWORKDAYS(D411,AE411,Hoja1!$A$1:$A$29),"N/A")</f>
        <v>7</v>
      </c>
      <c r="AO411" s="78">
        <v>0</v>
      </c>
      <c r="AP411" s="164">
        <f t="shared" ref="AP411:AP439" si="51">AN411-AO411</f>
        <v>7</v>
      </c>
      <c r="AQ411" s="21">
        <f>IFERROR(NETWORKDAYS(AF411,AG411,Hoja1!$A$1:$A$29),"N/A")</f>
        <v>4</v>
      </c>
      <c r="AR411" s="78">
        <v>0</v>
      </c>
      <c r="AS411" s="75">
        <f t="shared" si="49"/>
        <v>4</v>
      </c>
      <c r="AT411" s="21">
        <f>IFERROR(NETWORKDAYS(D411,AG411,Hoja1!$A$1:$A$29),"N/A")</f>
        <v>10</v>
      </c>
      <c r="AU411" s="21">
        <f t="shared" si="44"/>
        <v>10</v>
      </c>
      <c r="AV411" s="143" t="s">
        <v>127</v>
      </c>
      <c r="AW411" s="143" t="s">
        <v>1129</v>
      </c>
      <c r="AX411" s="111"/>
      <c r="AY411" s="111"/>
      <c r="AZ411" s="111"/>
      <c r="BA411" s="111"/>
      <c r="BB411" s="111"/>
    </row>
    <row r="412" spans="1:54" ht="15" customHeight="1" x14ac:dyDescent="0.25">
      <c r="A412" s="55">
        <v>15972</v>
      </c>
      <c r="B412" s="87" t="s">
        <v>69</v>
      </c>
      <c r="C412" s="43" t="s">
        <v>98</v>
      </c>
      <c r="D412" s="428">
        <v>46071</v>
      </c>
      <c r="E412" s="142">
        <v>46077</v>
      </c>
      <c r="F412" s="232" t="s">
        <v>90</v>
      </c>
      <c r="G412" s="48" t="s">
        <v>91</v>
      </c>
      <c r="H412" s="143" t="s">
        <v>51</v>
      </c>
      <c r="I412" s="111" t="s">
        <v>582</v>
      </c>
      <c r="J412" s="84" t="s">
        <v>52</v>
      </c>
      <c r="K412" s="84" t="s">
        <v>111</v>
      </c>
      <c r="L412" s="21">
        <v>1</v>
      </c>
      <c r="M412" s="87" t="s">
        <v>54</v>
      </c>
      <c r="N412" s="3" t="s">
        <v>55</v>
      </c>
      <c r="O412" s="3">
        <v>4</v>
      </c>
      <c r="P412" s="3" t="s">
        <v>112</v>
      </c>
      <c r="Q412" s="73">
        <v>46077</v>
      </c>
      <c r="R412" s="73">
        <v>46077</v>
      </c>
      <c r="S412" s="3">
        <v>4</v>
      </c>
      <c r="T412" s="3" t="s">
        <v>55</v>
      </c>
      <c r="U412" s="3" t="s">
        <v>55</v>
      </c>
      <c r="V412" s="3" t="s">
        <v>55</v>
      </c>
      <c r="W412" s="3" t="s">
        <v>55</v>
      </c>
      <c r="X412" s="3" t="s">
        <v>55</v>
      </c>
      <c r="Y412" s="3" t="s">
        <v>55</v>
      </c>
      <c r="Z412" s="3" t="s">
        <v>55</v>
      </c>
      <c r="AA412" s="2">
        <v>1</v>
      </c>
      <c r="AB412" s="2">
        <v>1</v>
      </c>
      <c r="AC412" s="3">
        <v>0</v>
      </c>
      <c r="AD412" s="28">
        <v>46079</v>
      </c>
      <c r="AE412" s="28">
        <v>46079</v>
      </c>
      <c r="AF412" s="28">
        <v>46079</v>
      </c>
      <c r="AG412" s="28">
        <v>46084</v>
      </c>
      <c r="AH412" s="140">
        <v>46085</v>
      </c>
      <c r="AI412" s="33">
        <f t="shared" si="48"/>
        <v>3</v>
      </c>
      <c r="AJ412" s="144" t="s">
        <v>1206</v>
      </c>
      <c r="AK412" s="146" t="s">
        <v>1207</v>
      </c>
      <c r="AL412" s="19">
        <f t="shared" si="47"/>
        <v>1</v>
      </c>
      <c r="AM412" s="67">
        <f>IFERROR(NETWORKDAYS(D412,Q412,Hoja1!$A$1:$A$29),"N/A")</f>
        <v>5</v>
      </c>
      <c r="AN412" s="21">
        <f>IFERROR(NETWORKDAYS(D412,AE412,Hoja1!$A$1:$A$29),"N/A")</f>
        <v>7</v>
      </c>
      <c r="AO412" s="78">
        <v>0</v>
      </c>
      <c r="AP412" s="164">
        <f t="shared" si="51"/>
        <v>7</v>
      </c>
      <c r="AQ412" s="21">
        <f>IFERROR(NETWORKDAYS(AF412,AG412,Hoja1!$A$1:$A$29),"N/A")</f>
        <v>4</v>
      </c>
      <c r="AR412" s="78">
        <v>0</v>
      </c>
      <c r="AS412" s="75">
        <f t="shared" si="49"/>
        <v>4</v>
      </c>
      <c r="AT412" s="21">
        <f>IFERROR(NETWORKDAYS(D412,AG412,Hoja1!$A$1:$A$29),"N/A")</f>
        <v>10</v>
      </c>
      <c r="AU412" s="21">
        <f t="shared" si="44"/>
        <v>10</v>
      </c>
      <c r="AV412" s="143" t="s">
        <v>59</v>
      </c>
      <c r="AW412" s="143" t="s">
        <v>173</v>
      </c>
      <c r="AX412" s="87" t="s">
        <v>445</v>
      </c>
      <c r="AY412" s="87"/>
      <c r="AZ412" s="87"/>
      <c r="BA412" s="87"/>
      <c r="BB412" s="87"/>
    </row>
    <row r="413" spans="1:54" ht="15" customHeight="1" x14ac:dyDescent="0.25">
      <c r="A413" s="149">
        <v>15980</v>
      </c>
      <c r="B413" s="152" t="s">
        <v>85</v>
      </c>
      <c r="C413" s="152" t="s">
        <v>85</v>
      </c>
      <c r="D413" s="142">
        <v>46078</v>
      </c>
      <c r="E413" s="142">
        <v>46078</v>
      </c>
      <c r="F413" s="232" t="s">
        <v>62</v>
      </c>
      <c r="G413" s="84" t="s">
        <v>80</v>
      </c>
      <c r="H413" s="143" t="s">
        <v>101</v>
      </c>
      <c r="I413" s="145" t="s">
        <v>276</v>
      </c>
      <c r="J413" s="84" t="s">
        <v>52</v>
      </c>
      <c r="K413" s="84" t="s">
        <v>86</v>
      </c>
      <c r="L413" s="21">
        <v>1</v>
      </c>
      <c r="M413" s="87" t="s">
        <v>54</v>
      </c>
      <c r="N413" s="33" t="s">
        <v>55</v>
      </c>
      <c r="O413" s="33">
        <v>0</v>
      </c>
      <c r="P413" s="33"/>
      <c r="Q413" s="142" t="s">
        <v>55</v>
      </c>
      <c r="R413" s="142" t="s">
        <v>55</v>
      </c>
      <c r="S413" s="33">
        <v>0</v>
      </c>
      <c r="T413" s="33" t="s">
        <v>55</v>
      </c>
      <c r="U413" s="33" t="s">
        <v>55</v>
      </c>
      <c r="V413" s="33" t="s">
        <v>55</v>
      </c>
      <c r="W413" s="33" t="s">
        <v>55</v>
      </c>
      <c r="X413" s="33" t="s">
        <v>55</v>
      </c>
      <c r="Y413" s="33" t="s">
        <v>55</v>
      </c>
      <c r="Z413" s="33" t="s">
        <v>55</v>
      </c>
      <c r="AA413" s="33">
        <v>1</v>
      </c>
      <c r="AB413" s="33">
        <v>1</v>
      </c>
      <c r="AC413" s="33">
        <v>0</v>
      </c>
      <c r="AD413" s="28">
        <v>46087</v>
      </c>
      <c r="AE413" s="28">
        <v>46090</v>
      </c>
      <c r="AF413" s="28">
        <v>46094</v>
      </c>
      <c r="AG413" s="28">
        <v>46100</v>
      </c>
      <c r="AH413" s="140">
        <v>46106</v>
      </c>
      <c r="AI413" s="33">
        <f t="shared" si="48"/>
        <v>3</v>
      </c>
      <c r="AJ413" s="144" t="s">
        <v>1208</v>
      </c>
      <c r="AK413" s="35" t="s">
        <v>1209</v>
      </c>
      <c r="AL413" s="19" t="str">
        <f t="shared" si="47"/>
        <v>N/A</v>
      </c>
      <c r="AM413" s="67" t="str">
        <f>IFERROR(NETWORKDAYS(D413,Q413,Hoja1!$A$1:$A$29),"N/A")</f>
        <v>N/A</v>
      </c>
      <c r="AN413" s="21">
        <f>IFERROR(NETWORKDAYS(D413,AE413,Hoja1!$A$1:$A$29),"N/A")</f>
        <v>9</v>
      </c>
      <c r="AO413" s="78">
        <v>0</v>
      </c>
      <c r="AP413" s="21">
        <f t="shared" si="51"/>
        <v>9</v>
      </c>
      <c r="AQ413" s="21">
        <f>IFERROR(NETWORKDAYS(AF413,AG413,Hoja1!$A$1:$A$29),"N/A")</f>
        <v>5</v>
      </c>
      <c r="AR413" s="78">
        <v>0</v>
      </c>
      <c r="AS413" s="75">
        <f t="shared" si="49"/>
        <v>5</v>
      </c>
      <c r="AT413" s="21">
        <f>IFERROR(NETWORKDAYS(D413,AG413,Hoja1!$A$1:$A$29),"N/A")</f>
        <v>17</v>
      </c>
      <c r="AU413" s="21">
        <f t="shared" si="44"/>
        <v>17</v>
      </c>
      <c r="AV413" s="143" t="s">
        <v>145</v>
      </c>
      <c r="AW413" s="143" t="s">
        <v>1063</v>
      </c>
      <c r="AX413" s="87"/>
      <c r="AY413" s="87"/>
      <c r="AZ413" s="87"/>
      <c r="BA413" s="87"/>
      <c r="BB413" s="87"/>
    </row>
    <row r="414" spans="1:54" ht="15" customHeight="1" x14ac:dyDescent="0.25">
      <c r="A414" s="95">
        <v>15981</v>
      </c>
      <c r="B414" s="87" t="s">
        <v>69</v>
      </c>
      <c r="C414" s="84" t="s">
        <v>122</v>
      </c>
      <c r="D414" s="428">
        <v>46066</v>
      </c>
      <c r="E414" s="142">
        <v>46080</v>
      </c>
      <c r="F414" s="114" t="s">
        <v>62</v>
      </c>
      <c r="G414" s="114" t="s">
        <v>80</v>
      </c>
      <c r="H414" s="143" t="s">
        <v>101</v>
      </c>
      <c r="I414" s="114" t="s">
        <v>193</v>
      </c>
      <c r="J414" s="84" t="s">
        <v>118</v>
      </c>
      <c r="K414" s="114" t="s">
        <v>66</v>
      </c>
      <c r="L414" s="21">
        <v>1</v>
      </c>
      <c r="M414" s="87" t="s">
        <v>54</v>
      </c>
      <c r="N414" s="33" t="s">
        <v>55</v>
      </c>
      <c r="O414" s="33">
        <v>0</v>
      </c>
      <c r="P414" s="33"/>
      <c r="Q414" s="142" t="s">
        <v>55</v>
      </c>
      <c r="R414" s="142" t="s">
        <v>55</v>
      </c>
      <c r="S414" s="33">
        <v>0</v>
      </c>
      <c r="T414" s="33" t="s">
        <v>55</v>
      </c>
      <c r="U414" s="33" t="s">
        <v>55</v>
      </c>
      <c r="V414" s="33" t="s">
        <v>55</v>
      </c>
      <c r="W414" s="33" t="s">
        <v>55</v>
      </c>
      <c r="X414" s="33" t="s">
        <v>55</v>
      </c>
      <c r="Y414" s="33" t="s">
        <v>55</v>
      </c>
      <c r="Z414" s="33" t="s">
        <v>55</v>
      </c>
      <c r="AA414" s="33">
        <v>1</v>
      </c>
      <c r="AB414" s="33">
        <v>1</v>
      </c>
      <c r="AC414" s="33">
        <v>0</v>
      </c>
      <c r="AD414" s="28">
        <v>46076</v>
      </c>
      <c r="AE414" s="28">
        <v>46080</v>
      </c>
      <c r="AF414" s="28">
        <v>46080</v>
      </c>
      <c r="AG414" s="28">
        <v>46091</v>
      </c>
      <c r="AH414" s="140">
        <v>46093</v>
      </c>
      <c r="AI414" s="33">
        <f t="shared" si="48"/>
        <v>3</v>
      </c>
      <c r="AJ414" s="144" t="s">
        <v>1210</v>
      </c>
      <c r="AK414" s="35" t="s">
        <v>1211</v>
      </c>
      <c r="AL414" s="19" t="str">
        <f t="shared" si="47"/>
        <v>N/A</v>
      </c>
      <c r="AM414" s="67" t="str">
        <f>IFERROR(NETWORKDAYS(D414,Q414,Hoja1!$A$1:$A$29),"N/A")</f>
        <v>N/A</v>
      </c>
      <c r="AN414" s="21">
        <f>IFERROR(NETWORKDAYS(D414,AE414,Hoja1!$A$1:$A$29),"N/A")</f>
        <v>11</v>
      </c>
      <c r="AO414" s="78">
        <v>0</v>
      </c>
      <c r="AP414" s="21">
        <f t="shared" si="51"/>
        <v>11</v>
      </c>
      <c r="AQ414" s="21">
        <f>IFERROR(NETWORKDAYS(AF414,AG414,Hoja1!$A$1:$A$29),"N/A")</f>
        <v>8</v>
      </c>
      <c r="AR414" s="78">
        <v>3</v>
      </c>
      <c r="AS414" s="75">
        <f t="shared" si="49"/>
        <v>5</v>
      </c>
      <c r="AT414" s="21">
        <f>IFERROR(NETWORKDAYS(D414,AG414,Hoja1!$A$1:$A$29),"N/A")</f>
        <v>18</v>
      </c>
      <c r="AU414" s="21">
        <f t="shared" si="44"/>
        <v>15</v>
      </c>
      <c r="AV414" s="143" t="s">
        <v>104</v>
      </c>
      <c r="AW414" s="143" t="s">
        <v>1212</v>
      </c>
      <c r="AX414" s="84"/>
      <c r="AY414" s="84"/>
      <c r="AZ414" s="84"/>
      <c r="BA414" s="84"/>
      <c r="BB414" s="84"/>
    </row>
    <row r="415" spans="1:54" ht="15" customHeight="1" x14ac:dyDescent="0.25">
      <c r="A415" s="55">
        <v>15983</v>
      </c>
      <c r="B415" s="87" t="s">
        <v>79</v>
      </c>
      <c r="C415" s="87" t="s">
        <v>79</v>
      </c>
      <c r="D415" s="142">
        <v>46078</v>
      </c>
      <c r="E415" s="142">
        <v>46078</v>
      </c>
      <c r="F415" s="232" t="s">
        <v>90</v>
      </c>
      <c r="G415" s="48" t="s">
        <v>91</v>
      </c>
      <c r="H415" s="143" t="s">
        <v>51</v>
      </c>
      <c r="I415" s="111" t="s">
        <v>1213</v>
      </c>
      <c r="J415" s="87" t="s">
        <v>142</v>
      </c>
      <c r="K415" s="84" t="s">
        <v>171</v>
      </c>
      <c r="L415" s="21">
        <v>1</v>
      </c>
      <c r="M415" s="87" t="s">
        <v>54</v>
      </c>
      <c r="N415" s="3" t="s">
        <v>55</v>
      </c>
      <c r="O415" s="3">
        <v>3</v>
      </c>
      <c r="P415" s="3" t="s">
        <v>112</v>
      </c>
      <c r="Q415" s="73">
        <v>46085</v>
      </c>
      <c r="R415" s="73">
        <v>46085</v>
      </c>
      <c r="S415" s="3">
        <v>3</v>
      </c>
      <c r="T415" s="3" t="s">
        <v>55</v>
      </c>
      <c r="U415" s="3" t="s">
        <v>55</v>
      </c>
      <c r="V415" s="3" t="s">
        <v>55</v>
      </c>
      <c r="W415" s="3" t="s">
        <v>55</v>
      </c>
      <c r="X415" s="3" t="s">
        <v>55</v>
      </c>
      <c r="Y415" s="3" t="s">
        <v>55</v>
      </c>
      <c r="Z415" s="3" t="s">
        <v>55</v>
      </c>
      <c r="AA415" s="2">
        <v>3</v>
      </c>
      <c r="AB415" s="2">
        <v>1</v>
      </c>
      <c r="AC415" s="3">
        <v>0</v>
      </c>
      <c r="AD415" s="28">
        <v>46092</v>
      </c>
      <c r="AE415" s="28">
        <v>46092</v>
      </c>
      <c r="AF415" s="28">
        <v>46092</v>
      </c>
      <c r="AG415" s="28">
        <v>46098</v>
      </c>
      <c r="AH415" s="140">
        <v>46106</v>
      </c>
      <c r="AI415" s="33">
        <f t="shared" si="48"/>
        <v>3</v>
      </c>
      <c r="AJ415" s="144" t="s">
        <v>1214</v>
      </c>
      <c r="AK415" s="146" t="s">
        <v>1215</v>
      </c>
      <c r="AL415" s="19">
        <f t="shared" si="47"/>
        <v>1</v>
      </c>
      <c r="AM415" s="67">
        <f>IFERROR(NETWORKDAYS(D415,Q415,Hoja1!$A$1:$A$29),"N/A")</f>
        <v>6</v>
      </c>
      <c r="AN415" s="21">
        <f>IFERROR(NETWORKDAYS(D415,AE415,Hoja1!$A$1:$A$29),"N/A")</f>
        <v>11</v>
      </c>
      <c r="AO415" s="78">
        <v>0</v>
      </c>
      <c r="AP415" s="164">
        <f t="shared" si="51"/>
        <v>11</v>
      </c>
      <c r="AQ415" s="21">
        <f>IFERROR(NETWORKDAYS(AF415,AG415,Hoja1!$A$1:$A$29),"N/A")</f>
        <v>5</v>
      </c>
      <c r="AR415" s="78">
        <v>0</v>
      </c>
      <c r="AS415" s="75">
        <f t="shared" si="49"/>
        <v>5</v>
      </c>
      <c r="AT415" s="21">
        <f>IFERROR(NETWORKDAYS(D415,AG415,Hoja1!$A$1:$A$29),"N/A")</f>
        <v>15</v>
      </c>
      <c r="AU415" s="21">
        <f t="shared" si="44"/>
        <v>15</v>
      </c>
      <c r="AV415" s="143" t="s">
        <v>59</v>
      </c>
      <c r="AW415" s="143" t="s">
        <v>1216</v>
      </c>
      <c r="AX415" s="111"/>
      <c r="AY415" s="111"/>
      <c r="AZ415" s="111"/>
      <c r="BA415" s="111"/>
      <c r="BB415" s="111"/>
    </row>
    <row r="416" spans="1:54" ht="15" customHeight="1" x14ac:dyDescent="0.25">
      <c r="A416" s="55">
        <v>15984</v>
      </c>
      <c r="B416" s="87" t="s">
        <v>79</v>
      </c>
      <c r="C416" s="87" t="s">
        <v>79</v>
      </c>
      <c r="D416" s="428">
        <v>46069</v>
      </c>
      <c r="E416" s="142">
        <v>46078</v>
      </c>
      <c r="F416" s="232" t="s">
        <v>90</v>
      </c>
      <c r="G416" s="48" t="s">
        <v>91</v>
      </c>
      <c r="H416" s="143" t="s">
        <v>51</v>
      </c>
      <c r="I416" s="87" t="s">
        <v>92</v>
      </c>
      <c r="J416" s="84" t="s">
        <v>52</v>
      </c>
      <c r="K416" s="84" t="s">
        <v>111</v>
      </c>
      <c r="L416" s="21">
        <v>1</v>
      </c>
      <c r="M416" s="87" t="s">
        <v>54</v>
      </c>
      <c r="N416" s="3" t="s">
        <v>55</v>
      </c>
      <c r="O416" s="3">
        <v>5</v>
      </c>
      <c r="P416" s="3" t="s">
        <v>112</v>
      </c>
      <c r="Q416" s="73">
        <v>46078</v>
      </c>
      <c r="R416" s="73">
        <v>46078</v>
      </c>
      <c r="S416" s="3">
        <v>5</v>
      </c>
      <c r="T416" s="3" t="s">
        <v>55</v>
      </c>
      <c r="U416" s="3" t="s">
        <v>55</v>
      </c>
      <c r="V416" s="3" t="s">
        <v>55</v>
      </c>
      <c r="W416" s="3" t="s">
        <v>55</v>
      </c>
      <c r="X416" s="3" t="s">
        <v>55</v>
      </c>
      <c r="Y416" s="3" t="s">
        <v>55</v>
      </c>
      <c r="Z416" s="3" t="s">
        <v>55</v>
      </c>
      <c r="AA416" s="2">
        <v>1</v>
      </c>
      <c r="AB416" s="2">
        <v>1</v>
      </c>
      <c r="AC416" s="3">
        <v>0</v>
      </c>
      <c r="AD416" s="28">
        <v>46086</v>
      </c>
      <c r="AE416" s="28">
        <v>46086</v>
      </c>
      <c r="AF416" s="28">
        <v>46086</v>
      </c>
      <c r="AG416" s="28">
        <v>46092</v>
      </c>
      <c r="AH416" s="140">
        <v>46093</v>
      </c>
      <c r="AI416" s="33">
        <f t="shared" si="48"/>
        <v>3</v>
      </c>
      <c r="AJ416" s="144" t="s">
        <v>1217</v>
      </c>
      <c r="AK416" s="146" t="s">
        <v>1218</v>
      </c>
      <c r="AL416" s="19">
        <f t="shared" si="47"/>
        <v>1</v>
      </c>
      <c r="AM416" s="67">
        <f>IFERROR(NETWORKDAYS(D416,Q416,Hoja1!$A$1:$A$29),"N/A")</f>
        <v>8</v>
      </c>
      <c r="AN416" s="21">
        <f>IFERROR(NETWORKDAYS(D416,AE416,Hoja1!$A$1:$A$29),"N/A")</f>
        <v>14</v>
      </c>
      <c r="AO416" s="78">
        <v>0</v>
      </c>
      <c r="AP416" s="21">
        <f t="shared" si="51"/>
        <v>14</v>
      </c>
      <c r="AQ416" s="21">
        <f>IFERROR(NETWORKDAYS(AF416,AG416,Hoja1!$A$1:$A$29),"N/A")</f>
        <v>5</v>
      </c>
      <c r="AR416" s="78">
        <v>0</v>
      </c>
      <c r="AS416" s="75">
        <f t="shared" si="49"/>
        <v>5</v>
      </c>
      <c r="AT416" s="21">
        <f>IFERROR(NETWORKDAYS(D416,AG416,Hoja1!$A$1:$A$29),"N/A")</f>
        <v>18</v>
      </c>
      <c r="AU416" s="21">
        <f t="shared" si="44"/>
        <v>18</v>
      </c>
      <c r="AV416" s="143" t="s">
        <v>127</v>
      </c>
      <c r="AW416" s="143" t="s">
        <v>1219</v>
      </c>
      <c r="AX416" s="87" t="s">
        <v>445</v>
      </c>
      <c r="AY416" s="87"/>
      <c r="AZ416" s="87"/>
      <c r="BA416" s="87"/>
      <c r="BB416" s="87"/>
    </row>
    <row r="417" spans="1:54" ht="15" customHeight="1" x14ac:dyDescent="0.25">
      <c r="A417" s="157">
        <v>15988</v>
      </c>
      <c r="B417" s="145" t="s">
        <v>169</v>
      </c>
      <c r="C417" s="145" t="s">
        <v>169</v>
      </c>
      <c r="D417" s="142">
        <v>46079</v>
      </c>
      <c r="E417" s="142">
        <v>46079</v>
      </c>
      <c r="F417" s="143" t="s">
        <v>62</v>
      </c>
      <c r="G417" s="84" t="s">
        <v>71</v>
      </c>
      <c r="H417" s="143" t="s">
        <v>101</v>
      </c>
      <c r="I417" s="202" t="s">
        <v>1220</v>
      </c>
      <c r="J417" s="84" t="s">
        <v>625</v>
      </c>
      <c r="K417" s="202" t="s">
        <v>66</v>
      </c>
      <c r="L417" s="21">
        <v>1</v>
      </c>
      <c r="M417" s="87" t="s">
        <v>54</v>
      </c>
      <c r="N417" s="33" t="s">
        <v>55</v>
      </c>
      <c r="O417" s="33">
        <v>0</v>
      </c>
      <c r="P417" s="33"/>
      <c r="Q417" s="142" t="s">
        <v>55</v>
      </c>
      <c r="R417" s="142" t="s">
        <v>55</v>
      </c>
      <c r="S417" s="33">
        <v>0</v>
      </c>
      <c r="T417" s="33" t="s">
        <v>55</v>
      </c>
      <c r="U417" s="33" t="s">
        <v>55</v>
      </c>
      <c r="V417" s="33" t="s">
        <v>55</v>
      </c>
      <c r="W417" s="33" t="s">
        <v>55</v>
      </c>
      <c r="X417" s="33" t="s">
        <v>55</v>
      </c>
      <c r="Y417" s="33" t="s">
        <v>55</v>
      </c>
      <c r="Z417" s="33" t="s">
        <v>55</v>
      </c>
      <c r="AA417" s="33">
        <v>1</v>
      </c>
      <c r="AB417" s="33">
        <v>1</v>
      </c>
      <c r="AC417" s="33">
        <v>0</v>
      </c>
      <c r="AD417" s="28">
        <v>46091</v>
      </c>
      <c r="AE417" s="28">
        <v>46092</v>
      </c>
      <c r="AF417" s="28">
        <v>46092</v>
      </c>
      <c r="AG417" s="28">
        <v>46101</v>
      </c>
      <c r="AH417" s="140">
        <v>46106</v>
      </c>
      <c r="AI417" s="33">
        <f t="shared" si="48"/>
        <v>3</v>
      </c>
      <c r="AJ417" s="144" t="s">
        <v>1221</v>
      </c>
      <c r="AK417" s="35" t="s">
        <v>1222</v>
      </c>
      <c r="AL417" s="19" t="str">
        <f t="shared" si="47"/>
        <v>N/A</v>
      </c>
      <c r="AM417" s="67" t="str">
        <f>IFERROR(NETWORKDAYS(D417,Q417,Hoja1!$A$1:$A$29),"N/A")</f>
        <v>N/A</v>
      </c>
      <c r="AN417" s="21">
        <f>IFERROR(NETWORKDAYS(D417,AE417,Hoja1!$A$1:$A$29),"N/A")</f>
        <v>10</v>
      </c>
      <c r="AO417" s="78">
        <v>1</v>
      </c>
      <c r="AP417" s="21">
        <f t="shared" si="51"/>
        <v>9</v>
      </c>
      <c r="AQ417" s="21">
        <f>IFERROR(NETWORKDAYS(AF417,AG417,Hoja1!$A$1:$A$29),"N/A")</f>
        <v>8</v>
      </c>
      <c r="AR417" s="78">
        <v>3</v>
      </c>
      <c r="AS417" s="75">
        <f t="shared" si="49"/>
        <v>5</v>
      </c>
      <c r="AT417" s="21">
        <f>IFERROR(NETWORKDAYS(D417,AG417,Hoja1!$A$1:$A$29),"N/A")</f>
        <v>17</v>
      </c>
      <c r="AU417" s="21">
        <f t="shared" si="44"/>
        <v>13</v>
      </c>
      <c r="AV417" s="143" t="s">
        <v>104</v>
      </c>
      <c r="AW417" s="143" t="s">
        <v>1223</v>
      </c>
      <c r="AX417" s="87"/>
      <c r="AY417" s="87"/>
      <c r="AZ417" s="87"/>
      <c r="BA417" s="87"/>
      <c r="BB417" s="87"/>
    </row>
    <row r="418" spans="1:54" ht="15" customHeight="1" x14ac:dyDescent="0.25">
      <c r="A418" s="157">
        <v>15990</v>
      </c>
      <c r="B418" s="87" t="s">
        <v>69</v>
      </c>
      <c r="C418" s="43" t="s">
        <v>98</v>
      </c>
      <c r="D418" s="428">
        <v>46085</v>
      </c>
      <c r="E418" s="142">
        <v>46079</v>
      </c>
      <c r="F418" s="143" t="s">
        <v>62</v>
      </c>
      <c r="G418" s="84" t="s">
        <v>382</v>
      </c>
      <c r="H418" s="179" t="s">
        <v>1465</v>
      </c>
      <c r="I418" s="202" t="s">
        <v>582</v>
      </c>
      <c r="J418" s="84" t="s">
        <v>52</v>
      </c>
      <c r="K418" s="202" t="s">
        <v>66</v>
      </c>
      <c r="L418" s="21">
        <v>1</v>
      </c>
      <c r="M418" s="159" t="s">
        <v>247</v>
      </c>
      <c r="N418" s="33" t="s">
        <v>55</v>
      </c>
      <c r="O418" s="33">
        <v>0</v>
      </c>
      <c r="P418" s="33"/>
      <c r="Q418" s="142" t="s">
        <v>55</v>
      </c>
      <c r="R418" s="142" t="s">
        <v>55</v>
      </c>
      <c r="S418" s="33">
        <v>0</v>
      </c>
      <c r="T418" s="33" t="s">
        <v>55</v>
      </c>
      <c r="U418" s="33" t="s">
        <v>55</v>
      </c>
      <c r="V418" s="33" t="s">
        <v>55</v>
      </c>
      <c r="W418" s="33" t="s">
        <v>55</v>
      </c>
      <c r="X418" s="33" t="s">
        <v>55</v>
      </c>
      <c r="Y418" s="33" t="s">
        <v>55</v>
      </c>
      <c r="Z418" s="33" t="s">
        <v>55</v>
      </c>
      <c r="AA418" s="33">
        <v>1</v>
      </c>
      <c r="AB418" s="33">
        <v>1</v>
      </c>
      <c r="AC418" s="33">
        <v>0</v>
      </c>
      <c r="AD418" s="28">
        <v>46093</v>
      </c>
      <c r="AE418" s="28">
        <v>46093</v>
      </c>
      <c r="AF418" s="28" t="s">
        <v>55</v>
      </c>
      <c r="AG418" s="148">
        <v>46097</v>
      </c>
      <c r="AH418" s="148">
        <v>46097</v>
      </c>
      <c r="AI418" s="33">
        <v>3</v>
      </c>
      <c r="AJ418" s="144" t="s">
        <v>1224</v>
      </c>
      <c r="AK418" s="35" t="s">
        <v>1225</v>
      </c>
      <c r="AL418" s="19" t="str">
        <f t="shared" si="47"/>
        <v>N/A</v>
      </c>
      <c r="AM418" s="67" t="str">
        <f>IFERROR(NETWORKDAYS(D418,Q418,Hoja1!$A$1:$A$29),"N/A")</f>
        <v>N/A</v>
      </c>
      <c r="AN418" s="21">
        <f>IFERROR(NETWORKDAYS(D418,AE418,Hoja1!$A$1:$A$29),"N/A")</f>
        <v>7</v>
      </c>
      <c r="AO418" s="78">
        <v>2</v>
      </c>
      <c r="AP418" s="21">
        <f t="shared" si="51"/>
        <v>5</v>
      </c>
      <c r="AQ418" s="21" t="str">
        <f>IFERROR(NETWORKDAYS(AF418,AG418,Hoja1!$A$1:$A$29),"N/A")</f>
        <v>N/A</v>
      </c>
      <c r="AR418" s="78">
        <v>0</v>
      </c>
      <c r="AS418" s="19" t="s">
        <v>82</v>
      </c>
      <c r="AT418" s="21">
        <f>IFERROR(NETWORKDAYS(D418,AG418,Hoja1!$A$1:$A$29),"N/A")</f>
        <v>9</v>
      </c>
      <c r="AU418" s="21">
        <f t="shared" ref="AU418:AU481" si="52">AT418-AO418-AR418</f>
        <v>7</v>
      </c>
      <c r="AV418" s="143" t="s">
        <v>145</v>
      </c>
      <c r="AW418" s="143" t="s">
        <v>180</v>
      </c>
      <c r="AX418" s="3"/>
      <c r="AY418" s="3"/>
      <c r="AZ418" s="3"/>
      <c r="BA418" s="3"/>
      <c r="BB418" s="3"/>
    </row>
    <row r="419" spans="1:54" ht="15" customHeight="1" x14ac:dyDescent="0.25">
      <c r="A419" s="55">
        <v>15992</v>
      </c>
      <c r="B419" s="87" t="s">
        <v>69</v>
      </c>
      <c r="C419" s="43" t="s">
        <v>98</v>
      </c>
      <c r="D419" s="142">
        <v>46055</v>
      </c>
      <c r="E419" s="142">
        <v>46080</v>
      </c>
      <c r="F419" s="232" t="s">
        <v>90</v>
      </c>
      <c r="G419" s="48" t="s">
        <v>91</v>
      </c>
      <c r="H419" s="143" t="s">
        <v>51</v>
      </c>
      <c r="I419" s="240" t="s">
        <v>640</v>
      </c>
      <c r="J419" s="84" t="s">
        <v>52</v>
      </c>
      <c r="K419" s="84" t="s">
        <v>111</v>
      </c>
      <c r="L419" s="21">
        <v>1</v>
      </c>
      <c r="M419" s="87" t="s">
        <v>54</v>
      </c>
      <c r="N419" s="3" t="s">
        <v>55</v>
      </c>
      <c r="O419" s="3">
        <v>4</v>
      </c>
      <c r="P419" s="3" t="s">
        <v>112</v>
      </c>
      <c r="Q419" s="73">
        <v>46062</v>
      </c>
      <c r="R419" s="73">
        <v>46062</v>
      </c>
      <c r="S419" s="3">
        <v>4</v>
      </c>
      <c r="T419" s="3" t="s">
        <v>55</v>
      </c>
      <c r="U419" s="3" t="s">
        <v>55</v>
      </c>
      <c r="V419" s="3" t="s">
        <v>55</v>
      </c>
      <c r="W419" s="3" t="s">
        <v>55</v>
      </c>
      <c r="X419" s="3" t="s">
        <v>55</v>
      </c>
      <c r="Y419" s="3" t="s">
        <v>55</v>
      </c>
      <c r="Z419" s="3" t="s">
        <v>55</v>
      </c>
      <c r="AA419" s="2">
        <v>1</v>
      </c>
      <c r="AB419" s="2">
        <v>1</v>
      </c>
      <c r="AC419" s="3">
        <v>0</v>
      </c>
      <c r="AD419" s="28">
        <v>46078</v>
      </c>
      <c r="AE419" s="28">
        <v>46078</v>
      </c>
      <c r="AF419" s="28">
        <v>46078</v>
      </c>
      <c r="AG419" s="28">
        <v>46084</v>
      </c>
      <c r="AH419" s="140">
        <v>46085</v>
      </c>
      <c r="AI419" s="33">
        <f t="shared" ref="AI419:AI425" si="53">MONTH(AH419)</f>
        <v>3</v>
      </c>
      <c r="AJ419" s="144" t="s">
        <v>1226</v>
      </c>
      <c r="AK419" s="146" t="s">
        <v>1354</v>
      </c>
      <c r="AL419" s="19">
        <f t="shared" si="47"/>
        <v>1</v>
      </c>
      <c r="AM419" s="67">
        <f>IFERROR(NETWORKDAYS(D419,Q419,Hoja1!$A$1:$A$29),"N/A")</f>
        <v>6</v>
      </c>
      <c r="AN419" s="21">
        <f>IFERROR(NETWORKDAYS(D419,AE419,Hoja1!$A$1:$A$29),"N/A")</f>
        <v>18</v>
      </c>
      <c r="AO419" s="78">
        <v>6</v>
      </c>
      <c r="AP419" s="21">
        <f t="shared" si="51"/>
        <v>12</v>
      </c>
      <c r="AQ419" s="21">
        <f>IFERROR(NETWORKDAYS(AF419,AG419,Hoja1!$A$1:$A$29),"N/A")</f>
        <v>5</v>
      </c>
      <c r="AR419" s="78">
        <v>0</v>
      </c>
      <c r="AS419" s="75">
        <f t="shared" ref="AS419:AS436" si="54">AQ419-AR419</f>
        <v>5</v>
      </c>
      <c r="AT419" s="21">
        <f>IFERROR(NETWORKDAYS(D419,AG419,Hoja1!$A$1:$A$29),"N/A")</f>
        <v>22</v>
      </c>
      <c r="AU419" s="21">
        <f t="shared" si="52"/>
        <v>16</v>
      </c>
      <c r="AV419" s="143" t="s">
        <v>127</v>
      </c>
      <c r="AW419" s="143" t="s">
        <v>302</v>
      </c>
      <c r="AX419" s="111"/>
      <c r="AY419" s="111"/>
      <c r="AZ419" s="111"/>
      <c r="BA419" s="111"/>
      <c r="BB419" s="111"/>
    </row>
    <row r="420" spans="1:54" ht="15" customHeight="1" x14ac:dyDescent="0.25">
      <c r="A420" s="55">
        <v>15993</v>
      </c>
      <c r="B420" s="87" t="s">
        <v>79</v>
      </c>
      <c r="C420" s="87" t="s">
        <v>79</v>
      </c>
      <c r="D420" s="428">
        <v>46080</v>
      </c>
      <c r="E420" s="142">
        <v>46080</v>
      </c>
      <c r="F420" s="232" t="s">
        <v>90</v>
      </c>
      <c r="G420" s="48" t="s">
        <v>91</v>
      </c>
      <c r="H420" s="143" t="s">
        <v>51</v>
      </c>
      <c r="I420" s="87" t="s">
        <v>976</v>
      </c>
      <c r="J420" s="87" t="s">
        <v>118</v>
      </c>
      <c r="K420" s="84" t="s">
        <v>171</v>
      </c>
      <c r="L420" s="21">
        <v>1</v>
      </c>
      <c r="M420" s="87" t="s">
        <v>54</v>
      </c>
      <c r="N420" s="3" t="s">
        <v>55</v>
      </c>
      <c r="O420" s="3">
        <v>3</v>
      </c>
      <c r="P420" s="3" t="s">
        <v>112</v>
      </c>
      <c r="Q420" s="73">
        <v>46090</v>
      </c>
      <c r="R420" s="73">
        <v>46090</v>
      </c>
      <c r="S420" s="3">
        <v>3</v>
      </c>
      <c r="T420" s="3" t="s">
        <v>55</v>
      </c>
      <c r="U420" s="3" t="s">
        <v>55</v>
      </c>
      <c r="V420" s="3" t="s">
        <v>55</v>
      </c>
      <c r="W420" s="3" t="s">
        <v>55</v>
      </c>
      <c r="X420" s="3" t="s">
        <v>55</v>
      </c>
      <c r="Y420" s="3" t="s">
        <v>55</v>
      </c>
      <c r="Z420" s="3" t="s">
        <v>55</v>
      </c>
      <c r="AA420" s="2">
        <v>3</v>
      </c>
      <c r="AB420" s="2">
        <v>1</v>
      </c>
      <c r="AC420" s="3">
        <v>0</v>
      </c>
      <c r="AD420" s="28">
        <v>46097</v>
      </c>
      <c r="AE420" s="28">
        <v>46097</v>
      </c>
      <c r="AF420" s="28">
        <v>46097</v>
      </c>
      <c r="AG420" s="28">
        <v>46101</v>
      </c>
      <c r="AH420" s="140">
        <v>46106</v>
      </c>
      <c r="AI420" s="33">
        <f t="shared" si="53"/>
        <v>3</v>
      </c>
      <c r="AJ420" s="144" t="s">
        <v>1227</v>
      </c>
      <c r="AK420" s="146" t="s">
        <v>1228</v>
      </c>
      <c r="AL420" s="19">
        <f t="shared" si="47"/>
        <v>1</v>
      </c>
      <c r="AM420" s="67">
        <f>IFERROR(NETWORKDAYS(D420,Q420,Hoja1!$A$1:$A$29),"N/A")</f>
        <v>7</v>
      </c>
      <c r="AN420" s="21">
        <f>IFERROR(NETWORKDAYS(D420,AE420,Hoja1!$A$1:$A$29),"N/A")</f>
        <v>12</v>
      </c>
      <c r="AO420" s="78">
        <v>0</v>
      </c>
      <c r="AP420" s="21">
        <f t="shared" si="51"/>
        <v>12</v>
      </c>
      <c r="AQ420" s="21">
        <f>IFERROR(NETWORKDAYS(AF420,AG420,Hoja1!$A$1:$A$29),"N/A")</f>
        <v>5</v>
      </c>
      <c r="AR420" s="78">
        <v>0</v>
      </c>
      <c r="AS420" s="75">
        <f t="shared" si="54"/>
        <v>5</v>
      </c>
      <c r="AT420" s="21">
        <f>IFERROR(NETWORKDAYS(D420,AG420,Hoja1!$A$1:$A$29),"N/A")</f>
        <v>16</v>
      </c>
      <c r="AU420" s="21">
        <f t="shared" si="52"/>
        <v>16</v>
      </c>
      <c r="AV420" s="143" t="s">
        <v>59</v>
      </c>
      <c r="AW420" s="143" t="s">
        <v>1229</v>
      </c>
      <c r="AX420" s="111"/>
      <c r="AY420" s="111"/>
      <c r="AZ420" s="111"/>
      <c r="BA420" s="111"/>
      <c r="BB420" s="111"/>
    </row>
    <row r="421" spans="1:54" ht="15" customHeight="1" x14ac:dyDescent="0.25">
      <c r="A421" s="55">
        <v>15995</v>
      </c>
      <c r="B421" s="87" t="s">
        <v>69</v>
      </c>
      <c r="C421" s="27" t="s">
        <v>202</v>
      </c>
      <c r="D421" s="142">
        <v>46080</v>
      </c>
      <c r="E421" s="142">
        <v>46080</v>
      </c>
      <c r="F421" s="232" t="s">
        <v>62</v>
      </c>
      <c r="G421" s="87" t="s">
        <v>71</v>
      </c>
      <c r="H421" s="143" t="s">
        <v>101</v>
      </c>
      <c r="I421" s="159" t="s">
        <v>1230</v>
      </c>
      <c r="J421" s="84" t="s">
        <v>118</v>
      </c>
      <c r="K421" s="111" t="s">
        <v>351</v>
      </c>
      <c r="L421" s="21">
        <v>1</v>
      </c>
      <c r="M421" s="87" t="s">
        <v>54</v>
      </c>
      <c r="N421" s="3" t="s">
        <v>55</v>
      </c>
      <c r="O421" s="3">
        <v>0</v>
      </c>
      <c r="P421" s="33"/>
      <c r="Q421" s="155" t="s">
        <v>55</v>
      </c>
      <c r="R421" s="155" t="s">
        <v>55</v>
      </c>
      <c r="S421" s="3">
        <v>0</v>
      </c>
      <c r="T421" s="3" t="s">
        <v>55</v>
      </c>
      <c r="U421" s="3" t="s">
        <v>55</v>
      </c>
      <c r="V421" s="3" t="s">
        <v>55</v>
      </c>
      <c r="W421" s="3" t="s">
        <v>55</v>
      </c>
      <c r="X421" s="3" t="s">
        <v>55</v>
      </c>
      <c r="Y421" s="3" t="s">
        <v>55</v>
      </c>
      <c r="Z421" s="3" t="s">
        <v>55</v>
      </c>
      <c r="AA421" s="3">
        <v>1</v>
      </c>
      <c r="AB421" s="3">
        <v>1</v>
      </c>
      <c r="AC421" s="3">
        <v>0</v>
      </c>
      <c r="AD421" s="28">
        <v>46086</v>
      </c>
      <c r="AE421" s="28">
        <v>46086</v>
      </c>
      <c r="AF421" s="28">
        <v>46086</v>
      </c>
      <c r="AG421" s="28">
        <v>46093</v>
      </c>
      <c r="AH421" s="16">
        <v>46093</v>
      </c>
      <c r="AI421" s="33">
        <f t="shared" si="53"/>
        <v>3</v>
      </c>
      <c r="AJ421" s="144" t="s">
        <v>1231</v>
      </c>
      <c r="AK421" s="35" t="s">
        <v>1355</v>
      </c>
      <c r="AL421" s="19" t="str">
        <f t="shared" si="47"/>
        <v>N/A</v>
      </c>
      <c r="AM421" s="67" t="str">
        <f>IFERROR(NETWORKDAYS(D421,Q421,Hoja1!$A$1:$A$29),"N/A")</f>
        <v>N/A</v>
      </c>
      <c r="AN421" s="21">
        <f>IFERROR(NETWORKDAYS(D421,AE421,Hoja1!$A$1:$A$29),"N/A")</f>
        <v>5</v>
      </c>
      <c r="AO421" s="78">
        <v>0</v>
      </c>
      <c r="AP421" s="21">
        <f t="shared" si="51"/>
        <v>5</v>
      </c>
      <c r="AQ421" s="21">
        <f>IFERROR(NETWORKDAYS(AF421,AG421,Hoja1!$A$1:$A$29),"N/A")</f>
        <v>6</v>
      </c>
      <c r="AR421" s="78">
        <v>1</v>
      </c>
      <c r="AS421" s="75">
        <f t="shared" si="54"/>
        <v>5</v>
      </c>
      <c r="AT421" s="21">
        <f>IFERROR(NETWORKDAYS(D421,AG421,Hoja1!$A$1:$A$29),"N/A")</f>
        <v>10</v>
      </c>
      <c r="AU421" s="21">
        <f t="shared" si="52"/>
        <v>9</v>
      </c>
      <c r="AV421" s="143" t="s">
        <v>145</v>
      </c>
      <c r="AW421" s="143" t="s">
        <v>180</v>
      </c>
      <c r="AX421" s="114"/>
      <c r="AY421" s="114"/>
      <c r="AZ421" s="114"/>
      <c r="BA421" s="114"/>
      <c r="BB421" s="114"/>
    </row>
    <row r="422" spans="1:54" ht="15" customHeight="1" x14ac:dyDescent="0.25">
      <c r="A422" s="157">
        <v>15997</v>
      </c>
      <c r="B422" s="87" t="s">
        <v>69</v>
      </c>
      <c r="C422" s="84" t="s">
        <v>122</v>
      </c>
      <c r="D422" s="428">
        <v>46079</v>
      </c>
      <c r="E422" s="142">
        <v>46080</v>
      </c>
      <c r="F422" s="202" t="s">
        <v>62</v>
      </c>
      <c r="G422" s="84" t="s">
        <v>71</v>
      </c>
      <c r="H422" s="143" t="s">
        <v>101</v>
      </c>
      <c r="I422" s="240" t="s">
        <v>1232</v>
      </c>
      <c r="J422" s="87" t="s">
        <v>142</v>
      </c>
      <c r="K422" s="202" t="s">
        <v>66</v>
      </c>
      <c r="L422" s="21">
        <v>1</v>
      </c>
      <c r="M422" s="87" t="s">
        <v>54</v>
      </c>
      <c r="N422" s="33" t="s">
        <v>55</v>
      </c>
      <c r="O422" s="33">
        <v>0</v>
      </c>
      <c r="P422" s="33"/>
      <c r="Q422" s="142" t="s">
        <v>55</v>
      </c>
      <c r="R422" s="142" t="s">
        <v>55</v>
      </c>
      <c r="S422" s="33">
        <v>0</v>
      </c>
      <c r="T422" s="33" t="s">
        <v>55</v>
      </c>
      <c r="U422" s="33" t="s">
        <v>55</v>
      </c>
      <c r="V422" s="33" t="s">
        <v>55</v>
      </c>
      <c r="W422" s="33" t="s">
        <v>55</v>
      </c>
      <c r="X422" s="33" t="s">
        <v>55</v>
      </c>
      <c r="Y422" s="33" t="s">
        <v>55</v>
      </c>
      <c r="Z422" s="33" t="s">
        <v>55</v>
      </c>
      <c r="AA422" s="33">
        <v>1</v>
      </c>
      <c r="AB422" s="33">
        <v>1</v>
      </c>
      <c r="AC422" s="33">
        <v>0</v>
      </c>
      <c r="AD422" s="28">
        <v>46085</v>
      </c>
      <c r="AE422" s="28">
        <v>46085</v>
      </c>
      <c r="AF422" s="28">
        <v>46085</v>
      </c>
      <c r="AG422" s="28">
        <v>46092</v>
      </c>
      <c r="AH422" s="16">
        <v>46093</v>
      </c>
      <c r="AI422" s="33">
        <f t="shared" si="53"/>
        <v>3</v>
      </c>
      <c r="AJ422" s="144" t="s">
        <v>1233</v>
      </c>
      <c r="AK422" s="35" t="s">
        <v>1234</v>
      </c>
      <c r="AL422" s="19" t="str">
        <f t="shared" si="47"/>
        <v>N/A</v>
      </c>
      <c r="AM422" s="67" t="str">
        <f>IFERROR(NETWORKDAYS(D422,Q422,Hoja1!$A$1:$A$29),"N/A")</f>
        <v>N/A</v>
      </c>
      <c r="AN422" s="21">
        <f>IFERROR(NETWORKDAYS(D422,AE422,Hoja1!$A$1:$A$29),"N/A")</f>
        <v>5</v>
      </c>
      <c r="AO422" s="78">
        <v>0</v>
      </c>
      <c r="AP422" s="21">
        <f t="shared" si="51"/>
        <v>5</v>
      </c>
      <c r="AQ422" s="21">
        <f>IFERROR(NETWORKDAYS(AF422,AG422,Hoja1!$A$1:$A$29),"N/A")</f>
        <v>6</v>
      </c>
      <c r="AR422" s="78">
        <v>1</v>
      </c>
      <c r="AS422" s="75">
        <f t="shared" si="54"/>
        <v>5</v>
      </c>
      <c r="AT422" s="21">
        <f>IFERROR(NETWORKDAYS(D422,AG422,Hoja1!$A$1:$A$29),"N/A")</f>
        <v>10</v>
      </c>
      <c r="AU422" s="21">
        <f t="shared" si="52"/>
        <v>9</v>
      </c>
      <c r="AV422" s="143" t="s">
        <v>104</v>
      </c>
      <c r="AW422" s="143" t="s">
        <v>180</v>
      </c>
      <c r="AX422" s="87"/>
      <c r="AY422" s="87"/>
      <c r="AZ422" s="87"/>
      <c r="BA422" s="87"/>
      <c r="BB422" s="87"/>
    </row>
    <row r="423" spans="1:54" ht="15" customHeight="1" x14ac:dyDescent="0.25">
      <c r="A423" s="157">
        <v>15998</v>
      </c>
      <c r="B423" s="87" t="s">
        <v>69</v>
      </c>
      <c r="C423" s="84" t="s">
        <v>122</v>
      </c>
      <c r="D423" s="142">
        <v>46079</v>
      </c>
      <c r="E423" s="142">
        <v>46080</v>
      </c>
      <c r="F423" s="202" t="s">
        <v>62</v>
      </c>
      <c r="G423" s="84" t="s">
        <v>71</v>
      </c>
      <c r="H423" s="143" t="s">
        <v>101</v>
      </c>
      <c r="I423" s="84" t="s">
        <v>1235</v>
      </c>
      <c r="J423" s="87" t="s">
        <v>142</v>
      </c>
      <c r="K423" s="202" t="s">
        <v>66</v>
      </c>
      <c r="L423" s="21">
        <v>1</v>
      </c>
      <c r="M423" s="87" t="s">
        <v>54</v>
      </c>
      <c r="N423" s="33" t="s">
        <v>55</v>
      </c>
      <c r="O423" s="33">
        <v>0</v>
      </c>
      <c r="P423" s="33"/>
      <c r="Q423" s="142" t="s">
        <v>55</v>
      </c>
      <c r="R423" s="142" t="s">
        <v>55</v>
      </c>
      <c r="S423" s="33">
        <v>0</v>
      </c>
      <c r="T423" s="33" t="s">
        <v>55</v>
      </c>
      <c r="U423" s="33" t="s">
        <v>55</v>
      </c>
      <c r="V423" s="33" t="s">
        <v>55</v>
      </c>
      <c r="W423" s="33" t="s">
        <v>55</v>
      </c>
      <c r="X423" s="33" t="s">
        <v>55</v>
      </c>
      <c r="Y423" s="33" t="s">
        <v>55</v>
      </c>
      <c r="Z423" s="33" t="s">
        <v>55</v>
      </c>
      <c r="AA423" s="33">
        <v>1</v>
      </c>
      <c r="AB423" s="33">
        <v>1</v>
      </c>
      <c r="AC423" s="33">
        <v>0</v>
      </c>
      <c r="AD423" s="28">
        <v>46085</v>
      </c>
      <c r="AE423" s="28">
        <v>46085</v>
      </c>
      <c r="AF423" s="28">
        <v>46085</v>
      </c>
      <c r="AG423" s="28">
        <v>46091</v>
      </c>
      <c r="AH423" s="140">
        <v>46093</v>
      </c>
      <c r="AI423" s="33">
        <f t="shared" si="53"/>
        <v>3</v>
      </c>
      <c r="AJ423" s="144" t="s">
        <v>1236</v>
      </c>
      <c r="AK423" s="35" t="s">
        <v>1237</v>
      </c>
      <c r="AL423" s="19" t="str">
        <f t="shared" si="47"/>
        <v>N/A</v>
      </c>
      <c r="AM423" s="67" t="str">
        <f>IFERROR(NETWORKDAYS(D423,Q423,Hoja1!$A$1:$A$29),"N/A")</f>
        <v>N/A</v>
      </c>
      <c r="AN423" s="21">
        <f>IFERROR(NETWORKDAYS(D423,AE423,Hoja1!$A$1:$A$29),"N/A")</f>
        <v>5</v>
      </c>
      <c r="AO423" s="78">
        <v>0</v>
      </c>
      <c r="AP423" s="21">
        <f t="shared" si="51"/>
        <v>5</v>
      </c>
      <c r="AQ423" s="21">
        <f>IFERROR(NETWORKDAYS(AF423,AG423,Hoja1!$A$1:$A$29),"N/A")</f>
        <v>5</v>
      </c>
      <c r="AR423" s="78">
        <v>0</v>
      </c>
      <c r="AS423" s="75">
        <f t="shared" si="54"/>
        <v>5</v>
      </c>
      <c r="AT423" s="21">
        <f>IFERROR(NETWORKDAYS(D423,AG423,Hoja1!$A$1:$A$29),"N/A")</f>
        <v>9</v>
      </c>
      <c r="AU423" s="21">
        <f t="shared" si="52"/>
        <v>9</v>
      </c>
      <c r="AV423" s="143" t="s">
        <v>104</v>
      </c>
      <c r="AW423" s="143" t="s">
        <v>180</v>
      </c>
      <c r="AX423" s="87"/>
      <c r="AY423" s="87"/>
      <c r="AZ423" s="87"/>
      <c r="BA423" s="87"/>
      <c r="BB423" s="87"/>
    </row>
    <row r="424" spans="1:54" ht="15" customHeight="1" x14ac:dyDescent="0.25">
      <c r="A424" s="55">
        <v>16018</v>
      </c>
      <c r="B424" s="87" t="s">
        <v>69</v>
      </c>
      <c r="C424" s="87" t="s">
        <v>202</v>
      </c>
      <c r="D424" s="428">
        <v>46063</v>
      </c>
      <c r="E424" s="142">
        <v>46083</v>
      </c>
      <c r="F424" s="232" t="s">
        <v>90</v>
      </c>
      <c r="G424" s="48" t="s">
        <v>91</v>
      </c>
      <c r="H424" s="143" t="s">
        <v>51</v>
      </c>
      <c r="I424" s="27" t="s">
        <v>72</v>
      </c>
      <c r="J424" s="87" t="s">
        <v>73</v>
      </c>
      <c r="K424" s="84" t="s">
        <v>171</v>
      </c>
      <c r="L424" s="21">
        <v>1</v>
      </c>
      <c r="M424" s="87" t="s">
        <v>54</v>
      </c>
      <c r="N424" s="3" t="s">
        <v>55</v>
      </c>
      <c r="O424" s="3">
        <v>3</v>
      </c>
      <c r="P424" s="3" t="s">
        <v>112</v>
      </c>
      <c r="Q424" s="73">
        <v>46071</v>
      </c>
      <c r="R424" s="73">
        <v>46071</v>
      </c>
      <c r="S424" s="3">
        <v>3</v>
      </c>
      <c r="T424" s="3" t="s">
        <v>55</v>
      </c>
      <c r="U424" s="3" t="s">
        <v>55</v>
      </c>
      <c r="V424" s="3" t="s">
        <v>55</v>
      </c>
      <c r="W424" s="3" t="s">
        <v>55</v>
      </c>
      <c r="X424" s="3" t="s">
        <v>55</v>
      </c>
      <c r="Y424" s="3" t="s">
        <v>55</v>
      </c>
      <c r="Z424" s="3" t="s">
        <v>55</v>
      </c>
      <c r="AA424" s="2">
        <v>3</v>
      </c>
      <c r="AB424" s="2">
        <v>1</v>
      </c>
      <c r="AC424" s="3">
        <v>0</v>
      </c>
      <c r="AD424" s="28">
        <v>46079</v>
      </c>
      <c r="AE424" s="28">
        <v>46079</v>
      </c>
      <c r="AF424" s="28">
        <v>46079</v>
      </c>
      <c r="AG424" s="28">
        <v>46085</v>
      </c>
      <c r="AH424" s="140">
        <v>46093</v>
      </c>
      <c r="AI424" s="33">
        <f t="shared" si="53"/>
        <v>3</v>
      </c>
      <c r="AJ424" s="144" t="s">
        <v>1238</v>
      </c>
      <c r="AK424" s="146" t="s">
        <v>1239</v>
      </c>
      <c r="AL424" s="19">
        <f t="shared" si="47"/>
        <v>1</v>
      </c>
      <c r="AM424" s="67">
        <f>IFERROR(NETWORKDAYS(D424,Q424,Hoja1!$A$1:$A$29),"N/A")</f>
        <v>7</v>
      </c>
      <c r="AN424" s="21">
        <f>IFERROR(NETWORKDAYS(D424,AE424,Hoja1!$A$1:$A$29),"N/A")</f>
        <v>13</v>
      </c>
      <c r="AO424" s="78">
        <v>0</v>
      </c>
      <c r="AP424" s="21">
        <f t="shared" si="51"/>
        <v>13</v>
      </c>
      <c r="AQ424" s="21">
        <f>IFERROR(NETWORKDAYS(AF424,AG424,Hoja1!$A$1:$A$29),"N/A")</f>
        <v>5</v>
      </c>
      <c r="AR424" s="78">
        <v>0</v>
      </c>
      <c r="AS424" s="75">
        <f t="shared" si="54"/>
        <v>5</v>
      </c>
      <c r="AT424" s="21">
        <f>IFERROR(NETWORKDAYS(D424,AG424,Hoja1!$A$1:$A$29),"N/A")</f>
        <v>17</v>
      </c>
      <c r="AU424" s="21">
        <f t="shared" si="52"/>
        <v>17</v>
      </c>
      <c r="AV424" s="143" t="s">
        <v>420</v>
      </c>
      <c r="AW424" s="143" t="s">
        <v>82</v>
      </c>
      <c r="AX424" s="111"/>
      <c r="AY424" s="111"/>
      <c r="AZ424" s="111"/>
      <c r="BA424" s="111"/>
      <c r="BB424" s="111"/>
    </row>
    <row r="425" spans="1:54" ht="15" customHeight="1" x14ac:dyDescent="0.25">
      <c r="A425" s="55">
        <v>16022</v>
      </c>
      <c r="B425" s="87" t="s">
        <v>69</v>
      </c>
      <c r="C425" s="87" t="s">
        <v>202</v>
      </c>
      <c r="D425" s="142">
        <v>46083</v>
      </c>
      <c r="E425" s="142">
        <v>46083</v>
      </c>
      <c r="F425" s="232" t="s">
        <v>90</v>
      </c>
      <c r="G425" s="48" t="s">
        <v>91</v>
      </c>
      <c r="H425" s="143" t="s">
        <v>101</v>
      </c>
      <c r="I425" s="111" t="s">
        <v>1240</v>
      </c>
      <c r="J425" s="87" t="s">
        <v>118</v>
      </c>
      <c r="K425" s="84" t="s">
        <v>171</v>
      </c>
      <c r="L425" s="21">
        <v>1</v>
      </c>
      <c r="M425" s="87" t="s">
        <v>54</v>
      </c>
      <c r="N425" s="3" t="s">
        <v>55</v>
      </c>
      <c r="O425" s="3">
        <v>1</v>
      </c>
      <c r="P425" s="3" t="s">
        <v>112</v>
      </c>
      <c r="Q425" s="28">
        <v>46086</v>
      </c>
      <c r="R425" s="28">
        <v>46086</v>
      </c>
      <c r="S425" s="3">
        <v>1</v>
      </c>
      <c r="T425" s="3" t="s">
        <v>55</v>
      </c>
      <c r="U425" s="3" t="s">
        <v>55</v>
      </c>
      <c r="V425" s="3" t="s">
        <v>55</v>
      </c>
      <c r="W425" s="3" t="s">
        <v>55</v>
      </c>
      <c r="X425" s="3" t="s">
        <v>55</v>
      </c>
      <c r="Y425" s="3" t="s">
        <v>55</v>
      </c>
      <c r="Z425" s="3" t="s">
        <v>55</v>
      </c>
      <c r="AA425" s="2">
        <v>1</v>
      </c>
      <c r="AB425" s="2">
        <v>1</v>
      </c>
      <c r="AC425" s="3">
        <v>0</v>
      </c>
      <c r="AD425" s="28">
        <v>46094</v>
      </c>
      <c r="AE425" s="28">
        <v>46094</v>
      </c>
      <c r="AF425" s="28">
        <v>46094</v>
      </c>
      <c r="AG425" s="28">
        <v>46100</v>
      </c>
      <c r="AH425" s="140">
        <v>46106</v>
      </c>
      <c r="AI425" s="33">
        <f t="shared" si="53"/>
        <v>3</v>
      </c>
      <c r="AJ425" s="144" t="s">
        <v>1241</v>
      </c>
      <c r="AK425" s="146" t="s">
        <v>1242</v>
      </c>
      <c r="AL425" s="19">
        <f t="shared" si="47"/>
        <v>1</v>
      </c>
      <c r="AM425" s="67">
        <f>IFERROR(NETWORKDAYS(D425,Q425,Hoja1!$A$1:$A$29),"N/A")</f>
        <v>4</v>
      </c>
      <c r="AN425" s="21">
        <f>IFERROR(NETWORKDAYS(D425,AE425,Hoja1!$A$1:$A$29),"N/A")</f>
        <v>10</v>
      </c>
      <c r="AO425" s="272">
        <v>0</v>
      </c>
      <c r="AP425" s="21">
        <f t="shared" si="51"/>
        <v>10</v>
      </c>
      <c r="AQ425" s="21">
        <f>IFERROR(NETWORKDAYS(AF425,AG425,Hoja1!$A$1:$A$29),"N/A")</f>
        <v>5</v>
      </c>
      <c r="AR425" s="78">
        <v>0</v>
      </c>
      <c r="AS425" s="75">
        <f t="shared" si="54"/>
        <v>5</v>
      </c>
      <c r="AT425" s="21">
        <f>IFERROR(NETWORKDAYS(D425,AG425,Hoja1!$A$1:$A$29),"N/A")</f>
        <v>14</v>
      </c>
      <c r="AU425" s="21">
        <f t="shared" si="52"/>
        <v>14</v>
      </c>
      <c r="AV425" s="143" t="s">
        <v>104</v>
      </c>
      <c r="AW425" s="143" t="s">
        <v>180</v>
      </c>
      <c r="AX425" s="111"/>
      <c r="AY425" s="111"/>
      <c r="AZ425" s="111"/>
      <c r="BA425" s="111"/>
      <c r="BB425" s="111"/>
    </row>
    <row r="426" spans="1:54" ht="15" customHeight="1" x14ac:dyDescent="0.25">
      <c r="A426" s="54">
        <v>16023</v>
      </c>
      <c r="B426" s="27" t="s">
        <v>69</v>
      </c>
      <c r="C426" s="27" t="s">
        <v>122</v>
      </c>
      <c r="D426" s="433">
        <v>46084</v>
      </c>
      <c r="E426" s="166">
        <v>46084</v>
      </c>
      <c r="F426" s="114" t="s">
        <v>99</v>
      </c>
      <c r="G426" s="114" t="s">
        <v>100</v>
      </c>
      <c r="H426" s="114" t="s">
        <v>51</v>
      </c>
      <c r="I426" s="27" t="s">
        <v>193</v>
      </c>
      <c r="J426" s="111" t="s">
        <v>118</v>
      </c>
      <c r="K426" s="27" t="s">
        <v>129</v>
      </c>
      <c r="L426" s="1">
        <v>1</v>
      </c>
      <c r="M426" s="27" t="s">
        <v>54</v>
      </c>
      <c r="N426" s="167" t="s">
        <v>55</v>
      </c>
      <c r="O426" s="1">
        <v>4</v>
      </c>
      <c r="P426" s="1" t="s">
        <v>112</v>
      </c>
      <c r="Q426" s="116">
        <v>46085</v>
      </c>
      <c r="R426" s="116">
        <v>46085</v>
      </c>
      <c r="S426" s="1">
        <v>4</v>
      </c>
      <c r="T426" s="167" t="s">
        <v>55</v>
      </c>
      <c r="U426" s="167" t="s">
        <v>55</v>
      </c>
      <c r="V426" s="167" t="s">
        <v>55</v>
      </c>
      <c r="W426" s="167" t="s">
        <v>55</v>
      </c>
      <c r="X426" s="167" t="s">
        <v>55</v>
      </c>
      <c r="Y426" s="2" t="s">
        <v>55</v>
      </c>
      <c r="Z426" s="167" t="s">
        <v>55</v>
      </c>
      <c r="AA426" s="1">
        <v>2</v>
      </c>
      <c r="AB426" s="1">
        <v>2</v>
      </c>
      <c r="AC426" s="1">
        <v>0</v>
      </c>
      <c r="AD426" s="16">
        <v>46092</v>
      </c>
      <c r="AE426" s="16">
        <v>46092</v>
      </c>
      <c r="AF426" s="16">
        <v>46097</v>
      </c>
      <c r="AG426" s="246">
        <v>46101</v>
      </c>
      <c r="AH426" s="246">
        <v>46106</v>
      </c>
      <c r="AI426" s="168">
        <v>3</v>
      </c>
      <c r="AJ426" s="169" t="s">
        <v>1243</v>
      </c>
      <c r="AK426" s="69" t="s">
        <v>1356</v>
      </c>
      <c r="AL426" s="19">
        <f t="shared" si="47"/>
        <v>1</v>
      </c>
      <c r="AM426" s="67">
        <f>IFERROR(NETWORKDAYS(D426,Q426,Hoja1!$A$1:$A$29),"N/A")</f>
        <v>2</v>
      </c>
      <c r="AN426" s="21">
        <f>IFERROR(NETWORKDAYS(D426,AE426,Hoja1!$A$1:$A$29),"N/A")</f>
        <v>7</v>
      </c>
      <c r="AO426" s="78">
        <v>0</v>
      </c>
      <c r="AP426" s="21">
        <f t="shared" si="51"/>
        <v>7</v>
      </c>
      <c r="AQ426" s="21">
        <f>IFERROR(NETWORKDAYS(AF426,AG426,Hoja1!$A$1:$A$29),"N/A")</f>
        <v>5</v>
      </c>
      <c r="AR426" s="78">
        <v>0</v>
      </c>
      <c r="AS426" s="75">
        <f t="shared" si="54"/>
        <v>5</v>
      </c>
      <c r="AT426" s="21">
        <f>IFERROR(NETWORKDAYS(D426,AG426,Hoja1!$A$1:$A$29),"N/A")</f>
        <v>14</v>
      </c>
      <c r="AU426" s="21">
        <f t="shared" si="52"/>
        <v>14</v>
      </c>
      <c r="AV426" s="143" t="s">
        <v>413</v>
      </c>
      <c r="AW426" s="143" t="s">
        <v>1244</v>
      </c>
      <c r="AX426" s="114"/>
      <c r="AY426" s="114"/>
      <c r="AZ426" s="114"/>
      <c r="BA426" s="114"/>
      <c r="BB426" s="114"/>
    </row>
    <row r="427" spans="1:54" ht="15" customHeight="1" x14ac:dyDescent="0.25">
      <c r="A427" s="149">
        <v>16028</v>
      </c>
      <c r="B427" s="152" t="s">
        <v>85</v>
      </c>
      <c r="C427" s="152" t="s">
        <v>85</v>
      </c>
      <c r="D427" s="142">
        <v>46083</v>
      </c>
      <c r="E427" s="142">
        <v>46083</v>
      </c>
      <c r="F427" s="232" t="s">
        <v>62</v>
      </c>
      <c r="G427" s="84" t="s">
        <v>80</v>
      </c>
      <c r="H427" s="143" t="s">
        <v>101</v>
      </c>
      <c r="I427" s="145" t="s">
        <v>276</v>
      </c>
      <c r="J427" s="84" t="s">
        <v>52</v>
      </c>
      <c r="K427" s="84" t="s">
        <v>86</v>
      </c>
      <c r="L427" s="21">
        <v>1</v>
      </c>
      <c r="M427" s="87" t="s">
        <v>54</v>
      </c>
      <c r="N427" s="33" t="s">
        <v>55</v>
      </c>
      <c r="O427" s="33">
        <v>0</v>
      </c>
      <c r="P427" s="33"/>
      <c r="Q427" s="142" t="s">
        <v>55</v>
      </c>
      <c r="R427" s="142" t="s">
        <v>55</v>
      </c>
      <c r="S427" s="33">
        <v>0</v>
      </c>
      <c r="T427" s="33" t="s">
        <v>55</v>
      </c>
      <c r="U427" s="33" t="s">
        <v>55</v>
      </c>
      <c r="V427" s="33" t="s">
        <v>55</v>
      </c>
      <c r="W427" s="33" t="s">
        <v>55</v>
      </c>
      <c r="X427" s="33" t="s">
        <v>55</v>
      </c>
      <c r="Y427" s="33" t="s">
        <v>55</v>
      </c>
      <c r="Z427" s="33" t="s">
        <v>55</v>
      </c>
      <c r="AA427" s="33">
        <v>1</v>
      </c>
      <c r="AB427" s="33">
        <v>1</v>
      </c>
      <c r="AC427" s="33">
        <v>0</v>
      </c>
      <c r="AD427" s="28">
        <v>46087</v>
      </c>
      <c r="AE427" s="28">
        <v>46090</v>
      </c>
      <c r="AF427" s="28">
        <v>46091</v>
      </c>
      <c r="AG427" s="28">
        <v>46098</v>
      </c>
      <c r="AH427" s="140">
        <v>46106</v>
      </c>
      <c r="AI427" s="33">
        <f t="shared" ref="AI427:AI436" si="55">MONTH(AH427)</f>
        <v>3</v>
      </c>
      <c r="AJ427" s="144" t="s">
        <v>1245</v>
      </c>
      <c r="AK427" s="35" t="s">
        <v>1246</v>
      </c>
      <c r="AL427" s="19" t="str">
        <f t="shared" si="47"/>
        <v>N/A</v>
      </c>
      <c r="AM427" s="67" t="str">
        <f>IFERROR(NETWORKDAYS(D427,Q427,Hoja1!$A$1:$A$29),"N/A")</f>
        <v>N/A</v>
      </c>
      <c r="AN427" s="21">
        <f>IFERROR(NETWORKDAYS(D427,AE427,Hoja1!$A$1:$A$29),"N/A")</f>
        <v>6</v>
      </c>
      <c r="AO427" s="78">
        <v>0</v>
      </c>
      <c r="AP427" s="21">
        <f t="shared" si="51"/>
        <v>6</v>
      </c>
      <c r="AQ427" s="21">
        <f>IFERROR(NETWORKDAYS(AF427,AG427,Hoja1!$A$1:$A$29),"N/A")</f>
        <v>6</v>
      </c>
      <c r="AR427" s="78">
        <v>1</v>
      </c>
      <c r="AS427" s="75">
        <f t="shared" si="54"/>
        <v>5</v>
      </c>
      <c r="AT427" s="21">
        <f>IFERROR(NETWORKDAYS(D427,AG427,Hoja1!$A$1:$A$29),"N/A")</f>
        <v>12</v>
      </c>
      <c r="AU427" s="21">
        <f t="shared" si="52"/>
        <v>11</v>
      </c>
      <c r="AV427" s="143" t="s">
        <v>145</v>
      </c>
      <c r="AW427" s="143" t="s">
        <v>1063</v>
      </c>
      <c r="AX427" s="87"/>
      <c r="AY427" s="87"/>
      <c r="AZ427" s="87"/>
      <c r="BA427" s="87"/>
      <c r="BB427" s="87"/>
    </row>
    <row r="428" spans="1:54" ht="15" customHeight="1" x14ac:dyDescent="0.25">
      <c r="A428" s="149">
        <v>16029</v>
      </c>
      <c r="B428" s="152" t="s">
        <v>85</v>
      </c>
      <c r="C428" s="152" t="s">
        <v>85</v>
      </c>
      <c r="D428" s="428">
        <v>46083</v>
      </c>
      <c r="E428" s="142">
        <v>46083</v>
      </c>
      <c r="F428" s="232" t="s">
        <v>62</v>
      </c>
      <c r="G428" s="84" t="s">
        <v>80</v>
      </c>
      <c r="H428" s="143" t="s">
        <v>101</v>
      </c>
      <c r="I428" s="145" t="s">
        <v>276</v>
      </c>
      <c r="J428" s="84" t="s">
        <v>52</v>
      </c>
      <c r="K428" s="84" t="s">
        <v>86</v>
      </c>
      <c r="L428" s="21">
        <v>1</v>
      </c>
      <c r="M428" s="87" t="s">
        <v>54</v>
      </c>
      <c r="N428" s="33" t="s">
        <v>55</v>
      </c>
      <c r="O428" s="33">
        <v>0</v>
      </c>
      <c r="P428" s="33"/>
      <c r="Q428" s="142" t="s">
        <v>55</v>
      </c>
      <c r="R428" s="142" t="s">
        <v>55</v>
      </c>
      <c r="S428" s="33">
        <v>0</v>
      </c>
      <c r="T428" s="33" t="s">
        <v>55</v>
      </c>
      <c r="U428" s="33" t="s">
        <v>55</v>
      </c>
      <c r="V428" s="33" t="s">
        <v>55</v>
      </c>
      <c r="W428" s="33" t="s">
        <v>55</v>
      </c>
      <c r="X428" s="33" t="s">
        <v>55</v>
      </c>
      <c r="Y428" s="33" t="s">
        <v>55</v>
      </c>
      <c r="Z428" s="33" t="s">
        <v>55</v>
      </c>
      <c r="AA428" s="33">
        <v>1</v>
      </c>
      <c r="AB428" s="33">
        <v>1</v>
      </c>
      <c r="AC428" s="33">
        <v>0</v>
      </c>
      <c r="AD428" s="28">
        <v>46090</v>
      </c>
      <c r="AE428" s="28">
        <v>46090</v>
      </c>
      <c r="AF428" s="28">
        <v>46091</v>
      </c>
      <c r="AG428" s="28">
        <v>46101</v>
      </c>
      <c r="AH428" s="140">
        <v>46106</v>
      </c>
      <c r="AI428" s="33">
        <f t="shared" si="55"/>
        <v>3</v>
      </c>
      <c r="AJ428" s="144" t="s">
        <v>1247</v>
      </c>
      <c r="AK428" s="35" t="s">
        <v>1248</v>
      </c>
      <c r="AL428" s="19" t="str">
        <f t="shared" si="47"/>
        <v>N/A</v>
      </c>
      <c r="AM428" s="67" t="str">
        <f>IFERROR(NETWORKDAYS(D428,Q428,Hoja1!$A$1:$A$29),"N/A")</f>
        <v>N/A</v>
      </c>
      <c r="AN428" s="21">
        <f>IFERROR(NETWORKDAYS(D428,AE428,Hoja1!$A$1:$A$29),"N/A")</f>
        <v>6</v>
      </c>
      <c r="AO428" s="78">
        <v>0</v>
      </c>
      <c r="AP428" s="21">
        <f t="shared" si="51"/>
        <v>6</v>
      </c>
      <c r="AQ428" s="21">
        <f>IFERROR(NETWORKDAYS(AF428,AG428,Hoja1!$A$1:$A$29),"N/A")</f>
        <v>9</v>
      </c>
      <c r="AR428" s="78">
        <v>4</v>
      </c>
      <c r="AS428" s="75">
        <f t="shared" si="54"/>
        <v>5</v>
      </c>
      <c r="AT428" s="21">
        <f>IFERROR(NETWORKDAYS(D428,AG428,Hoja1!$A$1:$A$29),"N/A")</f>
        <v>15</v>
      </c>
      <c r="AU428" s="21">
        <f t="shared" si="52"/>
        <v>11</v>
      </c>
      <c r="AV428" s="143" t="s">
        <v>145</v>
      </c>
      <c r="AW428" s="143" t="s">
        <v>1063</v>
      </c>
      <c r="AX428" s="87"/>
      <c r="AY428" s="87"/>
      <c r="AZ428" s="87"/>
      <c r="BA428" s="87"/>
      <c r="BB428" s="87"/>
    </row>
    <row r="429" spans="1:54" ht="15" customHeight="1" x14ac:dyDescent="0.25">
      <c r="A429" s="149">
        <v>16032</v>
      </c>
      <c r="B429" s="145" t="s">
        <v>169</v>
      </c>
      <c r="C429" s="145" t="s">
        <v>169</v>
      </c>
      <c r="D429" s="142">
        <v>46083</v>
      </c>
      <c r="E429" s="142">
        <v>46083</v>
      </c>
      <c r="F429" s="232" t="s">
        <v>62</v>
      </c>
      <c r="G429" s="84" t="s">
        <v>80</v>
      </c>
      <c r="H429" s="143" t="s">
        <v>101</v>
      </c>
      <c r="I429" s="145" t="s">
        <v>487</v>
      </c>
      <c r="J429" s="87" t="s">
        <v>105</v>
      </c>
      <c r="K429" s="84" t="s">
        <v>86</v>
      </c>
      <c r="L429" s="21">
        <v>1</v>
      </c>
      <c r="M429" s="87" t="s">
        <v>54</v>
      </c>
      <c r="N429" s="33" t="s">
        <v>55</v>
      </c>
      <c r="O429" s="33">
        <v>0</v>
      </c>
      <c r="P429" s="33"/>
      <c r="Q429" s="142" t="s">
        <v>55</v>
      </c>
      <c r="R429" s="142" t="s">
        <v>55</v>
      </c>
      <c r="S429" s="33">
        <v>0</v>
      </c>
      <c r="T429" s="33" t="s">
        <v>55</v>
      </c>
      <c r="U429" s="33" t="s">
        <v>55</v>
      </c>
      <c r="V429" s="33" t="s">
        <v>55</v>
      </c>
      <c r="W429" s="33" t="s">
        <v>55</v>
      </c>
      <c r="X429" s="33" t="s">
        <v>55</v>
      </c>
      <c r="Y429" s="33" t="s">
        <v>55</v>
      </c>
      <c r="Z429" s="33" t="s">
        <v>55</v>
      </c>
      <c r="AA429" s="33">
        <v>1</v>
      </c>
      <c r="AB429" s="33">
        <v>1</v>
      </c>
      <c r="AC429" s="33">
        <v>0</v>
      </c>
      <c r="AD429" s="28">
        <v>46094</v>
      </c>
      <c r="AE429" s="28">
        <v>46094</v>
      </c>
      <c r="AF429" s="28">
        <v>46094</v>
      </c>
      <c r="AG429" s="28">
        <v>46101</v>
      </c>
      <c r="AH429" s="140">
        <v>46106</v>
      </c>
      <c r="AI429" s="33">
        <f t="shared" si="55"/>
        <v>3</v>
      </c>
      <c r="AJ429" s="144" t="s">
        <v>1249</v>
      </c>
      <c r="AK429" s="35" t="s">
        <v>1250</v>
      </c>
      <c r="AL429" s="19" t="str">
        <f t="shared" si="47"/>
        <v>N/A</v>
      </c>
      <c r="AM429" s="67" t="str">
        <f>IFERROR(NETWORKDAYS(D429,Q429,Hoja1!$A$1:$A$29),"N/A")</f>
        <v>N/A</v>
      </c>
      <c r="AN429" s="21">
        <f>IFERROR(NETWORKDAYS(D429,AE429,Hoja1!$A$1:$A$29),"N/A")</f>
        <v>10</v>
      </c>
      <c r="AO429" s="78">
        <v>0</v>
      </c>
      <c r="AP429" s="21">
        <f t="shared" si="51"/>
        <v>10</v>
      </c>
      <c r="AQ429" s="21">
        <f>IFERROR(NETWORKDAYS(AF429,AG429,Hoja1!$A$1:$A$29),"N/A")</f>
        <v>6</v>
      </c>
      <c r="AR429" s="78">
        <v>1</v>
      </c>
      <c r="AS429" s="75">
        <f t="shared" si="54"/>
        <v>5</v>
      </c>
      <c r="AT429" s="21">
        <f>IFERROR(NETWORKDAYS(D429,AG429,Hoja1!$A$1:$A$29),"N/A")</f>
        <v>15</v>
      </c>
      <c r="AU429" s="21">
        <f t="shared" si="52"/>
        <v>14</v>
      </c>
      <c r="AV429" s="143" t="s">
        <v>104</v>
      </c>
      <c r="AW429" s="143" t="s">
        <v>1371</v>
      </c>
      <c r="AX429" s="87"/>
      <c r="AY429" s="87"/>
      <c r="AZ429" s="87"/>
      <c r="BA429" s="87"/>
      <c r="BB429" s="87"/>
    </row>
    <row r="430" spans="1:54" ht="15" customHeight="1" x14ac:dyDescent="0.25">
      <c r="A430" s="56">
        <v>16039</v>
      </c>
      <c r="B430" s="87" t="s">
        <v>79</v>
      </c>
      <c r="C430" s="87" t="s">
        <v>79</v>
      </c>
      <c r="D430" s="428">
        <v>46084</v>
      </c>
      <c r="E430" s="142">
        <v>46084</v>
      </c>
      <c r="F430" s="202" t="s">
        <v>879</v>
      </c>
      <c r="G430" s="48" t="s">
        <v>50</v>
      </c>
      <c r="H430" s="143" t="s">
        <v>51</v>
      </c>
      <c r="I430" s="48" t="s">
        <v>1251</v>
      </c>
      <c r="J430" s="207" t="s">
        <v>118</v>
      </c>
      <c r="K430" s="48" t="s">
        <v>106</v>
      </c>
      <c r="L430" s="21">
        <v>1</v>
      </c>
      <c r="M430" s="87" t="s">
        <v>54</v>
      </c>
      <c r="N430" s="18" t="s">
        <v>55</v>
      </c>
      <c r="O430" s="3">
        <v>4</v>
      </c>
      <c r="P430" s="3" t="s">
        <v>112</v>
      </c>
      <c r="Q430" s="30">
        <v>46086</v>
      </c>
      <c r="R430" s="30">
        <v>46086</v>
      </c>
      <c r="S430" s="3">
        <v>4</v>
      </c>
      <c r="T430" s="18" t="s">
        <v>55</v>
      </c>
      <c r="U430" s="18" t="s">
        <v>55</v>
      </c>
      <c r="V430" s="18" t="s">
        <v>55</v>
      </c>
      <c r="W430" s="18" t="s">
        <v>55</v>
      </c>
      <c r="X430" s="18" t="s">
        <v>55</v>
      </c>
      <c r="Y430" s="18" t="s">
        <v>55</v>
      </c>
      <c r="Z430" s="18" t="s">
        <v>55</v>
      </c>
      <c r="AA430" s="3">
        <v>1</v>
      </c>
      <c r="AB430" s="3">
        <v>1</v>
      </c>
      <c r="AC430" s="3">
        <v>0</v>
      </c>
      <c r="AD430" s="30">
        <v>46093</v>
      </c>
      <c r="AE430" s="28">
        <v>46093</v>
      </c>
      <c r="AF430" s="28">
        <v>46093</v>
      </c>
      <c r="AG430" s="28">
        <v>46100</v>
      </c>
      <c r="AH430" s="140">
        <v>46106</v>
      </c>
      <c r="AI430" s="33">
        <f t="shared" si="55"/>
        <v>3</v>
      </c>
      <c r="AJ430" s="144" t="s">
        <v>1252</v>
      </c>
      <c r="AK430" s="35" t="s">
        <v>1357</v>
      </c>
      <c r="AL430" s="19">
        <f t="shared" si="47"/>
        <v>1</v>
      </c>
      <c r="AM430" s="67">
        <f>IFERROR(NETWORKDAYS(D430,Q430,Hoja1!$A$1:$A$29),"N/A")</f>
        <v>3</v>
      </c>
      <c r="AN430" s="21">
        <f>IFERROR(NETWORKDAYS(D430,AE430,Hoja1!$A$1:$A$29),"N/A")</f>
        <v>8</v>
      </c>
      <c r="AO430" s="78">
        <v>0</v>
      </c>
      <c r="AP430" s="21">
        <f t="shared" si="51"/>
        <v>8</v>
      </c>
      <c r="AQ430" s="21">
        <f>IFERROR(NETWORKDAYS(AF430,AG430,Hoja1!$A$1:$A$29),"N/A")</f>
        <v>6</v>
      </c>
      <c r="AR430" s="78">
        <v>0</v>
      </c>
      <c r="AS430" s="75">
        <f t="shared" si="54"/>
        <v>6</v>
      </c>
      <c r="AT430" s="21">
        <f>IFERROR(NETWORKDAYS(D430,AG430,Hoja1!$A$1:$A$29),"N/A")</f>
        <v>13</v>
      </c>
      <c r="AU430" s="21">
        <f t="shared" si="52"/>
        <v>13</v>
      </c>
      <c r="AV430" s="143" t="s">
        <v>59</v>
      </c>
      <c r="AW430" s="143" t="s">
        <v>1372</v>
      </c>
      <c r="AX430" s="87" t="s">
        <v>445</v>
      </c>
      <c r="AY430" s="87" t="s">
        <v>871</v>
      </c>
      <c r="AZ430" s="87" t="s">
        <v>445</v>
      </c>
      <c r="BA430" s="87" t="s">
        <v>445</v>
      </c>
      <c r="BB430" s="87" t="s">
        <v>445</v>
      </c>
    </row>
    <row r="431" spans="1:54" ht="15" customHeight="1" x14ac:dyDescent="0.25">
      <c r="A431" s="95">
        <v>16045</v>
      </c>
      <c r="B431" s="87" t="s">
        <v>69</v>
      </c>
      <c r="C431" s="84" t="s">
        <v>122</v>
      </c>
      <c r="D431" s="142">
        <v>46084</v>
      </c>
      <c r="E431" s="142">
        <v>46084</v>
      </c>
      <c r="F431" s="232" t="s">
        <v>62</v>
      </c>
      <c r="G431" s="84" t="s">
        <v>80</v>
      </c>
      <c r="H431" s="143" t="s">
        <v>51</v>
      </c>
      <c r="I431" s="84" t="s">
        <v>1253</v>
      </c>
      <c r="J431" s="84" t="s">
        <v>118</v>
      </c>
      <c r="K431" s="111" t="s">
        <v>351</v>
      </c>
      <c r="L431" s="21">
        <v>1</v>
      </c>
      <c r="M431" s="87" t="s">
        <v>54</v>
      </c>
      <c r="N431" s="3" t="s">
        <v>55</v>
      </c>
      <c r="O431" s="3">
        <v>3</v>
      </c>
      <c r="P431" s="3" t="s">
        <v>112</v>
      </c>
      <c r="Q431" s="147">
        <v>46090</v>
      </c>
      <c r="R431" s="147">
        <v>46090</v>
      </c>
      <c r="S431" s="3">
        <v>3</v>
      </c>
      <c r="T431" s="3" t="s">
        <v>55</v>
      </c>
      <c r="U431" s="3" t="s">
        <v>55</v>
      </c>
      <c r="V431" s="3" t="s">
        <v>55</v>
      </c>
      <c r="W431" s="3" t="s">
        <v>55</v>
      </c>
      <c r="X431" s="3" t="s">
        <v>55</v>
      </c>
      <c r="Y431" s="3" t="s">
        <v>55</v>
      </c>
      <c r="Z431" s="3" t="s">
        <v>55</v>
      </c>
      <c r="AA431" s="33">
        <v>2</v>
      </c>
      <c r="AB431" s="33">
        <v>1</v>
      </c>
      <c r="AC431" s="3">
        <v>0</v>
      </c>
      <c r="AD431" s="28">
        <v>46094</v>
      </c>
      <c r="AE431" s="28">
        <v>46094</v>
      </c>
      <c r="AF431" s="28">
        <v>46094</v>
      </c>
      <c r="AG431" s="28">
        <v>46100</v>
      </c>
      <c r="AH431" s="140">
        <v>46106</v>
      </c>
      <c r="AI431" s="33">
        <f t="shared" si="55"/>
        <v>3</v>
      </c>
      <c r="AJ431" s="170" t="s">
        <v>1254</v>
      </c>
      <c r="AK431" s="60" t="s">
        <v>1358</v>
      </c>
      <c r="AL431" s="19">
        <f t="shared" si="47"/>
        <v>1</v>
      </c>
      <c r="AM431" s="67">
        <f>IFERROR(NETWORKDAYS(D431,Q431,Hoja1!$A$1:$A$29),"N/A")</f>
        <v>5</v>
      </c>
      <c r="AN431" s="21">
        <f>IFERROR(NETWORKDAYS(D431,AE431,Hoja1!$A$1:$A$29),"N/A")</f>
        <v>9</v>
      </c>
      <c r="AO431" s="78">
        <v>0</v>
      </c>
      <c r="AP431" s="21">
        <f t="shared" si="51"/>
        <v>9</v>
      </c>
      <c r="AQ431" s="21">
        <f>IFERROR(NETWORKDAYS(AF431,AG431,Hoja1!$A$1:$A$29),"N/A")</f>
        <v>5</v>
      </c>
      <c r="AR431" s="78">
        <v>0</v>
      </c>
      <c r="AS431" s="75">
        <f t="shared" si="54"/>
        <v>5</v>
      </c>
      <c r="AT431" s="21">
        <f>IFERROR(NETWORKDAYS(D431,AG431,Hoja1!$A$1:$A$29),"N/A")</f>
        <v>13</v>
      </c>
      <c r="AU431" s="21">
        <f t="shared" si="52"/>
        <v>13</v>
      </c>
      <c r="AV431" s="143" t="s">
        <v>420</v>
      </c>
      <c r="AW431" s="143" t="s">
        <v>1255</v>
      </c>
      <c r="AX431" s="84"/>
      <c r="AY431" s="84"/>
      <c r="AZ431" s="84"/>
      <c r="BA431" s="84"/>
      <c r="BB431" s="84"/>
    </row>
    <row r="432" spans="1:54" ht="15" customHeight="1" x14ac:dyDescent="0.25">
      <c r="A432" s="58">
        <v>16046</v>
      </c>
      <c r="B432" s="87" t="s">
        <v>69</v>
      </c>
      <c r="C432" s="84" t="s">
        <v>122</v>
      </c>
      <c r="D432" s="428">
        <v>46069</v>
      </c>
      <c r="E432" s="142">
        <v>46084</v>
      </c>
      <c r="F432" s="232" t="s">
        <v>62</v>
      </c>
      <c r="G432" s="48" t="s">
        <v>80</v>
      </c>
      <c r="H432" s="143" t="s">
        <v>51</v>
      </c>
      <c r="I432" s="240" t="s">
        <v>1256</v>
      </c>
      <c r="J432" s="87" t="s">
        <v>142</v>
      </c>
      <c r="K432" s="111" t="s">
        <v>351</v>
      </c>
      <c r="L432" s="21">
        <v>1</v>
      </c>
      <c r="M432" s="87" t="s">
        <v>54</v>
      </c>
      <c r="N432" s="3" t="s">
        <v>55</v>
      </c>
      <c r="O432" s="3">
        <v>3</v>
      </c>
      <c r="P432" s="3" t="s">
        <v>112</v>
      </c>
      <c r="Q432" s="142">
        <v>46071</v>
      </c>
      <c r="R432" s="142">
        <v>46071</v>
      </c>
      <c r="S432" s="3">
        <v>3</v>
      </c>
      <c r="T432" s="3" t="s">
        <v>55</v>
      </c>
      <c r="U432" s="3" t="s">
        <v>55</v>
      </c>
      <c r="V432" s="3" t="s">
        <v>55</v>
      </c>
      <c r="W432" s="3" t="s">
        <v>55</v>
      </c>
      <c r="X432" s="3" t="s">
        <v>55</v>
      </c>
      <c r="Y432" s="3" t="s">
        <v>55</v>
      </c>
      <c r="Z432" s="3" t="s">
        <v>55</v>
      </c>
      <c r="AA432" s="3">
        <v>1</v>
      </c>
      <c r="AB432" s="3">
        <v>1</v>
      </c>
      <c r="AC432" s="3">
        <v>0</v>
      </c>
      <c r="AD432" s="28">
        <v>46086</v>
      </c>
      <c r="AE432" s="28">
        <v>46086</v>
      </c>
      <c r="AF432" s="28">
        <v>46086</v>
      </c>
      <c r="AG432" s="28">
        <v>46090</v>
      </c>
      <c r="AH432" s="148">
        <v>46093</v>
      </c>
      <c r="AI432" s="33">
        <f t="shared" si="55"/>
        <v>3</v>
      </c>
      <c r="AJ432" s="170" t="s">
        <v>1257</v>
      </c>
      <c r="AK432" s="60" t="s">
        <v>1258</v>
      </c>
      <c r="AL432" s="19">
        <f t="shared" si="47"/>
        <v>1</v>
      </c>
      <c r="AM432" s="67">
        <f>IFERROR(NETWORKDAYS(D432,Q432,Hoja1!$A$1:$A$29),"N/A")</f>
        <v>3</v>
      </c>
      <c r="AN432" s="21">
        <f>IFERROR(NETWORKDAYS(D432,AE432,Hoja1!$A$1:$A$29),"N/A")</f>
        <v>14</v>
      </c>
      <c r="AO432" s="78">
        <v>0</v>
      </c>
      <c r="AP432" s="21">
        <f t="shared" si="51"/>
        <v>14</v>
      </c>
      <c r="AQ432" s="21">
        <f>IFERROR(NETWORKDAYS(AF432,AG432,Hoja1!$A$1:$A$29),"N/A")</f>
        <v>3</v>
      </c>
      <c r="AR432" s="78">
        <v>0</v>
      </c>
      <c r="AS432" s="75">
        <f t="shared" si="54"/>
        <v>3</v>
      </c>
      <c r="AT432" s="21">
        <f>IFERROR(NETWORKDAYS(D432,AG432,Hoja1!$A$1:$A$29),"N/A")</f>
        <v>16</v>
      </c>
      <c r="AU432" s="21">
        <f t="shared" si="52"/>
        <v>16</v>
      </c>
      <c r="AV432" s="143" t="s">
        <v>127</v>
      </c>
      <c r="AW432" s="143" t="s">
        <v>1259</v>
      </c>
      <c r="AX432" s="84"/>
      <c r="AY432" s="87"/>
      <c r="AZ432" s="87"/>
      <c r="BA432" s="87"/>
      <c r="BB432" s="87"/>
    </row>
    <row r="433" spans="1:54" ht="15" customHeight="1" x14ac:dyDescent="0.25">
      <c r="A433" s="57">
        <v>16047</v>
      </c>
      <c r="B433" s="87" t="s">
        <v>69</v>
      </c>
      <c r="C433" s="27" t="s">
        <v>122</v>
      </c>
      <c r="D433" s="142">
        <v>46084</v>
      </c>
      <c r="E433" s="142">
        <v>46084</v>
      </c>
      <c r="F433" s="232" t="s">
        <v>62</v>
      </c>
      <c r="G433" s="114" t="s">
        <v>80</v>
      </c>
      <c r="H433" s="143" t="s">
        <v>51</v>
      </c>
      <c r="I433" s="240" t="s">
        <v>1256</v>
      </c>
      <c r="J433" s="87" t="s">
        <v>142</v>
      </c>
      <c r="K433" s="111" t="s">
        <v>351</v>
      </c>
      <c r="L433" s="21">
        <v>1</v>
      </c>
      <c r="M433" s="87" t="s">
        <v>54</v>
      </c>
      <c r="N433" s="3" t="s">
        <v>55</v>
      </c>
      <c r="O433" s="3">
        <v>3</v>
      </c>
      <c r="P433" s="33" t="s">
        <v>112</v>
      </c>
      <c r="Q433" s="142">
        <v>46085</v>
      </c>
      <c r="R433" s="142">
        <v>46085</v>
      </c>
      <c r="S433" s="3">
        <v>3</v>
      </c>
      <c r="T433" s="3" t="s">
        <v>55</v>
      </c>
      <c r="U433" s="3" t="s">
        <v>55</v>
      </c>
      <c r="V433" s="3" t="s">
        <v>55</v>
      </c>
      <c r="W433" s="3" t="s">
        <v>55</v>
      </c>
      <c r="X433" s="3" t="s">
        <v>55</v>
      </c>
      <c r="Y433" s="3" t="s">
        <v>55</v>
      </c>
      <c r="Z433" s="3" t="s">
        <v>55</v>
      </c>
      <c r="AA433" s="1">
        <v>2</v>
      </c>
      <c r="AB433" s="1">
        <v>1</v>
      </c>
      <c r="AC433" s="3">
        <v>0</v>
      </c>
      <c r="AD433" s="53">
        <v>46093</v>
      </c>
      <c r="AE433" s="28">
        <v>46093</v>
      </c>
      <c r="AF433" s="28">
        <v>46093</v>
      </c>
      <c r="AG433" s="28">
        <v>46098</v>
      </c>
      <c r="AH433" s="16">
        <v>46099</v>
      </c>
      <c r="AI433" s="33">
        <f t="shared" si="55"/>
        <v>3</v>
      </c>
      <c r="AJ433" s="170" t="s">
        <v>1260</v>
      </c>
      <c r="AK433" s="60" t="s">
        <v>1261</v>
      </c>
      <c r="AL433" s="19">
        <f t="shared" si="47"/>
        <v>1</v>
      </c>
      <c r="AM433" s="67">
        <f>IFERROR(NETWORKDAYS(D433,Q433,Hoja1!$A$1:$A$29),"N/A")</f>
        <v>2</v>
      </c>
      <c r="AN433" s="21">
        <f>IFERROR(NETWORKDAYS(D433,AE433,Hoja1!$A$1:$A$29),"N/A")</f>
        <v>8</v>
      </c>
      <c r="AO433" s="78">
        <v>0</v>
      </c>
      <c r="AP433" s="21">
        <f t="shared" si="51"/>
        <v>8</v>
      </c>
      <c r="AQ433" s="21">
        <f>IFERROR(NETWORKDAYS(AF433,AG433,Hoja1!$A$1:$A$29),"N/A")</f>
        <v>4</v>
      </c>
      <c r="AR433" s="78">
        <v>0</v>
      </c>
      <c r="AS433" s="75">
        <f t="shared" si="54"/>
        <v>4</v>
      </c>
      <c r="AT433" s="21">
        <f>IFERROR(NETWORKDAYS(D433,AG433,Hoja1!$A$1:$A$29),"N/A")</f>
        <v>11</v>
      </c>
      <c r="AU433" s="21">
        <f t="shared" si="52"/>
        <v>11</v>
      </c>
      <c r="AV433" s="143" t="s">
        <v>421</v>
      </c>
      <c r="AW433" s="143" t="s">
        <v>1262</v>
      </c>
      <c r="AX433" s="114"/>
      <c r="AY433" s="114"/>
      <c r="AZ433" s="114"/>
      <c r="BA433" s="114"/>
      <c r="BB433" s="114"/>
    </row>
    <row r="434" spans="1:54" ht="15" customHeight="1" x14ac:dyDescent="0.25">
      <c r="A434" s="55">
        <v>16050</v>
      </c>
      <c r="B434" s="145" t="s">
        <v>169</v>
      </c>
      <c r="C434" s="145" t="s">
        <v>169</v>
      </c>
      <c r="D434" s="428">
        <v>46084</v>
      </c>
      <c r="E434" s="142">
        <v>46084</v>
      </c>
      <c r="F434" s="114" t="s">
        <v>163</v>
      </c>
      <c r="G434" s="111" t="s">
        <v>688</v>
      </c>
      <c r="H434" s="143" t="s">
        <v>101</v>
      </c>
      <c r="I434" s="240" t="s">
        <v>1263</v>
      </c>
      <c r="J434" s="111" t="s">
        <v>118</v>
      </c>
      <c r="K434" s="27" t="s">
        <v>165</v>
      </c>
      <c r="L434" s="21">
        <v>1</v>
      </c>
      <c r="M434" s="87" t="s">
        <v>54</v>
      </c>
      <c r="N434" s="3" t="s">
        <v>55</v>
      </c>
      <c r="O434" s="3">
        <v>0</v>
      </c>
      <c r="P434" s="33"/>
      <c r="Q434" s="153" t="s">
        <v>55</v>
      </c>
      <c r="R434" s="153" t="s">
        <v>55</v>
      </c>
      <c r="S434" s="3">
        <v>0</v>
      </c>
      <c r="T434" s="3" t="s">
        <v>55</v>
      </c>
      <c r="U434" s="3" t="s">
        <v>55</v>
      </c>
      <c r="V434" s="3" t="s">
        <v>55</v>
      </c>
      <c r="W434" s="3" t="s">
        <v>55</v>
      </c>
      <c r="X434" s="3" t="s">
        <v>55</v>
      </c>
      <c r="Y434" s="3" t="s">
        <v>55</v>
      </c>
      <c r="Z434" s="3" t="s">
        <v>55</v>
      </c>
      <c r="AA434" s="2">
        <v>1</v>
      </c>
      <c r="AB434" s="2">
        <v>1</v>
      </c>
      <c r="AC434" s="3">
        <v>0</v>
      </c>
      <c r="AD434" s="16">
        <v>46086</v>
      </c>
      <c r="AE434" s="28">
        <v>46086</v>
      </c>
      <c r="AF434" s="28">
        <v>46086</v>
      </c>
      <c r="AG434" s="28">
        <v>46092</v>
      </c>
      <c r="AH434" s="16">
        <v>46093</v>
      </c>
      <c r="AI434" s="33">
        <f t="shared" si="55"/>
        <v>3</v>
      </c>
      <c r="AJ434" s="170" t="s">
        <v>1264</v>
      </c>
      <c r="AK434" s="60" t="s">
        <v>1265</v>
      </c>
      <c r="AL434" s="19" t="str">
        <f t="shared" si="47"/>
        <v>N/A</v>
      </c>
      <c r="AM434" s="67" t="str">
        <f>IFERROR(NETWORKDAYS(D434,Q434,Hoja1!$A$1:$A$29),"N/A")</f>
        <v>N/A</v>
      </c>
      <c r="AN434" s="21">
        <f>IFERROR(NETWORKDAYS(D434,AE434,Hoja1!$A$1:$A$29),"N/A")</f>
        <v>3</v>
      </c>
      <c r="AO434" s="78">
        <v>0</v>
      </c>
      <c r="AP434" s="21">
        <f t="shared" si="51"/>
        <v>3</v>
      </c>
      <c r="AQ434" s="21">
        <f>IFERROR(NETWORKDAYS(AF434,AG434,Hoja1!$A$1:$A$29),"N/A")</f>
        <v>5</v>
      </c>
      <c r="AR434" s="78">
        <v>0</v>
      </c>
      <c r="AS434" s="75">
        <f t="shared" si="54"/>
        <v>5</v>
      </c>
      <c r="AT434" s="21">
        <f>IFERROR(NETWORKDAYS(D434,AG434,Hoja1!$A$1:$A$29),"N/A")</f>
        <v>7</v>
      </c>
      <c r="AU434" s="21">
        <f t="shared" si="52"/>
        <v>7</v>
      </c>
      <c r="AV434" s="143" t="s">
        <v>145</v>
      </c>
      <c r="AW434" s="143" t="s">
        <v>405</v>
      </c>
      <c r="AX434" s="111"/>
      <c r="AY434" s="111"/>
      <c r="AZ434" s="111"/>
      <c r="BA434" s="111"/>
      <c r="BB434" s="111"/>
    </row>
    <row r="435" spans="1:54" ht="15" customHeight="1" x14ac:dyDescent="0.25">
      <c r="A435" s="54">
        <v>16068</v>
      </c>
      <c r="B435" s="87" t="s">
        <v>79</v>
      </c>
      <c r="C435" s="87" t="s">
        <v>79</v>
      </c>
      <c r="D435" s="142">
        <v>46086</v>
      </c>
      <c r="E435" s="142">
        <v>46091</v>
      </c>
      <c r="F435" s="143" t="s">
        <v>99</v>
      </c>
      <c r="G435" s="152" t="s">
        <v>100</v>
      </c>
      <c r="H435" s="143" t="s">
        <v>51</v>
      </c>
      <c r="I435" s="111" t="s">
        <v>239</v>
      </c>
      <c r="J435" s="84" t="s">
        <v>52</v>
      </c>
      <c r="K435" s="111" t="s">
        <v>129</v>
      </c>
      <c r="L435" s="21">
        <v>1</v>
      </c>
      <c r="M435" s="87" t="s">
        <v>54</v>
      </c>
      <c r="N435" s="2" t="s">
        <v>55</v>
      </c>
      <c r="O435" s="151">
        <v>1</v>
      </c>
      <c r="P435" s="3" t="s">
        <v>112</v>
      </c>
      <c r="Q435" s="104">
        <v>46091</v>
      </c>
      <c r="R435" s="104">
        <v>46091</v>
      </c>
      <c r="S435" s="151">
        <v>1</v>
      </c>
      <c r="T435" s="2" t="s">
        <v>55</v>
      </c>
      <c r="U435" s="2" t="s">
        <v>55</v>
      </c>
      <c r="V435" s="2" t="s">
        <v>55</v>
      </c>
      <c r="W435" s="2" t="s">
        <v>55</v>
      </c>
      <c r="X435" s="2" t="s">
        <v>55</v>
      </c>
      <c r="Y435" s="2" t="s">
        <v>55</v>
      </c>
      <c r="Z435" s="2" t="s">
        <v>55</v>
      </c>
      <c r="AA435" s="151">
        <v>1</v>
      </c>
      <c r="AB435" s="151">
        <v>1</v>
      </c>
      <c r="AC435" s="2">
        <v>0</v>
      </c>
      <c r="AD435" s="104">
        <v>46093</v>
      </c>
      <c r="AE435" s="104">
        <v>46094</v>
      </c>
      <c r="AF435" s="28">
        <v>46094</v>
      </c>
      <c r="AG435" s="28">
        <v>46100</v>
      </c>
      <c r="AH435" s="140">
        <v>46106</v>
      </c>
      <c r="AI435" s="33">
        <f t="shared" si="55"/>
        <v>3</v>
      </c>
      <c r="AJ435" s="170" t="s">
        <v>1266</v>
      </c>
      <c r="AK435" s="60" t="s">
        <v>1267</v>
      </c>
      <c r="AL435" s="19">
        <f t="shared" si="47"/>
        <v>1</v>
      </c>
      <c r="AM435" s="67">
        <f>IFERROR(NETWORKDAYS(D435,Q435,Hoja1!$A$1:$A$29),"N/A")</f>
        <v>4</v>
      </c>
      <c r="AN435" s="21">
        <f>IFERROR(NETWORKDAYS(D435,AE435,Hoja1!$A$1:$A$29),"N/A")</f>
        <v>7</v>
      </c>
      <c r="AO435" s="78">
        <v>0</v>
      </c>
      <c r="AP435" s="21">
        <f t="shared" si="51"/>
        <v>7</v>
      </c>
      <c r="AQ435" s="21">
        <f>IFERROR(NETWORKDAYS(AF435,AG435,Hoja1!$A$1:$A$29),"N/A")</f>
        <v>5</v>
      </c>
      <c r="AR435" s="78">
        <v>0</v>
      </c>
      <c r="AS435" s="75">
        <f t="shared" si="54"/>
        <v>5</v>
      </c>
      <c r="AT435" s="21">
        <f>IFERROR(NETWORKDAYS(D435,AG435,Hoja1!$A$1:$A$29),"N/A")</f>
        <v>11</v>
      </c>
      <c r="AU435" s="21">
        <f t="shared" si="52"/>
        <v>11</v>
      </c>
      <c r="AV435" s="143" t="s">
        <v>419</v>
      </c>
      <c r="AW435" s="143" t="s">
        <v>1268</v>
      </c>
      <c r="AX435" s="87"/>
      <c r="AY435" s="152"/>
      <c r="AZ435" s="152"/>
      <c r="BA435" s="152"/>
      <c r="BB435" s="152"/>
    </row>
    <row r="436" spans="1:54" ht="15" customHeight="1" x14ac:dyDescent="0.25">
      <c r="A436" s="149">
        <v>16075</v>
      </c>
      <c r="B436" s="152" t="s">
        <v>85</v>
      </c>
      <c r="C436" s="152" t="s">
        <v>85</v>
      </c>
      <c r="D436" s="428">
        <v>46086</v>
      </c>
      <c r="E436" s="142">
        <v>46086</v>
      </c>
      <c r="F436" s="232" t="s">
        <v>62</v>
      </c>
      <c r="G436" s="84" t="s">
        <v>80</v>
      </c>
      <c r="H436" s="143" t="s">
        <v>101</v>
      </c>
      <c r="I436" s="145" t="s">
        <v>516</v>
      </c>
      <c r="J436" s="84" t="s">
        <v>52</v>
      </c>
      <c r="K436" s="84" t="s">
        <v>86</v>
      </c>
      <c r="L436" s="21">
        <v>1</v>
      </c>
      <c r="M436" s="87" t="s">
        <v>54</v>
      </c>
      <c r="N436" s="33" t="s">
        <v>55</v>
      </c>
      <c r="O436" s="33">
        <v>0</v>
      </c>
      <c r="P436" s="3"/>
      <c r="Q436" s="33" t="s">
        <v>55</v>
      </c>
      <c r="R436" s="33" t="s">
        <v>55</v>
      </c>
      <c r="S436" s="33">
        <v>0</v>
      </c>
      <c r="T436" s="33" t="s">
        <v>55</v>
      </c>
      <c r="U436" s="33" t="s">
        <v>55</v>
      </c>
      <c r="V436" s="33" t="s">
        <v>55</v>
      </c>
      <c r="W436" s="33" t="s">
        <v>55</v>
      </c>
      <c r="X436" s="33" t="s">
        <v>55</v>
      </c>
      <c r="Y436" s="33" t="s">
        <v>55</v>
      </c>
      <c r="Z436" s="33" t="s">
        <v>55</v>
      </c>
      <c r="AA436" s="33">
        <v>1</v>
      </c>
      <c r="AB436" s="33">
        <v>1</v>
      </c>
      <c r="AC436" s="33">
        <v>0</v>
      </c>
      <c r="AD436" s="28">
        <v>46091</v>
      </c>
      <c r="AE436" s="28">
        <v>46091</v>
      </c>
      <c r="AF436" s="28">
        <v>46091</v>
      </c>
      <c r="AG436" s="28">
        <v>46100</v>
      </c>
      <c r="AH436" s="140">
        <v>46106</v>
      </c>
      <c r="AI436" s="33">
        <f t="shared" si="55"/>
        <v>3</v>
      </c>
      <c r="AJ436" s="170" t="s">
        <v>1269</v>
      </c>
      <c r="AK436" s="60" t="s">
        <v>1270</v>
      </c>
      <c r="AL436" s="19" t="str">
        <f t="shared" si="47"/>
        <v>N/A</v>
      </c>
      <c r="AM436" s="67" t="str">
        <f>IFERROR(NETWORKDAYS(D436,Q436,Hoja1!$A$1:$A$29),"N/A")</f>
        <v>N/A</v>
      </c>
      <c r="AN436" s="21">
        <f>IFERROR(NETWORKDAYS(D436,AE436,Hoja1!$A$1:$A$29),"N/A")</f>
        <v>4</v>
      </c>
      <c r="AO436" s="78">
        <v>0</v>
      </c>
      <c r="AP436" s="21">
        <f t="shared" si="51"/>
        <v>4</v>
      </c>
      <c r="AQ436" s="21">
        <f>IFERROR(NETWORKDAYS(AF436,AG436,Hoja1!$A$1:$A$29),"N/A")</f>
        <v>8</v>
      </c>
      <c r="AR436" s="78">
        <v>3</v>
      </c>
      <c r="AS436" s="75">
        <f t="shared" si="54"/>
        <v>5</v>
      </c>
      <c r="AT436" s="21">
        <f>IFERROR(NETWORKDAYS(D436,AG436,Hoja1!$A$1:$A$29),"N/A")</f>
        <v>11</v>
      </c>
      <c r="AU436" s="21">
        <f t="shared" si="52"/>
        <v>8</v>
      </c>
      <c r="AV436" s="143" t="s">
        <v>104</v>
      </c>
      <c r="AW436" s="143" t="s">
        <v>1271</v>
      </c>
      <c r="AX436" s="87"/>
      <c r="AY436" s="87"/>
      <c r="AZ436" s="87"/>
      <c r="BA436" s="87"/>
      <c r="BB436" s="87"/>
    </row>
    <row r="437" spans="1:54" ht="15" customHeight="1" x14ac:dyDescent="0.25">
      <c r="A437" s="226">
        <v>16080</v>
      </c>
      <c r="B437" s="184" t="s">
        <v>69</v>
      </c>
      <c r="C437" s="112" t="s">
        <v>98</v>
      </c>
      <c r="D437" s="432">
        <v>46073</v>
      </c>
      <c r="E437" s="174">
        <v>46087</v>
      </c>
      <c r="F437" s="187" t="s">
        <v>879</v>
      </c>
      <c r="G437" s="185" t="s">
        <v>50</v>
      </c>
      <c r="H437" s="190" t="s">
        <v>1465</v>
      </c>
      <c r="I437" s="241" t="s">
        <v>582</v>
      </c>
      <c r="J437" s="197" t="s">
        <v>52</v>
      </c>
      <c r="K437" s="184" t="s">
        <v>53</v>
      </c>
      <c r="L437" s="66">
        <v>1</v>
      </c>
      <c r="M437" s="200" t="s">
        <v>247</v>
      </c>
      <c r="N437" s="96" t="s">
        <v>55</v>
      </c>
      <c r="O437" s="96">
        <v>1</v>
      </c>
      <c r="P437" s="96" t="s">
        <v>112</v>
      </c>
      <c r="Q437" s="138">
        <v>46076</v>
      </c>
      <c r="R437" s="138">
        <v>46076</v>
      </c>
      <c r="S437" s="96">
        <v>1</v>
      </c>
      <c r="T437" s="96" t="s">
        <v>55</v>
      </c>
      <c r="U437" s="96" t="s">
        <v>55</v>
      </c>
      <c r="V437" s="96" t="s">
        <v>55</v>
      </c>
      <c r="W437" s="96" t="s">
        <v>55</v>
      </c>
      <c r="X437" s="96" t="s">
        <v>55</v>
      </c>
      <c r="Y437" s="96" t="s">
        <v>55</v>
      </c>
      <c r="Z437" s="175" t="s">
        <v>55</v>
      </c>
      <c r="AA437" s="96">
        <v>1</v>
      </c>
      <c r="AB437" s="96">
        <v>1</v>
      </c>
      <c r="AC437" s="96">
        <v>0</v>
      </c>
      <c r="AD437" s="138">
        <v>46084</v>
      </c>
      <c r="AE437" s="178">
        <v>46086</v>
      </c>
      <c r="AF437" s="178" t="s">
        <v>55</v>
      </c>
      <c r="AG437" s="178">
        <v>46086</v>
      </c>
      <c r="AH437" s="96" t="s">
        <v>55</v>
      </c>
      <c r="AI437" s="99">
        <v>3</v>
      </c>
      <c r="AJ437" s="279" t="s">
        <v>1272</v>
      </c>
      <c r="AK437" s="97" t="s">
        <v>1273</v>
      </c>
      <c r="AL437" s="19">
        <f t="shared" si="47"/>
        <v>1</v>
      </c>
      <c r="AM437" s="67">
        <f>IFERROR(NETWORKDAYS(D437,Q437,Hoja1!$A$1:$A$29),"N/A")</f>
        <v>2</v>
      </c>
      <c r="AN437" s="21">
        <f>IFERROR(NETWORKDAYS(D437,AE437,Hoja1!$A$1:$A$29),"N/A")</f>
        <v>10</v>
      </c>
      <c r="AO437" s="273">
        <v>0</v>
      </c>
      <c r="AP437" s="66">
        <f t="shared" si="51"/>
        <v>10</v>
      </c>
      <c r="AQ437" s="21" t="str">
        <f>IFERROR(NETWORKDAYS(AF437,AG437,Hoja1!$A$1:$A$29),"N/A")</f>
        <v>N/A</v>
      </c>
      <c r="AR437" s="65">
        <v>0</v>
      </c>
      <c r="AS437" s="105" t="s">
        <v>82</v>
      </c>
      <c r="AT437" s="21">
        <f>IFERROR(NETWORKDAYS(D437,AG437,Hoja1!$A$1:$A$29),"N/A")</f>
        <v>10</v>
      </c>
      <c r="AU437" s="66">
        <f t="shared" si="52"/>
        <v>10</v>
      </c>
      <c r="AV437" s="176" t="s">
        <v>145</v>
      </c>
      <c r="AW437" s="176" t="s">
        <v>180</v>
      </c>
      <c r="AX437" s="106"/>
      <c r="AY437" s="106"/>
      <c r="AZ437" s="106"/>
      <c r="BA437" s="106"/>
      <c r="BB437" s="106"/>
    </row>
    <row r="438" spans="1:54" ht="15" customHeight="1" x14ac:dyDescent="0.25">
      <c r="A438" s="56">
        <v>16084</v>
      </c>
      <c r="B438" s="87" t="s">
        <v>79</v>
      </c>
      <c r="C438" s="87" t="s">
        <v>79</v>
      </c>
      <c r="D438" s="428">
        <v>46087</v>
      </c>
      <c r="E438" s="142">
        <v>46087</v>
      </c>
      <c r="F438" s="202" t="s">
        <v>879</v>
      </c>
      <c r="G438" s="48" t="s">
        <v>50</v>
      </c>
      <c r="H438" s="143" t="s">
        <v>51</v>
      </c>
      <c r="I438" s="48" t="s">
        <v>1251</v>
      </c>
      <c r="J438" s="207" t="s">
        <v>118</v>
      </c>
      <c r="K438" s="48" t="s">
        <v>106</v>
      </c>
      <c r="L438" s="21">
        <v>1</v>
      </c>
      <c r="M438" s="87" t="s">
        <v>54</v>
      </c>
      <c r="N438" s="18" t="s">
        <v>55</v>
      </c>
      <c r="O438" s="3">
        <v>4</v>
      </c>
      <c r="P438" s="3" t="s">
        <v>112</v>
      </c>
      <c r="Q438" s="30">
        <v>46090</v>
      </c>
      <c r="R438" s="30">
        <v>46090</v>
      </c>
      <c r="S438" s="3">
        <v>4</v>
      </c>
      <c r="T438" s="18" t="s">
        <v>55</v>
      </c>
      <c r="U438" s="18" t="s">
        <v>55</v>
      </c>
      <c r="V438" s="18" t="s">
        <v>55</v>
      </c>
      <c r="W438" s="18" t="s">
        <v>55</v>
      </c>
      <c r="X438" s="18" t="s">
        <v>55</v>
      </c>
      <c r="Y438" s="18" t="s">
        <v>55</v>
      </c>
      <c r="Z438" s="18" t="s">
        <v>55</v>
      </c>
      <c r="AA438" s="3">
        <v>1</v>
      </c>
      <c r="AB438" s="3">
        <v>1</v>
      </c>
      <c r="AC438" s="3">
        <v>0</v>
      </c>
      <c r="AD438" s="30">
        <v>46093</v>
      </c>
      <c r="AE438" s="28">
        <v>46093</v>
      </c>
      <c r="AF438" s="28">
        <v>46093</v>
      </c>
      <c r="AG438" s="28">
        <v>46100</v>
      </c>
      <c r="AH438" s="140">
        <v>46106</v>
      </c>
      <c r="AI438" s="33">
        <f t="shared" ref="AI438:AI444" si="56">MONTH(AH438)</f>
        <v>3</v>
      </c>
      <c r="AJ438" s="60" t="s">
        <v>1274</v>
      </c>
      <c r="AK438" s="60" t="s">
        <v>1359</v>
      </c>
      <c r="AL438" s="19">
        <f t="shared" si="47"/>
        <v>1</v>
      </c>
      <c r="AM438" s="67">
        <f>IFERROR(NETWORKDAYS(D438,Q438,Hoja1!$A$1:$A$29),"N/A")</f>
        <v>2</v>
      </c>
      <c r="AN438" s="21">
        <f>IFERROR(NETWORKDAYS(D438,AE438,Hoja1!$A$1:$A$29),"N/A")</f>
        <v>5</v>
      </c>
      <c r="AO438" s="78">
        <v>0</v>
      </c>
      <c r="AP438" s="21">
        <f t="shared" si="51"/>
        <v>5</v>
      </c>
      <c r="AQ438" s="21">
        <f>IFERROR(NETWORKDAYS(AF438,AG438,Hoja1!$A$1:$A$29),"N/A")</f>
        <v>6</v>
      </c>
      <c r="AR438" s="78">
        <v>0</v>
      </c>
      <c r="AS438" s="75">
        <f>AQ438-AR438</f>
        <v>6</v>
      </c>
      <c r="AT438" s="21">
        <f>IFERROR(NETWORKDAYS(D438,AG438,Hoja1!$A$1:$A$29),"N/A")</f>
        <v>10</v>
      </c>
      <c r="AU438" s="21">
        <f t="shared" si="52"/>
        <v>10</v>
      </c>
      <c r="AV438" s="143" t="s">
        <v>420</v>
      </c>
      <c r="AW438" s="143" t="s">
        <v>1373</v>
      </c>
      <c r="AX438" s="87"/>
      <c r="AY438" s="87"/>
      <c r="AZ438" s="87"/>
      <c r="BA438" s="87"/>
      <c r="BB438" s="87"/>
    </row>
    <row r="439" spans="1:54" ht="15" customHeight="1" x14ac:dyDescent="0.25">
      <c r="A439" s="55">
        <v>16091</v>
      </c>
      <c r="B439" s="84" t="s">
        <v>597</v>
      </c>
      <c r="C439" s="84" t="s">
        <v>597</v>
      </c>
      <c r="D439" s="142">
        <v>46090</v>
      </c>
      <c r="E439" s="142">
        <v>46090</v>
      </c>
      <c r="F439" s="232" t="s">
        <v>62</v>
      </c>
      <c r="G439" s="111" t="s">
        <v>80</v>
      </c>
      <c r="H439" s="179" t="s">
        <v>1465</v>
      </c>
      <c r="I439" s="111" t="s">
        <v>1275</v>
      </c>
      <c r="J439" s="84" t="s">
        <v>52</v>
      </c>
      <c r="K439" s="111" t="s">
        <v>351</v>
      </c>
      <c r="L439" s="21">
        <v>1</v>
      </c>
      <c r="M439" s="159" t="s">
        <v>247</v>
      </c>
      <c r="N439" s="3" t="s">
        <v>55</v>
      </c>
      <c r="O439" s="3">
        <v>0</v>
      </c>
      <c r="P439" s="33"/>
      <c r="Q439" s="155" t="s">
        <v>55</v>
      </c>
      <c r="R439" s="155" t="s">
        <v>55</v>
      </c>
      <c r="S439" s="3">
        <v>0</v>
      </c>
      <c r="T439" s="3" t="s">
        <v>55</v>
      </c>
      <c r="U439" s="3" t="s">
        <v>55</v>
      </c>
      <c r="V439" s="3" t="s">
        <v>55</v>
      </c>
      <c r="W439" s="3" t="s">
        <v>55</v>
      </c>
      <c r="X439" s="3" t="s">
        <v>55</v>
      </c>
      <c r="Y439" s="3" t="s">
        <v>55</v>
      </c>
      <c r="Z439" s="3" t="s">
        <v>55</v>
      </c>
      <c r="AA439" s="2">
        <v>1</v>
      </c>
      <c r="AB439" s="2">
        <v>1</v>
      </c>
      <c r="AC439" s="3">
        <v>0</v>
      </c>
      <c r="AD439" s="53">
        <v>46107</v>
      </c>
      <c r="AE439" s="28">
        <v>46107</v>
      </c>
      <c r="AF439" s="28" t="s">
        <v>55</v>
      </c>
      <c r="AG439" s="53">
        <v>46107</v>
      </c>
      <c r="AH439" s="53">
        <v>46107</v>
      </c>
      <c r="AI439" s="3">
        <f t="shared" si="56"/>
        <v>3</v>
      </c>
      <c r="AJ439" s="170" t="s">
        <v>1276</v>
      </c>
      <c r="AK439" s="35" t="s">
        <v>1277</v>
      </c>
      <c r="AL439" s="19" t="str">
        <f t="shared" si="47"/>
        <v>N/A</v>
      </c>
      <c r="AM439" s="67" t="str">
        <f>IFERROR(NETWORKDAYS(D439,Q439,Hoja1!$A$1:$A$29),"N/A")</f>
        <v>N/A</v>
      </c>
      <c r="AN439" s="21">
        <f>IFERROR(NETWORKDAYS(D439,AE439,Hoja1!$A$1:$A$29),"N/A")</f>
        <v>13</v>
      </c>
      <c r="AO439" s="78">
        <v>8</v>
      </c>
      <c r="AP439" s="21">
        <f t="shared" si="51"/>
        <v>5</v>
      </c>
      <c r="AQ439" s="21" t="str">
        <f>IFERROR(NETWORKDAYS(AF439,AG439,Hoja1!$A$1:$A$29),"N/A")</f>
        <v>N/A</v>
      </c>
      <c r="AR439" s="78">
        <v>0</v>
      </c>
      <c r="AS439" s="19" t="s">
        <v>82</v>
      </c>
      <c r="AT439" s="21">
        <f>IFERROR(NETWORKDAYS(D439,AG439,Hoja1!$A$1:$A$29),"N/A")</f>
        <v>13</v>
      </c>
      <c r="AU439" s="21">
        <f t="shared" si="52"/>
        <v>5</v>
      </c>
      <c r="AV439" s="143" t="s">
        <v>145</v>
      </c>
      <c r="AW439" s="143" t="s">
        <v>610</v>
      </c>
      <c r="AX439" s="78"/>
      <c r="AY439" s="2"/>
      <c r="AZ439" s="2"/>
      <c r="BA439" s="2"/>
      <c r="BB439" s="2"/>
    </row>
    <row r="440" spans="1:54" ht="15" customHeight="1" x14ac:dyDescent="0.25">
      <c r="A440" s="95">
        <v>16106</v>
      </c>
      <c r="B440" s="87" t="s">
        <v>69</v>
      </c>
      <c r="C440" s="87" t="s">
        <v>202</v>
      </c>
      <c r="D440" s="428">
        <v>46092</v>
      </c>
      <c r="E440" s="142">
        <v>46092</v>
      </c>
      <c r="F440" s="232" t="s">
        <v>62</v>
      </c>
      <c r="G440" s="48" t="s">
        <v>71</v>
      </c>
      <c r="H440" s="143" t="s">
        <v>271</v>
      </c>
      <c r="I440" s="240" t="s">
        <v>1278</v>
      </c>
      <c r="J440" s="27" t="s">
        <v>65</v>
      </c>
      <c r="K440" s="111" t="s">
        <v>351</v>
      </c>
      <c r="L440" s="21">
        <v>1</v>
      </c>
      <c r="M440" s="87" t="s">
        <v>54</v>
      </c>
      <c r="N440" s="3" t="s">
        <v>55</v>
      </c>
      <c r="O440" s="3">
        <v>0</v>
      </c>
      <c r="P440" s="33"/>
      <c r="Q440" s="155" t="s">
        <v>55</v>
      </c>
      <c r="R440" s="155" t="s">
        <v>55</v>
      </c>
      <c r="S440" s="3">
        <v>0</v>
      </c>
      <c r="T440" s="3" t="s">
        <v>55</v>
      </c>
      <c r="U440" s="3" t="s">
        <v>55</v>
      </c>
      <c r="V440" s="3" t="s">
        <v>55</v>
      </c>
      <c r="W440" s="3" t="s">
        <v>55</v>
      </c>
      <c r="X440" s="3" t="s">
        <v>55</v>
      </c>
      <c r="Y440" s="3" t="s">
        <v>55</v>
      </c>
      <c r="Z440" s="3" t="s">
        <v>55</v>
      </c>
      <c r="AA440" s="2">
        <v>0</v>
      </c>
      <c r="AB440" s="2">
        <v>0</v>
      </c>
      <c r="AC440" s="3">
        <v>0</v>
      </c>
      <c r="AD440" s="33" t="s">
        <v>55</v>
      </c>
      <c r="AE440" s="142">
        <v>46092</v>
      </c>
      <c r="AF440" s="142">
        <v>46092</v>
      </c>
      <c r="AG440" s="28">
        <v>46094</v>
      </c>
      <c r="AH440" s="16">
        <v>46097</v>
      </c>
      <c r="AI440" s="3">
        <f t="shared" si="56"/>
        <v>3</v>
      </c>
      <c r="AJ440" s="170" t="s">
        <v>1279</v>
      </c>
      <c r="AK440" s="60" t="s">
        <v>1280</v>
      </c>
      <c r="AL440" s="19" t="str">
        <f t="shared" si="47"/>
        <v>N/A</v>
      </c>
      <c r="AM440" s="67" t="str">
        <f>IFERROR(NETWORKDAYS(D440,Q440,Hoja1!$A$1:$A$29),"N/A")</f>
        <v>N/A</v>
      </c>
      <c r="AN440" s="21">
        <f>IFERROR(NETWORKDAYS(D440,AE440,Hoja1!$A$1:$A$29),"N/A")</f>
        <v>1</v>
      </c>
      <c r="AO440" s="78">
        <v>0</v>
      </c>
      <c r="AP440" s="19" t="s">
        <v>82</v>
      </c>
      <c r="AQ440" s="21">
        <f>IFERROR(NETWORKDAYS(AF440,AG440,Hoja1!$A$1:$A$29),"N/A")</f>
        <v>3</v>
      </c>
      <c r="AR440" s="78">
        <v>0</v>
      </c>
      <c r="AS440" s="75">
        <f>AQ440-AR440</f>
        <v>3</v>
      </c>
      <c r="AT440" s="21">
        <f>IFERROR(NETWORKDAYS(D440,AG440,Hoja1!$A$1:$A$29),"N/A")</f>
        <v>3</v>
      </c>
      <c r="AU440" s="21">
        <f t="shared" si="52"/>
        <v>3</v>
      </c>
      <c r="AV440" s="143" t="s">
        <v>104</v>
      </c>
      <c r="AW440" s="143" t="s">
        <v>1281</v>
      </c>
      <c r="AX440" s="114"/>
      <c r="AY440" s="114"/>
      <c r="AZ440" s="46"/>
      <c r="BA440" s="114"/>
      <c r="BB440" s="114"/>
    </row>
    <row r="441" spans="1:54" ht="15" customHeight="1" x14ac:dyDescent="0.25">
      <c r="A441" s="55">
        <v>16123</v>
      </c>
      <c r="B441" s="152" t="s">
        <v>85</v>
      </c>
      <c r="C441" s="152" t="s">
        <v>85</v>
      </c>
      <c r="D441" s="142">
        <v>46093</v>
      </c>
      <c r="E441" s="142">
        <v>46093</v>
      </c>
      <c r="F441" s="232" t="s">
        <v>62</v>
      </c>
      <c r="G441" s="111" t="s">
        <v>80</v>
      </c>
      <c r="H441" s="143" t="s">
        <v>271</v>
      </c>
      <c r="I441" s="111" t="s">
        <v>1282</v>
      </c>
      <c r="J441" s="84" t="s">
        <v>142</v>
      </c>
      <c r="K441" s="111" t="s">
        <v>351</v>
      </c>
      <c r="L441" s="21">
        <v>1</v>
      </c>
      <c r="M441" s="87" t="s">
        <v>54</v>
      </c>
      <c r="N441" s="3" t="s">
        <v>55</v>
      </c>
      <c r="O441" s="3">
        <v>0</v>
      </c>
      <c r="P441" s="33"/>
      <c r="Q441" s="155" t="s">
        <v>55</v>
      </c>
      <c r="R441" s="155" t="s">
        <v>55</v>
      </c>
      <c r="S441" s="3">
        <v>0</v>
      </c>
      <c r="T441" s="3" t="s">
        <v>55</v>
      </c>
      <c r="U441" s="3" t="s">
        <v>55</v>
      </c>
      <c r="V441" s="3" t="s">
        <v>55</v>
      </c>
      <c r="W441" s="3" t="s">
        <v>55</v>
      </c>
      <c r="X441" s="3" t="s">
        <v>55</v>
      </c>
      <c r="Y441" s="3" t="s">
        <v>55</v>
      </c>
      <c r="Z441" s="3" t="s">
        <v>55</v>
      </c>
      <c r="AA441" s="2">
        <v>0</v>
      </c>
      <c r="AB441" s="2">
        <v>0</v>
      </c>
      <c r="AC441" s="3">
        <v>0</v>
      </c>
      <c r="AD441" s="33" t="s">
        <v>55</v>
      </c>
      <c r="AE441" s="28">
        <v>46093</v>
      </c>
      <c r="AF441" s="28">
        <v>46097</v>
      </c>
      <c r="AG441" s="28">
        <v>46100</v>
      </c>
      <c r="AH441" s="16">
        <v>46106</v>
      </c>
      <c r="AI441" s="3">
        <f t="shared" si="56"/>
        <v>3</v>
      </c>
      <c r="AJ441" s="170" t="s">
        <v>1283</v>
      </c>
      <c r="AK441" s="60" t="s">
        <v>1360</v>
      </c>
      <c r="AL441" s="19" t="str">
        <f t="shared" si="47"/>
        <v>N/A</v>
      </c>
      <c r="AM441" s="67" t="str">
        <f>IFERROR(NETWORKDAYS(D441,Q441,Hoja1!$A$1:$A$29),"N/A")</f>
        <v>N/A</v>
      </c>
      <c r="AN441" s="21">
        <f>IFERROR(NETWORKDAYS(D441,AE441,Hoja1!$A$1:$A$29),"N/A")</f>
        <v>1</v>
      </c>
      <c r="AO441" s="78">
        <v>0</v>
      </c>
      <c r="AP441" s="19" t="s">
        <v>82</v>
      </c>
      <c r="AQ441" s="21">
        <f>IFERROR(NETWORKDAYS(AF441,AG441,Hoja1!$A$1:$A$29),"N/A")</f>
        <v>4</v>
      </c>
      <c r="AR441" s="78">
        <v>0</v>
      </c>
      <c r="AS441" s="75">
        <f>AQ441-AR441</f>
        <v>4</v>
      </c>
      <c r="AT441" s="21">
        <f>IFERROR(NETWORKDAYS(D441,AG441,Hoja1!$A$1:$A$29),"N/A")</f>
        <v>6</v>
      </c>
      <c r="AU441" s="21">
        <f t="shared" si="52"/>
        <v>6</v>
      </c>
      <c r="AV441" s="143" t="s">
        <v>145</v>
      </c>
      <c r="AW441" s="143" t="s">
        <v>480</v>
      </c>
      <c r="AX441" s="111"/>
      <c r="AY441" s="111"/>
      <c r="AZ441" s="111"/>
      <c r="BA441" s="111"/>
      <c r="BB441" s="111"/>
    </row>
    <row r="442" spans="1:54" ht="15" customHeight="1" x14ac:dyDescent="0.25">
      <c r="A442" s="57">
        <v>16134</v>
      </c>
      <c r="B442" s="152" t="s">
        <v>85</v>
      </c>
      <c r="C442" s="152" t="s">
        <v>85</v>
      </c>
      <c r="D442" s="428">
        <v>46097</v>
      </c>
      <c r="E442" s="142">
        <v>46095</v>
      </c>
      <c r="F442" s="232" t="s">
        <v>62</v>
      </c>
      <c r="G442" s="48" t="s">
        <v>71</v>
      </c>
      <c r="H442" s="143" t="s">
        <v>101</v>
      </c>
      <c r="I442" s="27" t="s">
        <v>1284</v>
      </c>
      <c r="J442" s="87" t="s">
        <v>52</v>
      </c>
      <c r="K442" s="84" t="s">
        <v>86</v>
      </c>
      <c r="L442" s="21">
        <v>1</v>
      </c>
      <c r="M442" s="159" t="s">
        <v>247</v>
      </c>
      <c r="N442" s="3" t="s">
        <v>55</v>
      </c>
      <c r="O442" s="3">
        <v>0</v>
      </c>
      <c r="P442" s="33"/>
      <c r="Q442" s="3" t="s">
        <v>55</v>
      </c>
      <c r="R442" s="3" t="s">
        <v>55</v>
      </c>
      <c r="S442" s="3">
        <v>0</v>
      </c>
      <c r="T442" s="3" t="s">
        <v>55</v>
      </c>
      <c r="U442" s="3" t="s">
        <v>55</v>
      </c>
      <c r="V442" s="3" t="s">
        <v>55</v>
      </c>
      <c r="W442" s="3" t="s">
        <v>55</v>
      </c>
      <c r="X442" s="3" t="s">
        <v>55</v>
      </c>
      <c r="Y442" s="3" t="s">
        <v>55</v>
      </c>
      <c r="Z442" s="3" t="s">
        <v>55</v>
      </c>
      <c r="AA442" s="3">
        <v>1</v>
      </c>
      <c r="AB442" s="3">
        <v>1</v>
      </c>
      <c r="AC442" s="3">
        <v>0</v>
      </c>
      <c r="AD442" s="28">
        <v>46101</v>
      </c>
      <c r="AE442" s="140">
        <v>46111</v>
      </c>
      <c r="AF442" s="28" t="s">
        <v>55</v>
      </c>
      <c r="AG442" s="140">
        <v>46111</v>
      </c>
      <c r="AH442" s="140">
        <v>46111</v>
      </c>
      <c r="AI442" s="33">
        <f t="shared" si="56"/>
        <v>3</v>
      </c>
      <c r="AJ442" s="108" t="s">
        <v>1285</v>
      </c>
      <c r="AK442" s="49" t="s">
        <v>1286</v>
      </c>
      <c r="AL442" s="19" t="str">
        <f t="shared" si="47"/>
        <v>N/A</v>
      </c>
      <c r="AM442" s="67" t="str">
        <f>IFERROR(NETWORKDAYS(D442,Q442,Hoja1!$A$1:$A$29),"N/A")</f>
        <v>N/A</v>
      </c>
      <c r="AN442" s="21">
        <f>IFERROR(NETWORKDAYS(D442,AE442,Hoja1!$A$1:$A$29),"N/A")</f>
        <v>10</v>
      </c>
      <c r="AO442" s="78">
        <v>0</v>
      </c>
      <c r="AP442" s="21">
        <f>AN442-AO442</f>
        <v>10</v>
      </c>
      <c r="AQ442" s="21" t="str">
        <f>IFERROR(NETWORKDAYS(AF442,AG442,Hoja1!$A$1:$A$29),"N/A")</f>
        <v>N/A</v>
      </c>
      <c r="AR442" s="78">
        <v>0</v>
      </c>
      <c r="AS442" s="19" t="s">
        <v>82</v>
      </c>
      <c r="AT442" s="21">
        <f>IFERROR(NETWORKDAYS(D442,AG442,Hoja1!$A$1:$A$29),"N/A")</f>
        <v>10</v>
      </c>
      <c r="AU442" s="21">
        <f t="shared" si="52"/>
        <v>10</v>
      </c>
      <c r="AV442" s="143" t="s">
        <v>145</v>
      </c>
      <c r="AW442" s="143" t="s">
        <v>1063</v>
      </c>
      <c r="AX442" s="1"/>
      <c r="AY442" s="1"/>
      <c r="AZ442" s="1"/>
      <c r="BA442" s="1"/>
      <c r="BB442" s="1"/>
    </row>
    <row r="443" spans="1:54" ht="15" customHeight="1" x14ac:dyDescent="0.25">
      <c r="A443" s="55">
        <v>16137</v>
      </c>
      <c r="B443" s="152" t="s">
        <v>85</v>
      </c>
      <c r="C443" s="152" t="s">
        <v>85</v>
      </c>
      <c r="D443" s="142">
        <v>46097</v>
      </c>
      <c r="E443" s="142">
        <v>46097</v>
      </c>
      <c r="F443" s="232" t="s">
        <v>62</v>
      </c>
      <c r="G443" s="48" t="s">
        <v>71</v>
      </c>
      <c r="H443" s="143" t="s">
        <v>101</v>
      </c>
      <c r="I443" s="84" t="s">
        <v>1287</v>
      </c>
      <c r="J443" s="87" t="s">
        <v>52</v>
      </c>
      <c r="K443" s="84" t="s">
        <v>86</v>
      </c>
      <c r="L443" s="21">
        <v>1</v>
      </c>
      <c r="M443" s="159" t="s">
        <v>247</v>
      </c>
      <c r="N443" s="3" t="s">
        <v>55</v>
      </c>
      <c r="O443" s="3">
        <v>0</v>
      </c>
      <c r="P443" s="33"/>
      <c r="Q443" s="3" t="s">
        <v>55</v>
      </c>
      <c r="R443" s="3" t="s">
        <v>55</v>
      </c>
      <c r="S443" s="3">
        <v>0</v>
      </c>
      <c r="T443" s="3" t="s">
        <v>55</v>
      </c>
      <c r="U443" s="3" t="s">
        <v>55</v>
      </c>
      <c r="V443" s="3" t="s">
        <v>55</v>
      </c>
      <c r="W443" s="3" t="s">
        <v>55</v>
      </c>
      <c r="X443" s="3" t="s">
        <v>55</v>
      </c>
      <c r="Y443" s="3" t="s">
        <v>55</v>
      </c>
      <c r="Z443" s="3" t="s">
        <v>55</v>
      </c>
      <c r="AA443" s="3">
        <v>1</v>
      </c>
      <c r="AB443" s="3">
        <v>1</v>
      </c>
      <c r="AC443" s="3">
        <v>0</v>
      </c>
      <c r="AD443" s="28">
        <v>46101</v>
      </c>
      <c r="AE443" s="140">
        <v>46111</v>
      </c>
      <c r="AF443" s="28" t="s">
        <v>55</v>
      </c>
      <c r="AG443" s="140">
        <v>46111</v>
      </c>
      <c r="AH443" s="140">
        <v>46111</v>
      </c>
      <c r="AI443" s="33">
        <f t="shared" si="56"/>
        <v>3</v>
      </c>
      <c r="AJ443" s="170" t="s">
        <v>1288</v>
      </c>
      <c r="AK443" s="35" t="s">
        <v>1289</v>
      </c>
      <c r="AL443" s="19" t="str">
        <f t="shared" si="47"/>
        <v>N/A</v>
      </c>
      <c r="AM443" s="67" t="str">
        <f>IFERROR(NETWORKDAYS(D443,Q443,Hoja1!$A$1:$A$29),"N/A")</f>
        <v>N/A</v>
      </c>
      <c r="AN443" s="21">
        <f>IFERROR(NETWORKDAYS(D443,AE443,Hoja1!$A$1:$A$29),"N/A")</f>
        <v>10</v>
      </c>
      <c r="AO443" s="78">
        <v>0</v>
      </c>
      <c r="AP443" s="21">
        <f>AN443-AO443</f>
        <v>10</v>
      </c>
      <c r="AQ443" s="21" t="str">
        <f>IFERROR(NETWORKDAYS(AF443,AG443,Hoja1!$A$1:$A$29),"N/A")</f>
        <v>N/A</v>
      </c>
      <c r="AR443" s="78">
        <v>0</v>
      </c>
      <c r="AS443" s="19" t="s">
        <v>82</v>
      </c>
      <c r="AT443" s="21">
        <f>IFERROR(NETWORKDAYS(D443,AG443,Hoja1!$A$1:$A$29),"N/A")</f>
        <v>10</v>
      </c>
      <c r="AU443" s="21">
        <f t="shared" si="52"/>
        <v>10</v>
      </c>
      <c r="AV443" s="143" t="s">
        <v>145</v>
      </c>
      <c r="AW443" s="143" t="s">
        <v>1063</v>
      </c>
      <c r="AX443" s="1"/>
      <c r="AY443" s="1"/>
      <c r="AZ443" s="1"/>
      <c r="BA443" s="1"/>
      <c r="BB443" s="1"/>
    </row>
    <row r="444" spans="1:54" ht="15" customHeight="1" x14ac:dyDescent="0.25">
      <c r="A444" s="54" t="s">
        <v>82</v>
      </c>
      <c r="B444" s="87" t="s">
        <v>69</v>
      </c>
      <c r="C444" s="43" t="s">
        <v>98</v>
      </c>
      <c r="D444" s="428">
        <v>46082</v>
      </c>
      <c r="E444" s="142">
        <v>46097</v>
      </c>
      <c r="F444" s="202" t="s">
        <v>879</v>
      </c>
      <c r="G444" s="48" t="s">
        <v>50</v>
      </c>
      <c r="H444" s="143" t="s">
        <v>51</v>
      </c>
      <c r="I444" s="87" t="s">
        <v>1290</v>
      </c>
      <c r="J444" s="84" t="s">
        <v>118</v>
      </c>
      <c r="K444" s="87" t="s">
        <v>53</v>
      </c>
      <c r="L444" s="21">
        <v>1</v>
      </c>
      <c r="M444" s="159" t="s">
        <v>247</v>
      </c>
      <c r="N444" s="3" t="s">
        <v>55</v>
      </c>
      <c r="O444" s="3">
        <v>8</v>
      </c>
      <c r="P444" s="3" t="s">
        <v>112</v>
      </c>
      <c r="Q444" s="30">
        <v>46097</v>
      </c>
      <c r="R444" s="30">
        <v>46097</v>
      </c>
      <c r="S444" s="3">
        <v>8</v>
      </c>
      <c r="T444" s="3" t="s">
        <v>55</v>
      </c>
      <c r="U444" s="3" t="s">
        <v>55</v>
      </c>
      <c r="V444" s="3" t="s">
        <v>55</v>
      </c>
      <c r="W444" s="3" t="s">
        <v>55</v>
      </c>
      <c r="X444" s="3" t="s">
        <v>55</v>
      </c>
      <c r="Y444" s="3" t="s">
        <v>55</v>
      </c>
      <c r="Z444" s="18" t="s">
        <v>55</v>
      </c>
      <c r="AA444" s="3">
        <v>1</v>
      </c>
      <c r="AB444" s="3">
        <v>1</v>
      </c>
      <c r="AC444" s="3">
        <v>0</v>
      </c>
      <c r="AD444" s="30">
        <v>46107</v>
      </c>
      <c r="AE444" s="28">
        <v>46108</v>
      </c>
      <c r="AF444" s="28" t="s">
        <v>55</v>
      </c>
      <c r="AG444" s="28">
        <v>46108</v>
      </c>
      <c r="AH444" s="30">
        <v>46108</v>
      </c>
      <c r="AI444" s="33">
        <f t="shared" si="56"/>
        <v>3</v>
      </c>
      <c r="AJ444" s="171" t="s">
        <v>1291</v>
      </c>
      <c r="AK444" s="35" t="s">
        <v>1361</v>
      </c>
      <c r="AL444" s="19">
        <f t="shared" si="47"/>
        <v>1</v>
      </c>
      <c r="AM444" s="67">
        <f>IFERROR(NETWORKDAYS(D444,Q444,Hoja1!$A$1:$A$29),"N/A")</f>
        <v>11</v>
      </c>
      <c r="AN444" s="21">
        <f>IFERROR(NETWORKDAYS(D444,AE444,Hoja1!$A$1:$A$29),"N/A")</f>
        <v>19</v>
      </c>
      <c r="AO444" s="78">
        <v>3</v>
      </c>
      <c r="AP444" s="21">
        <f>AN444-AO444</f>
        <v>16</v>
      </c>
      <c r="AQ444" s="21" t="str">
        <f>IFERROR(NETWORKDAYS(AF444,AG444,Hoja1!$A$1:$A$29),"N/A")</f>
        <v>N/A</v>
      </c>
      <c r="AR444" s="78">
        <v>0</v>
      </c>
      <c r="AS444" s="19" t="s">
        <v>82</v>
      </c>
      <c r="AT444" s="21">
        <f>IFERROR(NETWORKDAYS(D444,AG444,Hoja1!$A$1:$A$29),"N/A")</f>
        <v>19</v>
      </c>
      <c r="AU444" s="21">
        <f t="shared" si="52"/>
        <v>16</v>
      </c>
      <c r="AV444" s="143" t="s">
        <v>59</v>
      </c>
      <c r="AW444" s="143" t="s">
        <v>1292</v>
      </c>
      <c r="AX444" s="114"/>
      <c r="AY444" s="114"/>
      <c r="AZ444" s="114"/>
      <c r="BA444" s="114"/>
      <c r="BB444" s="114"/>
    </row>
    <row r="445" spans="1:54" ht="15" customHeight="1" x14ac:dyDescent="0.25">
      <c r="A445" s="55">
        <v>14203</v>
      </c>
      <c r="B445" s="159" t="s">
        <v>69</v>
      </c>
      <c r="C445" s="43" t="s">
        <v>98</v>
      </c>
      <c r="D445" s="53">
        <v>46029</v>
      </c>
      <c r="E445" s="53">
        <v>45811</v>
      </c>
      <c r="F445" s="143" t="s">
        <v>99</v>
      </c>
      <c r="G445" s="159" t="s">
        <v>128</v>
      </c>
      <c r="H445" s="111" t="s">
        <v>51</v>
      </c>
      <c r="I445" s="84" t="s">
        <v>227</v>
      </c>
      <c r="J445" s="111" t="s">
        <v>52</v>
      </c>
      <c r="K445" s="111" t="s">
        <v>1081</v>
      </c>
      <c r="L445" s="2">
        <v>1</v>
      </c>
      <c r="M445" s="111" t="s">
        <v>54</v>
      </c>
      <c r="N445" s="21" t="s">
        <v>55</v>
      </c>
      <c r="O445" s="21">
        <v>22</v>
      </c>
      <c r="P445" s="21" t="s">
        <v>56</v>
      </c>
      <c r="Q445" s="53">
        <v>46097</v>
      </c>
      <c r="R445" s="53">
        <v>46097</v>
      </c>
      <c r="S445" s="21">
        <v>22</v>
      </c>
      <c r="T445" s="21" t="s">
        <v>55</v>
      </c>
      <c r="U445" s="21" t="s">
        <v>55</v>
      </c>
      <c r="V445" s="21" t="s">
        <v>55</v>
      </c>
      <c r="W445" s="21" t="s">
        <v>55</v>
      </c>
      <c r="X445" s="21" t="s">
        <v>55</v>
      </c>
      <c r="Y445" s="21" t="s">
        <v>55</v>
      </c>
      <c r="Z445" s="21" t="s">
        <v>55</v>
      </c>
      <c r="AA445" s="21">
        <v>22</v>
      </c>
      <c r="AB445" s="21">
        <v>2</v>
      </c>
      <c r="AC445" s="21">
        <v>0</v>
      </c>
      <c r="AD445" s="53">
        <v>46099</v>
      </c>
      <c r="AE445" s="28">
        <v>46100</v>
      </c>
      <c r="AF445" s="28">
        <v>46100</v>
      </c>
      <c r="AG445" s="53">
        <v>46111</v>
      </c>
      <c r="AH445" s="53">
        <v>46118</v>
      </c>
      <c r="AI445" s="21">
        <v>4</v>
      </c>
      <c r="AJ445" s="159" t="s">
        <v>1374</v>
      </c>
      <c r="AK445" s="87" t="s">
        <v>1375</v>
      </c>
      <c r="AL445" s="19">
        <f t="shared" si="47"/>
        <v>1</v>
      </c>
      <c r="AM445" s="67">
        <f>IFERROR(NETWORKDAYS(D445,Q445,Hoja1!$A$1:$A$29),"N/A")</f>
        <v>48</v>
      </c>
      <c r="AN445" s="21">
        <f>IFERROR(NETWORKDAYS(D445,AE445,Hoja1!$A$1:$A$29),"N/A")</f>
        <v>51</v>
      </c>
      <c r="AO445" s="78">
        <v>3</v>
      </c>
      <c r="AP445" s="21">
        <f t="shared" ref="AP445:AP508" si="57">AN445-AO445</f>
        <v>48</v>
      </c>
      <c r="AQ445" s="21">
        <f>IFERROR(NETWORKDAYS(AF445,AG445,Hoja1!$A$1:$A$29),"N/A")</f>
        <v>7</v>
      </c>
      <c r="AR445" s="78">
        <v>2</v>
      </c>
      <c r="AS445" s="75">
        <f t="shared" ref="AS445:AS508" si="58">AQ445-AR445</f>
        <v>5</v>
      </c>
      <c r="AT445" s="21">
        <f>IFERROR(NETWORKDAYS(D445,AG445,Hoja1!$A$1:$A$29),"N/A")</f>
        <v>57</v>
      </c>
      <c r="AU445" s="21">
        <f t="shared" si="52"/>
        <v>52</v>
      </c>
      <c r="AV445" s="143" t="s">
        <v>131</v>
      </c>
      <c r="AW445" s="49" t="s">
        <v>559</v>
      </c>
      <c r="AX445" s="111" t="s">
        <v>1376</v>
      </c>
      <c r="AY445" s="111" t="s">
        <v>1376</v>
      </c>
      <c r="AZ445" s="111"/>
      <c r="BA445" s="111"/>
      <c r="BB445" s="111"/>
    </row>
    <row r="446" spans="1:54" ht="15" customHeight="1" x14ac:dyDescent="0.25">
      <c r="A446" s="95">
        <v>14456</v>
      </c>
      <c r="B446" s="159" t="s">
        <v>69</v>
      </c>
      <c r="C446" s="43" t="s">
        <v>98</v>
      </c>
      <c r="D446" s="425">
        <v>46087</v>
      </c>
      <c r="E446" s="53">
        <v>45848</v>
      </c>
      <c r="F446" s="84" t="s">
        <v>62</v>
      </c>
      <c r="G446" s="179" t="s">
        <v>80</v>
      </c>
      <c r="H446" s="111" t="s">
        <v>51</v>
      </c>
      <c r="I446" s="27" t="s">
        <v>72</v>
      </c>
      <c r="J446" s="87" t="s">
        <v>73</v>
      </c>
      <c r="K446" s="87" t="s">
        <v>66</v>
      </c>
      <c r="L446" s="1">
        <v>1</v>
      </c>
      <c r="M446" s="111" t="s">
        <v>54</v>
      </c>
      <c r="N446" s="33" t="s">
        <v>55</v>
      </c>
      <c r="O446" s="33">
        <v>38</v>
      </c>
      <c r="P446" s="21" t="s">
        <v>56</v>
      </c>
      <c r="Q446" s="16">
        <v>46092</v>
      </c>
      <c r="R446" s="16">
        <v>46092</v>
      </c>
      <c r="S446" s="33">
        <v>38</v>
      </c>
      <c r="T446" s="33" t="s">
        <v>55</v>
      </c>
      <c r="U446" s="33" t="s">
        <v>55</v>
      </c>
      <c r="V446" s="33" t="s">
        <v>55</v>
      </c>
      <c r="W446" s="33" t="s">
        <v>55</v>
      </c>
      <c r="X446" s="33" t="s">
        <v>55</v>
      </c>
      <c r="Y446" s="33" t="s">
        <v>55</v>
      </c>
      <c r="Z446" s="21" t="s">
        <v>55</v>
      </c>
      <c r="AA446" s="33">
        <v>4</v>
      </c>
      <c r="AB446" s="33">
        <v>4</v>
      </c>
      <c r="AC446" s="33">
        <v>0</v>
      </c>
      <c r="AD446" s="16">
        <v>46100</v>
      </c>
      <c r="AE446" s="28">
        <v>46108</v>
      </c>
      <c r="AF446" s="28">
        <v>46108</v>
      </c>
      <c r="AG446" s="180">
        <v>46126</v>
      </c>
      <c r="AH446" s="180">
        <v>46127</v>
      </c>
      <c r="AI446" s="33">
        <v>4</v>
      </c>
      <c r="AJ446" s="240" t="s">
        <v>1377</v>
      </c>
      <c r="AK446" s="49" t="s">
        <v>1378</v>
      </c>
      <c r="AL446" s="19">
        <f t="shared" si="47"/>
        <v>1</v>
      </c>
      <c r="AM446" s="67">
        <f>IFERROR(NETWORKDAYS(D446,Q446,Hoja1!$A$1:$A$29),"N/A")</f>
        <v>4</v>
      </c>
      <c r="AN446" s="21">
        <f>IFERROR(NETWORKDAYS(D446,AE446,Hoja1!$A$1:$A$29),"N/A")</f>
        <v>15</v>
      </c>
      <c r="AO446" s="78">
        <v>0</v>
      </c>
      <c r="AP446" s="21">
        <f>AN446-AO446</f>
        <v>15</v>
      </c>
      <c r="AQ446" s="21">
        <f>IFERROR(NETWORKDAYS(AF446,AG446,Hoja1!$A$1:$A$29),"N/A")</f>
        <v>11</v>
      </c>
      <c r="AR446" s="78">
        <v>6</v>
      </c>
      <c r="AS446" s="75">
        <f t="shared" si="58"/>
        <v>5</v>
      </c>
      <c r="AT446" s="21">
        <f>IFERROR(NETWORKDAYS(D446,AG446,Hoja1!$A$1:$A$29),"N/A")</f>
        <v>25</v>
      </c>
      <c r="AU446" s="21">
        <f t="shared" si="52"/>
        <v>19</v>
      </c>
      <c r="AV446" s="143" t="s">
        <v>77</v>
      </c>
      <c r="AW446" s="86" t="s">
        <v>82</v>
      </c>
      <c r="AX446" s="27" t="s">
        <v>1379</v>
      </c>
      <c r="AY446" s="111" t="s">
        <v>460</v>
      </c>
      <c r="AZ446" s="114" t="s">
        <v>1376</v>
      </c>
      <c r="BA446" s="46" t="s">
        <v>1376</v>
      </c>
      <c r="BB446" s="114"/>
    </row>
    <row r="447" spans="1:54" ht="15" customHeight="1" x14ac:dyDescent="0.25">
      <c r="A447" s="55">
        <v>15227</v>
      </c>
      <c r="B447" s="159" t="s">
        <v>69</v>
      </c>
      <c r="C447" s="43" t="s">
        <v>98</v>
      </c>
      <c r="D447" s="28">
        <v>46099</v>
      </c>
      <c r="E447" s="28">
        <v>45979</v>
      </c>
      <c r="F447" s="202" t="s">
        <v>879</v>
      </c>
      <c r="G447" s="48" t="s">
        <v>50</v>
      </c>
      <c r="H447" s="111" t="s">
        <v>51</v>
      </c>
      <c r="I447" s="159" t="s">
        <v>885</v>
      </c>
      <c r="J447" s="111" t="s">
        <v>52</v>
      </c>
      <c r="K447" s="87" t="s">
        <v>53</v>
      </c>
      <c r="L447" s="3">
        <v>1</v>
      </c>
      <c r="M447" s="111" t="s">
        <v>54</v>
      </c>
      <c r="N447" s="33" t="s">
        <v>55</v>
      </c>
      <c r="O447" s="33">
        <v>36</v>
      </c>
      <c r="P447" s="21" t="s">
        <v>56</v>
      </c>
      <c r="Q447" s="28">
        <v>46108</v>
      </c>
      <c r="R447" s="28">
        <v>46108</v>
      </c>
      <c r="S447" s="33">
        <v>36</v>
      </c>
      <c r="T447" s="33" t="s">
        <v>55</v>
      </c>
      <c r="U447" s="33" t="s">
        <v>55</v>
      </c>
      <c r="V447" s="33" t="s">
        <v>55</v>
      </c>
      <c r="W447" s="33" t="s">
        <v>55</v>
      </c>
      <c r="X447" s="33" t="s">
        <v>55</v>
      </c>
      <c r="Y447" s="33" t="s">
        <v>55</v>
      </c>
      <c r="Z447" s="21" t="s">
        <v>55</v>
      </c>
      <c r="AA447" s="33">
        <v>5</v>
      </c>
      <c r="AB447" s="33">
        <v>5</v>
      </c>
      <c r="AC447" s="33">
        <v>0</v>
      </c>
      <c r="AD447" s="28">
        <v>46112</v>
      </c>
      <c r="AE447" s="28">
        <v>46112</v>
      </c>
      <c r="AF447" s="28">
        <v>46120</v>
      </c>
      <c r="AG447" s="28">
        <v>46127</v>
      </c>
      <c r="AH447" s="180">
        <v>46127</v>
      </c>
      <c r="AI447" s="21">
        <v>4</v>
      </c>
      <c r="AJ447" s="87" t="s">
        <v>1380</v>
      </c>
      <c r="AK447" s="48" t="s">
        <v>1381</v>
      </c>
      <c r="AL447" s="19">
        <f t="shared" si="47"/>
        <v>1</v>
      </c>
      <c r="AM447" s="67">
        <f>IFERROR(NETWORKDAYS(D447,Q447,Hoja1!$A$1:$A$29),"N/A")</f>
        <v>7</v>
      </c>
      <c r="AN447" s="21">
        <f>IFERROR(NETWORKDAYS(D447,AE447,Hoja1!$A$1:$A$29),"N/A")</f>
        <v>9</v>
      </c>
      <c r="AO447" s="78">
        <v>0</v>
      </c>
      <c r="AP447" s="21">
        <f t="shared" si="57"/>
        <v>9</v>
      </c>
      <c r="AQ447" s="21">
        <f>IFERROR(NETWORKDAYS(AF447,AG447,Hoja1!$A$1:$A$29),"N/A")</f>
        <v>6</v>
      </c>
      <c r="AR447" s="78">
        <v>0</v>
      </c>
      <c r="AS447" s="75">
        <f t="shared" si="58"/>
        <v>6</v>
      </c>
      <c r="AT447" s="21">
        <f>IFERROR(NETWORKDAYS(D447,AG447,Hoja1!$A$1:$A$29),"N/A")</f>
        <v>18</v>
      </c>
      <c r="AU447" s="21">
        <f t="shared" si="52"/>
        <v>18</v>
      </c>
      <c r="AV447" s="143" t="s">
        <v>59</v>
      </c>
      <c r="AW447" s="86" t="s">
        <v>784</v>
      </c>
      <c r="AX447" s="111" t="s">
        <v>460</v>
      </c>
      <c r="AY447" s="87" t="s">
        <v>1376</v>
      </c>
      <c r="AZ447" s="87" t="s">
        <v>1376</v>
      </c>
      <c r="BA447" s="87" t="s">
        <v>1376</v>
      </c>
      <c r="BB447" s="87"/>
    </row>
    <row r="448" spans="1:54" ht="15" customHeight="1" x14ac:dyDescent="0.25">
      <c r="A448" s="55">
        <v>15260</v>
      </c>
      <c r="B448" s="159" t="s">
        <v>49</v>
      </c>
      <c r="C448" s="159" t="s">
        <v>49</v>
      </c>
      <c r="D448" s="434">
        <v>46094</v>
      </c>
      <c r="E448" s="53">
        <v>45941</v>
      </c>
      <c r="F448" s="143" t="s">
        <v>99</v>
      </c>
      <c r="G448" s="159" t="s">
        <v>135</v>
      </c>
      <c r="H448" s="111" t="s">
        <v>51</v>
      </c>
      <c r="I448" s="159" t="s">
        <v>882</v>
      </c>
      <c r="J448" s="111" t="s">
        <v>52</v>
      </c>
      <c r="K448" s="111" t="s">
        <v>1081</v>
      </c>
      <c r="L448" s="2">
        <v>1</v>
      </c>
      <c r="M448" s="111" t="s">
        <v>54</v>
      </c>
      <c r="N448" s="21" t="s">
        <v>55</v>
      </c>
      <c r="O448" s="21">
        <v>21</v>
      </c>
      <c r="P448" s="21" t="s">
        <v>56</v>
      </c>
      <c r="Q448" s="53">
        <v>46097</v>
      </c>
      <c r="R448" s="53">
        <v>46097</v>
      </c>
      <c r="S448" s="164">
        <v>21</v>
      </c>
      <c r="T448" s="21" t="s">
        <v>55</v>
      </c>
      <c r="U448" s="21" t="s">
        <v>55</v>
      </c>
      <c r="V448" s="21" t="s">
        <v>55</v>
      </c>
      <c r="W448" s="21" t="s">
        <v>55</v>
      </c>
      <c r="X448" s="21" t="s">
        <v>55</v>
      </c>
      <c r="Y448" s="21" t="s">
        <v>55</v>
      </c>
      <c r="Z448" s="21" t="s">
        <v>55</v>
      </c>
      <c r="AA448" s="21">
        <v>21</v>
      </c>
      <c r="AB448" s="21">
        <v>7</v>
      </c>
      <c r="AC448" s="21">
        <v>0</v>
      </c>
      <c r="AD448" s="53">
        <v>46106</v>
      </c>
      <c r="AE448" s="53">
        <v>46107</v>
      </c>
      <c r="AF448" s="28">
        <v>46112</v>
      </c>
      <c r="AG448" s="53">
        <v>46125</v>
      </c>
      <c r="AH448" s="180">
        <v>46127</v>
      </c>
      <c r="AI448" s="21">
        <v>4</v>
      </c>
      <c r="AJ448" s="159" t="s">
        <v>1382</v>
      </c>
      <c r="AK448" s="111" t="s">
        <v>1383</v>
      </c>
      <c r="AL448" s="19">
        <f t="shared" si="47"/>
        <v>1</v>
      </c>
      <c r="AM448" s="67">
        <f>IFERROR(NETWORKDAYS(D448,Q448,Hoja1!$A$1:$A$29),"N/A")</f>
        <v>2</v>
      </c>
      <c r="AN448" s="21">
        <f>IFERROR(NETWORKDAYS(D448,AE448,Hoja1!$A$1:$A$29),"N/A")</f>
        <v>9</v>
      </c>
      <c r="AO448" s="78">
        <v>0</v>
      </c>
      <c r="AP448" s="21">
        <f t="shared" si="57"/>
        <v>9</v>
      </c>
      <c r="AQ448" s="21">
        <f>IFERROR(NETWORKDAYS(AF448,AG448,Hoja1!$A$1:$A$29),"N/A")</f>
        <v>8</v>
      </c>
      <c r="AR448" s="78">
        <v>3</v>
      </c>
      <c r="AS448" s="75">
        <f t="shared" si="58"/>
        <v>5</v>
      </c>
      <c r="AT448" s="21">
        <f>IFERROR(NETWORKDAYS(D448,AG448,Hoja1!$A$1:$A$29),"N/A")</f>
        <v>19</v>
      </c>
      <c r="AU448" s="21">
        <f t="shared" si="52"/>
        <v>16</v>
      </c>
      <c r="AV448" s="143" t="s">
        <v>59</v>
      </c>
      <c r="AW448" s="49" t="s">
        <v>1384</v>
      </c>
      <c r="AX448" s="111" t="s">
        <v>460</v>
      </c>
      <c r="AY448" s="111" t="s">
        <v>460</v>
      </c>
      <c r="AZ448" s="111"/>
      <c r="BA448" s="111"/>
      <c r="BB448" s="111"/>
    </row>
    <row r="449" spans="1:54" ht="15" customHeight="1" x14ac:dyDescent="0.25">
      <c r="A449" s="55">
        <v>15380</v>
      </c>
      <c r="B449" s="84" t="s">
        <v>85</v>
      </c>
      <c r="C449" s="84" t="s">
        <v>85</v>
      </c>
      <c r="D449" s="116">
        <v>46098</v>
      </c>
      <c r="E449" s="116">
        <v>45986</v>
      </c>
      <c r="F449" s="114" t="s">
        <v>62</v>
      </c>
      <c r="G449" s="179" t="s">
        <v>71</v>
      </c>
      <c r="H449" s="111" t="s">
        <v>51</v>
      </c>
      <c r="I449" s="27" t="s">
        <v>72</v>
      </c>
      <c r="J449" s="87" t="s">
        <v>73</v>
      </c>
      <c r="K449" s="87" t="s">
        <v>1385</v>
      </c>
      <c r="L449" s="33">
        <v>1</v>
      </c>
      <c r="M449" s="111" t="s">
        <v>54</v>
      </c>
      <c r="N449" s="33" t="s">
        <v>55</v>
      </c>
      <c r="O449" s="33">
        <v>26</v>
      </c>
      <c r="P449" s="21" t="s">
        <v>56</v>
      </c>
      <c r="Q449" s="16">
        <v>46099</v>
      </c>
      <c r="R449" s="16">
        <v>46101</v>
      </c>
      <c r="S449" s="33">
        <v>26</v>
      </c>
      <c r="T449" s="33" t="s">
        <v>55</v>
      </c>
      <c r="U449" s="33" t="s">
        <v>55</v>
      </c>
      <c r="V449" s="33" t="s">
        <v>55</v>
      </c>
      <c r="W449" s="33" t="s">
        <v>55</v>
      </c>
      <c r="X449" s="33" t="s">
        <v>55</v>
      </c>
      <c r="Y449" s="33" t="s">
        <v>55</v>
      </c>
      <c r="Z449" s="21" t="s">
        <v>55</v>
      </c>
      <c r="AA449" s="33">
        <v>5</v>
      </c>
      <c r="AB449" s="33">
        <v>5</v>
      </c>
      <c r="AC449" s="33">
        <v>0</v>
      </c>
      <c r="AD449" s="16">
        <v>46105</v>
      </c>
      <c r="AE449" s="16">
        <v>46105</v>
      </c>
      <c r="AF449" s="16">
        <v>46106</v>
      </c>
      <c r="AG449" s="180">
        <v>46126</v>
      </c>
      <c r="AH449" s="180">
        <v>46127</v>
      </c>
      <c r="AI449" s="33">
        <v>4</v>
      </c>
      <c r="AJ449" s="183" t="s">
        <v>1386</v>
      </c>
      <c r="AK449" s="49" t="s">
        <v>1387</v>
      </c>
      <c r="AL449" s="19">
        <f t="shared" si="47"/>
        <v>1</v>
      </c>
      <c r="AM449" s="67">
        <f>IFERROR(NETWORKDAYS(D449,Q449,Hoja1!$A$1:$A$29),"N/A")</f>
        <v>2</v>
      </c>
      <c r="AN449" s="21">
        <f>IFERROR(NETWORKDAYS(D449,AE449,Hoja1!$A$1:$A$29),"N/A")</f>
        <v>5</v>
      </c>
      <c r="AO449" s="78">
        <v>0</v>
      </c>
      <c r="AP449" s="21">
        <f t="shared" si="57"/>
        <v>5</v>
      </c>
      <c r="AQ449" s="21">
        <f>IFERROR(NETWORKDAYS(AF449,AG449,Hoja1!$A$1:$A$29),"N/A")</f>
        <v>13</v>
      </c>
      <c r="AR449" s="78">
        <v>8</v>
      </c>
      <c r="AS449" s="75">
        <f t="shared" si="58"/>
        <v>5</v>
      </c>
      <c r="AT449" s="21">
        <f>IFERROR(NETWORKDAYS(D449,AG449,Hoja1!$A$1:$A$29),"N/A")</f>
        <v>18</v>
      </c>
      <c r="AU449" s="21">
        <f t="shared" si="52"/>
        <v>10</v>
      </c>
      <c r="AV449" s="143" t="s">
        <v>77</v>
      </c>
      <c r="AW449" s="86" t="s">
        <v>82</v>
      </c>
      <c r="AX449" s="111" t="s">
        <v>1376</v>
      </c>
      <c r="AY449" s="111" t="s">
        <v>1376</v>
      </c>
      <c r="AZ449" s="111" t="s">
        <v>1376</v>
      </c>
      <c r="BA449" s="111" t="s">
        <v>1376</v>
      </c>
      <c r="BB449" s="114" t="s">
        <v>1376</v>
      </c>
    </row>
    <row r="450" spans="1:54" ht="15" customHeight="1" x14ac:dyDescent="0.25">
      <c r="A450" s="55">
        <v>15414</v>
      </c>
      <c r="B450" s="159" t="s">
        <v>401</v>
      </c>
      <c r="C450" s="159" t="s">
        <v>401</v>
      </c>
      <c r="D450" s="434">
        <v>45992</v>
      </c>
      <c r="E450" s="53">
        <v>45992</v>
      </c>
      <c r="F450" s="143" t="s">
        <v>99</v>
      </c>
      <c r="G450" s="159" t="s">
        <v>100</v>
      </c>
      <c r="H450" s="111" t="s">
        <v>51</v>
      </c>
      <c r="I450" s="159" t="s">
        <v>1388</v>
      </c>
      <c r="J450" s="111" t="s">
        <v>52</v>
      </c>
      <c r="K450" s="111" t="s">
        <v>1081</v>
      </c>
      <c r="L450" s="2">
        <v>1</v>
      </c>
      <c r="M450" s="111" t="s">
        <v>54</v>
      </c>
      <c r="N450" s="21" t="s">
        <v>55</v>
      </c>
      <c r="O450" s="21">
        <v>3</v>
      </c>
      <c r="P450" s="21" t="s">
        <v>56</v>
      </c>
      <c r="Q450" s="16">
        <v>46099</v>
      </c>
      <c r="R450" s="16">
        <v>46099</v>
      </c>
      <c r="S450" s="21">
        <v>3</v>
      </c>
      <c r="T450" s="21" t="s">
        <v>55</v>
      </c>
      <c r="U450" s="21" t="s">
        <v>55</v>
      </c>
      <c r="V450" s="21" t="s">
        <v>55</v>
      </c>
      <c r="W450" s="21" t="s">
        <v>55</v>
      </c>
      <c r="X450" s="21" t="s">
        <v>55</v>
      </c>
      <c r="Y450" s="21" t="s">
        <v>55</v>
      </c>
      <c r="Z450" s="21" t="s">
        <v>55</v>
      </c>
      <c r="AA450" s="21">
        <v>2</v>
      </c>
      <c r="AB450" s="21">
        <v>2</v>
      </c>
      <c r="AC450" s="21">
        <v>0</v>
      </c>
      <c r="AD450" s="53">
        <v>46107</v>
      </c>
      <c r="AE450" s="53">
        <v>46111</v>
      </c>
      <c r="AF450" s="53">
        <v>46111</v>
      </c>
      <c r="AG450" s="180">
        <v>46126</v>
      </c>
      <c r="AH450" s="180">
        <v>46127</v>
      </c>
      <c r="AI450" s="21">
        <v>4</v>
      </c>
      <c r="AJ450" s="159" t="s">
        <v>1389</v>
      </c>
      <c r="AK450" s="111" t="s">
        <v>1390</v>
      </c>
      <c r="AL450" s="19">
        <f t="shared" si="47"/>
        <v>1</v>
      </c>
      <c r="AM450" s="67">
        <f>IFERROR(NETWORKDAYS(D450,Q450,Hoja1!$A$1:$A$29),"N/A")</f>
        <v>74</v>
      </c>
      <c r="AN450" s="21">
        <f>IFERROR(NETWORKDAYS(D450,AE450,Hoja1!$A$1:$A$29),"N/A")</f>
        <v>81</v>
      </c>
      <c r="AO450" s="78">
        <v>39</v>
      </c>
      <c r="AP450" s="21">
        <f t="shared" si="57"/>
        <v>42</v>
      </c>
      <c r="AQ450" s="21">
        <f>IFERROR(NETWORKDAYS(AF450,AG450,Hoja1!$A$1:$A$29),"N/A")</f>
        <v>10</v>
      </c>
      <c r="AR450" s="78">
        <v>5</v>
      </c>
      <c r="AS450" s="75">
        <f t="shared" si="58"/>
        <v>5</v>
      </c>
      <c r="AT450" s="21">
        <f>IFERROR(NETWORKDAYS(D450,AG450,Hoja1!$A$1:$A$29),"N/A")</f>
        <v>90</v>
      </c>
      <c r="AU450" s="21">
        <f t="shared" si="52"/>
        <v>46</v>
      </c>
      <c r="AV450" s="143" t="s">
        <v>59</v>
      </c>
      <c r="AW450" s="49" t="s">
        <v>1391</v>
      </c>
      <c r="AX450" s="87"/>
      <c r="AY450" s="87"/>
      <c r="AZ450" s="87"/>
      <c r="BA450" s="87"/>
      <c r="BB450" s="87"/>
    </row>
    <row r="451" spans="1:54" ht="15" customHeight="1" x14ac:dyDescent="0.25">
      <c r="A451" s="55">
        <v>15430</v>
      </c>
      <c r="B451" s="159" t="s">
        <v>69</v>
      </c>
      <c r="C451" s="43" t="s">
        <v>98</v>
      </c>
      <c r="D451" s="53">
        <v>46070</v>
      </c>
      <c r="E451" s="53">
        <v>45993</v>
      </c>
      <c r="F451" s="143" t="s">
        <v>90</v>
      </c>
      <c r="G451" s="159" t="s">
        <v>91</v>
      </c>
      <c r="H451" s="111" t="s">
        <v>51</v>
      </c>
      <c r="I451" s="111" t="s">
        <v>102</v>
      </c>
      <c r="J451" s="111" t="s">
        <v>52</v>
      </c>
      <c r="K451" s="111" t="s">
        <v>111</v>
      </c>
      <c r="L451" s="2">
        <v>1</v>
      </c>
      <c r="M451" s="111" t="s">
        <v>54</v>
      </c>
      <c r="N451" s="21" t="s">
        <v>55</v>
      </c>
      <c r="O451" s="21">
        <v>6</v>
      </c>
      <c r="P451" s="21" t="s">
        <v>112</v>
      </c>
      <c r="Q451" s="53">
        <v>46092</v>
      </c>
      <c r="R451" s="53">
        <v>46092</v>
      </c>
      <c r="S451" s="21">
        <v>6</v>
      </c>
      <c r="T451" s="21" t="s">
        <v>55</v>
      </c>
      <c r="U451" s="21" t="s">
        <v>55</v>
      </c>
      <c r="V451" s="21" t="s">
        <v>55</v>
      </c>
      <c r="W451" s="21" t="s">
        <v>55</v>
      </c>
      <c r="X451" s="21" t="s">
        <v>55</v>
      </c>
      <c r="Y451" s="21" t="s">
        <v>55</v>
      </c>
      <c r="Z451" s="21" t="s">
        <v>55</v>
      </c>
      <c r="AA451" s="21">
        <v>6</v>
      </c>
      <c r="AB451" s="21">
        <v>1</v>
      </c>
      <c r="AC451" s="21">
        <v>0</v>
      </c>
      <c r="AD451" s="53">
        <v>46099</v>
      </c>
      <c r="AE451" s="53">
        <v>46099</v>
      </c>
      <c r="AF451" s="53">
        <v>46099</v>
      </c>
      <c r="AG451" s="53">
        <v>46108</v>
      </c>
      <c r="AH451" s="53">
        <v>46118</v>
      </c>
      <c r="AI451" s="21">
        <v>4</v>
      </c>
      <c r="AJ451" s="159" t="s">
        <v>1392</v>
      </c>
      <c r="AK451" s="111" t="s">
        <v>1393</v>
      </c>
      <c r="AL451" s="19">
        <f t="shared" ref="AL451:AL514" si="59">IFERROR(S451/O451,"N/A")</f>
        <v>1</v>
      </c>
      <c r="AM451" s="67">
        <f>IFERROR(NETWORKDAYS(D451,Q451,Hoja1!$A$1:$A$29),"N/A")</f>
        <v>17</v>
      </c>
      <c r="AN451" s="21">
        <f>IFERROR(NETWORKDAYS(D451,AE451,Hoja1!$A$1:$A$29),"N/A")</f>
        <v>22</v>
      </c>
      <c r="AO451" s="78">
        <v>0</v>
      </c>
      <c r="AP451" s="21">
        <f t="shared" si="57"/>
        <v>22</v>
      </c>
      <c r="AQ451" s="21">
        <f>IFERROR(NETWORKDAYS(AF451,AG451,Hoja1!$A$1:$A$29),"N/A")</f>
        <v>7</v>
      </c>
      <c r="AR451" s="78">
        <v>2</v>
      </c>
      <c r="AS451" s="75">
        <f t="shared" si="58"/>
        <v>5</v>
      </c>
      <c r="AT451" s="21">
        <f>IFERROR(NETWORKDAYS(D451,AG451,Hoja1!$A$1:$A$29),"N/A")</f>
        <v>28</v>
      </c>
      <c r="AU451" s="21">
        <f t="shared" si="52"/>
        <v>26</v>
      </c>
      <c r="AV451" s="143" t="s">
        <v>127</v>
      </c>
      <c r="AW451" s="252" t="s">
        <v>1394</v>
      </c>
      <c r="AX451" s="87" t="s">
        <v>460</v>
      </c>
      <c r="AY451" s="87"/>
      <c r="AZ451" s="87"/>
      <c r="BA451" s="87"/>
      <c r="BB451" s="87"/>
    </row>
    <row r="452" spans="1:54" ht="15" customHeight="1" x14ac:dyDescent="0.25">
      <c r="A452" s="95">
        <v>15479</v>
      </c>
      <c r="B452" s="48" t="s">
        <v>169</v>
      </c>
      <c r="C452" s="48" t="s">
        <v>169</v>
      </c>
      <c r="D452" s="435">
        <v>46099</v>
      </c>
      <c r="E452" s="116">
        <v>46003</v>
      </c>
      <c r="F452" s="143" t="s">
        <v>62</v>
      </c>
      <c r="G452" s="179" t="s">
        <v>71</v>
      </c>
      <c r="H452" s="179" t="s">
        <v>101</v>
      </c>
      <c r="I452" s="27" t="s">
        <v>96</v>
      </c>
      <c r="J452" s="87" t="s">
        <v>73</v>
      </c>
      <c r="K452" s="111" t="s">
        <v>351</v>
      </c>
      <c r="L452" s="1">
        <v>1</v>
      </c>
      <c r="M452" s="111" t="s">
        <v>54</v>
      </c>
      <c r="N452" s="33" t="s">
        <v>55</v>
      </c>
      <c r="O452" s="33">
        <v>0</v>
      </c>
      <c r="P452" s="1"/>
      <c r="Q452" s="33" t="s">
        <v>55</v>
      </c>
      <c r="R452" s="33" t="s">
        <v>55</v>
      </c>
      <c r="S452" s="33">
        <v>0</v>
      </c>
      <c r="T452" s="33" t="s">
        <v>55</v>
      </c>
      <c r="U452" s="33" t="s">
        <v>55</v>
      </c>
      <c r="V452" s="33" t="s">
        <v>55</v>
      </c>
      <c r="W452" s="33" t="s">
        <v>55</v>
      </c>
      <c r="X452" s="33" t="s">
        <v>55</v>
      </c>
      <c r="Y452" s="33" t="s">
        <v>55</v>
      </c>
      <c r="Z452" s="33" t="s">
        <v>55</v>
      </c>
      <c r="AA452" s="33">
        <v>7</v>
      </c>
      <c r="AB452" s="33">
        <v>6</v>
      </c>
      <c r="AC452" s="33">
        <v>0</v>
      </c>
      <c r="AD452" s="38">
        <v>46105</v>
      </c>
      <c r="AE452" s="38">
        <v>46106</v>
      </c>
      <c r="AF452" s="38">
        <v>46106</v>
      </c>
      <c r="AG452" s="28">
        <v>46112</v>
      </c>
      <c r="AH452" s="53">
        <v>46118</v>
      </c>
      <c r="AI452" s="33">
        <f>MONTH(AH452)</f>
        <v>4</v>
      </c>
      <c r="AJ452" s="144" t="s">
        <v>1395</v>
      </c>
      <c r="AK452" s="114" t="s">
        <v>1396</v>
      </c>
      <c r="AL452" s="19" t="str">
        <f t="shared" si="59"/>
        <v>N/A</v>
      </c>
      <c r="AM452" s="67" t="str">
        <f>IFERROR(NETWORKDAYS(D452,Q452,Hoja1!$A$1:$A$29),"N/A")</f>
        <v>N/A</v>
      </c>
      <c r="AN452" s="21">
        <f>IFERROR(NETWORKDAYS(D452,AE452,Hoja1!$A$1:$A$29),"N/A")</f>
        <v>5</v>
      </c>
      <c r="AO452" s="78">
        <v>0</v>
      </c>
      <c r="AP452" s="21">
        <f t="shared" si="57"/>
        <v>5</v>
      </c>
      <c r="AQ452" s="21">
        <f>IFERROR(NETWORKDAYS(AF452,AG452,Hoja1!$A$1:$A$29),"N/A")</f>
        <v>5</v>
      </c>
      <c r="AR452" s="78">
        <v>0</v>
      </c>
      <c r="AS452" s="75">
        <f t="shared" si="58"/>
        <v>5</v>
      </c>
      <c r="AT452" s="21">
        <f>IFERROR(NETWORKDAYS(D452,AG452,Hoja1!$A$1:$A$29),"N/A")</f>
        <v>9</v>
      </c>
      <c r="AU452" s="21">
        <f t="shared" si="52"/>
        <v>9</v>
      </c>
      <c r="AV452" s="143" t="s">
        <v>104</v>
      </c>
      <c r="AW452" s="86" t="s">
        <v>1397</v>
      </c>
      <c r="AX452" s="111" t="s">
        <v>1376</v>
      </c>
      <c r="AY452" s="84" t="s">
        <v>1376</v>
      </c>
      <c r="AZ452" s="84"/>
      <c r="BA452" s="84"/>
      <c r="BB452" s="84"/>
    </row>
    <row r="453" spans="1:54" ht="15" customHeight="1" x14ac:dyDescent="0.25">
      <c r="A453" s="55">
        <v>15487</v>
      </c>
      <c r="B453" s="159" t="s">
        <v>69</v>
      </c>
      <c r="C453" s="43" t="s">
        <v>98</v>
      </c>
      <c r="D453" s="28">
        <v>46045</v>
      </c>
      <c r="E453" s="28">
        <v>46006</v>
      </c>
      <c r="F453" s="202" t="s">
        <v>879</v>
      </c>
      <c r="G453" s="48" t="s">
        <v>919</v>
      </c>
      <c r="H453" s="111" t="s">
        <v>51</v>
      </c>
      <c r="I453" s="159" t="s">
        <v>885</v>
      </c>
      <c r="J453" s="111" t="s">
        <v>52</v>
      </c>
      <c r="K453" s="87" t="s">
        <v>53</v>
      </c>
      <c r="L453" s="3">
        <v>1</v>
      </c>
      <c r="M453" s="159" t="s">
        <v>247</v>
      </c>
      <c r="N453" s="33" t="s">
        <v>55</v>
      </c>
      <c r="O453" s="33">
        <v>28</v>
      </c>
      <c r="P453" s="21" t="s">
        <v>56</v>
      </c>
      <c r="Q453" s="28">
        <v>46113</v>
      </c>
      <c r="R453" s="28">
        <v>46113</v>
      </c>
      <c r="S453" s="33">
        <v>28</v>
      </c>
      <c r="T453" s="33" t="s">
        <v>55</v>
      </c>
      <c r="U453" s="33" t="s">
        <v>55</v>
      </c>
      <c r="V453" s="33" t="s">
        <v>55</v>
      </c>
      <c r="W453" s="33" t="s">
        <v>55</v>
      </c>
      <c r="X453" s="33" t="s">
        <v>55</v>
      </c>
      <c r="Y453" s="33" t="s">
        <v>55</v>
      </c>
      <c r="Z453" s="21" t="s">
        <v>55</v>
      </c>
      <c r="AA453" s="33">
        <v>7</v>
      </c>
      <c r="AB453" s="33">
        <v>7</v>
      </c>
      <c r="AC453" s="33">
        <v>0</v>
      </c>
      <c r="AD453" s="28">
        <v>46135</v>
      </c>
      <c r="AE453" s="28">
        <v>46135</v>
      </c>
      <c r="AF453" s="28" t="s">
        <v>55</v>
      </c>
      <c r="AG453" s="28">
        <v>46135</v>
      </c>
      <c r="AH453" s="28" t="s">
        <v>55</v>
      </c>
      <c r="AI453" s="21">
        <v>4</v>
      </c>
      <c r="AJ453" s="87" t="s">
        <v>1398</v>
      </c>
      <c r="AK453" s="48" t="s">
        <v>1399</v>
      </c>
      <c r="AL453" s="19">
        <f t="shared" si="59"/>
        <v>1</v>
      </c>
      <c r="AM453" s="67">
        <f>IFERROR(NETWORKDAYS(D453,Q453,Hoja1!$A$1:$A$29),"N/A")</f>
        <v>48</v>
      </c>
      <c r="AN453" s="21">
        <f>IFERROR(NETWORKDAYS(D453,AE453,Hoja1!$A$1:$A$29),"N/A")</f>
        <v>62</v>
      </c>
      <c r="AO453" s="78">
        <v>14</v>
      </c>
      <c r="AP453" s="21">
        <f t="shared" si="57"/>
        <v>48</v>
      </c>
      <c r="AQ453" s="21" t="str">
        <f>IFERROR(NETWORKDAYS(AF453,AG453,Hoja1!$A$1:$A$29),"N/A")</f>
        <v>N/A</v>
      </c>
      <c r="AR453" s="78">
        <v>0</v>
      </c>
      <c r="AS453" s="21" t="s">
        <v>82</v>
      </c>
      <c r="AT453" s="21">
        <f>IFERROR(NETWORKDAYS(D453,AG453,Hoja1!$A$1:$A$29),"N/A")</f>
        <v>62</v>
      </c>
      <c r="AU453" s="21">
        <f t="shared" si="52"/>
        <v>48</v>
      </c>
      <c r="AV453" s="143" t="s">
        <v>59</v>
      </c>
      <c r="AW453" s="86" t="s">
        <v>1400</v>
      </c>
      <c r="AX453" s="87"/>
      <c r="AY453" s="87"/>
      <c r="AZ453" s="87"/>
      <c r="BA453" s="87"/>
      <c r="BB453" s="87"/>
    </row>
    <row r="454" spans="1:54" ht="15" customHeight="1" x14ac:dyDescent="0.25">
      <c r="A454" s="57">
        <v>15518</v>
      </c>
      <c r="B454" s="27" t="s">
        <v>79</v>
      </c>
      <c r="C454" s="27" t="s">
        <v>79</v>
      </c>
      <c r="D454" s="424">
        <v>46093</v>
      </c>
      <c r="E454" s="16">
        <v>46007</v>
      </c>
      <c r="F454" s="114" t="s">
        <v>62</v>
      </c>
      <c r="G454" s="114" t="s">
        <v>80</v>
      </c>
      <c r="H454" s="179" t="s">
        <v>101</v>
      </c>
      <c r="I454" s="87" t="s">
        <v>92</v>
      </c>
      <c r="J454" s="111" t="s">
        <v>52</v>
      </c>
      <c r="K454" s="27" t="s">
        <v>1401</v>
      </c>
      <c r="L454" s="1">
        <v>1</v>
      </c>
      <c r="M454" s="111" t="s">
        <v>54</v>
      </c>
      <c r="N454" s="33" t="s">
        <v>55</v>
      </c>
      <c r="O454" s="33">
        <v>0</v>
      </c>
      <c r="P454" s="1"/>
      <c r="Q454" s="21" t="s">
        <v>55</v>
      </c>
      <c r="R454" s="21" t="s">
        <v>55</v>
      </c>
      <c r="S454" s="33">
        <v>0</v>
      </c>
      <c r="T454" s="33" t="s">
        <v>55</v>
      </c>
      <c r="U454" s="33" t="s">
        <v>55</v>
      </c>
      <c r="V454" s="33" t="s">
        <v>55</v>
      </c>
      <c r="W454" s="33" t="s">
        <v>55</v>
      </c>
      <c r="X454" s="33" t="s">
        <v>55</v>
      </c>
      <c r="Y454" s="33" t="s">
        <v>55</v>
      </c>
      <c r="Z454" s="33" t="s">
        <v>55</v>
      </c>
      <c r="AA454" s="33">
        <v>4</v>
      </c>
      <c r="AB454" s="33">
        <v>2</v>
      </c>
      <c r="AC454" s="33">
        <v>0</v>
      </c>
      <c r="AD454" s="38">
        <v>46101</v>
      </c>
      <c r="AE454" s="180">
        <v>46105</v>
      </c>
      <c r="AF454" s="180">
        <v>46105</v>
      </c>
      <c r="AG454" s="28">
        <v>46112</v>
      </c>
      <c r="AH454" s="53">
        <v>46118</v>
      </c>
      <c r="AI454" s="33">
        <v>4</v>
      </c>
      <c r="AJ454" s="183" t="s">
        <v>1402</v>
      </c>
      <c r="AK454" s="49" t="s">
        <v>1403</v>
      </c>
      <c r="AL454" s="19" t="str">
        <f t="shared" si="59"/>
        <v>N/A</v>
      </c>
      <c r="AM454" s="67" t="str">
        <f>IFERROR(NETWORKDAYS(D454,Q454,Hoja1!$A$1:$A$29),"N/A")</f>
        <v>N/A</v>
      </c>
      <c r="AN454" s="21">
        <f>IFERROR(NETWORKDAYS(D454,AE454,Hoja1!$A$1:$A$29),"N/A")</f>
        <v>8</v>
      </c>
      <c r="AO454" s="78">
        <v>0</v>
      </c>
      <c r="AP454" s="21">
        <f t="shared" si="57"/>
        <v>8</v>
      </c>
      <c r="AQ454" s="21">
        <f>IFERROR(NETWORKDAYS(AF454,AG454,Hoja1!$A$1:$A$29),"N/A")</f>
        <v>6</v>
      </c>
      <c r="AR454" s="78">
        <v>1</v>
      </c>
      <c r="AS454" s="75">
        <f t="shared" si="58"/>
        <v>5</v>
      </c>
      <c r="AT454" s="21">
        <f>IFERROR(NETWORKDAYS(D454,AG454,Hoja1!$A$1:$A$29),"N/A")</f>
        <v>13</v>
      </c>
      <c r="AU454" s="21">
        <f t="shared" si="52"/>
        <v>12</v>
      </c>
      <c r="AV454" s="143" t="s">
        <v>104</v>
      </c>
      <c r="AW454" s="86" t="s">
        <v>1404</v>
      </c>
      <c r="AX454" s="114" t="s">
        <v>881</v>
      </c>
      <c r="AY454" s="114" t="s">
        <v>1405</v>
      </c>
      <c r="AZ454" s="114"/>
      <c r="BA454" s="114"/>
      <c r="BB454" s="114"/>
    </row>
    <row r="455" spans="1:54" ht="15" customHeight="1" x14ac:dyDescent="0.25">
      <c r="A455" s="55">
        <v>15577</v>
      </c>
      <c r="B455" s="84" t="s">
        <v>85</v>
      </c>
      <c r="C455" s="84" t="s">
        <v>85</v>
      </c>
      <c r="D455" s="53">
        <v>46105</v>
      </c>
      <c r="E455" s="53">
        <v>46014</v>
      </c>
      <c r="F455" s="143" t="s">
        <v>90</v>
      </c>
      <c r="G455" s="159" t="s">
        <v>91</v>
      </c>
      <c r="H455" s="179" t="s">
        <v>51</v>
      </c>
      <c r="I455" s="48" t="s">
        <v>1406</v>
      </c>
      <c r="J455" s="111" t="s">
        <v>52</v>
      </c>
      <c r="K455" s="111" t="s">
        <v>171</v>
      </c>
      <c r="L455" s="2">
        <v>1</v>
      </c>
      <c r="M455" s="111" t="s">
        <v>54</v>
      </c>
      <c r="N455" s="21" t="s">
        <v>55</v>
      </c>
      <c r="O455" s="21">
        <v>12</v>
      </c>
      <c r="P455" s="21" t="s">
        <v>56</v>
      </c>
      <c r="Q455" s="53">
        <v>46113</v>
      </c>
      <c r="R455" s="53">
        <v>46113</v>
      </c>
      <c r="S455" s="21">
        <v>12</v>
      </c>
      <c r="T455" s="21" t="s">
        <v>55</v>
      </c>
      <c r="U455" s="21" t="s">
        <v>55</v>
      </c>
      <c r="V455" s="21" t="s">
        <v>55</v>
      </c>
      <c r="W455" s="21" t="s">
        <v>55</v>
      </c>
      <c r="X455" s="21" t="s">
        <v>55</v>
      </c>
      <c r="Y455" s="21" t="s">
        <v>55</v>
      </c>
      <c r="Z455" s="21" t="s">
        <v>55</v>
      </c>
      <c r="AA455" s="21">
        <v>12</v>
      </c>
      <c r="AB455" s="21">
        <v>1</v>
      </c>
      <c r="AC455" s="21">
        <v>0</v>
      </c>
      <c r="AD455" s="53">
        <v>46125</v>
      </c>
      <c r="AE455" s="53">
        <v>46125</v>
      </c>
      <c r="AF455" s="53">
        <v>46126</v>
      </c>
      <c r="AG455" s="53">
        <v>46133</v>
      </c>
      <c r="AH455" s="53">
        <v>46139</v>
      </c>
      <c r="AI455" s="21">
        <v>4</v>
      </c>
      <c r="AJ455" s="159" t="s">
        <v>1407</v>
      </c>
      <c r="AK455" s="111" t="s">
        <v>1408</v>
      </c>
      <c r="AL455" s="19">
        <f t="shared" si="59"/>
        <v>1</v>
      </c>
      <c r="AM455" s="67">
        <f>IFERROR(NETWORKDAYS(D455,Q455,Hoja1!$A$1:$A$29),"N/A")</f>
        <v>7</v>
      </c>
      <c r="AN455" s="21">
        <f>IFERROR(NETWORKDAYS(D455,AE455,Hoja1!$A$1:$A$29),"N/A")</f>
        <v>13</v>
      </c>
      <c r="AO455" s="78">
        <v>0</v>
      </c>
      <c r="AP455" s="21">
        <f t="shared" si="57"/>
        <v>13</v>
      </c>
      <c r="AQ455" s="21">
        <f>IFERROR(NETWORKDAYS(AF455,AG455,Hoja1!$A$1:$A$29),"N/A")</f>
        <v>6</v>
      </c>
      <c r="AR455" s="78">
        <v>1</v>
      </c>
      <c r="AS455" s="75">
        <f t="shared" si="58"/>
        <v>5</v>
      </c>
      <c r="AT455" s="21">
        <f>IFERROR(NETWORKDAYS(D455,AG455,Hoja1!$A$1:$A$29),"N/A")</f>
        <v>19</v>
      </c>
      <c r="AU455" s="21">
        <f t="shared" si="52"/>
        <v>18</v>
      </c>
      <c r="AV455" s="143" t="s">
        <v>127</v>
      </c>
      <c r="AW455" s="86" t="s">
        <v>1409</v>
      </c>
      <c r="AX455" s="87" t="s">
        <v>1376</v>
      </c>
      <c r="AY455" s="87"/>
      <c r="AZ455" s="87"/>
      <c r="BA455" s="87"/>
      <c r="BB455" s="87"/>
    </row>
    <row r="456" spans="1:54" ht="15" customHeight="1" x14ac:dyDescent="0.25">
      <c r="A456" s="58">
        <v>15607</v>
      </c>
      <c r="B456" s="27" t="s">
        <v>79</v>
      </c>
      <c r="C456" s="27" t="s">
        <v>79</v>
      </c>
      <c r="D456" s="421">
        <v>46058</v>
      </c>
      <c r="E456" s="28">
        <v>46021</v>
      </c>
      <c r="F456" s="202" t="s">
        <v>879</v>
      </c>
      <c r="G456" s="48" t="s">
        <v>50</v>
      </c>
      <c r="H456" s="179" t="s">
        <v>51</v>
      </c>
      <c r="I456" s="87" t="s">
        <v>92</v>
      </c>
      <c r="J456" s="111" t="s">
        <v>52</v>
      </c>
      <c r="K456" s="87" t="s">
        <v>106</v>
      </c>
      <c r="L456" s="3">
        <v>1</v>
      </c>
      <c r="M456" s="111" t="s">
        <v>54</v>
      </c>
      <c r="N456" s="33" t="s">
        <v>55</v>
      </c>
      <c r="O456" s="33">
        <v>13</v>
      </c>
      <c r="P456" s="21" t="s">
        <v>56</v>
      </c>
      <c r="Q456" s="28">
        <v>46090</v>
      </c>
      <c r="R456" s="28">
        <v>46090</v>
      </c>
      <c r="S456" s="33">
        <v>13</v>
      </c>
      <c r="T456" s="33" t="s">
        <v>55</v>
      </c>
      <c r="U456" s="33" t="s">
        <v>55</v>
      </c>
      <c r="V456" s="33" t="s">
        <v>55</v>
      </c>
      <c r="W456" s="33" t="s">
        <v>55</v>
      </c>
      <c r="X456" s="33" t="s">
        <v>55</v>
      </c>
      <c r="Y456" s="33" t="s">
        <v>55</v>
      </c>
      <c r="Z456" s="21" t="s">
        <v>55</v>
      </c>
      <c r="AA456" s="33">
        <v>2</v>
      </c>
      <c r="AB456" s="33">
        <v>2</v>
      </c>
      <c r="AC456" s="33">
        <v>0</v>
      </c>
      <c r="AD456" s="28">
        <v>46093</v>
      </c>
      <c r="AE456" s="28">
        <v>46093</v>
      </c>
      <c r="AF456" s="28">
        <v>46093</v>
      </c>
      <c r="AG456" s="38">
        <v>46106</v>
      </c>
      <c r="AH456" s="53">
        <v>46118</v>
      </c>
      <c r="AI456" s="21">
        <v>4</v>
      </c>
      <c r="AJ456" s="48" t="s">
        <v>1410</v>
      </c>
      <c r="AK456" s="48" t="s">
        <v>1411</v>
      </c>
      <c r="AL456" s="19">
        <f t="shared" si="59"/>
        <v>1</v>
      </c>
      <c r="AM456" s="67">
        <f>IFERROR(NETWORKDAYS(D456,Q456,Hoja1!$A$1:$A$29),"N/A")</f>
        <v>23</v>
      </c>
      <c r="AN456" s="21">
        <f>IFERROR(NETWORKDAYS(D456,AE456,Hoja1!$A$1:$A$29),"N/A")</f>
        <v>26</v>
      </c>
      <c r="AO456" s="78">
        <v>12</v>
      </c>
      <c r="AP456" s="21">
        <f t="shared" si="57"/>
        <v>14</v>
      </c>
      <c r="AQ456" s="21">
        <f>IFERROR(NETWORKDAYS(AF456,AG456,Hoja1!$A$1:$A$29),"N/A")</f>
        <v>9</v>
      </c>
      <c r="AR456" s="78">
        <v>4</v>
      </c>
      <c r="AS456" s="75">
        <f t="shared" si="58"/>
        <v>5</v>
      </c>
      <c r="AT456" s="21">
        <f>IFERROR(NETWORKDAYS(D456,AG456,Hoja1!$A$1:$A$29),"N/A")</f>
        <v>34</v>
      </c>
      <c r="AU456" s="21">
        <f>AT456-AO456-AR456</f>
        <v>18</v>
      </c>
      <c r="AV456" s="143" t="s">
        <v>421</v>
      </c>
      <c r="AW456" s="86" t="s">
        <v>1412</v>
      </c>
      <c r="AX456" s="87" t="s">
        <v>1376</v>
      </c>
      <c r="AY456" s="87"/>
      <c r="AZ456" s="87"/>
      <c r="BA456" s="87"/>
      <c r="BB456" s="87"/>
    </row>
    <row r="457" spans="1:54" ht="15" customHeight="1" x14ac:dyDescent="0.25">
      <c r="A457" s="55">
        <v>15613</v>
      </c>
      <c r="B457" s="159" t="s">
        <v>69</v>
      </c>
      <c r="C457" s="43" t="s">
        <v>98</v>
      </c>
      <c r="D457" s="28">
        <v>46027</v>
      </c>
      <c r="E457" s="28">
        <v>46024</v>
      </c>
      <c r="F457" s="232" t="s">
        <v>62</v>
      </c>
      <c r="G457" s="87" t="s">
        <v>1413</v>
      </c>
      <c r="H457" s="179" t="s">
        <v>51</v>
      </c>
      <c r="I457" s="84" t="s">
        <v>227</v>
      </c>
      <c r="J457" s="111" t="s">
        <v>52</v>
      </c>
      <c r="K457" s="87" t="s">
        <v>66</v>
      </c>
      <c r="L457" s="3">
        <v>1</v>
      </c>
      <c r="M457" s="111" t="s">
        <v>54</v>
      </c>
      <c r="N457" s="33" t="s">
        <v>55</v>
      </c>
      <c r="O457" s="33">
        <v>21</v>
      </c>
      <c r="P457" s="21" t="s">
        <v>56</v>
      </c>
      <c r="Q457" s="16">
        <v>46105</v>
      </c>
      <c r="R457" s="28">
        <v>46106</v>
      </c>
      <c r="S457" s="33">
        <v>21</v>
      </c>
      <c r="T457" s="33" t="s">
        <v>55</v>
      </c>
      <c r="U457" s="33" t="s">
        <v>55</v>
      </c>
      <c r="V457" s="33" t="s">
        <v>55</v>
      </c>
      <c r="W457" s="33" t="s">
        <v>55</v>
      </c>
      <c r="X457" s="33" t="s">
        <v>55</v>
      </c>
      <c r="Y457" s="33" t="s">
        <v>55</v>
      </c>
      <c r="Z457" s="21" t="s">
        <v>55</v>
      </c>
      <c r="AA457" s="33">
        <v>1</v>
      </c>
      <c r="AB457" s="33">
        <v>1</v>
      </c>
      <c r="AC457" s="33">
        <v>0</v>
      </c>
      <c r="AD457" s="28">
        <v>46126</v>
      </c>
      <c r="AE457" s="28">
        <v>46126</v>
      </c>
      <c r="AF457" s="28">
        <v>46126</v>
      </c>
      <c r="AG457" s="53">
        <v>46133</v>
      </c>
      <c r="AH457" s="53">
        <v>46139</v>
      </c>
      <c r="AI457" s="33">
        <v>4</v>
      </c>
      <c r="AJ457" s="144" t="s">
        <v>1414</v>
      </c>
      <c r="AK457" s="202" t="s">
        <v>1415</v>
      </c>
      <c r="AL457" s="19">
        <f t="shared" si="59"/>
        <v>1</v>
      </c>
      <c r="AM457" s="67">
        <f>IFERROR(NETWORKDAYS(D457,Q457,Hoja1!$A$1:$A$29),"N/A")</f>
        <v>55</v>
      </c>
      <c r="AN457" s="21">
        <f>IFERROR(NETWORKDAYS(D457,AE457,Hoja1!$A$1:$A$29),"N/A")</f>
        <v>68</v>
      </c>
      <c r="AO457" s="78">
        <v>9</v>
      </c>
      <c r="AP457" s="21">
        <f>AN457-AO457</f>
        <v>59</v>
      </c>
      <c r="AQ457" s="21">
        <f>IFERROR(NETWORKDAYS(AF457,AG457,Hoja1!$A$1:$A$29),"N/A")</f>
        <v>6</v>
      </c>
      <c r="AR457" s="78">
        <v>1</v>
      </c>
      <c r="AS457" s="75">
        <f t="shared" si="58"/>
        <v>5</v>
      </c>
      <c r="AT457" s="21">
        <f>IFERROR(NETWORKDAYS(D457,AG457,Hoja1!$A$1:$A$29),"N/A")</f>
        <v>73</v>
      </c>
      <c r="AU457" s="21">
        <f t="shared" si="52"/>
        <v>63</v>
      </c>
      <c r="AV457" s="143" t="s">
        <v>59</v>
      </c>
      <c r="AW457" s="86" t="s">
        <v>1416</v>
      </c>
      <c r="AX457" s="87" t="s">
        <v>1379</v>
      </c>
      <c r="AY457" s="87"/>
      <c r="AZ457" s="87"/>
      <c r="BA457" s="87"/>
      <c r="BB457" s="87"/>
    </row>
    <row r="458" spans="1:54" ht="15" customHeight="1" x14ac:dyDescent="0.25">
      <c r="A458" s="55">
        <v>15638</v>
      </c>
      <c r="B458" s="27" t="s">
        <v>79</v>
      </c>
      <c r="C458" s="27" t="s">
        <v>79</v>
      </c>
      <c r="D458" s="434">
        <v>46078</v>
      </c>
      <c r="E458" s="53">
        <v>46029</v>
      </c>
      <c r="F458" s="143" t="s">
        <v>90</v>
      </c>
      <c r="G458" s="159" t="s">
        <v>91</v>
      </c>
      <c r="H458" s="179" t="s">
        <v>51</v>
      </c>
      <c r="I458" s="159" t="s">
        <v>1417</v>
      </c>
      <c r="J458" s="111" t="s">
        <v>142</v>
      </c>
      <c r="K458" s="111" t="s">
        <v>171</v>
      </c>
      <c r="L458" s="2">
        <v>1</v>
      </c>
      <c r="M458" s="111" t="s">
        <v>54</v>
      </c>
      <c r="N458" s="21" t="s">
        <v>55</v>
      </c>
      <c r="O458" s="21">
        <v>9</v>
      </c>
      <c r="P458" s="21" t="s">
        <v>56</v>
      </c>
      <c r="Q458" s="53">
        <v>46120</v>
      </c>
      <c r="R458" s="53">
        <v>46120</v>
      </c>
      <c r="S458" s="21">
        <v>9</v>
      </c>
      <c r="T458" s="21" t="s">
        <v>55</v>
      </c>
      <c r="U458" s="21" t="s">
        <v>55</v>
      </c>
      <c r="V458" s="21" t="s">
        <v>55</v>
      </c>
      <c r="W458" s="21" t="s">
        <v>55</v>
      </c>
      <c r="X458" s="21" t="s">
        <v>55</v>
      </c>
      <c r="Y458" s="21" t="s">
        <v>55</v>
      </c>
      <c r="Z458" s="21" t="s">
        <v>55</v>
      </c>
      <c r="AA458" s="21">
        <v>9</v>
      </c>
      <c r="AB458" s="21">
        <v>1</v>
      </c>
      <c r="AC458" s="21">
        <v>0</v>
      </c>
      <c r="AD458" s="53">
        <v>46120</v>
      </c>
      <c r="AE458" s="53">
        <v>46120</v>
      </c>
      <c r="AF458" s="53">
        <v>46120</v>
      </c>
      <c r="AG458" s="180">
        <v>46126</v>
      </c>
      <c r="AH458" s="180">
        <v>46127</v>
      </c>
      <c r="AI458" s="21">
        <v>4</v>
      </c>
      <c r="AJ458" s="159" t="s">
        <v>1418</v>
      </c>
      <c r="AK458" s="111" t="s">
        <v>1419</v>
      </c>
      <c r="AL458" s="19">
        <f t="shared" si="59"/>
        <v>1</v>
      </c>
      <c r="AM458" s="67">
        <f>IFERROR(NETWORKDAYS(D458,Q458,Hoja1!$A$1:$A$29),"N/A")</f>
        <v>28</v>
      </c>
      <c r="AN458" s="21">
        <f>IFERROR(NETWORKDAYS(D458,AE458,Hoja1!$A$1:$A$29),"N/A")</f>
        <v>28</v>
      </c>
      <c r="AO458" s="78">
        <v>15</v>
      </c>
      <c r="AP458" s="21">
        <f t="shared" si="57"/>
        <v>13</v>
      </c>
      <c r="AQ458" s="21">
        <f>IFERROR(NETWORKDAYS(AF458,AG458,Hoja1!$A$1:$A$29),"N/A")</f>
        <v>5</v>
      </c>
      <c r="AR458" s="78">
        <v>0</v>
      </c>
      <c r="AS458" s="75">
        <f t="shared" si="58"/>
        <v>5</v>
      </c>
      <c r="AT458" s="21">
        <f>IFERROR(NETWORKDAYS(D458,AG458,Hoja1!$A$1:$A$29),"N/A")</f>
        <v>32</v>
      </c>
      <c r="AU458" s="21">
        <f t="shared" si="52"/>
        <v>17</v>
      </c>
      <c r="AV458" s="143" t="s">
        <v>127</v>
      </c>
      <c r="AW458" s="86" t="s">
        <v>1420</v>
      </c>
      <c r="AX458" s="87" t="s">
        <v>881</v>
      </c>
      <c r="AY458" s="87" t="s">
        <v>1376</v>
      </c>
      <c r="AZ458" s="87"/>
      <c r="BA458" s="87"/>
      <c r="BB458" s="87"/>
    </row>
    <row r="459" spans="1:54" ht="15" customHeight="1" x14ac:dyDescent="0.25">
      <c r="A459" s="95">
        <v>15655</v>
      </c>
      <c r="B459" s="84" t="s">
        <v>49</v>
      </c>
      <c r="C459" s="84" t="s">
        <v>49</v>
      </c>
      <c r="D459" s="16">
        <v>46083</v>
      </c>
      <c r="E459" s="28">
        <v>46031</v>
      </c>
      <c r="F459" s="84" t="s">
        <v>62</v>
      </c>
      <c r="G459" s="179" t="s">
        <v>71</v>
      </c>
      <c r="H459" s="179" t="s">
        <v>101</v>
      </c>
      <c r="I459" s="84" t="s">
        <v>1421</v>
      </c>
      <c r="J459" s="111" t="s">
        <v>52</v>
      </c>
      <c r="K459" s="84" t="s">
        <v>1401</v>
      </c>
      <c r="L459" s="33">
        <v>1</v>
      </c>
      <c r="M459" s="111" t="s">
        <v>54</v>
      </c>
      <c r="N459" s="33" t="s">
        <v>55</v>
      </c>
      <c r="O459" s="33">
        <v>0</v>
      </c>
      <c r="P459" s="21"/>
      <c r="Q459" s="168" t="s">
        <v>55</v>
      </c>
      <c r="R459" s="168" t="s">
        <v>55</v>
      </c>
      <c r="S459" s="33">
        <v>0</v>
      </c>
      <c r="T459" s="33" t="s">
        <v>55</v>
      </c>
      <c r="U459" s="33" t="s">
        <v>55</v>
      </c>
      <c r="V459" s="33" t="s">
        <v>55</v>
      </c>
      <c r="W459" s="33" t="s">
        <v>55</v>
      </c>
      <c r="X459" s="33" t="s">
        <v>55</v>
      </c>
      <c r="Y459" s="33" t="s">
        <v>55</v>
      </c>
      <c r="Z459" s="21" t="s">
        <v>55</v>
      </c>
      <c r="AA459" s="33">
        <v>4</v>
      </c>
      <c r="AB459" s="33">
        <v>3</v>
      </c>
      <c r="AC459" s="33">
        <v>0</v>
      </c>
      <c r="AD459" s="28">
        <v>46087</v>
      </c>
      <c r="AE459" s="180">
        <v>46106</v>
      </c>
      <c r="AF459" s="28">
        <v>46108</v>
      </c>
      <c r="AG459" s="53">
        <v>46125</v>
      </c>
      <c r="AH459" s="180">
        <v>46127</v>
      </c>
      <c r="AI459" s="33">
        <v>4</v>
      </c>
      <c r="AJ459" s="144" t="s">
        <v>1422</v>
      </c>
      <c r="AK459" s="35" t="s">
        <v>1423</v>
      </c>
      <c r="AL459" s="19" t="str">
        <f t="shared" si="59"/>
        <v>N/A</v>
      </c>
      <c r="AM459" s="67" t="str">
        <f>IFERROR(NETWORKDAYS(D459,Q459,Hoja1!$A$1:$A$29),"N/A")</f>
        <v>N/A</v>
      </c>
      <c r="AN459" s="21">
        <f>IFERROR(NETWORKDAYS(D459,AE459,Hoja1!$A$1:$A$29),"N/A")</f>
        <v>17</v>
      </c>
      <c r="AO459" s="78">
        <v>10</v>
      </c>
      <c r="AP459" s="21">
        <f t="shared" si="57"/>
        <v>7</v>
      </c>
      <c r="AQ459" s="21">
        <f>IFERROR(NETWORKDAYS(AF459,AG459,Hoja1!$A$1:$A$29),"N/A")</f>
        <v>10</v>
      </c>
      <c r="AR459" s="78">
        <v>5</v>
      </c>
      <c r="AS459" s="75">
        <f t="shared" si="58"/>
        <v>5</v>
      </c>
      <c r="AT459" s="21">
        <f>IFERROR(NETWORKDAYS(D459,AG459,Hoja1!$A$1:$A$29),"N/A")</f>
        <v>28</v>
      </c>
      <c r="AU459" s="21">
        <f t="shared" si="52"/>
        <v>13</v>
      </c>
      <c r="AV459" s="143" t="s">
        <v>104</v>
      </c>
      <c r="AW459" s="86" t="s">
        <v>1424</v>
      </c>
      <c r="AX459" s="87" t="s">
        <v>1379</v>
      </c>
      <c r="AY459" s="87"/>
      <c r="AZ459" s="87"/>
      <c r="BA459" s="87"/>
      <c r="BB459" s="87"/>
    </row>
    <row r="460" spans="1:54" ht="15" customHeight="1" x14ac:dyDescent="0.25">
      <c r="A460" s="58">
        <v>15663</v>
      </c>
      <c r="B460" s="27" t="s">
        <v>79</v>
      </c>
      <c r="C460" s="27" t="s">
        <v>79</v>
      </c>
      <c r="D460" s="421">
        <v>46036</v>
      </c>
      <c r="E460" s="28">
        <v>46036</v>
      </c>
      <c r="F460" s="202" t="s">
        <v>879</v>
      </c>
      <c r="G460" s="48" t="s">
        <v>919</v>
      </c>
      <c r="H460" s="179" t="s">
        <v>51</v>
      </c>
      <c r="I460" s="87" t="s">
        <v>92</v>
      </c>
      <c r="J460" s="111" t="s">
        <v>52</v>
      </c>
      <c r="K460" s="87" t="s">
        <v>106</v>
      </c>
      <c r="L460" s="3">
        <v>1</v>
      </c>
      <c r="M460" s="111" t="s">
        <v>54</v>
      </c>
      <c r="N460" s="33" t="s">
        <v>55</v>
      </c>
      <c r="O460" s="33">
        <v>13</v>
      </c>
      <c r="P460" s="21" t="s">
        <v>112</v>
      </c>
      <c r="Q460" s="28">
        <v>46086</v>
      </c>
      <c r="R460" s="28">
        <v>46086</v>
      </c>
      <c r="S460" s="33">
        <v>13</v>
      </c>
      <c r="T460" s="33" t="s">
        <v>55</v>
      </c>
      <c r="U460" s="33" t="s">
        <v>55</v>
      </c>
      <c r="V460" s="33" t="s">
        <v>55</v>
      </c>
      <c r="W460" s="33" t="s">
        <v>55</v>
      </c>
      <c r="X460" s="33" t="s">
        <v>55</v>
      </c>
      <c r="Y460" s="33" t="s">
        <v>55</v>
      </c>
      <c r="Z460" s="21" t="s">
        <v>55</v>
      </c>
      <c r="AA460" s="33">
        <v>1</v>
      </c>
      <c r="AB460" s="33">
        <v>1</v>
      </c>
      <c r="AC460" s="33">
        <v>0</v>
      </c>
      <c r="AD460" s="28">
        <v>46100</v>
      </c>
      <c r="AE460" s="28">
        <v>46100</v>
      </c>
      <c r="AF460" s="28">
        <v>46100</v>
      </c>
      <c r="AG460" s="38">
        <v>46113</v>
      </c>
      <c r="AH460" s="53">
        <v>46118</v>
      </c>
      <c r="AI460" s="21">
        <v>4</v>
      </c>
      <c r="AJ460" s="48" t="s">
        <v>1425</v>
      </c>
      <c r="AK460" s="48" t="s">
        <v>1426</v>
      </c>
      <c r="AL460" s="19">
        <f t="shared" si="59"/>
        <v>1</v>
      </c>
      <c r="AM460" s="67">
        <f>IFERROR(NETWORKDAYS(D460,Q460,Hoja1!$A$1:$A$29),"N/A")</f>
        <v>37</v>
      </c>
      <c r="AN460" s="21">
        <f>IFERROR(NETWORKDAYS(D460,AE460,Hoja1!$A$1:$A$29),"N/A")</f>
        <v>47</v>
      </c>
      <c r="AO460" s="78">
        <v>21</v>
      </c>
      <c r="AP460" s="21">
        <f t="shared" si="57"/>
        <v>26</v>
      </c>
      <c r="AQ460" s="21">
        <f>IFERROR(NETWORKDAYS(AF460,AG460,Hoja1!$A$1:$A$29),"N/A")</f>
        <v>9</v>
      </c>
      <c r="AR460" s="78">
        <v>4</v>
      </c>
      <c r="AS460" s="75">
        <f t="shared" si="58"/>
        <v>5</v>
      </c>
      <c r="AT460" s="21">
        <f>IFERROR(NETWORKDAYS(D460,AG460,Hoja1!$A$1:$A$29),"N/A")</f>
        <v>55</v>
      </c>
      <c r="AU460" s="21">
        <f t="shared" si="52"/>
        <v>30</v>
      </c>
      <c r="AV460" s="143" t="s">
        <v>59</v>
      </c>
      <c r="AW460" s="86" t="s">
        <v>1427</v>
      </c>
      <c r="AX460" s="87"/>
      <c r="AY460" s="87"/>
      <c r="AZ460" s="87"/>
      <c r="BA460" s="87"/>
      <c r="BB460" s="87"/>
    </row>
    <row r="461" spans="1:54" ht="15" customHeight="1" x14ac:dyDescent="0.25">
      <c r="A461" s="95">
        <v>15699</v>
      </c>
      <c r="B461" s="27" t="s">
        <v>79</v>
      </c>
      <c r="C461" s="27" t="s">
        <v>79</v>
      </c>
      <c r="D461" s="16">
        <v>46100</v>
      </c>
      <c r="E461" s="28">
        <v>46043</v>
      </c>
      <c r="F461" s="84" t="s">
        <v>62</v>
      </c>
      <c r="G461" s="179" t="s">
        <v>71</v>
      </c>
      <c r="H461" s="179" t="s">
        <v>140</v>
      </c>
      <c r="I461" s="84" t="s">
        <v>1428</v>
      </c>
      <c r="J461" s="84" t="s">
        <v>142</v>
      </c>
      <c r="K461" s="84" t="s">
        <v>1401</v>
      </c>
      <c r="L461" s="33">
        <v>1</v>
      </c>
      <c r="M461" s="159" t="s">
        <v>247</v>
      </c>
      <c r="N461" s="33" t="s">
        <v>55</v>
      </c>
      <c r="O461" s="33">
        <v>0</v>
      </c>
      <c r="P461" s="33"/>
      <c r="Q461" s="28" t="s">
        <v>55</v>
      </c>
      <c r="R461" s="28" t="s">
        <v>55</v>
      </c>
      <c r="S461" s="33">
        <v>0</v>
      </c>
      <c r="T461" s="33" t="s">
        <v>55</v>
      </c>
      <c r="U461" s="33" t="s">
        <v>55</v>
      </c>
      <c r="V461" s="33" t="s">
        <v>55</v>
      </c>
      <c r="W461" s="33" t="s">
        <v>55</v>
      </c>
      <c r="X461" s="33" t="s">
        <v>55</v>
      </c>
      <c r="Y461" s="33" t="s">
        <v>55</v>
      </c>
      <c r="Z461" s="33" t="s">
        <v>55</v>
      </c>
      <c r="AA461" s="33">
        <v>3</v>
      </c>
      <c r="AB461" s="33">
        <v>3</v>
      </c>
      <c r="AC461" s="33">
        <v>0</v>
      </c>
      <c r="AD461" s="180">
        <v>46111</v>
      </c>
      <c r="AE461" s="28">
        <v>46125</v>
      </c>
      <c r="AF461" s="28" t="s">
        <v>55</v>
      </c>
      <c r="AG461" s="28">
        <v>46125</v>
      </c>
      <c r="AH461" s="28">
        <v>46125</v>
      </c>
      <c r="AI461" s="33">
        <v>4</v>
      </c>
      <c r="AJ461" s="144" t="s">
        <v>1429</v>
      </c>
      <c r="AK461" s="35" t="s">
        <v>1430</v>
      </c>
      <c r="AL461" s="19" t="str">
        <f t="shared" si="59"/>
        <v>N/A</v>
      </c>
      <c r="AM461" s="67" t="str">
        <f>IFERROR(NETWORKDAYS(D461,Q461,Hoja1!$A$1:$A$29),"N/A")</f>
        <v>N/A</v>
      </c>
      <c r="AN461" s="21">
        <f>IFERROR(NETWORKDAYS(D461,AE461,Hoja1!$A$1:$A$29),"N/A")</f>
        <v>15</v>
      </c>
      <c r="AO461" s="78">
        <v>8</v>
      </c>
      <c r="AP461" s="21">
        <f t="shared" si="57"/>
        <v>7</v>
      </c>
      <c r="AQ461" s="21" t="str">
        <f>IFERROR(NETWORKDAYS(AF461,AG461,Hoja1!$A$1:$A$29),"N/A")</f>
        <v>N/A</v>
      </c>
      <c r="AR461" s="78">
        <v>0</v>
      </c>
      <c r="AS461" s="21" t="s">
        <v>82</v>
      </c>
      <c r="AT461" s="21">
        <f>IFERROR(NETWORKDAYS(D461,AG461,Hoja1!$A$1:$A$29),"N/A")</f>
        <v>15</v>
      </c>
      <c r="AU461" s="21">
        <f t="shared" si="52"/>
        <v>7</v>
      </c>
      <c r="AV461" s="143" t="s">
        <v>145</v>
      </c>
      <c r="AW461" s="286" t="s">
        <v>1431</v>
      </c>
      <c r="AX461" s="87"/>
      <c r="AY461" s="87"/>
      <c r="AZ461" s="87"/>
      <c r="BA461" s="87"/>
      <c r="BB461" s="87"/>
    </row>
    <row r="462" spans="1:54" ht="15" customHeight="1" x14ac:dyDescent="0.25">
      <c r="A462" s="55">
        <v>15711</v>
      </c>
      <c r="B462" s="159" t="s">
        <v>69</v>
      </c>
      <c r="C462" s="43" t="s">
        <v>98</v>
      </c>
      <c r="D462" s="434">
        <v>46044</v>
      </c>
      <c r="E462" s="53">
        <v>46044</v>
      </c>
      <c r="F462" s="143" t="s">
        <v>90</v>
      </c>
      <c r="G462" s="159" t="s">
        <v>91</v>
      </c>
      <c r="H462" s="179" t="s">
        <v>116</v>
      </c>
      <c r="I462" s="159" t="s">
        <v>1432</v>
      </c>
      <c r="J462" s="111" t="s">
        <v>142</v>
      </c>
      <c r="K462" s="111" t="s">
        <v>111</v>
      </c>
      <c r="L462" s="2">
        <v>1</v>
      </c>
      <c r="M462" s="111" t="s">
        <v>54</v>
      </c>
      <c r="N462" s="21" t="s">
        <v>55</v>
      </c>
      <c r="O462" s="21">
        <v>4</v>
      </c>
      <c r="P462" s="21" t="s">
        <v>112</v>
      </c>
      <c r="Q462" s="53">
        <v>46107</v>
      </c>
      <c r="R462" s="53">
        <v>46107</v>
      </c>
      <c r="S462" s="21">
        <v>4</v>
      </c>
      <c r="T462" s="21" t="s">
        <v>55</v>
      </c>
      <c r="U462" s="21" t="s">
        <v>55</v>
      </c>
      <c r="V462" s="21" t="s">
        <v>55</v>
      </c>
      <c r="W462" s="21" t="s">
        <v>55</v>
      </c>
      <c r="X462" s="21" t="s">
        <v>55</v>
      </c>
      <c r="Y462" s="21" t="s">
        <v>55</v>
      </c>
      <c r="Z462" s="21" t="s">
        <v>55</v>
      </c>
      <c r="AA462" s="21">
        <v>4</v>
      </c>
      <c r="AB462" s="21">
        <v>1</v>
      </c>
      <c r="AC462" s="21">
        <v>0</v>
      </c>
      <c r="AD462" s="53">
        <v>46122</v>
      </c>
      <c r="AE462" s="53">
        <v>46122</v>
      </c>
      <c r="AF462" s="53">
        <v>46122</v>
      </c>
      <c r="AG462" s="53">
        <v>46134</v>
      </c>
      <c r="AH462" s="53">
        <v>46139</v>
      </c>
      <c r="AI462" s="21">
        <v>4</v>
      </c>
      <c r="AJ462" s="159" t="s">
        <v>1433</v>
      </c>
      <c r="AK462" s="111" t="s">
        <v>1434</v>
      </c>
      <c r="AL462" s="19">
        <f t="shared" si="59"/>
        <v>1</v>
      </c>
      <c r="AM462" s="67">
        <f>IFERROR(NETWORKDAYS(D462,Q462,Hoja1!$A$1:$A$29),"N/A")</f>
        <v>45</v>
      </c>
      <c r="AN462" s="21">
        <f>IFERROR(NETWORKDAYS(D462,AE462,Hoja1!$A$1:$A$29),"N/A")</f>
        <v>54</v>
      </c>
      <c r="AO462" s="78">
        <v>34</v>
      </c>
      <c r="AP462" s="21">
        <f t="shared" si="57"/>
        <v>20</v>
      </c>
      <c r="AQ462" s="21">
        <f>IFERROR(NETWORKDAYS(AF462,AG462,Hoja1!$A$1:$A$29),"N/A")</f>
        <v>9</v>
      </c>
      <c r="AR462" s="78">
        <v>4</v>
      </c>
      <c r="AS462" s="75">
        <f t="shared" si="58"/>
        <v>5</v>
      </c>
      <c r="AT462" s="21">
        <f>IFERROR(NETWORKDAYS(D462,AG462,Hoja1!$A$1:$A$29),"N/A")</f>
        <v>62</v>
      </c>
      <c r="AU462" s="21">
        <f t="shared" si="52"/>
        <v>24</v>
      </c>
      <c r="AV462" s="143" t="s">
        <v>127</v>
      </c>
      <c r="AW462" s="86" t="s">
        <v>1435</v>
      </c>
      <c r="AX462" s="87"/>
      <c r="AY462" s="87"/>
      <c r="AZ462" s="87"/>
      <c r="BA462" s="87"/>
      <c r="BB462" s="87"/>
    </row>
    <row r="463" spans="1:54" ht="15" customHeight="1" x14ac:dyDescent="0.25">
      <c r="A463" s="95">
        <v>15715</v>
      </c>
      <c r="B463" s="48" t="s">
        <v>169</v>
      </c>
      <c r="C463" s="48" t="s">
        <v>169</v>
      </c>
      <c r="D463" s="116">
        <v>46048</v>
      </c>
      <c r="E463" s="116">
        <v>46045</v>
      </c>
      <c r="F463" s="143" t="s">
        <v>62</v>
      </c>
      <c r="G463" s="179" t="s">
        <v>71</v>
      </c>
      <c r="H463" s="179" t="s">
        <v>51</v>
      </c>
      <c r="I463" s="27" t="s">
        <v>72</v>
      </c>
      <c r="J463" s="87" t="s">
        <v>73</v>
      </c>
      <c r="K463" s="111" t="s">
        <v>351</v>
      </c>
      <c r="L463" s="33">
        <v>1</v>
      </c>
      <c r="M463" s="111" t="s">
        <v>54</v>
      </c>
      <c r="N463" s="33" t="s">
        <v>55</v>
      </c>
      <c r="O463" s="33">
        <v>16</v>
      </c>
      <c r="P463" s="21" t="s">
        <v>56</v>
      </c>
      <c r="Q463" s="28">
        <v>46090</v>
      </c>
      <c r="R463" s="28">
        <v>46093</v>
      </c>
      <c r="S463" s="33">
        <v>16</v>
      </c>
      <c r="T463" s="33" t="s">
        <v>55</v>
      </c>
      <c r="U463" s="33" t="s">
        <v>55</v>
      </c>
      <c r="V463" s="33" t="s">
        <v>55</v>
      </c>
      <c r="W463" s="33" t="s">
        <v>55</v>
      </c>
      <c r="X463" s="33" t="s">
        <v>55</v>
      </c>
      <c r="Y463" s="33" t="s">
        <v>55</v>
      </c>
      <c r="Z463" s="21" t="s">
        <v>55</v>
      </c>
      <c r="AA463" s="33">
        <v>3</v>
      </c>
      <c r="AB463" s="33">
        <v>3</v>
      </c>
      <c r="AC463" s="33">
        <v>0</v>
      </c>
      <c r="AD463" s="28">
        <v>46101</v>
      </c>
      <c r="AE463" s="180">
        <v>46105</v>
      </c>
      <c r="AF463" s="180">
        <v>46105</v>
      </c>
      <c r="AG463" s="28">
        <v>46119</v>
      </c>
      <c r="AH463" s="180">
        <v>46127</v>
      </c>
      <c r="AI463" s="33">
        <f>MONTH(AH463)</f>
        <v>4</v>
      </c>
      <c r="AJ463" s="144" t="s">
        <v>1436</v>
      </c>
      <c r="AK463" s="114" t="s">
        <v>1437</v>
      </c>
      <c r="AL463" s="19">
        <f t="shared" si="59"/>
        <v>1</v>
      </c>
      <c r="AM463" s="67">
        <f>IFERROR(NETWORKDAYS(D463,Q463,Hoja1!$A$1:$A$29),"N/A")</f>
        <v>31</v>
      </c>
      <c r="AN463" s="21">
        <f>IFERROR(NETWORKDAYS(D463,AE463,Hoja1!$A$1:$A$29),"N/A")</f>
        <v>41</v>
      </c>
      <c r="AO463" s="78">
        <v>7</v>
      </c>
      <c r="AP463" s="21">
        <f t="shared" si="57"/>
        <v>34</v>
      </c>
      <c r="AQ463" s="21">
        <f>IFERROR(NETWORKDAYS(AF463,AG463,Hoja1!$A$1:$A$29),"N/A")</f>
        <v>9</v>
      </c>
      <c r="AR463" s="78">
        <v>4</v>
      </c>
      <c r="AS463" s="75">
        <f t="shared" si="58"/>
        <v>5</v>
      </c>
      <c r="AT463" s="21">
        <f>IFERROR(NETWORKDAYS(D463,AG463,Hoja1!$A$1:$A$29),"N/A")</f>
        <v>49</v>
      </c>
      <c r="AU463" s="21">
        <f t="shared" si="52"/>
        <v>38</v>
      </c>
      <c r="AV463" s="143" t="s">
        <v>77</v>
      </c>
      <c r="AW463" s="86" t="s">
        <v>82</v>
      </c>
      <c r="AX463" s="87" t="s">
        <v>1379</v>
      </c>
      <c r="AY463" s="87"/>
      <c r="AZ463" s="87"/>
      <c r="BA463" s="87"/>
      <c r="BB463" s="87"/>
    </row>
    <row r="464" spans="1:54" ht="15" customHeight="1" x14ac:dyDescent="0.25">
      <c r="A464" s="55">
        <v>15764</v>
      </c>
      <c r="B464" s="27" t="s">
        <v>79</v>
      </c>
      <c r="C464" s="27" t="s">
        <v>79</v>
      </c>
      <c r="D464" s="434">
        <v>46051</v>
      </c>
      <c r="E464" s="53">
        <v>46051</v>
      </c>
      <c r="F464" s="143" t="s">
        <v>99</v>
      </c>
      <c r="G464" s="152" t="s">
        <v>100</v>
      </c>
      <c r="H464" s="179" t="s">
        <v>51</v>
      </c>
      <c r="I464" s="87" t="s">
        <v>92</v>
      </c>
      <c r="J464" s="111" t="s">
        <v>52</v>
      </c>
      <c r="K464" s="111" t="s">
        <v>129</v>
      </c>
      <c r="L464" s="2">
        <v>1</v>
      </c>
      <c r="M464" s="111" t="s">
        <v>54</v>
      </c>
      <c r="N464" s="21" t="s">
        <v>55</v>
      </c>
      <c r="O464" s="21">
        <v>6</v>
      </c>
      <c r="P464" s="21" t="s">
        <v>112</v>
      </c>
      <c r="Q464" s="53">
        <v>46064</v>
      </c>
      <c r="R464" s="53">
        <v>46064</v>
      </c>
      <c r="S464" s="21">
        <v>6</v>
      </c>
      <c r="T464" s="21" t="s">
        <v>55</v>
      </c>
      <c r="U464" s="21" t="s">
        <v>55</v>
      </c>
      <c r="V464" s="21" t="s">
        <v>55</v>
      </c>
      <c r="W464" s="21" t="s">
        <v>55</v>
      </c>
      <c r="X464" s="21" t="s">
        <v>55</v>
      </c>
      <c r="Y464" s="21" t="s">
        <v>55</v>
      </c>
      <c r="Z464" s="21" t="s">
        <v>55</v>
      </c>
      <c r="AA464" s="21">
        <v>3</v>
      </c>
      <c r="AB464" s="21">
        <v>3</v>
      </c>
      <c r="AC464" s="21">
        <v>0</v>
      </c>
      <c r="AD464" s="53">
        <v>46094</v>
      </c>
      <c r="AE464" s="53">
        <v>46094</v>
      </c>
      <c r="AF464" s="53">
        <v>46094</v>
      </c>
      <c r="AG464" s="53">
        <v>46136</v>
      </c>
      <c r="AH464" s="53">
        <v>46139</v>
      </c>
      <c r="AI464" s="21">
        <v>4</v>
      </c>
      <c r="AJ464" s="152" t="s">
        <v>1438</v>
      </c>
      <c r="AK464" s="111" t="s">
        <v>1439</v>
      </c>
      <c r="AL464" s="19">
        <f t="shared" si="59"/>
        <v>1</v>
      </c>
      <c r="AM464" s="67">
        <f>IFERROR(NETWORKDAYS(D464,Q464,Hoja1!$A$1:$A$29),"N/A")</f>
        <v>10</v>
      </c>
      <c r="AN464" s="21">
        <f>IFERROR(NETWORKDAYS(D464,AE464,Hoja1!$A$1:$A$29),"N/A")</f>
        <v>32</v>
      </c>
      <c r="AO464" s="78">
        <v>7</v>
      </c>
      <c r="AP464" s="21">
        <f t="shared" si="57"/>
        <v>25</v>
      </c>
      <c r="AQ464" s="21">
        <f>IFERROR(NETWORKDAYS(AF464,AG464,Hoja1!$A$1:$A$29),"N/A")</f>
        <v>28</v>
      </c>
      <c r="AR464" s="78">
        <v>24</v>
      </c>
      <c r="AS464" s="75">
        <f t="shared" si="58"/>
        <v>4</v>
      </c>
      <c r="AT464" s="21">
        <f>IFERROR(NETWORKDAYS(D464,AG464,Hoja1!$A$1:$A$29),"N/A")</f>
        <v>59</v>
      </c>
      <c r="AU464" s="21">
        <f t="shared" si="52"/>
        <v>28</v>
      </c>
      <c r="AV464" s="143" t="s">
        <v>413</v>
      </c>
      <c r="AW464" s="86" t="s">
        <v>1440</v>
      </c>
      <c r="AX464" s="111"/>
      <c r="AY464" s="111"/>
      <c r="AZ464" s="111"/>
      <c r="BA464" s="111"/>
      <c r="BB464" s="111"/>
    </row>
    <row r="465" spans="1:54" ht="15" customHeight="1" x14ac:dyDescent="0.25">
      <c r="A465" s="55">
        <v>15776</v>
      </c>
      <c r="B465" s="84" t="s">
        <v>85</v>
      </c>
      <c r="C465" s="84" t="s">
        <v>85</v>
      </c>
      <c r="D465" s="53">
        <v>46055</v>
      </c>
      <c r="E465" s="53">
        <v>46055</v>
      </c>
      <c r="F465" s="143" t="s">
        <v>90</v>
      </c>
      <c r="G465" s="159" t="s">
        <v>896</v>
      </c>
      <c r="H465" s="179" t="s">
        <v>51</v>
      </c>
      <c r="I465" s="159" t="s">
        <v>276</v>
      </c>
      <c r="J465" s="111" t="s">
        <v>52</v>
      </c>
      <c r="K465" s="111" t="s">
        <v>171</v>
      </c>
      <c r="L465" s="2">
        <v>1</v>
      </c>
      <c r="M465" s="111" t="s">
        <v>54</v>
      </c>
      <c r="N465" s="21" t="s">
        <v>55</v>
      </c>
      <c r="O465" s="21">
        <v>4</v>
      </c>
      <c r="P465" s="21" t="s">
        <v>112</v>
      </c>
      <c r="Q465" s="53">
        <v>46086</v>
      </c>
      <c r="R465" s="53">
        <v>46091</v>
      </c>
      <c r="S465" s="21">
        <v>4</v>
      </c>
      <c r="T465" s="21" t="s">
        <v>55</v>
      </c>
      <c r="U465" s="21" t="s">
        <v>55</v>
      </c>
      <c r="V465" s="21" t="s">
        <v>55</v>
      </c>
      <c r="W465" s="21" t="s">
        <v>55</v>
      </c>
      <c r="X465" s="21" t="s">
        <v>55</v>
      </c>
      <c r="Y465" s="21" t="s">
        <v>55</v>
      </c>
      <c r="Z465" s="21" t="s">
        <v>55</v>
      </c>
      <c r="AA465" s="21">
        <v>4</v>
      </c>
      <c r="AB465" s="21">
        <v>1</v>
      </c>
      <c r="AC465" s="21">
        <v>0</v>
      </c>
      <c r="AD465" s="53">
        <v>46100</v>
      </c>
      <c r="AE465" s="28">
        <v>46100</v>
      </c>
      <c r="AF465" s="53">
        <v>46102</v>
      </c>
      <c r="AG465" s="28">
        <v>46112</v>
      </c>
      <c r="AH465" s="53">
        <v>46118</v>
      </c>
      <c r="AI465" s="21">
        <v>4</v>
      </c>
      <c r="AJ465" s="159" t="s">
        <v>1441</v>
      </c>
      <c r="AK465" s="111" t="s">
        <v>1442</v>
      </c>
      <c r="AL465" s="19">
        <f t="shared" si="59"/>
        <v>1</v>
      </c>
      <c r="AM465" s="67">
        <f>IFERROR(NETWORKDAYS(D465,Q465,Hoja1!$A$1:$A$29),"N/A")</f>
        <v>24</v>
      </c>
      <c r="AN465" s="21">
        <f>IFERROR(NETWORKDAYS(D465,AE465,Hoja1!$A$1:$A$29),"N/A")</f>
        <v>34</v>
      </c>
      <c r="AO465" s="78">
        <v>16</v>
      </c>
      <c r="AP465" s="21">
        <f t="shared" si="57"/>
        <v>18</v>
      </c>
      <c r="AQ465" s="21">
        <f>IFERROR(NETWORKDAYS(AF465,AG465,Hoja1!$A$1:$A$29),"N/A")</f>
        <v>6</v>
      </c>
      <c r="AR465" s="78">
        <v>1</v>
      </c>
      <c r="AS465" s="75">
        <f t="shared" si="58"/>
        <v>5</v>
      </c>
      <c r="AT465" s="21">
        <f>IFERROR(NETWORKDAYS(D465,AG465,Hoja1!$A$1:$A$29),"N/A")</f>
        <v>41</v>
      </c>
      <c r="AU465" s="21">
        <f t="shared" si="52"/>
        <v>24</v>
      </c>
      <c r="AV465" s="143" t="s">
        <v>127</v>
      </c>
      <c r="AW465" s="86" t="s">
        <v>559</v>
      </c>
      <c r="AX465" s="87"/>
      <c r="AY465" s="87"/>
      <c r="AZ465" s="87"/>
      <c r="BA465" s="87"/>
      <c r="BB465" s="87"/>
    </row>
    <row r="466" spans="1:54" ht="15" customHeight="1" x14ac:dyDescent="0.25">
      <c r="A466" s="95">
        <v>15778</v>
      </c>
      <c r="B466" s="84" t="s">
        <v>61</v>
      </c>
      <c r="C466" s="84" t="s">
        <v>61</v>
      </c>
      <c r="D466" s="421">
        <v>46055</v>
      </c>
      <c r="E466" s="28">
        <v>46055</v>
      </c>
      <c r="F466" s="84" t="s">
        <v>62</v>
      </c>
      <c r="G466" s="84" t="s">
        <v>80</v>
      </c>
      <c r="H466" s="179" t="s">
        <v>101</v>
      </c>
      <c r="I466" s="84" t="s">
        <v>1443</v>
      </c>
      <c r="J466" s="87" t="s">
        <v>65</v>
      </c>
      <c r="K466" s="84" t="s">
        <v>66</v>
      </c>
      <c r="L466" s="33">
        <v>1</v>
      </c>
      <c r="M466" s="111" t="s">
        <v>54</v>
      </c>
      <c r="N466" s="33" t="s">
        <v>55</v>
      </c>
      <c r="O466" s="33">
        <v>0</v>
      </c>
      <c r="P466" s="33"/>
      <c r="Q466" s="33" t="s">
        <v>55</v>
      </c>
      <c r="R466" s="33" t="s">
        <v>55</v>
      </c>
      <c r="S466" s="33">
        <v>0</v>
      </c>
      <c r="T466" s="33" t="s">
        <v>55</v>
      </c>
      <c r="U466" s="33" t="s">
        <v>55</v>
      </c>
      <c r="V466" s="33" t="s">
        <v>55</v>
      </c>
      <c r="W466" s="33" t="s">
        <v>55</v>
      </c>
      <c r="X466" s="33" t="s">
        <v>55</v>
      </c>
      <c r="Y466" s="33" t="s">
        <v>55</v>
      </c>
      <c r="Z466" s="33" t="s">
        <v>55</v>
      </c>
      <c r="AA466" s="33">
        <v>1</v>
      </c>
      <c r="AB466" s="33">
        <v>1</v>
      </c>
      <c r="AC466" s="33">
        <v>0</v>
      </c>
      <c r="AD466" s="28">
        <v>46063</v>
      </c>
      <c r="AE466" s="28">
        <v>46097</v>
      </c>
      <c r="AF466" s="28">
        <v>46097</v>
      </c>
      <c r="AG466" s="16">
        <v>46113</v>
      </c>
      <c r="AH466" s="53">
        <v>46118</v>
      </c>
      <c r="AI466" s="33">
        <v>4</v>
      </c>
      <c r="AJ466" s="144" t="s">
        <v>1444</v>
      </c>
      <c r="AK466" s="35" t="s">
        <v>1445</v>
      </c>
      <c r="AL466" s="19" t="str">
        <f t="shared" si="59"/>
        <v>N/A</v>
      </c>
      <c r="AM466" s="67" t="str">
        <f>IFERROR(NETWORKDAYS(D466,Q466,Hoja1!$A$1:$A$29),"N/A")</f>
        <v>N/A</v>
      </c>
      <c r="AN466" s="21">
        <f>IFERROR(NETWORKDAYS(D466,AE466,Hoja1!$A$1:$A$29),"N/A")</f>
        <v>31</v>
      </c>
      <c r="AO466" s="78">
        <v>24</v>
      </c>
      <c r="AP466" s="21">
        <f t="shared" si="57"/>
        <v>7</v>
      </c>
      <c r="AQ466" s="21">
        <f>IFERROR(NETWORKDAYS(AF466,AG466,Hoja1!$A$1:$A$29),"N/A")</f>
        <v>12</v>
      </c>
      <c r="AR466" s="78">
        <v>7</v>
      </c>
      <c r="AS466" s="75">
        <f t="shared" si="58"/>
        <v>5</v>
      </c>
      <c r="AT466" s="21">
        <f>IFERROR(NETWORKDAYS(D466,AG466,Hoja1!$A$1:$A$29),"N/A")</f>
        <v>42</v>
      </c>
      <c r="AU466" s="21">
        <f t="shared" si="52"/>
        <v>11</v>
      </c>
      <c r="AV466" s="143" t="s">
        <v>104</v>
      </c>
      <c r="AW466" s="86" t="s">
        <v>1446</v>
      </c>
      <c r="AX466" s="87"/>
      <c r="AY466" s="87"/>
      <c r="AZ466" s="87"/>
      <c r="BA466" s="87"/>
      <c r="BB466" s="87"/>
    </row>
    <row r="467" spans="1:54" ht="15" customHeight="1" x14ac:dyDescent="0.25">
      <c r="A467" s="95">
        <v>15793</v>
      </c>
      <c r="B467" s="84" t="s">
        <v>85</v>
      </c>
      <c r="C467" s="84" t="s">
        <v>85</v>
      </c>
      <c r="D467" s="116">
        <v>46057</v>
      </c>
      <c r="E467" s="116">
        <v>46056</v>
      </c>
      <c r="F467" s="143" t="s">
        <v>62</v>
      </c>
      <c r="G467" s="179" t="s">
        <v>71</v>
      </c>
      <c r="H467" s="179" t="s">
        <v>116</v>
      </c>
      <c r="I467" s="188" t="s">
        <v>1447</v>
      </c>
      <c r="J467" s="27" t="s">
        <v>142</v>
      </c>
      <c r="K467" s="111" t="s">
        <v>351</v>
      </c>
      <c r="L467" s="1">
        <v>1</v>
      </c>
      <c r="M467" s="111" t="s">
        <v>54</v>
      </c>
      <c r="N467" s="28">
        <v>46062</v>
      </c>
      <c r="O467" s="33">
        <v>5</v>
      </c>
      <c r="P467" s="21" t="s">
        <v>112</v>
      </c>
      <c r="Q467" s="28">
        <v>46066</v>
      </c>
      <c r="R467" s="28">
        <v>46066</v>
      </c>
      <c r="S467" s="33">
        <v>5</v>
      </c>
      <c r="T467" s="28">
        <v>46058</v>
      </c>
      <c r="U467" s="28">
        <v>46063</v>
      </c>
      <c r="V467" s="28">
        <v>46065</v>
      </c>
      <c r="W467" s="33" t="s">
        <v>55</v>
      </c>
      <c r="X467" s="33" t="s">
        <v>55</v>
      </c>
      <c r="Y467" s="33" t="s">
        <v>55</v>
      </c>
      <c r="Z467" s="28">
        <v>46087</v>
      </c>
      <c r="AA467" s="33">
        <v>6</v>
      </c>
      <c r="AB467" s="33">
        <v>6</v>
      </c>
      <c r="AC467" s="33">
        <v>0</v>
      </c>
      <c r="AD467" s="38">
        <v>46097</v>
      </c>
      <c r="AE467" s="180">
        <v>46108</v>
      </c>
      <c r="AF467" s="53">
        <v>46111</v>
      </c>
      <c r="AG467" s="180">
        <v>46126</v>
      </c>
      <c r="AH467" s="180">
        <v>46127</v>
      </c>
      <c r="AI467" s="33">
        <f t="shared" ref="AI467:AI472" si="60">MONTH(AH467)</f>
        <v>4</v>
      </c>
      <c r="AJ467" s="144" t="s">
        <v>1448</v>
      </c>
      <c r="AK467" s="114" t="s">
        <v>1449</v>
      </c>
      <c r="AL467" s="19">
        <f t="shared" si="59"/>
        <v>1</v>
      </c>
      <c r="AM467" s="67">
        <f>IFERROR(NETWORKDAYS(D467,Q467,Hoja1!$A$1:$A$29),"N/A")</f>
        <v>8</v>
      </c>
      <c r="AN467" s="21">
        <f>IFERROR(NETWORKDAYS(D467,AE467,Hoja1!$A$1:$A$29),"N/A")</f>
        <v>37</v>
      </c>
      <c r="AO467" s="78">
        <v>14</v>
      </c>
      <c r="AP467" s="21">
        <f t="shared" si="57"/>
        <v>23</v>
      </c>
      <c r="AQ467" s="21">
        <f>IFERROR(NETWORKDAYS(AF467,AG467,Hoja1!$A$1:$A$29),"N/A")</f>
        <v>10</v>
      </c>
      <c r="AR467" s="78">
        <v>5</v>
      </c>
      <c r="AS467" s="75">
        <f t="shared" si="58"/>
        <v>5</v>
      </c>
      <c r="AT467" s="21">
        <f>IFERROR(NETWORKDAYS(D467,AG467,Hoja1!$A$1:$A$29),"N/A")</f>
        <v>47</v>
      </c>
      <c r="AU467" s="21">
        <f t="shared" si="52"/>
        <v>28</v>
      </c>
      <c r="AV467" s="143" t="s">
        <v>127</v>
      </c>
      <c r="AW467" s="86" t="s">
        <v>1450</v>
      </c>
      <c r="AX467" s="87"/>
      <c r="AY467" s="87"/>
      <c r="AZ467" s="87"/>
      <c r="BA467" s="87"/>
      <c r="BB467" s="87"/>
    </row>
    <row r="468" spans="1:54" ht="15" customHeight="1" x14ac:dyDescent="0.25">
      <c r="A468" s="95">
        <v>15794</v>
      </c>
      <c r="B468" s="84" t="s">
        <v>85</v>
      </c>
      <c r="C468" s="84" t="s">
        <v>85</v>
      </c>
      <c r="D468" s="435">
        <v>46086</v>
      </c>
      <c r="E468" s="116">
        <v>46056</v>
      </c>
      <c r="F468" s="143" t="s">
        <v>62</v>
      </c>
      <c r="G468" s="179" t="s">
        <v>71</v>
      </c>
      <c r="H468" s="179" t="s">
        <v>101</v>
      </c>
      <c r="I468" s="188" t="s">
        <v>1451</v>
      </c>
      <c r="J468" s="27" t="s">
        <v>142</v>
      </c>
      <c r="K468" s="111" t="s">
        <v>351</v>
      </c>
      <c r="L468" s="1">
        <v>1</v>
      </c>
      <c r="M468" s="111" t="s">
        <v>54</v>
      </c>
      <c r="N468" s="168" t="s">
        <v>55</v>
      </c>
      <c r="O468" s="33">
        <v>0</v>
      </c>
      <c r="P468" s="21"/>
      <c r="Q468" s="168" t="s">
        <v>55</v>
      </c>
      <c r="R468" s="168" t="s">
        <v>55</v>
      </c>
      <c r="S468" s="33">
        <v>0</v>
      </c>
      <c r="T468" s="168" t="s">
        <v>55</v>
      </c>
      <c r="U468" s="168" t="s">
        <v>55</v>
      </c>
      <c r="V468" s="168" t="s">
        <v>55</v>
      </c>
      <c r="W468" s="33" t="s">
        <v>55</v>
      </c>
      <c r="X468" s="33" t="s">
        <v>55</v>
      </c>
      <c r="Y468" s="33" t="s">
        <v>55</v>
      </c>
      <c r="Z468" s="168" t="s">
        <v>55</v>
      </c>
      <c r="AA468" s="33">
        <v>3</v>
      </c>
      <c r="AB468" s="33">
        <v>3</v>
      </c>
      <c r="AC468" s="33">
        <v>0</v>
      </c>
      <c r="AD468" s="53">
        <v>46094</v>
      </c>
      <c r="AE468" s="180">
        <v>46108</v>
      </c>
      <c r="AF468" s="53">
        <v>46111</v>
      </c>
      <c r="AG468" s="180">
        <v>46126</v>
      </c>
      <c r="AH468" s="180">
        <v>46127</v>
      </c>
      <c r="AI468" s="33">
        <f t="shared" si="60"/>
        <v>4</v>
      </c>
      <c r="AJ468" s="144" t="s">
        <v>1452</v>
      </c>
      <c r="AK468" s="114" t="s">
        <v>1453</v>
      </c>
      <c r="AL468" s="19" t="str">
        <f t="shared" si="59"/>
        <v>N/A</v>
      </c>
      <c r="AM468" s="67" t="str">
        <f>IFERROR(NETWORKDAYS(D468,Q468,Hoja1!$A$1:$A$29),"N/A")</f>
        <v>N/A</v>
      </c>
      <c r="AN468" s="21">
        <f>IFERROR(NETWORKDAYS(D468,AE468,Hoja1!$A$1:$A$29),"N/A")</f>
        <v>16</v>
      </c>
      <c r="AO468" s="78">
        <v>6</v>
      </c>
      <c r="AP468" s="21">
        <f t="shared" si="57"/>
        <v>10</v>
      </c>
      <c r="AQ468" s="21">
        <f>IFERROR(NETWORKDAYS(AF468,AG468,Hoja1!$A$1:$A$29),"N/A")</f>
        <v>10</v>
      </c>
      <c r="AR468" s="78">
        <v>5</v>
      </c>
      <c r="AS468" s="75">
        <f t="shared" si="58"/>
        <v>5</v>
      </c>
      <c r="AT468" s="21">
        <f>IFERROR(NETWORKDAYS(D468,AG468,Hoja1!$A$1:$A$29),"N/A")</f>
        <v>26</v>
      </c>
      <c r="AU468" s="21">
        <f t="shared" si="52"/>
        <v>15</v>
      </c>
      <c r="AV468" s="143" t="s">
        <v>104</v>
      </c>
      <c r="AW468" s="86" t="s">
        <v>1454</v>
      </c>
      <c r="AX468" s="87"/>
      <c r="AY468" s="87"/>
      <c r="AZ468" s="87"/>
      <c r="BA468" s="87"/>
      <c r="BB468" s="87"/>
    </row>
    <row r="469" spans="1:54" ht="15" customHeight="1" x14ac:dyDescent="0.25">
      <c r="A469" s="95">
        <v>15795</v>
      </c>
      <c r="B469" s="48" t="s">
        <v>169</v>
      </c>
      <c r="C469" s="48" t="s">
        <v>169</v>
      </c>
      <c r="D469" s="116">
        <v>46056</v>
      </c>
      <c r="E469" s="116">
        <v>46056</v>
      </c>
      <c r="F469" s="143" t="s">
        <v>62</v>
      </c>
      <c r="G469" s="179" t="s">
        <v>71</v>
      </c>
      <c r="H469" s="179" t="s">
        <v>51</v>
      </c>
      <c r="I469" s="188" t="s">
        <v>205</v>
      </c>
      <c r="J469" s="111" t="s">
        <v>105</v>
      </c>
      <c r="K469" s="111" t="s">
        <v>351</v>
      </c>
      <c r="L469" s="1">
        <v>1</v>
      </c>
      <c r="M469" s="111" t="s">
        <v>54</v>
      </c>
      <c r="N469" s="33" t="s">
        <v>55</v>
      </c>
      <c r="O469" s="33">
        <v>3</v>
      </c>
      <c r="P469" s="21" t="s">
        <v>112</v>
      </c>
      <c r="Q469" s="28">
        <v>46085</v>
      </c>
      <c r="R469" s="28">
        <v>46091</v>
      </c>
      <c r="S469" s="33">
        <v>3</v>
      </c>
      <c r="T469" s="33" t="s">
        <v>55</v>
      </c>
      <c r="U469" s="33" t="s">
        <v>55</v>
      </c>
      <c r="V469" s="33" t="s">
        <v>55</v>
      </c>
      <c r="W469" s="33" t="s">
        <v>55</v>
      </c>
      <c r="X469" s="33" t="s">
        <v>55</v>
      </c>
      <c r="Y469" s="33" t="s">
        <v>55</v>
      </c>
      <c r="Z469" s="21" t="s">
        <v>55</v>
      </c>
      <c r="AA469" s="33">
        <v>2</v>
      </c>
      <c r="AB469" s="33">
        <v>1</v>
      </c>
      <c r="AC469" s="33">
        <v>0</v>
      </c>
      <c r="AD469" s="38">
        <v>46093</v>
      </c>
      <c r="AE469" s="180">
        <v>46094</v>
      </c>
      <c r="AF469" s="180">
        <v>46094</v>
      </c>
      <c r="AG469" s="28">
        <v>46112</v>
      </c>
      <c r="AH469" s="53">
        <v>46118</v>
      </c>
      <c r="AI469" s="33">
        <f t="shared" si="60"/>
        <v>4</v>
      </c>
      <c r="AJ469" s="144" t="s">
        <v>1455</v>
      </c>
      <c r="AK469" s="114" t="s">
        <v>1456</v>
      </c>
      <c r="AL469" s="19">
        <f t="shared" si="59"/>
        <v>1</v>
      </c>
      <c r="AM469" s="67">
        <f>IFERROR(NETWORKDAYS(D469,Q469,Hoja1!$A$1:$A$29),"N/A")</f>
        <v>22</v>
      </c>
      <c r="AN469" s="21">
        <f>IFERROR(NETWORKDAYS(D469,AE469,Hoja1!$A$1:$A$29),"N/A")</f>
        <v>29</v>
      </c>
      <c r="AO469" s="78">
        <v>13</v>
      </c>
      <c r="AP469" s="21">
        <f t="shared" si="57"/>
        <v>16</v>
      </c>
      <c r="AQ469" s="21">
        <f>IFERROR(NETWORKDAYS(AF469,AG469,Hoja1!$A$1:$A$29),"N/A")</f>
        <v>12</v>
      </c>
      <c r="AR469" s="78">
        <v>7</v>
      </c>
      <c r="AS469" s="75">
        <f t="shared" si="58"/>
        <v>5</v>
      </c>
      <c r="AT469" s="21">
        <f>IFERROR(NETWORKDAYS(D469,AG469,Hoja1!$A$1:$A$29),"N/A")</f>
        <v>40</v>
      </c>
      <c r="AU469" s="21">
        <f t="shared" si="52"/>
        <v>20</v>
      </c>
      <c r="AV469" s="143" t="s">
        <v>59</v>
      </c>
      <c r="AW469" s="86" t="s">
        <v>1457</v>
      </c>
      <c r="AX469" s="111" t="s">
        <v>881</v>
      </c>
      <c r="AY469" s="84"/>
      <c r="AZ469" s="84"/>
      <c r="BA469" s="84"/>
      <c r="BB469" s="84"/>
    </row>
    <row r="470" spans="1:54" ht="15" customHeight="1" x14ac:dyDescent="0.25">
      <c r="A470" s="95">
        <v>15805</v>
      </c>
      <c r="B470" s="84" t="s">
        <v>85</v>
      </c>
      <c r="C470" s="84" t="s">
        <v>85</v>
      </c>
      <c r="D470" s="435">
        <v>46093</v>
      </c>
      <c r="E470" s="116">
        <v>46057</v>
      </c>
      <c r="F470" s="143" t="s">
        <v>62</v>
      </c>
      <c r="G470" s="179" t="s">
        <v>375</v>
      </c>
      <c r="H470" s="179" t="s">
        <v>101</v>
      </c>
      <c r="I470" s="188" t="s">
        <v>516</v>
      </c>
      <c r="J470" s="111" t="s">
        <v>52</v>
      </c>
      <c r="K470" s="111" t="s">
        <v>351</v>
      </c>
      <c r="L470" s="1">
        <v>1</v>
      </c>
      <c r="M470" s="111" t="s">
        <v>54</v>
      </c>
      <c r="N470" s="33" t="s">
        <v>55</v>
      </c>
      <c r="O470" s="33">
        <v>0</v>
      </c>
      <c r="P470" s="1"/>
      <c r="Q470" s="33" t="s">
        <v>55</v>
      </c>
      <c r="R470" s="33" t="s">
        <v>55</v>
      </c>
      <c r="S470" s="33">
        <v>0</v>
      </c>
      <c r="T470" s="33" t="s">
        <v>55</v>
      </c>
      <c r="U470" s="33" t="s">
        <v>55</v>
      </c>
      <c r="V470" s="33" t="s">
        <v>55</v>
      </c>
      <c r="W470" s="33" t="s">
        <v>55</v>
      </c>
      <c r="X470" s="33" t="s">
        <v>55</v>
      </c>
      <c r="Y470" s="33" t="s">
        <v>55</v>
      </c>
      <c r="Z470" s="33" t="s">
        <v>55</v>
      </c>
      <c r="AA470" s="33">
        <v>2</v>
      </c>
      <c r="AB470" s="33">
        <v>2</v>
      </c>
      <c r="AC470" s="33">
        <v>0</v>
      </c>
      <c r="AD470" s="53">
        <v>46099</v>
      </c>
      <c r="AE470" s="180">
        <v>46101</v>
      </c>
      <c r="AF470" s="180">
        <v>46105</v>
      </c>
      <c r="AG470" s="28">
        <v>46113</v>
      </c>
      <c r="AH470" s="53">
        <v>46118</v>
      </c>
      <c r="AI470" s="33">
        <f t="shared" si="60"/>
        <v>4</v>
      </c>
      <c r="AJ470" s="144" t="s">
        <v>1458</v>
      </c>
      <c r="AK470" s="114" t="s">
        <v>1459</v>
      </c>
      <c r="AL470" s="19" t="str">
        <f t="shared" si="59"/>
        <v>N/A</v>
      </c>
      <c r="AM470" s="67" t="str">
        <f>IFERROR(NETWORKDAYS(D470,Q470,Hoja1!$A$1:$A$29),"N/A")</f>
        <v>N/A</v>
      </c>
      <c r="AN470" s="21">
        <f>IFERROR(NETWORKDAYS(D470,AE470,Hoja1!$A$1:$A$29),"N/A")</f>
        <v>7</v>
      </c>
      <c r="AO470" s="78">
        <v>0</v>
      </c>
      <c r="AP470" s="21">
        <f t="shared" si="57"/>
        <v>7</v>
      </c>
      <c r="AQ470" s="21">
        <f>IFERROR(NETWORKDAYS(AF470,AG470,Hoja1!$A$1:$A$29),"N/A")</f>
        <v>7</v>
      </c>
      <c r="AR470" s="78">
        <v>2</v>
      </c>
      <c r="AS470" s="75">
        <f t="shared" si="58"/>
        <v>5</v>
      </c>
      <c r="AT470" s="21">
        <f>IFERROR(NETWORKDAYS(D470,AG470,Hoja1!$A$1:$A$29),"N/A")</f>
        <v>14</v>
      </c>
      <c r="AU470" s="21">
        <f t="shared" si="52"/>
        <v>12</v>
      </c>
      <c r="AV470" s="143" t="s">
        <v>104</v>
      </c>
      <c r="AW470" s="86" t="s">
        <v>1460</v>
      </c>
      <c r="AX470" s="87"/>
      <c r="AY470" s="87"/>
      <c r="AZ470" s="87"/>
      <c r="BA470" s="87"/>
      <c r="BB470" s="87"/>
    </row>
    <row r="471" spans="1:54" ht="15" customHeight="1" x14ac:dyDescent="0.25">
      <c r="A471" s="95">
        <v>15807</v>
      </c>
      <c r="B471" s="188" t="s">
        <v>597</v>
      </c>
      <c r="C471" s="188" t="s">
        <v>597</v>
      </c>
      <c r="D471" s="116">
        <v>46058</v>
      </c>
      <c r="E471" s="116">
        <v>46058</v>
      </c>
      <c r="F471" s="143" t="s">
        <v>62</v>
      </c>
      <c r="G471" s="179" t="s">
        <v>71</v>
      </c>
      <c r="H471" s="179" t="s">
        <v>51</v>
      </c>
      <c r="I471" s="27" t="s">
        <v>72</v>
      </c>
      <c r="J471" s="87" t="s">
        <v>73</v>
      </c>
      <c r="K471" s="111" t="s">
        <v>351</v>
      </c>
      <c r="L471" s="33">
        <v>1</v>
      </c>
      <c r="M471" s="111" t="s">
        <v>54</v>
      </c>
      <c r="N471" s="33" t="s">
        <v>55</v>
      </c>
      <c r="O471" s="33">
        <v>7</v>
      </c>
      <c r="P471" s="21" t="s">
        <v>56</v>
      </c>
      <c r="Q471" s="28">
        <v>46090</v>
      </c>
      <c r="R471" s="28">
        <v>46093</v>
      </c>
      <c r="S471" s="33">
        <v>7</v>
      </c>
      <c r="T471" s="33" t="s">
        <v>55</v>
      </c>
      <c r="U471" s="33" t="s">
        <v>55</v>
      </c>
      <c r="V471" s="33" t="s">
        <v>55</v>
      </c>
      <c r="W471" s="33" t="s">
        <v>55</v>
      </c>
      <c r="X471" s="33" t="s">
        <v>55</v>
      </c>
      <c r="Y471" s="33" t="s">
        <v>55</v>
      </c>
      <c r="Z471" s="21" t="s">
        <v>55</v>
      </c>
      <c r="AA471" s="33">
        <v>2</v>
      </c>
      <c r="AB471" s="33">
        <v>2</v>
      </c>
      <c r="AC471" s="33">
        <v>0</v>
      </c>
      <c r="AD471" s="28">
        <v>46100</v>
      </c>
      <c r="AE471" s="180">
        <v>46101</v>
      </c>
      <c r="AF471" s="180">
        <v>46105</v>
      </c>
      <c r="AG471" s="28">
        <v>46113</v>
      </c>
      <c r="AH471" s="53">
        <v>46118</v>
      </c>
      <c r="AI471" s="33">
        <f t="shared" si="60"/>
        <v>4</v>
      </c>
      <c r="AJ471" s="144" t="s">
        <v>1461</v>
      </c>
      <c r="AK471" s="114" t="s">
        <v>1462</v>
      </c>
      <c r="AL471" s="19">
        <f t="shared" si="59"/>
        <v>1</v>
      </c>
      <c r="AM471" s="67">
        <f>IFERROR(NETWORKDAYS(D471,Q471,Hoja1!$A$1:$A$29),"N/A")</f>
        <v>23</v>
      </c>
      <c r="AN471" s="21">
        <f>IFERROR(NETWORKDAYS(D471,AE471,Hoja1!$A$1:$A$29),"N/A")</f>
        <v>32</v>
      </c>
      <c r="AO471" s="78">
        <v>0</v>
      </c>
      <c r="AP471" s="21">
        <f t="shared" si="57"/>
        <v>32</v>
      </c>
      <c r="AQ471" s="21">
        <f>IFERROR(NETWORKDAYS(AF471,AG471,Hoja1!$A$1:$A$29),"N/A")</f>
        <v>7</v>
      </c>
      <c r="AR471" s="78">
        <v>2</v>
      </c>
      <c r="AS471" s="75">
        <f t="shared" si="58"/>
        <v>5</v>
      </c>
      <c r="AT471" s="21">
        <f>IFERROR(NETWORKDAYS(D471,AG471,Hoja1!$A$1:$A$29),"N/A")</f>
        <v>39</v>
      </c>
      <c r="AU471" s="21">
        <f t="shared" si="52"/>
        <v>37</v>
      </c>
      <c r="AV471" s="143" t="s">
        <v>77</v>
      </c>
      <c r="AW471" s="86" t="s">
        <v>82</v>
      </c>
      <c r="AX471" s="87"/>
      <c r="AY471" s="87"/>
      <c r="AZ471" s="87"/>
      <c r="BA471" s="87"/>
      <c r="BB471" s="87"/>
    </row>
    <row r="472" spans="1:54" ht="15" customHeight="1" x14ac:dyDescent="0.25">
      <c r="A472" s="95">
        <v>15808</v>
      </c>
      <c r="B472" s="188" t="s">
        <v>597</v>
      </c>
      <c r="C472" s="188" t="s">
        <v>597</v>
      </c>
      <c r="D472" s="435">
        <v>46079</v>
      </c>
      <c r="E472" s="116">
        <v>46058</v>
      </c>
      <c r="F472" s="143" t="s">
        <v>62</v>
      </c>
      <c r="G472" s="179" t="s">
        <v>71</v>
      </c>
      <c r="H472" s="179" t="s">
        <v>51</v>
      </c>
      <c r="I472" s="27" t="s">
        <v>72</v>
      </c>
      <c r="J472" s="87" t="s">
        <v>73</v>
      </c>
      <c r="K472" s="111" t="s">
        <v>351</v>
      </c>
      <c r="L472" s="3">
        <v>1</v>
      </c>
      <c r="M472" s="111" t="s">
        <v>54</v>
      </c>
      <c r="N472" s="33" t="s">
        <v>55</v>
      </c>
      <c r="O472" s="33">
        <v>9</v>
      </c>
      <c r="P472" s="21" t="s">
        <v>56</v>
      </c>
      <c r="Q472" s="28">
        <v>46090</v>
      </c>
      <c r="R472" s="28">
        <v>46093</v>
      </c>
      <c r="S472" s="33">
        <v>9</v>
      </c>
      <c r="T472" s="33" t="s">
        <v>55</v>
      </c>
      <c r="U472" s="33" t="s">
        <v>55</v>
      </c>
      <c r="V472" s="33" t="s">
        <v>55</v>
      </c>
      <c r="W472" s="33" t="s">
        <v>55</v>
      </c>
      <c r="X472" s="33" t="s">
        <v>55</v>
      </c>
      <c r="Y472" s="33" t="s">
        <v>55</v>
      </c>
      <c r="Z472" s="21" t="s">
        <v>55</v>
      </c>
      <c r="AA472" s="33">
        <v>2</v>
      </c>
      <c r="AB472" s="33">
        <v>2</v>
      </c>
      <c r="AC472" s="33">
        <v>0</v>
      </c>
      <c r="AD472" s="28">
        <v>46100</v>
      </c>
      <c r="AE472" s="180">
        <v>46101</v>
      </c>
      <c r="AF472" s="180">
        <v>46105</v>
      </c>
      <c r="AG472" s="28">
        <v>46113</v>
      </c>
      <c r="AH472" s="53">
        <v>46118</v>
      </c>
      <c r="AI472" s="33">
        <f t="shared" si="60"/>
        <v>4</v>
      </c>
      <c r="AJ472" s="144" t="s">
        <v>1463</v>
      </c>
      <c r="AK472" s="114" t="s">
        <v>1464</v>
      </c>
      <c r="AL472" s="19">
        <f t="shared" si="59"/>
        <v>1</v>
      </c>
      <c r="AM472" s="67">
        <f>IFERROR(NETWORKDAYS(D472,Q472,Hoja1!$A$1:$A$29),"N/A")</f>
        <v>8</v>
      </c>
      <c r="AN472" s="21">
        <f>IFERROR(NETWORKDAYS(D472,AE472,Hoja1!$A$1:$A$29),"N/A")</f>
        <v>17</v>
      </c>
      <c r="AO472" s="78">
        <v>0</v>
      </c>
      <c r="AP472" s="21">
        <f t="shared" si="57"/>
        <v>17</v>
      </c>
      <c r="AQ472" s="21">
        <f>IFERROR(NETWORKDAYS(AF472,AG472,Hoja1!$A$1:$A$29),"N/A")</f>
        <v>7</v>
      </c>
      <c r="AR472" s="78">
        <v>2</v>
      </c>
      <c r="AS472" s="75">
        <f t="shared" si="58"/>
        <v>5</v>
      </c>
      <c r="AT472" s="21">
        <f>IFERROR(NETWORKDAYS(D472,AG472,Hoja1!$A$1:$A$29),"N/A")</f>
        <v>24</v>
      </c>
      <c r="AU472" s="21">
        <f t="shared" si="52"/>
        <v>22</v>
      </c>
      <c r="AV472" s="143" t="s">
        <v>77</v>
      </c>
      <c r="AW472" s="86" t="s">
        <v>82</v>
      </c>
      <c r="AX472" s="111" t="s">
        <v>1376</v>
      </c>
      <c r="AY472" s="114"/>
      <c r="AZ472" s="114"/>
      <c r="BA472" s="114"/>
      <c r="BB472" s="114"/>
    </row>
    <row r="473" spans="1:54" ht="15" customHeight="1" x14ac:dyDescent="0.25">
      <c r="A473" s="95">
        <v>15811</v>
      </c>
      <c r="B473" s="27" t="s">
        <v>79</v>
      </c>
      <c r="C473" s="27" t="s">
        <v>79</v>
      </c>
      <c r="D473" s="180">
        <v>46112</v>
      </c>
      <c r="E473" s="28">
        <v>46058</v>
      </c>
      <c r="F473" s="84" t="s">
        <v>62</v>
      </c>
      <c r="G473" s="84" t="s">
        <v>80</v>
      </c>
      <c r="H473" s="179" t="s">
        <v>1465</v>
      </c>
      <c r="I473" s="84" t="s">
        <v>210</v>
      </c>
      <c r="J473" s="84" t="s">
        <v>118</v>
      </c>
      <c r="K473" s="84" t="s">
        <v>1401</v>
      </c>
      <c r="L473" s="33">
        <v>1</v>
      </c>
      <c r="M473" s="111" t="s">
        <v>54</v>
      </c>
      <c r="N473" s="33" t="s">
        <v>55</v>
      </c>
      <c r="O473" s="33">
        <v>0</v>
      </c>
      <c r="P473" s="33"/>
      <c r="Q473" s="21" t="s">
        <v>55</v>
      </c>
      <c r="R473" s="21" t="s">
        <v>55</v>
      </c>
      <c r="S473" s="33">
        <v>0</v>
      </c>
      <c r="T473" s="33" t="s">
        <v>55</v>
      </c>
      <c r="U473" s="33" t="s">
        <v>55</v>
      </c>
      <c r="V473" s="33" t="s">
        <v>55</v>
      </c>
      <c r="W473" s="33" t="s">
        <v>55</v>
      </c>
      <c r="X473" s="33" t="s">
        <v>55</v>
      </c>
      <c r="Y473" s="33" t="s">
        <v>55</v>
      </c>
      <c r="Z473" s="33" t="s">
        <v>55</v>
      </c>
      <c r="AA473" s="33">
        <v>1</v>
      </c>
      <c r="AB473" s="33">
        <v>1</v>
      </c>
      <c r="AC473" s="33">
        <v>0</v>
      </c>
      <c r="AD473" s="28">
        <v>46120</v>
      </c>
      <c r="AE473" s="28">
        <v>46120</v>
      </c>
      <c r="AF473" s="28">
        <v>46120</v>
      </c>
      <c r="AG473" s="180">
        <v>46126</v>
      </c>
      <c r="AH473" s="180">
        <v>46127</v>
      </c>
      <c r="AI473" s="33">
        <v>4</v>
      </c>
      <c r="AJ473" s="144" t="s">
        <v>1466</v>
      </c>
      <c r="AK473" s="35" t="s">
        <v>1467</v>
      </c>
      <c r="AL473" s="19" t="str">
        <f t="shared" si="59"/>
        <v>N/A</v>
      </c>
      <c r="AM473" s="67" t="str">
        <f>IFERROR(NETWORKDAYS(D473,Q473,Hoja1!$A$1:$A$29),"N/A")</f>
        <v>N/A</v>
      </c>
      <c r="AN473" s="21">
        <f>IFERROR(NETWORKDAYS(D473,AE473,Hoja1!$A$1:$A$29),"N/A")</f>
        <v>5</v>
      </c>
      <c r="AO473" s="78">
        <v>0</v>
      </c>
      <c r="AP473" s="21">
        <f t="shared" si="57"/>
        <v>5</v>
      </c>
      <c r="AQ473" s="21">
        <f>IFERROR(NETWORKDAYS(AF473,AG473,Hoja1!$A$1:$A$29),"N/A")</f>
        <v>5</v>
      </c>
      <c r="AR473" s="78">
        <v>0</v>
      </c>
      <c r="AS473" s="75">
        <f t="shared" si="58"/>
        <v>5</v>
      </c>
      <c r="AT473" s="21">
        <f>IFERROR(NETWORKDAYS(D473,AG473,Hoja1!$A$1:$A$29),"N/A")</f>
        <v>9</v>
      </c>
      <c r="AU473" s="21">
        <f t="shared" si="52"/>
        <v>9</v>
      </c>
      <c r="AV473" s="143" t="s">
        <v>145</v>
      </c>
      <c r="AW473" s="86" t="s">
        <v>1431</v>
      </c>
      <c r="AX473" s="87" t="s">
        <v>881</v>
      </c>
      <c r="AY473" s="87" t="s">
        <v>1376</v>
      </c>
      <c r="AZ473" s="87" t="s">
        <v>1379</v>
      </c>
      <c r="BA473" s="87" t="s">
        <v>1376</v>
      </c>
      <c r="BB473" s="87"/>
    </row>
    <row r="474" spans="1:54" ht="15" customHeight="1" x14ac:dyDescent="0.25">
      <c r="A474" s="55">
        <v>15829</v>
      </c>
      <c r="B474" s="48" t="s">
        <v>169</v>
      </c>
      <c r="C474" s="48" t="s">
        <v>169</v>
      </c>
      <c r="D474" s="434">
        <v>46062</v>
      </c>
      <c r="E474" s="53">
        <v>46062</v>
      </c>
      <c r="F474" s="143" t="s">
        <v>99</v>
      </c>
      <c r="G474" s="152" t="s">
        <v>100</v>
      </c>
      <c r="H474" s="179" t="s">
        <v>51</v>
      </c>
      <c r="I474" s="27" t="s">
        <v>72</v>
      </c>
      <c r="J474" s="87" t="s">
        <v>73</v>
      </c>
      <c r="K474" s="111" t="s">
        <v>129</v>
      </c>
      <c r="L474" s="2">
        <v>1</v>
      </c>
      <c r="M474" s="111" t="s">
        <v>54</v>
      </c>
      <c r="N474" s="21" t="s">
        <v>55</v>
      </c>
      <c r="O474" s="21">
        <v>5</v>
      </c>
      <c r="P474" s="21" t="s">
        <v>56</v>
      </c>
      <c r="Q474" s="53">
        <v>46073</v>
      </c>
      <c r="R474" s="53">
        <v>46073</v>
      </c>
      <c r="S474" s="21">
        <v>5</v>
      </c>
      <c r="T474" s="21" t="s">
        <v>55</v>
      </c>
      <c r="U474" s="21" t="s">
        <v>55</v>
      </c>
      <c r="V474" s="21" t="s">
        <v>55</v>
      </c>
      <c r="W474" s="21" t="s">
        <v>55</v>
      </c>
      <c r="X474" s="21" t="s">
        <v>55</v>
      </c>
      <c r="Y474" s="21" t="s">
        <v>55</v>
      </c>
      <c r="Z474" s="21" t="s">
        <v>55</v>
      </c>
      <c r="AA474" s="21">
        <v>4</v>
      </c>
      <c r="AB474" s="21">
        <v>3</v>
      </c>
      <c r="AC474" s="21">
        <v>0</v>
      </c>
      <c r="AD474" s="53">
        <v>46094</v>
      </c>
      <c r="AE474" s="53">
        <v>46094</v>
      </c>
      <c r="AF474" s="53">
        <v>46094</v>
      </c>
      <c r="AG474" s="53">
        <v>46107</v>
      </c>
      <c r="AH474" s="53">
        <v>46118</v>
      </c>
      <c r="AI474" s="21">
        <v>4</v>
      </c>
      <c r="AJ474" s="152" t="s">
        <v>1468</v>
      </c>
      <c r="AK474" s="111" t="s">
        <v>1469</v>
      </c>
      <c r="AL474" s="19">
        <f t="shared" si="59"/>
        <v>1</v>
      </c>
      <c r="AM474" s="67">
        <f>IFERROR(NETWORKDAYS(D474,Q474,Hoja1!$A$1:$A$29),"N/A")</f>
        <v>10</v>
      </c>
      <c r="AN474" s="21">
        <f>IFERROR(NETWORKDAYS(D474,AE474,Hoja1!$A$1:$A$29),"N/A")</f>
        <v>25</v>
      </c>
      <c r="AO474" s="78">
        <v>6</v>
      </c>
      <c r="AP474" s="21">
        <f t="shared" si="57"/>
        <v>19</v>
      </c>
      <c r="AQ474" s="21">
        <f>IFERROR(NETWORKDAYS(AF474,AG474,Hoja1!$A$1:$A$29),"N/A")</f>
        <v>9</v>
      </c>
      <c r="AR474" s="78">
        <v>5</v>
      </c>
      <c r="AS474" s="75">
        <f t="shared" si="58"/>
        <v>4</v>
      </c>
      <c r="AT474" s="21">
        <f>IFERROR(NETWORKDAYS(D474,AG474,Hoja1!$A$1:$A$29),"N/A")</f>
        <v>33</v>
      </c>
      <c r="AU474" s="21">
        <f t="shared" si="52"/>
        <v>22</v>
      </c>
      <c r="AV474" s="143" t="s">
        <v>127</v>
      </c>
      <c r="AW474" s="86" t="s">
        <v>82</v>
      </c>
      <c r="AX474" s="111"/>
      <c r="AY474" s="111"/>
      <c r="AZ474" s="111"/>
      <c r="BA474" s="111"/>
      <c r="BB474" s="111"/>
    </row>
    <row r="475" spans="1:54" ht="15" customHeight="1" x14ac:dyDescent="0.25">
      <c r="A475" s="55">
        <v>15838</v>
      </c>
      <c r="B475" s="159" t="s">
        <v>69</v>
      </c>
      <c r="C475" s="159" t="s">
        <v>122</v>
      </c>
      <c r="D475" s="53">
        <v>46063</v>
      </c>
      <c r="E475" s="53">
        <v>46063</v>
      </c>
      <c r="F475" s="143" t="s">
        <v>90</v>
      </c>
      <c r="G475" s="159" t="s">
        <v>91</v>
      </c>
      <c r="H475" s="179" t="s">
        <v>51</v>
      </c>
      <c r="I475" s="159" t="s">
        <v>1470</v>
      </c>
      <c r="J475" s="111" t="s">
        <v>142</v>
      </c>
      <c r="K475" s="111" t="s">
        <v>111</v>
      </c>
      <c r="L475" s="2">
        <v>1</v>
      </c>
      <c r="M475" s="111" t="s">
        <v>54</v>
      </c>
      <c r="N475" s="21" t="s">
        <v>55</v>
      </c>
      <c r="O475" s="21">
        <v>12</v>
      </c>
      <c r="P475" s="21" t="s">
        <v>56</v>
      </c>
      <c r="Q475" s="53">
        <v>46090</v>
      </c>
      <c r="R475" s="53">
        <v>46097</v>
      </c>
      <c r="S475" s="21">
        <v>12</v>
      </c>
      <c r="T475" s="21" t="s">
        <v>55</v>
      </c>
      <c r="U475" s="21" t="s">
        <v>55</v>
      </c>
      <c r="V475" s="21" t="s">
        <v>55</v>
      </c>
      <c r="W475" s="21" t="s">
        <v>55</v>
      </c>
      <c r="X475" s="21" t="s">
        <v>55</v>
      </c>
      <c r="Y475" s="21" t="s">
        <v>55</v>
      </c>
      <c r="Z475" s="21" t="s">
        <v>55</v>
      </c>
      <c r="AA475" s="21">
        <v>12</v>
      </c>
      <c r="AB475" s="21">
        <v>1</v>
      </c>
      <c r="AC475" s="21">
        <v>0</v>
      </c>
      <c r="AD475" s="53">
        <v>46097</v>
      </c>
      <c r="AE475" s="53">
        <v>46101</v>
      </c>
      <c r="AF475" s="53">
        <v>46106</v>
      </c>
      <c r="AG475" s="53">
        <v>46113</v>
      </c>
      <c r="AH475" s="53">
        <v>46118</v>
      </c>
      <c r="AI475" s="21">
        <v>4</v>
      </c>
      <c r="AJ475" s="159" t="s">
        <v>1471</v>
      </c>
      <c r="AK475" s="111" t="s">
        <v>1472</v>
      </c>
      <c r="AL475" s="19">
        <f t="shared" si="59"/>
        <v>1</v>
      </c>
      <c r="AM475" s="67">
        <f>IFERROR(NETWORKDAYS(D475,Q475,Hoja1!$A$1:$A$29),"N/A")</f>
        <v>20</v>
      </c>
      <c r="AN475" s="21">
        <f>IFERROR(NETWORKDAYS(D475,AE475,Hoja1!$A$1:$A$29),"N/A")</f>
        <v>29</v>
      </c>
      <c r="AO475" s="78">
        <v>6</v>
      </c>
      <c r="AP475" s="21">
        <f t="shared" si="57"/>
        <v>23</v>
      </c>
      <c r="AQ475" s="21">
        <f>IFERROR(NETWORKDAYS(AF475,AG475,Hoja1!$A$1:$A$29),"N/A")</f>
        <v>6</v>
      </c>
      <c r="AR475" s="78">
        <v>1</v>
      </c>
      <c r="AS475" s="75">
        <f t="shared" si="58"/>
        <v>5</v>
      </c>
      <c r="AT475" s="21">
        <f>IFERROR(NETWORKDAYS(D475,AG475,Hoja1!$A$1:$A$29),"N/A")</f>
        <v>36</v>
      </c>
      <c r="AU475" s="21">
        <f t="shared" si="52"/>
        <v>29</v>
      </c>
      <c r="AV475" s="143" t="s">
        <v>416</v>
      </c>
      <c r="AW475" s="86" t="s">
        <v>1473</v>
      </c>
      <c r="AX475" s="87"/>
      <c r="AY475" s="87"/>
      <c r="AZ475" s="87"/>
      <c r="BA475" s="87"/>
      <c r="BB475" s="87"/>
    </row>
    <row r="476" spans="1:54" ht="15" customHeight="1" x14ac:dyDescent="0.25">
      <c r="A476" s="55">
        <v>15841</v>
      </c>
      <c r="B476" s="84" t="s">
        <v>85</v>
      </c>
      <c r="C476" s="84" t="s">
        <v>85</v>
      </c>
      <c r="D476" s="434">
        <v>46064</v>
      </c>
      <c r="E476" s="53">
        <v>46065</v>
      </c>
      <c r="F476" s="143" t="s">
        <v>90</v>
      </c>
      <c r="G476" s="159" t="s">
        <v>91</v>
      </c>
      <c r="H476" s="179" t="s">
        <v>51</v>
      </c>
      <c r="I476" s="27" t="s">
        <v>96</v>
      </c>
      <c r="J476" s="87" t="s">
        <v>73</v>
      </c>
      <c r="K476" s="111" t="s">
        <v>171</v>
      </c>
      <c r="L476" s="2">
        <v>1</v>
      </c>
      <c r="M476" s="111" t="s">
        <v>54</v>
      </c>
      <c r="N476" s="21" t="s">
        <v>55</v>
      </c>
      <c r="O476" s="21">
        <v>3</v>
      </c>
      <c r="P476" s="21" t="s">
        <v>112</v>
      </c>
      <c r="Q476" s="53">
        <v>46083</v>
      </c>
      <c r="R476" s="53">
        <v>46085</v>
      </c>
      <c r="S476" s="21">
        <v>3</v>
      </c>
      <c r="T476" s="21" t="s">
        <v>55</v>
      </c>
      <c r="U476" s="21" t="s">
        <v>55</v>
      </c>
      <c r="V476" s="21" t="s">
        <v>55</v>
      </c>
      <c r="W476" s="21" t="s">
        <v>55</v>
      </c>
      <c r="X476" s="21" t="s">
        <v>55</v>
      </c>
      <c r="Y476" s="21" t="s">
        <v>55</v>
      </c>
      <c r="Z476" s="21" t="s">
        <v>55</v>
      </c>
      <c r="AA476" s="21">
        <v>3</v>
      </c>
      <c r="AB476" s="21">
        <v>1</v>
      </c>
      <c r="AC476" s="21">
        <v>0</v>
      </c>
      <c r="AD476" s="53">
        <v>46086</v>
      </c>
      <c r="AE476" s="53">
        <v>46090</v>
      </c>
      <c r="AF476" s="53">
        <v>46093</v>
      </c>
      <c r="AG476" s="53">
        <v>46113</v>
      </c>
      <c r="AH476" s="53">
        <v>46118</v>
      </c>
      <c r="AI476" s="21">
        <v>4</v>
      </c>
      <c r="AJ476" s="159" t="s">
        <v>1474</v>
      </c>
      <c r="AK476" s="111" t="s">
        <v>1475</v>
      </c>
      <c r="AL476" s="19">
        <f t="shared" si="59"/>
        <v>1</v>
      </c>
      <c r="AM476" s="67">
        <f>IFERROR(NETWORKDAYS(D476,Q476,Hoja1!$A$1:$A$29),"N/A")</f>
        <v>14</v>
      </c>
      <c r="AN476" s="21">
        <f>IFERROR(NETWORKDAYS(D476,AE476,Hoja1!$A$1:$A$29),"N/A")</f>
        <v>19</v>
      </c>
      <c r="AO476" s="78">
        <v>2</v>
      </c>
      <c r="AP476" s="21">
        <f t="shared" si="57"/>
        <v>17</v>
      </c>
      <c r="AQ476" s="21">
        <f>IFERROR(NETWORKDAYS(AF476,AG476,Hoja1!$A$1:$A$29),"N/A")</f>
        <v>14</v>
      </c>
      <c r="AR476" s="78">
        <v>9</v>
      </c>
      <c r="AS476" s="75">
        <f t="shared" si="58"/>
        <v>5</v>
      </c>
      <c r="AT476" s="21">
        <f>IFERROR(NETWORKDAYS(D476,AG476,Hoja1!$A$1:$A$29),"N/A")</f>
        <v>35</v>
      </c>
      <c r="AU476" s="21">
        <f t="shared" si="52"/>
        <v>24</v>
      </c>
      <c r="AV476" s="143" t="s">
        <v>77</v>
      </c>
      <c r="AW476" s="86" t="s">
        <v>82</v>
      </c>
      <c r="AX476" s="87"/>
      <c r="AY476" s="87"/>
      <c r="AZ476" s="87"/>
      <c r="BA476" s="87"/>
      <c r="BB476" s="87"/>
    </row>
    <row r="477" spans="1:54" ht="15" customHeight="1" x14ac:dyDescent="0.25">
      <c r="A477" s="55">
        <v>15857</v>
      </c>
      <c r="B477" s="48" t="s">
        <v>169</v>
      </c>
      <c r="C477" s="48" t="s">
        <v>169</v>
      </c>
      <c r="D477" s="116">
        <v>46080</v>
      </c>
      <c r="E477" s="116">
        <v>46064</v>
      </c>
      <c r="F477" s="192" t="s">
        <v>62</v>
      </c>
      <c r="G477" s="192" t="s">
        <v>80</v>
      </c>
      <c r="H477" s="179" t="s">
        <v>51</v>
      </c>
      <c r="I477" s="191" t="s">
        <v>1476</v>
      </c>
      <c r="J477" s="111" t="s">
        <v>105</v>
      </c>
      <c r="K477" s="193" t="s">
        <v>1385</v>
      </c>
      <c r="L477" s="194">
        <v>1</v>
      </c>
      <c r="M477" s="111" t="s">
        <v>54</v>
      </c>
      <c r="N477" s="194" t="s">
        <v>55</v>
      </c>
      <c r="O477" s="194">
        <v>9</v>
      </c>
      <c r="P477" s="21" t="s">
        <v>112</v>
      </c>
      <c r="Q477" s="28">
        <v>46087</v>
      </c>
      <c r="R477" s="28">
        <v>46087</v>
      </c>
      <c r="S477" s="194">
        <v>9</v>
      </c>
      <c r="T477" s="194" t="s">
        <v>55</v>
      </c>
      <c r="U477" s="194" t="s">
        <v>55</v>
      </c>
      <c r="V477" s="194" t="s">
        <v>55</v>
      </c>
      <c r="W477" s="194" t="s">
        <v>55</v>
      </c>
      <c r="X477" s="194" t="s">
        <v>55</v>
      </c>
      <c r="Y477" s="194" t="s">
        <v>55</v>
      </c>
      <c r="Z477" s="21" t="s">
        <v>55</v>
      </c>
      <c r="AA477" s="194">
        <v>2</v>
      </c>
      <c r="AB477" s="194">
        <v>2</v>
      </c>
      <c r="AC477" s="194">
        <v>0</v>
      </c>
      <c r="AD477" s="180">
        <v>46111</v>
      </c>
      <c r="AE477" s="180">
        <v>46118</v>
      </c>
      <c r="AF477" s="180">
        <v>46118</v>
      </c>
      <c r="AG477" s="180">
        <v>46126</v>
      </c>
      <c r="AH477" s="180">
        <v>46127</v>
      </c>
      <c r="AI477" s="194">
        <v>4</v>
      </c>
      <c r="AJ477" s="195" t="s">
        <v>1477</v>
      </c>
      <c r="AK477" s="49" t="s">
        <v>1478</v>
      </c>
      <c r="AL477" s="19">
        <f t="shared" si="59"/>
        <v>1</v>
      </c>
      <c r="AM477" s="67">
        <f>IFERROR(NETWORKDAYS(D477,Q477,Hoja1!$A$1:$A$29),"N/A")</f>
        <v>6</v>
      </c>
      <c r="AN477" s="21">
        <f>IFERROR(NETWORKDAYS(D477,AE477,Hoja1!$A$1:$A$29),"N/A")</f>
        <v>24</v>
      </c>
      <c r="AO477" s="78">
        <v>4</v>
      </c>
      <c r="AP477" s="21">
        <f t="shared" si="57"/>
        <v>20</v>
      </c>
      <c r="AQ477" s="21">
        <f>IFERROR(NETWORKDAYS(AF477,AG477,Hoja1!$A$1:$A$29),"N/A")</f>
        <v>7</v>
      </c>
      <c r="AR477" s="78">
        <v>2</v>
      </c>
      <c r="AS477" s="75">
        <f t="shared" si="58"/>
        <v>5</v>
      </c>
      <c r="AT477" s="21">
        <f>IFERROR(NETWORKDAYS(D477,AG477,Hoja1!$A$1:$A$29),"N/A")</f>
        <v>30</v>
      </c>
      <c r="AU477" s="21">
        <f t="shared" si="52"/>
        <v>24</v>
      </c>
      <c r="AV477" s="143" t="s">
        <v>59</v>
      </c>
      <c r="AW477" s="86" t="s">
        <v>1479</v>
      </c>
      <c r="AX477" s="114" t="s">
        <v>454</v>
      </c>
      <c r="AY477" s="114"/>
      <c r="AZ477" s="114"/>
      <c r="BA477" s="114"/>
      <c r="BB477" s="114"/>
    </row>
    <row r="478" spans="1:54" ht="15" customHeight="1" x14ac:dyDescent="0.25">
      <c r="A478" s="55">
        <v>15869</v>
      </c>
      <c r="B478" s="159" t="s">
        <v>69</v>
      </c>
      <c r="C478" s="43" t="s">
        <v>98</v>
      </c>
      <c r="D478" s="421">
        <v>46066</v>
      </c>
      <c r="E478" s="28">
        <v>46066</v>
      </c>
      <c r="F478" s="202" t="s">
        <v>879</v>
      </c>
      <c r="G478" s="87" t="s">
        <v>632</v>
      </c>
      <c r="H478" s="179" t="s">
        <v>51</v>
      </c>
      <c r="I478" s="159" t="s">
        <v>885</v>
      </c>
      <c r="J478" s="111" t="s">
        <v>52</v>
      </c>
      <c r="K478" s="87" t="s">
        <v>53</v>
      </c>
      <c r="L478" s="3">
        <v>1</v>
      </c>
      <c r="M478" s="159" t="s">
        <v>247</v>
      </c>
      <c r="N478" s="33" t="s">
        <v>55</v>
      </c>
      <c r="O478" s="33">
        <v>20</v>
      </c>
      <c r="P478" s="21" t="s">
        <v>56</v>
      </c>
      <c r="Q478" s="28">
        <v>46113</v>
      </c>
      <c r="R478" s="28">
        <v>46113</v>
      </c>
      <c r="S478" s="33">
        <v>20</v>
      </c>
      <c r="T478" s="33" t="s">
        <v>55</v>
      </c>
      <c r="U478" s="33" t="s">
        <v>55</v>
      </c>
      <c r="V478" s="33" t="s">
        <v>55</v>
      </c>
      <c r="W478" s="33" t="s">
        <v>55</v>
      </c>
      <c r="X478" s="33" t="s">
        <v>55</v>
      </c>
      <c r="Y478" s="33" t="s">
        <v>55</v>
      </c>
      <c r="Z478" s="21" t="s">
        <v>55</v>
      </c>
      <c r="AA478" s="33">
        <v>6</v>
      </c>
      <c r="AB478" s="33">
        <v>6</v>
      </c>
      <c r="AC478" s="33">
        <v>0</v>
      </c>
      <c r="AD478" s="28">
        <v>46128</v>
      </c>
      <c r="AE478" s="28">
        <v>46129</v>
      </c>
      <c r="AF478" s="28" t="s">
        <v>55</v>
      </c>
      <c r="AG478" s="28">
        <v>46132</v>
      </c>
      <c r="AH478" s="28" t="s">
        <v>55</v>
      </c>
      <c r="AI478" s="21">
        <v>4</v>
      </c>
      <c r="AJ478" s="87" t="s">
        <v>1480</v>
      </c>
      <c r="AK478" s="48" t="s">
        <v>1481</v>
      </c>
      <c r="AL478" s="19">
        <f t="shared" si="59"/>
        <v>1</v>
      </c>
      <c r="AM478" s="67">
        <f>IFERROR(NETWORKDAYS(D478,Q478,Hoja1!$A$1:$A$29),"N/A")</f>
        <v>33</v>
      </c>
      <c r="AN478" s="21">
        <f>IFERROR(NETWORKDAYS(D478,AE478,Hoja1!$A$1:$A$29),"N/A")</f>
        <v>43</v>
      </c>
      <c r="AO478" s="78">
        <v>15</v>
      </c>
      <c r="AP478" s="21">
        <f t="shared" si="57"/>
        <v>28</v>
      </c>
      <c r="AQ478" s="21" t="str">
        <f>IFERROR(NETWORKDAYS(AF478,AG478,Hoja1!$A$1:$A$29),"N/A")</f>
        <v>N/A</v>
      </c>
      <c r="AR478" s="78">
        <v>0</v>
      </c>
      <c r="AS478" s="21" t="s">
        <v>82</v>
      </c>
      <c r="AT478" s="21">
        <f>IFERROR(NETWORKDAYS(D478,AG478,Hoja1!$A$1:$A$29),"N/A")</f>
        <v>44</v>
      </c>
      <c r="AU478" s="21">
        <f t="shared" si="52"/>
        <v>29</v>
      </c>
      <c r="AV478" s="143" t="s">
        <v>131</v>
      </c>
      <c r="AW478" s="86" t="s">
        <v>743</v>
      </c>
      <c r="AX478" s="87"/>
      <c r="AY478" s="87"/>
      <c r="AZ478" s="87"/>
      <c r="BA478" s="87"/>
      <c r="BB478" s="87"/>
    </row>
    <row r="479" spans="1:54" ht="15" customHeight="1" x14ac:dyDescent="0.25">
      <c r="A479" s="55">
        <v>15872</v>
      </c>
      <c r="B479" s="27" t="s">
        <v>79</v>
      </c>
      <c r="C479" s="27" t="s">
        <v>79</v>
      </c>
      <c r="D479" s="53">
        <v>46066</v>
      </c>
      <c r="E479" s="53">
        <v>46066</v>
      </c>
      <c r="F479" s="143" t="s">
        <v>90</v>
      </c>
      <c r="G479" s="159" t="s">
        <v>91</v>
      </c>
      <c r="H479" s="179" t="s">
        <v>51</v>
      </c>
      <c r="I479" s="111" t="s">
        <v>239</v>
      </c>
      <c r="J479" s="111" t="s">
        <v>52</v>
      </c>
      <c r="K479" s="111" t="s">
        <v>171</v>
      </c>
      <c r="L479" s="2">
        <v>1</v>
      </c>
      <c r="M479" s="111" t="s">
        <v>54</v>
      </c>
      <c r="N479" s="21" t="s">
        <v>55</v>
      </c>
      <c r="O479" s="21">
        <v>4</v>
      </c>
      <c r="P479" s="21" t="s">
        <v>112</v>
      </c>
      <c r="Q479" s="53">
        <v>46091</v>
      </c>
      <c r="R479" s="53">
        <v>46092</v>
      </c>
      <c r="S479" s="21">
        <v>4</v>
      </c>
      <c r="T479" s="21" t="s">
        <v>55</v>
      </c>
      <c r="U479" s="21" t="s">
        <v>55</v>
      </c>
      <c r="V479" s="21" t="s">
        <v>55</v>
      </c>
      <c r="W479" s="21" t="s">
        <v>55</v>
      </c>
      <c r="X479" s="21" t="s">
        <v>55</v>
      </c>
      <c r="Y479" s="21" t="s">
        <v>55</v>
      </c>
      <c r="Z479" s="21" t="s">
        <v>55</v>
      </c>
      <c r="AA479" s="21">
        <v>4</v>
      </c>
      <c r="AB479" s="21">
        <v>1</v>
      </c>
      <c r="AC479" s="21">
        <v>0</v>
      </c>
      <c r="AD479" s="53">
        <v>46092</v>
      </c>
      <c r="AE479" s="53">
        <v>46092</v>
      </c>
      <c r="AF479" s="53">
        <v>46099</v>
      </c>
      <c r="AG479" s="28">
        <v>46112</v>
      </c>
      <c r="AH479" s="53">
        <v>46118</v>
      </c>
      <c r="AI479" s="21">
        <v>4</v>
      </c>
      <c r="AJ479" s="159" t="s">
        <v>1482</v>
      </c>
      <c r="AK479" s="111" t="s">
        <v>1483</v>
      </c>
      <c r="AL479" s="19">
        <f t="shared" si="59"/>
        <v>1</v>
      </c>
      <c r="AM479" s="67">
        <f>IFERROR(NETWORKDAYS(D479,Q479,Hoja1!$A$1:$A$29),"N/A")</f>
        <v>18</v>
      </c>
      <c r="AN479" s="21">
        <f>IFERROR(NETWORKDAYS(D479,AE479,Hoja1!$A$1:$A$29),"N/A")</f>
        <v>19</v>
      </c>
      <c r="AO479" s="78">
        <v>4</v>
      </c>
      <c r="AP479" s="21">
        <f t="shared" si="57"/>
        <v>15</v>
      </c>
      <c r="AQ479" s="21">
        <f>IFERROR(NETWORKDAYS(AF479,AG479,Hoja1!$A$1:$A$29),"N/A")</f>
        <v>9</v>
      </c>
      <c r="AR479" s="78">
        <v>0</v>
      </c>
      <c r="AS479" s="75">
        <f t="shared" si="58"/>
        <v>9</v>
      </c>
      <c r="AT479" s="21">
        <f>IFERROR(NETWORKDAYS(D479,AG479,Hoja1!$A$1:$A$29),"N/A")</f>
        <v>32</v>
      </c>
      <c r="AU479" s="21">
        <f t="shared" si="52"/>
        <v>28</v>
      </c>
      <c r="AV479" s="143" t="s">
        <v>127</v>
      </c>
      <c r="AW479" s="252" t="s">
        <v>1484</v>
      </c>
      <c r="AX479" s="87"/>
      <c r="AY479" s="87"/>
      <c r="AZ479" s="87"/>
      <c r="BA479" s="87"/>
      <c r="BB479" s="87"/>
    </row>
    <row r="480" spans="1:54" ht="15" customHeight="1" x14ac:dyDescent="0.25">
      <c r="A480" s="55">
        <v>15881</v>
      </c>
      <c r="B480" s="84" t="s">
        <v>85</v>
      </c>
      <c r="C480" s="84" t="s">
        <v>85</v>
      </c>
      <c r="D480" s="425">
        <v>46090</v>
      </c>
      <c r="E480" s="16">
        <v>46069</v>
      </c>
      <c r="F480" s="232" t="s">
        <v>62</v>
      </c>
      <c r="G480" s="179" t="s">
        <v>71</v>
      </c>
      <c r="H480" s="179" t="s">
        <v>101</v>
      </c>
      <c r="I480" s="159" t="s">
        <v>1485</v>
      </c>
      <c r="J480" s="87" t="s">
        <v>142</v>
      </c>
      <c r="K480" s="87" t="s">
        <v>1401</v>
      </c>
      <c r="L480" s="3">
        <v>1</v>
      </c>
      <c r="M480" s="111" t="s">
        <v>54</v>
      </c>
      <c r="N480" s="33" t="s">
        <v>55</v>
      </c>
      <c r="O480" s="33">
        <v>0</v>
      </c>
      <c r="P480" s="33"/>
      <c r="Q480" s="28" t="s">
        <v>55</v>
      </c>
      <c r="R480" s="28" t="s">
        <v>55</v>
      </c>
      <c r="S480" s="33">
        <v>0</v>
      </c>
      <c r="T480" s="33" t="s">
        <v>55</v>
      </c>
      <c r="U480" s="33" t="s">
        <v>55</v>
      </c>
      <c r="V480" s="33" t="s">
        <v>55</v>
      </c>
      <c r="W480" s="33" t="s">
        <v>55</v>
      </c>
      <c r="X480" s="33" t="s">
        <v>55</v>
      </c>
      <c r="Y480" s="33" t="s">
        <v>55</v>
      </c>
      <c r="Z480" s="33" t="s">
        <v>55</v>
      </c>
      <c r="AA480" s="33">
        <v>4</v>
      </c>
      <c r="AB480" s="33">
        <v>3</v>
      </c>
      <c r="AC480" s="33">
        <v>0</v>
      </c>
      <c r="AD480" s="53">
        <v>46106</v>
      </c>
      <c r="AE480" s="16">
        <v>46118</v>
      </c>
      <c r="AF480" s="16">
        <v>46118</v>
      </c>
      <c r="AG480" s="180">
        <v>46126</v>
      </c>
      <c r="AH480" s="180">
        <v>46127</v>
      </c>
      <c r="AI480" s="33">
        <v>4</v>
      </c>
      <c r="AJ480" s="144" t="s">
        <v>1486</v>
      </c>
      <c r="AK480" s="45" t="s">
        <v>1487</v>
      </c>
      <c r="AL480" s="19" t="str">
        <f t="shared" si="59"/>
        <v>N/A</v>
      </c>
      <c r="AM480" s="67" t="str">
        <f>IFERROR(NETWORKDAYS(D480,Q480,Hoja1!$A$1:$A$29),"N/A")</f>
        <v>N/A</v>
      </c>
      <c r="AN480" s="21">
        <f>IFERROR(NETWORKDAYS(D480,AE480,Hoja1!$A$1:$A$29),"N/A")</f>
        <v>18</v>
      </c>
      <c r="AO480" s="78">
        <v>6</v>
      </c>
      <c r="AP480" s="21">
        <f t="shared" si="57"/>
        <v>12</v>
      </c>
      <c r="AQ480" s="21">
        <f>IFERROR(NETWORKDAYS(AF480,AG480,Hoja1!$A$1:$A$29),"N/A")</f>
        <v>7</v>
      </c>
      <c r="AR480" s="78">
        <v>2</v>
      </c>
      <c r="AS480" s="75">
        <f t="shared" si="58"/>
        <v>5</v>
      </c>
      <c r="AT480" s="21">
        <f>IFERROR(NETWORKDAYS(D480,AG480,Hoja1!$A$1:$A$29),"N/A")</f>
        <v>24</v>
      </c>
      <c r="AU480" s="21">
        <f t="shared" si="52"/>
        <v>16</v>
      </c>
      <c r="AV480" s="143" t="s">
        <v>104</v>
      </c>
      <c r="AW480" s="86" t="s">
        <v>901</v>
      </c>
      <c r="AX480" s="87"/>
      <c r="AY480" s="87"/>
      <c r="AZ480" s="87"/>
      <c r="BA480" s="87"/>
      <c r="BB480" s="87"/>
    </row>
    <row r="481" spans="1:54" ht="15" customHeight="1" x14ac:dyDescent="0.25">
      <c r="A481" s="95">
        <v>15882</v>
      </c>
      <c r="B481" s="84" t="s">
        <v>85</v>
      </c>
      <c r="C481" s="84" t="s">
        <v>85</v>
      </c>
      <c r="D481" s="116">
        <v>46071</v>
      </c>
      <c r="E481" s="116">
        <v>46069</v>
      </c>
      <c r="F481" s="114" t="s">
        <v>62</v>
      </c>
      <c r="G481" s="179" t="s">
        <v>71</v>
      </c>
      <c r="H481" s="179" t="s">
        <v>116</v>
      </c>
      <c r="I481" s="84" t="s">
        <v>1485</v>
      </c>
      <c r="J481" s="27" t="s">
        <v>142</v>
      </c>
      <c r="K481" s="87" t="s">
        <v>1385</v>
      </c>
      <c r="L481" s="33">
        <v>1</v>
      </c>
      <c r="M481" s="111" t="s">
        <v>54</v>
      </c>
      <c r="N481" s="33" t="s">
        <v>55</v>
      </c>
      <c r="O481" s="33">
        <v>3</v>
      </c>
      <c r="P481" s="21" t="s">
        <v>112</v>
      </c>
      <c r="Q481" s="53">
        <v>46086</v>
      </c>
      <c r="R481" s="53">
        <v>46086</v>
      </c>
      <c r="S481" s="33">
        <v>3</v>
      </c>
      <c r="T481" s="28">
        <v>46071</v>
      </c>
      <c r="U481" s="28">
        <v>46072</v>
      </c>
      <c r="V481" s="28">
        <v>46079</v>
      </c>
      <c r="W481" s="33" t="s">
        <v>55</v>
      </c>
      <c r="X481" s="33" t="s">
        <v>55</v>
      </c>
      <c r="Y481" s="33" t="s">
        <v>55</v>
      </c>
      <c r="Z481" s="28">
        <v>46093</v>
      </c>
      <c r="AA481" s="33">
        <v>4</v>
      </c>
      <c r="AB481" s="33">
        <v>4</v>
      </c>
      <c r="AC481" s="33">
        <v>0</v>
      </c>
      <c r="AD481" s="53">
        <v>46107</v>
      </c>
      <c r="AE481" s="28">
        <v>46113</v>
      </c>
      <c r="AF481" s="28">
        <v>46118</v>
      </c>
      <c r="AG481" s="180">
        <v>46126</v>
      </c>
      <c r="AH481" s="180">
        <v>46127</v>
      </c>
      <c r="AI481" s="33">
        <v>4</v>
      </c>
      <c r="AJ481" s="144" t="s">
        <v>1488</v>
      </c>
      <c r="AK481" s="35" t="s">
        <v>1489</v>
      </c>
      <c r="AL481" s="19">
        <f t="shared" si="59"/>
        <v>1</v>
      </c>
      <c r="AM481" s="67">
        <f>IFERROR(NETWORKDAYS(D481,Q481,Hoja1!$A$1:$A$29),"N/A")</f>
        <v>12</v>
      </c>
      <c r="AN481" s="21">
        <f>IFERROR(NETWORKDAYS(D481,AE481,Hoja1!$A$1:$A$29),"N/A")</f>
        <v>30</v>
      </c>
      <c r="AO481" s="78">
        <v>3</v>
      </c>
      <c r="AP481" s="21">
        <f t="shared" si="57"/>
        <v>27</v>
      </c>
      <c r="AQ481" s="21">
        <f>IFERROR(NETWORKDAYS(AF481,AG481,Hoja1!$A$1:$A$29),"N/A")</f>
        <v>7</v>
      </c>
      <c r="AR481" s="78">
        <v>2</v>
      </c>
      <c r="AS481" s="75">
        <f t="shared" si="58"/>
        <v>5</v>
      </c>
      <c r="AT481" s="21">
        <f>IFERROR(NETWORKDAYS(D481,AG481,Hoja1!$A$1:$A$29),"N/A")</f>
        <v>37</v>
      </c>
      <c r="AU481" s="21">
        <f t="shared" si="52"/>
        <v>32</v>
      </c>
      <c r="AV481" s="143" t="s">
        <v>127</v>
      </c>
      <c r="AW481" s="86" t="s">
        <v>1450</v>
      </c>
      <c r="AX481" s="87"/>
      <c r="AY481" s="87"/>
      <c r="AZ481" s="87"/>
      <c r="BA481" s="87"/>
      <c r="BB481" s="87"/>
    </row>
    <row r="482" spans="1:54" ht="15" customHeight="1" x14ac:dyDescent="0.25">
      <c r="A482" s="55">
        <v>15884</v>
      </c>
      <c r="B482" s="84" t="s">
        <v>85</v>
      </c>
      <c r="C482" s="84" t="s">
        <v>85</v>
      </c>
      <c r="D482" s="435">
        <v>46107</v>
      </c>
      <c r="E482" s="116">
        <v>46069</v>
      </c>
      <c r="F482" s="114" t="s">
        <v>62</v>
      </c>
      <c r="G482" s="179" t="s">
        <v>71</v>
      </c>
      <c r="H482" s="179" t="s">
        <v>101</v>
      </c>
      <c r="I482" s="111" t="s">
        <v>1135</v>
      </c>
      <c r="J482" s="27" t="s">
        <v>142</v>
      </c>
      <c r="K482" s="87" t="s">
        <v>1385</v>
      </c>
      <c r="L482" s="2">
        <v>1</v>
      </c>
      <c r="M482" s="111" t="s">
        <v>54</v>
      </c>
      <c r="N482" s="33" t="s">
        <v>55</v>
      </c>
      <c r="O482" s="33">
        <v>0</v>
      </c>
      <c r="P482" s="21"/>
      <c r="Q482" s="33" t="s">
        <v>55</v>
      </c>
      <c r="R482" s="33" t="s">
        <v>55</v>
      </c>
      <c r="S482" s="33">
        <v>0</v>
      </c>
      <c r="T482" s="33" t="s">
        <v>55</v>
      </c>
      <c r="U482" s="33" t="s">
        <v>55</v>
      </c>
      <c r="V482" s="33" t="s">
        <v>55</v>
      </c>
      <c r="W482" s="33" t="s">
        <v>55</v>
      </c>
      <c r="X482" s="33" t="s">
        <v>55</v>
      </c>
      <c r="Y482" s="33" t="s">
        <v>55</v>
      </c>
      <c r="Z482" s="33" t="s">
        <v>55</v>
      </c>
      <c r="AA482" s="33">
        <v>4</v>
      </c>
      <c r="AB482" s="33">
        <v>2</v>
      </c>
      <c r="AC482" s="33">
        <v>0</v>
      </c>
      <c r="AD482" s="28">
        <v>46113</v>
      </c>
      <c r="AE482" s="16">
        <v>46118</v>
      </c>
      <c r="AF482" s="16">
        <v>46120</v>
      </c>
      <c r="AG482" s="180">
        <v>46126</v>
      </c>
      <c r="AH482" s="180">
        <v>46127</v>
      </c>
      <c r="AI482" s="33">
        <f t="shared" ref="AI482:AI489" si="61">MONTH(AH482)</f>
        <v>4</v>
      </c>
      <c r="AJ482" s="144" t="s">
        <v>1490</v>
      </c>
      <c r="AK482" s="46" t="s">
        <v>1491</v>
      </c>
      <c r="AL482" s="19" t="str">
        <f t="shared" si="59"/>
        <v>N/A</v>
      </c>
      <c r="AM482" s="67" t="str">
        <f>IFERROR(NETWORKDAYS(D482,Q482,Hoja1!$A$1:$A$29),"N/A")</f>
        <v>N/A</v>
      </c>
      <c r="AN482" s="21">
        <f>IFERROR(NETWORKDAYS(D482,AE482,Hoja1!$A$1:$A$29),"N/A")</f>
        <v>6</v>
      </c>
      <c r="AO482" s="78">
        <v>0</v>
      </c>
      <c r="AP482" s="21">
        <f t="shared" si="57"/>
        <v>6</v>
      </c>
      <c r="AQ482" s="21">
        <f>IFERROR(NETWORKDAYS(AF482,AG482,Hoja1!$A$1:$A$29),"N/A")</f>
        <v>5</v>
      </c>
      <c r="AR482" s="78">
        <v>0</v>
      </c>
      <c r="AS482" s="75">
        <f t="shared" si="58"/>
        <v>5</v>
      </c>
      <c r="AT482" s="21">
        <f>IFERROR(NETWORKDAYS(D482,AG482,Hoja1!$A$1:$A$29),"N/A")</f>
        <v>12</v>
      </c>
      <c r="AU482" s="21">
        <f t="shared" ref="AU482:AU545" si="62">AT482-AO482-AR482</f>
        <v>12</v>
      </c>
      <c r="AV482" s="143" t="s">
        <v>104</v>
      </c>
      <c r="AW482" s="86" t="s">
        <v>1492</v>
      </c>
      <c r="AX482" s="87"/>
      <c r="AY482" s="87"/>
      <c r="AZ482" s="87"/>
      <c r="BA482" s="87"/>
      <c r="BB482" s="87"/>
    </row>
    <row r="483" spans="1:54" ht="15" customHeight="1" x14ac:dyDescent="0.25">
      <c r="A483" s="95">
        <v>15885</v>
      </c>
      <c r="B483" s="84" t="s">
        <v>85</v>
      </c>
      <c r="C483" s="84" t="s">
        <v>85</v>
      </c>
      <c r="D483" s="16">
        <v>46071</v>
      </c>
      <c r="E483" s="16">
        <v>46069</v>
      </c>
      <c r="F483" s="143" t="s">
        <v>62</v>
      </c>
      <c r="G483" s="179" t="s">
        <v>71</v>
      </c>
      <c r="H483" s="179" t="s">
        <v>116</v>
      </c>
      <c r="I483" s="188" t="s">
        <v>1493</v>
      </c>
      <c r="J483" s="27" t="s">
        <v>142</v>
      </c>
      <c r="K483" s="111" t="s">
        <v>351</v>
      </c>
      <c r="L483" s="3">
        <v>1</v>
      </c>
      <c r="M483" s="159" t="s">
        <v>247</v>
      </c>
      <c r="N483" s="33" t="s">
        <v>55</v>
      </c>
      <c r="O483" s="33">
        <v>6</v>
      </c>
      <c r="P483" s="21" t="s">
        <v>112</v>
      </c>
      <c r="Q483" s="16">
        <v>46099</v>
      </c>
      <c r="R483" s="28">
        <v>46113</v>
      </c>
      <c r="S483" s="33">
        <v>6</v>
      </c>
      <c r="T483" s="116">
        <v>46071</v>
      </c>
      <c r="U483" s="116">
        <v>46072</v>
      </c>
      <c r="V483" s="116">
        <v>46078</v>
      </c>
      <c r="W483" s="33" t="s">
        <v>55</v>
      </c>
      <c r="X483" s="33" t="s">
        <v>55</v>
      </c>
      <c r="Y483" s="33" t="s">
        <v>55</v>
      </c>
      <c r="Z483" s="28">
        <v>46113</v>
      </c>
      <c r="AA483" s="33">
        <v>1</v>
      </c>
      <c r="AB483" s="33">
        <v>1</v>
      </c>
      <c r="AC483" s="33">
        <v>0</v>
      </c>
      <c r="AD483" s="28">
        <v>46120</v>
      </c>
      <c r="AE483" s="28">
        <v>46120</v>
      </c>
      <c r="AF483" s="28" t="s">
        <v>55</v>
      </c>
      <c r="AG483" s="28">
        <v>46120</v>
      </c>
      <c r="AH483" s="28">
        <v>46120</v>
      </c>
      <c r="AI483" s="33">
        <f t="shared" si="61"/>
        <v>4</v>
      </c>
      <c r="AJ483" s="144" t="s">
        <v>1494</v>
      </c>
      <c r="AK483" s="114" t="s">
        <v>1495</v>
      </c>
      <c r="AL483" s="19">
        <f t="shared" si="59"/>
        <v>1</v>
      </c>
      <c r="AM483" s="67">
        <f>IFERROR(NETWORKDAYS(D483,Q483,Hoja1!$A$1:$A$29),"N/A")</f>
        <v>21</v>
      </c>
      <c r="AN483" s="21">
        <f>IFERROR(NETWORKDAYS(D483,AE483,Hoja1!$A$1:$A$29),"N/A")</f>
        <v>33</v>
      </c>
      <c r="AO483" s="78">
        <v>0</v>
      </c>
      <c r="AP483" s="21">
        <f t="shared" si="57"/>
        <v>33</v>
      </c>
      <c r="AQ483" s="21" t="str">
        <f>IFERROR(NETWORKDAYS(AF483,AG483,Hoja1!$A$1:$A$29),"N/A")</f>
        <v>N/A</v>
      </c>
      <c r="AR483" s="78">
        <v>0</v>
      </c>
      <c r="AS483" s="21" t="s">
        <v>82</v>
      </c>
      <c r="AT483" s="21">
        <f>IFERROR(NETWORKDAYS(D483,AG483,Hoja1!$A$1:$A$29),"N/A")</f>
        <v>33</v>
      </c>
      <c r="AU483" s="21">
        <f t="shared" si="62"/>
        <v>33</v>
      </c>
      <c r="AV483" s="143" t="s">
        <v>145</v>
      </c>
      <c r="AW483" s="86" t="s">
        <v>480</v>
      </c>
      <c r="AX483" s="87"/>
      <c r="AY483" s="87"/>
      <c r="AZ483" s="87"/>
      <c r="BA483" s="87"/>
      <c r="BB483" s="87"/>
    </row>
    <row r="484" spans="1:54" ht="15" customHeight="1" x14ac:dyDescent="0.25">
      <c r="A484" s="95">
        <v>15887</v>
      </c>
      <c r="B484" s="84" t="s">
        <v>85</v>
      </c>
      <c r="C484" s="84" t="s">
        <v>85</v>
      </c>
      <c r="D484" s="425">
        <v>46071</v>
      </c>
      <c r="E484" s="16">
        <v>46069</v>
      </c>
      <c r="F484" s="143" t="s">
        <v>62</v>
      </c>
      <c r="G484" s="179" t="s">
        <v>71</v>
      </c>
      <c r="H484" s="179" t="s">
        <v>116</v>
      </c>
      <c r="I484" s="188" t="s">
        <v>1496</v>
      </c>
      <c r="J484" s="27" t="s">
        <v>142</v>
      </c>
      <c r="K484" s="111" t="s">
        <v>351</v>
      </c>
      <c r="L484" s="3">
        <v>1</v>
      </c>
      <c r="M484" s="111" t="s">
        <v>54</v>
      </c>
      <c r="N484" s="33" t="s">
        <v>55</v>
      </c>
      <c r="O484" s="33">
        <v>3</v>
      </c>
      <c r="P484" s="21" t="s">
        <v>112</v>
      </c>
      <c r="Q484" s="16">
        <v>46099</v>
      </c>
      <c r="R484" s="16">
        <v>46111</v>
      </c>
      <c r="S484" s="33">
        <v>3</v>
      </c>
      <c r="T484" s="116">
        <v>46071</v>
      </c>
      <c r="U484" s="116">
        <v>46072</v>
      </c>
      <c r="V484" s="116">
        <v>46078</v>
      </c>
      <c r="W484" s="33" t="s">
        <v>55</v>
      </c>
      <c r="X484" s="33" t="s">
        <v>55</v>
      </c>
      <c r="Y484" s="33" t="s">
        <v>55</v>
      </c>
      <c r="Z484" s="28">
        <v>46111</v>
      </c>
      <c r="AA484" s="33">
        <v>2</v>
      </c>
      <c r="AB484" s="33">
        <v>2</v>
      </c>
      <c r="AC484" s="33">
        <v>0</v>
      </c>
      <c r="AD484" s="28">
        <v>46119</v>
      </c>
      <c r="AE484" s="28">
        <v>46119</v>
      </c>
      <c r="AF484" s="28">
        <v>46119</v>
      </c>
      <c r="AG484" s="180">
        <v>46126</v>
      </c>
      <c r="AH484" s="180">
        <v>46127</v>
      </c>
      <c r="AI484" s="33">
        <f t="shared" si="61"/>
        <v>4</v>
      </c>
      <c r="AJ484" s="144" t="s">
        <v>1497</v>
      </c>
      <c r="AK484" s="114" t="s">
        <v>1498</v>
      </c>
      <c r="AL484" s="19">
        <f t="shared" si="59"/>
        <v>1</v>
      </c>
      <c r="AM484" s="67">
        <f>IFERROR(NETWORKDAYS(D484,Q484,Hoja1!$A$1:$A$29),"N/A")</f>
        <v>21</v>
      </c>
      <c r="AN484" s="21">
        <f>IFERROR(NETWORKDAYS(D484,AE484,Hoja1!$A$1:$A$29),"N/A")</f>
        <v>32</v>
      </c>
      <c r="AO484" s="78">
        <v>3</v>
      </c>
      <c r="AP484" s="21">
        <f t="shared" si="57"/>
        <v>29</v>
      </c>
      <c r="AQ484" s="21">
        <f>IFERROR(NETWORKDAYS(AF484,AG484,Hoja1!$A$1:$A$29),"N/A")</f>
        <v>6</v>
      </c>
      <c r="AR484" s="78">
        <v>1</v>
      </c>
      <c r="AS484" s="75">
        <f t="shared" si="58"/>
        <v>5</v>
      </c>
      <c r="AT484" s="21">
        <f>IFERROR(NETWORKDAYS(D484,AG484,Hoja1!$A$1:$A$29),"N/A")</f>
        <v>37</v>
      </c>
      <c r="AU484" s="21">
        <f t="shared" si="62"/>
        <v>33</v>
      </c>
      <c r="AV484" s="143" t="s">
        <v>127</v>
      </c>
      <c r="AW484" s="86" t="s">
        <v>661</v>
      </c>
      <c r="AX484" s="87"/>
      <c r="AY484" s="87"/>
      <c r="AZ484" s="87"/>
      <c r="BA484" s="87"/>
      <c r="BB484" s="87"/>
    </row>
    <row r="485" spans="1:54" ht="15" customHeight="1" x14ac:dyDescent="0.25">
      <c r="A485" s="95">
        <v>15888</v>
      </c>
      <c r="B485" s="84" t="s">
        <v>85</v>
      </c>
      <c r="C485" s="84" t="s">
        <v>85</v>
      </c>
      <c r="D485" s="16">
        <v>46071</v>
      </c>
      <c r="E485" s="16">
        <v>46069</v>
      </c>
      <c r="F485" s="143" t="s">
        <v>62</v>
      </c>
      <c r="G485" s="179" t="s">
        <v>71</v>
      </c>
      <c r="H485" s="179" t="s">
        <v>116</v>
      </c>
      <c r="I485" s="188" t="s">
        <v>1496</v>
      </c>
      <c r="J485" s="27" t="s">
        <v>142</v>
      </c>
      <c r="K485" s="111" t="s">
        <v>351</v>
      </c>
      <c r="L485" s="3">
        <v>1</v>
      </c>
      <c r="M485" s="111" t="s">
        <v>54</v>
      </c>
      <c r="N485" s="33" t="s">
        <v>55</v>
      </c>
      <c r="O485" s="33">
        <v>3</v>
      </c>
      <c r="P485" s="21" t="s">
        <v>112</v>
      </c>
      <c r="Q485" s="28">
        <v>46101</v>
      </c>
      <c r="R485" s="16">
        <v>46111</v>
      </c>
      <c r="S485" s="33">
        <v>3</v>
      </c>
      <c r="T485" s="116">
        <v>46071</v>
      </c>
      <c r="U485" s="116">
        <v>46072</v>
      </c>
      <c r="V485" s="116">
        <v>46078</v>
      </c>
      <c r="W485" s="33" t="s">
        <v>55</v>
      </c>
      <c r="X485" s="33" t="s">
        <v>55</v>
      </c>
      <c r="Y485" s="33" t="s">
        <v>55</v>
      </c>
      <c r="Z485" s="28">
        <v>46111</v>
      </c>
      <c r="AA485" s="33">
        <v>2</v>
      </c>
      <c r="AB485" s="33">
        <v>1</v>
      </c>
      <c r="AC485" s="33">
        <v>0</v>
      </c>
      <c r="AD485" s="28">
        <v>46120</v>
      </c>
      <c r="AE485" s="28">
        <v>46120</v>
      </c>
      <c r="AF485" s="28">
        <v>46120</v>
      </c>
      <c r="AG485" s="180">
        <v>46126</v>
      </c>
      <c r="AH485" s="180">
        <v>46127</v>
      </c>
      <c r="AI485" s="33">
        <f t="shared" si="61"/>
        <v>4</v>
      </c>
      <c r="AJ485" s="144" t="s">
        <v>1499</v>
      </c>
      <c r="AK485" s="114" t="s">
        <v>1500</v>
      </c>
      <c r="AL485" s="19">
        <f t="shared" si="59"/>
        <v>1</v>
      </c>
      <c r="AM485" s="67">
        <f>IFERROR(NETWORKDAYS(D485,Q485,Hoja1!$A$1:$A$29),"N/A")</f>
        <v>23</v>
      </c>
      <c r="AN485" s="21">
        <f>IFERROR(NETWORKDAYS(D485,AE485,Hoja1!$A$1:$A$29),"N/A")</f>
        <v>33</v>
      </c>
      <c r="AO485" s="78">
        <v>5</v>
      </c>
      <c r="AP485" s="21">
        <f t="shared" si="57"/>
        <v>28</v>
      </c>
      <c r="AQ485" s="21">
        <f>IFERROR(NETWORKDAYS(AF485,AG485,Hoja1!$A$1:$A$29),"N/A")</f>
        <v>5</v>
      </c>
      <c r="AR485" s="78">
        <v>0</v>
      </c>
      <c r="AS485" s="75">
        <f t="shared" si="58"/>
        <v>5</v>
      </c>
      <c r="AT485" s="21">
        <f>IFERROR(NETWORKDAYS(D485,AG485,Hoja1!$A$1:$A$29),"N/A")</f>
        <v>37</v>
      </c>
      <c r="AU485" s="21">
        <f t="shared" si="62"/>
        <v>32</v>
      </c>
      <c r="AV485" s="143" t="s">
        <v>127</v>
      </c>
      <c r="AW485" s="86" t="s">
        <v>901</v>
      </c>
      <c r="AX485" s="87"/>
      <c r="AY485" s="87"/>
      <c r="AZ485" s="87"/>
      <c r="BA485" s="87"/>
      <c r="BB485" s="87"/>
    </row>
    <row r="486" spans="1:54" ht="15" customHeight="1" x14ac:dyDescent="0.25">
      <c r="A486" s="95">
        <v>15889</v>
      </c>
      <c r="B486" s="188" t="s">
        <v>597</v>
      </c>
      <c r="C486" s="188" t="s">
        <v>597</v>
      </c>
      <c r="D486" s="425">
        <v>46069</v>
      </c>
      <c r="E486" s="16">
        <v>46069</v>
      </c>
      <c r="F486" s="143" t="s">
        <v>62</v>
      </c>
      <c r="G486" s="179" t="s">
        <v>71</v>
      </c>
      <c r="H486" s="179" t="s">
        <v>51</v>
      </c>
      <c r="I486" s="27" t="s">
        <v>72</v>
      </c>
      <c r="J486" s="87" t="s">
        <v>73</v>
      </c>
      <c r="K486" s="111" t="s">
        <v>351</v>
      </c>
      <c r="L486" s="1">
        <v>1</v>
      </c>
      <c r="M486" s="111" t="s">
        <v>54</v>
      </c>
      <c r="N486" s="33" t="s">
        <v>55</v>
      </c>
      <c r="O486" s="33">
        <v>4</v>
      </c>
      <c r="P486" s="21" t="s">
        <v>112</v>
      </c>
      <c r="Q486" s="28">
        <v>46090</v>
      </c>
      <c r="R486" s="28">
        <v>46093</v>
      </c>
      <c r="S486" s="33">
        <v>4</v>
      </c>
      <c r="T486" s="33" t="s">
        <v>55</v>
      </c>
      <c r="U486" s="33" t="s">
        <v>55</v>
      </c>
      <c r="V486" s="33" t="s">
        <v>55</v>
      </c>
      <c r="W486" s="33" t="s">
        <v>55</v>
      </c>
      <c r="X486" s="33" t="s">
        <v>55</v>
      </c>
      <c r="Y486" s="33" t="s">
        <v>55</v>
      </c>
      <c r="Z486" s="21" t="s">
        <v>55</v>
      </c>
      <c r="AA486" s="33">
        <v>2</v>
      </c>
      <c r="AB486" s="33">
        <v>2</v>
      </c>
      <c r="AC486" s="33">
        <v>0</v>
      </c>
      <c r="AD486" s="28">
        <v>46100</v>
      </c>
      <c r="AE486" s="180">
        <v>46101</v>
      </c>
      <c r="AF486" s="180">
        <v>46105</v>
      </c>
      <c r="AG486" s="28">
        <v>46113</v>
      </c>
      <c r="AH486" s="53">
        <v>46118</v>
      </c>
      <c r="AI486" s="33">
        <f t="shared" si="61"/>
        <v>4</v>
      </c>
      <c r="AJ486" s="144" t="s">
        <v>1501</v>
      </c>
      <c r="AK486" s="143" t="s">
        <v>1502</v>
      </c>
      <c r="AL486" s="19">
        <f t="shared" si="59"/>
        <v>1</v>
      </c>
      <c r="AM486" s="67">
        <f>IFERROR(NETWORKDAYS(D486,Q486,Hoja1!$A$1:$A$29),"N/A")</f>
        <v>16</v>
      </c>
      <c r="AN486" s="21">
        <f>IFERROR(NETWORKDAYS(D486,AE486,Hoja1!$A$1:$A$29),"N/A")</f>
        <v>25</v>
      </c>
      <c r="AO486" s="78">
        <v>0</v>
      </c>
      <c r="AP486" s="21">
        <f t="shared" si="57"/>
        <v>25</v>
      </c>
      <c r="AQ486" s="21">
        <f>IFERROR(NETWORKDAYS(AF486,AG486,Hoja1!$A$1:$A$29),"N/A")</f>
        <v>7</v>
      </c>
      <c r="AR486" s="78">
        <v>2</v>
      </c>
      <c r="AS486" s="75">
        <f t="shared" si="58"/>
        <v>5</v>
      </c>
      <c r="AT486" s="21">
        <f>IFERROR(NETWORKDAYS(D486,AG486,Hoja1!$A$1:$A$29),"N/A")</f>
        <v>32</v>
      </c>
      <c r="AU486" s="21">
        <f t="shared" si="62"/>
        <v>30</v>
      </c>
      <c r="AV486" s="143" t="s">
        <v>77</v>
      </c>
      <c r="AW486" s="86" t="s">
        <v>82</v>
      </c>
      <c r="AX486" s="87"/>
      <c r="AY486" s="87"/>
      <c r="AZ486" s="87"/>
      <c r="BA486" s="87"/>
      <c r="BB486" s="87"/>
    </row>
    <row r="487" spans="1:54" ht="15" customHeight="1" x14ac:dyDescent="0.25">
      <c r="A487" s="95">
        <v>15891</v>
      </c>
      <c r="B487" s="84" t="s">
        <v>85</v>
      </c>
      <c r="C487" s="84" t="s">
        <v>85</v>
      </c>
      <c r="D487" s="16">
        <v>46071</v>
      </c>
      <c r="E487" s="16">
        <v>46069</v>
      </c>
      <c r="F487" s="143" t="s">
        <v>62</v>
      </c>
      <c r="G487" s="179" t="s">
        <v>71</v>
      </c>
      <c r="H487" s="179" t="s">
        <v>116</v>
      </c>
      <c r="I487" s="188" t="s">
        <v>1503</v>
      </c>
      <c r="J487" s="27" t="s">
        <v>65</v>
      </c>
      <c r="K487" s="111" t="s">
        <v>351</v>
      </c>
      <c r="L487" s="33">
        <v>1</v>
      </c>
      <c r="M487" s="111" t="s">
        <v>54</v>
      </c>
      <c r="N487" s="33" t="s">
        <v>55</v>
      </c>
      <c r="O487" s="33">
        <v>3</v>
      </c>
      <c r="P487" s="21" t="s">
        <v>112</v>
      </c>
      <c r="Q487" s="28">
        <v>46083</v>
      </c>
      <c r="R487" s="28">
        <v>46105</v>
      </c>
      <c r="S487" s="33">
        <v>3</v>
      </c>
      <c r="T487" s="116">
        <v>46071</v>
      </c>
      <c r="U487" s="116">
        <v>46077</v>
      </c>
      <c r="V487" s="28">
        <v>46083</v>
      </c>
      <c r="W487" s="33" t="s">
        <v>55</v>
      </c>
      <c r="X487" s="33" t="s">
        <v>55</v>
      </c>
      <c r="Y487" s="33" t="s">
        <v>55</v>
      </c>
      <c r="Z487" s="28">
        <v>46108</v>
      </c>
      <c r="AA487" s="33">
        <v>3</v>
      </c>
      <c r="AB487" s="33">
        <v>3</v>
      </c>
      <c r="AC487" s="33">
        <v>0</v>
      </c>
      <c r="AD487" s="28">
        <v>46118</v>
      </c>
      <c r="AE487" s="28">
        <v>46118</v>
      </c>
      <c r="AF487" s="28">
        <v>46118</v>
      </c>
      <c r="AG487" s="28">
        <v>46128</v>
      </c>
      <c r="AH487" s="28">
        <v>46134</v>
      </c>
      <c r="AI487" s="33">
        <f t="shared" si="61"/>
        <v>4</v>
      </c>
      <c r="AJ487" s="144" t="s">
        <v>1504</v>
      </c>
      <c r="AK487" s="114" t="s">
        <v>1505</v>
      </c>
      <c r="AL487" s="19">
        <f t="shared" si="59"/>
        <v>1</v>
      </c>
      <c r="AM487" s="67">
        <f>IFERROR(NETWORKDAYS(D487,Q487,Hoja1!$A$1:$A$29),"N/A")</f>
        <v>9</v>
      </c>
      <c r="AN487" s="21">
        <f>IFERROR(NETWORKDAYS(D487,AE487,Hoja1!$A$1:$A$29),"N/A")</f>
        <v>31</v>
      </c>
      <c r="AO487" s="78">
        <v>12</v>
      </c>
      <c r="AP487" s="21">
        <f t="shared" si="57"/>
        <v>19</v>
      </c>
      <c r="AQ487" s="21">
        <f>IFERROR(NETWORKDAYS(AF487,AG487,Hoja1!$A$1:$A$29),"N/A")</f>
        <v>9</v>
      </c>
      <c r="AR487" s="78">
        <v>4</v>
      </c>
      <c r="AS487" s="75">
        <f t="shared" si="58"/>
        <v>5</v>
      </c>
      <c r="AT487" s="21">
        <f>IFERROR(NETWORKDAYS(D487,AG487,Hoja1!$A$1:$A$29),"N/A")</f>
        <v>39</v>
      </c>
      <c r="AU487" s="21">
        <f t="shared" si="62"/>
        <v>23</v>
      </c>
      <c r="AV487" s="143" t="s">
        <v>59</v>
      </c>
      <c r="AW487" s="86" t="s">
        <v>1506</v>
      </c>
      <c r="AX487" s="87"/>
      <c r="AY487" s="87"/>
      <c r="AZ487" s="87"/>
      <c r="BA487" s="87"/>
      <c r="BB487" s="87"/>
    </row>
    <row r="488" spans="1:54" ht="15" customHeight="1" x14ac:dyDescent="0.25">
      <c r="A488" s="95">
        <v>15893</v>
      </c>
      <c r="B488" s="84" t="s">
        <v>85</v>
      </c>
      <c r="C488" s="84" t="s">
        <v>85</v>
      </c>
      <c r="D488" s="435">
        <v>46071</v>
      </c>
      <c r="E488" s="116">
        <v>46069</v>
      </c>
      <c r="F488" s="143" t="s">
        <v>62</v>
      </c>
      <c r="G488" s="179" t="s">
        <v>80</v>
      </c>
      <c r="H488" s="179" t="s">
        <v>116</v>
      </c>
      <c r="I488" s="188" t="s">
        <v>1507</v>
      </c>
      <c r="J488" s="27" t="s">
        <v>142</v>
      </c>
      <c r="K488" s="111" t="s">
        <v>351</v>
      </c>
      <c r="L488" s="1">
        <v>1</v>
      </c>
      <c r="M488" s="111" t="s">
        <v>54</v>
      </c>
      <c r="N488" s="33" t="s">
        <v>55</v>
      </c>
      <c r="O488" s="33">
        <v>5</v>
      </c>
      <c r="P488" s="21" t="s">
        <v>112</v>
      </c>
      <c r="Q488" s="28">
        <v>46086</v>
      </c>
      <c r="R488" s="196">
        <v>46086</v>
      </c>
      <c r="S488" s="33">
        <v>5</v>
      </c>
      <c r="T488" s="28">
        <v>46071</v>
      </c>
      <c r="U488" s="28">
        <v>46072</v>
      </c>
      <c r="V488" s="28">
        <v>46086</v>
      </c>
      <c r="W488" s="33" t="s">
        <v>55</v>
      </c>
      <c r="X488" s="33" t="s">
        <v>55</v>
      </c>
      <c r="Y488" s="33" t="s">
        <v>55</v>
      </c>
      <c r="Z488" s="28">
        <v>46093</v>
      </c>
      <c r="AA488" s="33">
        <v>2</v>
      </c>
      <c r="AB488" s="33">
        <v>2</v>
      </c>
      <c r="AC488" s="33">
        <v>0</v>
      </c>
      <c r="AD488" s="38">
        <v>46098</v>
      </c>
      <c r="AE488" s="180">
        <v>46105</v>
      </c>
      <c r="AF488" s="38">
        <v>46106</v>
      </c>
      <c r="AG488" s="28">
        <v>46112</v>
      </c>
      <c r="AH488" s="53">
        <v>46118</v>
      </c>
      <c r="AI488" s="33">
        <f t="shared" si="61"/>
        <v>4</v>
      </c>
      <c r="AJ488" s="144" t="s">
        <v>1508</v>
      </c>
      <c r="AK488" s="114" t="s">
        <v>1509</v>
      </c>
      <c r="AL488" s="19">
        <f t="shared" si="59"/>
        <v>1</v>
      </c>
      <c r="AM488" s="67">
        <f>IFERROR(NETWORKDAYS(D488,Q488,Hoja1!$A$1:$A$29),"N/A")</f>
        <v>12</v>
      </c>
      <c r="AN488" s="21">
        <f>IFERROR(NETWORKDAYS(D488,AE488,Hoja1!$A$1:$A$29),"N/A")</f>
        <v>24</v>
      </c>
      <c r="AO488" s="78">
        <v>3</v>
      </c>
      <c r="AP488" s="21">
        <f t="shared" si="57"/>
        <v>21</v>
      </c>
      <c r="AQ488" s="21">
        <f>IFERROR(NETWORKDAYS(AF488,AG488,Hoja1!$A$1:$A$29),"N/A")</f>
        <v>5</v>
      </c>
      <c r="AR488" s="78">
        <v>0</v>
      </c>
      <c r="AS488" s="75">
        <f t="shared" si="58"/>
        <v>5</v>
      </c>
      <c r="AT488" s="21">
        <f>IFERROR(NETWORKDAYS(D488,AG488,Hoja1!$A$1:$A$29),"N/A")</f>
        <v>29</v>
      </c>
      <c r="AU488" s="21">
        <f t="shared" si="62"/>
        <v>26</v>
      </c>
      <c r="AV488" s="143" t="s">
        <v>131</v>
      </c>
      <c r="AW488" s="86" t="s">
        <v>1450</v>
      </c>
      <c r="AX488" s="87"/>
      <c r="AY488" s="87"/>
      <c r="AZ488" s="87"/>
      <c r="BA488" s="87"/>
      <c r="BB488" s="87"/>
    </row>
    <row r="489" spans="1:54" ht="15" customHeight="1" x14ac:dyDescent="0.25">
      <c r="A489" s="55">
        <v>15894</v>
      </c>
      <c r="B489" s="84" t="s">
        <v>85</v>
      </c>
      <c r="C489" s="84" t="s">
        <v>85</v>
      </c>
      <c r="D489" s="116">
        <v>46071</v>
      </c>
      <c r="E489" s="116">
        <v>46069</v>
      </c>
      <c r="F489" s="114" t="s">
        <v>62</v>
      </c>
      <c r="G489" s="179" t="s">
        <v>71</v>
      </c>
      <c r="H489" s="179" t="s">
        <v>140</v>
      </c>
      <c r="I489" s="159" t="s">
        <v>1510</v>
      </c>
      <c r="J489" s="27" t="s">
        <v>118</v>
      </c>
      <c r="K489" s="87" t="s">
        <v>1385</v>
      </c>
      <c r="L489" s="3">
        <v>1</v>
      </c>
      <c r="M489" s="111" t="s">
        <v>54</v>
      </c>
      <c r="N489" s="33" t="s">
        <v>55</v>
      </c>
      <c r="O489" s="33">
        <v>0</v>
      </c>
      <c r="P489" s="33"/>
      <c r="Q489" s="33" t="s">
        <v>55</v>
      </c>
      <c r="R489" s="33" t="s">
        <v>55</v>
      </c>
      <c r="S489" s="33">
        <v>0</v>
      </c>
      <c r="T489" s="16">
        <v>46071</v>
      </c>
      <c r="U489" s="28">
        <v>46077</v>
      </c>
      <c r="V489" s="28">
        <v>46083</v>
      </c>
      <c r="W489" s="33" t="s">
        <v>55</v>
      </c>
      <c r="X489" s="33" t="s">
        <v>55</v>
      </c>
      <c r="Y489" s="33" t="s">
        <v>55</v>
      </c>
      <c r="Z489" s="28">
        <v>46097</v>
      </c>
      <c r="AA489" s="33">
        <v>3</v>
      </c>
      <c r="AB489" s="33">
        <v>2</v>
      </c>
      <c r="AC489" s="33">
        <v>0</v>
      </c>
      <c r="AD489" s="38">
        <v>46101</v>
      </c>
      <c r="AE489" s="28">
        <v>46127</v>
      </c>
      <c r="AF489" s="28">
        <v>46127</v>
      </c>
      <c r="AG489" s="180">
        <v>46139</v>
      </c>
      <c r="AH489" s="53">
        <v>46139</v>
      </c>
      <c r="AI489" s="33">
        <f t="shared" si="61"/>
        <v>4</v>
      </c>
      <c r="AJ489" s="144" t="s">
        <v>1511</v>
      </c>
      <c r="AK489" s="45" t="s">
        <v>1512</v>
      </c>
      <c r="AL489" s="19" t="str">
        <f t="shared" si="59"/>
        <v>N/A</v>
      </c>
      <c r="AM489" s="67" t="str">
        <f>IFERROR(NETWORKDAYS(D489,Q489,Hoja1!$A$1:$A$29),"N/A")</f>
        <v>N/A</v>
      </c>
      <c r="AN489" s="21">
        <f>IFERROR(NETWORKDAYS(D489,AE489,Hoja1!$A$1:$A$29),"N/A")</f>
        <v>38</v>
      </c>
      <c r="AO489" s="78">
        <v>15</v>
      </c>
      <c r="AP489" s="21">
        <f t="shared" si="57"/>
        <v>23</v>
      </c>
      <c r="AQ489" s="21">
        <f>IFERROR(NETWORKDAYS(AF489,AG489,Hoja1!$A$1:$A$29),"N/A")</f>
        <v>9</v>
      </c>
      <c r="AR489" s="78">
        <v>4</v>
      </c>
      <c r="AS489" s="75">
        <f t="shared" si="58"/>
        <v>5</v>
      </c>
      <c r="AT489" s="21">
        <f>IFERROR(NETWORKDAYS(D489,AG489,Hoja1!$A$1:$A$29),"N/A")</f>
        <v>46</v>
      </c>
      <c r="AU489" s="21">
        <f t="shared" si="62"/>
        <v>27</v>
      </c>
      <c r="AV489" s="143" t="s">
        <v>145</v>
      </c>
      <c r="AW489" s="86" t="s">
        <v>1513</v>
      </c>
      <c r="AX489" s="87"/>
      <c r="AY489" s="87"/>
      <c r="AZ489" s="87"/>
      <c r="BA489" s="87"/>
      <c r="BB489" s="87"/>
    </row>
    <row r="490" spans="1:54" ht="15" customHeight="1" x14ac:dyDescent="0.25">
      <c r="A490" s="55">
        <v>15895</v>
      </c>
      <c r="B490" s="48" t="s">
        <v>169</v>
      </c>
      <c r="C490" s="48" t="s">
        <v>169</v>
      </c>
      <c r="D490" s="434">
        <v>46069</v>
      </c>
      <c r="E490" s="53">
        <v>46069</v>
      </c>
      <c r="F490" s="143" t="s">
        <v>90</v>
      </c>
      <c r="G490" s="159" t="s">
        <v>91</v>
      </c>
      <c r="H490" s="179" t="s">
        <v>51</v>
      </c>
      <c r="I490" s="159" t="s">
        <v>1514</v>
      </c>
      <c r="J490" s="111" t="s">
        <v>65</v>
      </c>
      <c r="K490" s="111" t="s">
        <v>171</v>
      </c>
      <c r="L490" s="2">
        <v>1</v>
      </c>
      <c r="M490" s="111" t="s">
        <v>54</v>
      </c>
      <c r="N490" s="21" t="s">
        <v>55</v>
      </c>
      <c r="O490" s="21">
        <v>9</v>
      </c>
      <c r="P490" s="21" t="s">
        <v>112</v>
      </c>
      <c r="Q490" s="53">
        <v>46098</v>
      </c>
      <c r="R490" s="53">
        <v>46111</v>
      </c>
      <c r="S490" s="21">
        <v>9</v>
      </c>
      <c r="T490" s="21" t="s">
        <v>55</v>
      </c>
      <c r="U490" s="21" t="s">
        <v>55</v>
      </c>
      <c r="V490" s="21" t="s">
        <v>55</v>
      </c>
      <c r="W490" s="21" t="s">
        <v>55</v>
      </c>
      <c r="X490" s="21" t="s">
        <v>55</v>
      </c>
      <c r="Y490" s="21" t="s">
        <v>55</v>
      </c>
      <c r="Z490" s="21" t="s">
        <v>55</v>
      </c>
      <c r="AA490" s="21">
        <v>9</v>
      </c>
      <c r="AB490" s="21">
        <v>1</v>
      </c>
      <c r="AC490" s="21">
        <v>0</v>
      </c>
      <c r="AD490" s="53">
        <v>46111</v>
      </c>
      <c r="AE490" s="53">
        <v>46111</v>
      </c>
      <c r="AF490" s="53">
        <v>46119</v>
      </c>
      <c r="AG490" s="53">
        <v>46125</v>
      </c>
      <c r="AH490" s="180">
        <v>46127</v>
      </c>
      <c r="AI490" s="21">
        <v>4</v>
      </c>
      <c r="AJ490" s="159" t="s">
        <v>1515</v>
      </c>
      <c r="AK490" s="111" t="s">
        <v>1516</v>
      </c>
      <c r="AL490" s="19">
        <f t="shared" si="59"/>
        <v>1</v>
      </c>
      <c r="AM490" s="67">
        <f>IFERROR(NETWORKDAYS(D490,Q490,Hoja1!$A$1:$A$29),"N/A")</f>
        <v>22</v>
      </c>
      <c r="AN490" s="21">
        <f>IFERROR(NETWORKDAYS(D490,AE490,Hoja1!$A$1:$A$29),"N/A")</f>
        <v>30</v>
      </c>
      <c r="AO490" s="78">
        <v>4</v>
      </c>
      <c r="AP490" s="21">
        <f t="shared" si="57"/>
        <v>26</v>
      </c>
      <c r="AQ490" s="21">
        <f>IFERROR(NETWORKDAYS(AF490,AG490,Hoja1!$A$1:$A$29),"N/A")</f>
        <v>5</v>
      </c>
      <c r="AR490" s="78">
        <v>0</v>
      </c>
      <c r="AS490" s="75">
        <f t="shared" si="58"/>
        <v>5</v>
      </c>
      <c r="AT490" s="21">
        <f>IFERROR(NETWORKDAYS(D490,AG490,Hoja1!$A$1:$A$29),"N/A")</f>
        <v>38</v>
      </c>
      <c r="AU490" s="21">
        <f t="shared" si="62"/>
        <v>34</v>
      </c>
      <c r="AV490" s="143" t="s">
        <v>127</v>
      </c>
      <c r="AW490" s="252" t="s">
        <v>1517</v>
      </c>
      <c r="AX490" s="87"/>
      <c r="AY490" s="87"/>
      <c r="AZ490" s="87"/>
      <c r="BA490" s="87"/>
      <c r="BB490" s="87"/>
    </row>
    <row r="491" spans="1:54" ht="15" customHeight="1" x14ac:dyDescent="0.25">
      <c r="A491" s="55">
        <v>15900</v>
      </c>
      <c r="B491" s="159" t="s">
        <v>69</v>
      </c>
      <c r="C491" s="27" t="s">
        <v>122</v>
      </c>
      <c r="D491" s="28">
        <v>46070</v>
      </c>
      <c r="E491" s="28">
        <v>46070</v>
      </c>
      <c r="F491" s="232" t="s">
        <v>62</v>
      </c>
      <c r="G491" s="87" t="s">
        <v>71</v>
      </c>
      <c r="H491" s="179" t="s">
        <v>101</v>
      </c>
      <c r="I491" s="240" t="s">
        <v>1518</v>
      </c>
      <c r="J491" s="87" t="s">
        <v>142</v>
      </c>
      <c r="K491" s="87" t="s">
        <v>66</v>
      </c>
      <c r="L491" s="3">
        <v>1</v>
      </c>
      <c r="M491" s="111" t="s">
        <v>54</v>
      </c>
      <c r="N491" s="33" t="s">
        <v>55</v>
      </c>
      <c r="O491" s="33">
        <v>0</v>
      </c>
      <c r="P491" s="33"/>
      <c r="Q491" s="33" t="s">
        <v>55</v>
      </c>
      <c r="R491" s="33" t="s">
        <v>55</v>
      </c>
      <c r="S491" s="33">
        <v>0</v>
      </c>
      <c r="T491" s="33" t="s">
        <v>55</v>
      </c>
      <c r="U491" s="33" t="s">
        <v>55</v>
      </c>
      <c r="V491" s="33" t="s">
        <v>55</v>
      </c>
      <c r="W491" s="33" t="s">
        <v>55</v>
      </c>
      <c r="X491" s="33" t="s">
        <v>55</v>
      </c>
      <c r="Y491" s="33" t="s">
        <v>55</v>
      </c>
      <c r="Z491" s="33" t="s">
        <v>55</v>
      </c>
      <c r="AA491" s="33">
        <v>4</v>
      </c>
      <c r="AB491" s="33">
        <v>3</v>
      </c>
      <c r="AC491" s="33">
        <v>0</v>
      </c>
      <c r="AD491" s="28">
        <v>46085</v>
      </c>
      <c r="AE491" s="28">
        <v>46087</v>
      </c>
      <c r="AF491" s="28">
        <v>46090</v>
      </c>
      <c r="AG491" s="16">
        <v>46101</v>
      </c>
      <c r="AH491" s="53">
        <v>46118</v>
      </c>
      <c r="AI491" s="33">
        <f>MONTH(AH491)</f>
        <v>4</v>
      </c>
      <c r="AJ491" s="144" t="s">
        <v>1519</v>
      </c>
      <c r="AK491" s="45" t="s">
        <v>1520</v>
      </c>
      <c r="AL491" s="19" t="str">
        <f t="shared" si="59"/>
        <v>N/A</v>
      </c>
      <c r="AM491" s="67" t="str">
        <f>IFERROR(NETWORKDAYS(D491,Q491,Hoja1!$A$1:$A$29),"N/A")</f>
        <v>N/A</v>
      </c>
      <c r="AN491" s="21">
        <f>IFERROR(NETWORKDAYS(D491,AE491,Hoja1!$A$1:$A$29),"N/A")</f>
        <v>14</v>
      </c>
      <c r="AO491" s="78">
        <v>7</v>
      </c>
      <c r="AP491" s="21">
        <f t="shared" si="57"/>
        <v>7</v>
      </c>
      <c r="AQ491" s="21">
        <f>IFERROR(NETWORKDAYS(AF491,AG491,Hoja1!$A$1:$A$29),"N/A")</f>
        <v>10</v>
      </c>
      <c r="AR491" s="78">
        <v>5</v>
      </c>
      <c r="AS491" s="75">
        <f t="shared" si="58"/>
        <v>5</v>
      </c>
      <c r="AT491" s="21">
        <f>IFERROR(NETWORKDAYS(D491,AG491,Hoja1!$A$1:$A$29),"N/A")</f>
        <v>24</v>
      </c>
      <c r="AU491" s="21">
        <f t="shared" si="62"/>
        <v>12</v>
      </c>
      <c r="AV491" s="143" t="s">
        <v>104</v>
      </c>
      <c r="AW491" s="86" t="s">
        <v>1521</v>
      </c>
      <c r="AX491" s="87"/>
      <c r="AY491" s="87"/>
      <c r="AZ491" s="87"/>
      <c r="BA491" s="87"/>
      <c r="BB491" s="87"/>
    </row>
    <row r="492" spans="1:54" ht="15" customHeight="1" x14ac:dyDescent="0.25">
      <c r="A492" s="95">
        <v>15901</v>
      </c>
      <c r="B492" s="87" t="s">
        <v>401</v>
      </c>
      <c r="C492" s="87" t="s">
        <v>401</v>
      </c>
      <c r="D492" s="421">
        <v>46070</v>
      </c>
      <c r="E492" s="16">
        <v>46070</v>
      </c>
      <c r="F492" s="84" t="s">
        <v>62</v>
      </c>
      <c r="G492" s="179" t="s">
        <v>71</v>
      </c>
      <c r="H492" s="179" t="s">
        <v>116</v>
      </c>
      <c r="I492" s="240" t="s">
        <v>1522</v>
      </c>
      <c r="J492" s="87" t="s">
        <v>142</v>
      </c>
      <c r="K492" s="87" t="s">
        <v>1401</v>
      </c>
      <c r="L492" s="1">
        <v>1</v>
      </c>
      <c r="M492" s="111" t="s">
        <v>54</v>
      </c>
      <c r="N492" s="33" t="s">
        <v>55</v>
      </c>
      <c r="O492" s="33">
        <v>8</v>
      </c>
      <c r="P492" s="1" t="s">
        <v>56</v>
      </c>
      <c r="Q492" s="53">
        <v>46087</v>
      </c>
      <c r="R492" s="53">
        <v>46087</v>
      </c>
      <c r="S492" s="33">
        <v>8</v>
      </c>
      <c r="T492" s="33" t="s">
        <v>55</v>
      </c>
      <c r="U492" s="33" t="s">
        <v>55</v>
      </c>
      <c r="V492" s="28">
        <v>46077</v>
      </c>
      <c r="W492" s="28">
        <v>46094</v>
      </c>
      <c r="X492" s="28">
        <v>46094</v>
      </c>
      <c r="Y492" s="33" t="s">
        <v>55</v>
      </c>
      <c r="Z492" s="28">
        <v>46105</v>
      </c>
      <c r="AA492" s="33">
        <v>3</v>
      </c>
      <c r="AB492" s="33">
        <v>3</v>
      </c>
      <c r="AC492" s="33">
        <v>0</v>
      </c>
      <c r="AD492" s="28">
        <v>46121</v>
      </c>
      <c r="AE492" s="28">
        <v>46125</v>
      </c>
      <c r="AF492" s="28">
        <v>46125</v>
      </c>
      <c r="AG492" s="53">
        <v>46133</v>
      </c>
      <c r="AH492" s="53">
        <v>46139</v>
      </c>
      <c r="AI492" s="33">
        <v>4</v>
      </c>
      <c r="AJ492" s="240" t="s">
        <v>1523</v>
      </c>
      <c r="AK492" s="49" t="s">
        <v>1524</v>
      </c>
      <c r="AL492" s="19">
        <f t="shared" si="59"/>
        <v>1</v>
      </c>
      <c r="AM492" s="67">
        <f>IFERROR(NETWORKDAYS(D492,Q492,Hoja1!$A$1:$A$29),"N/A")</f>
        <v>14</v>
      </c>
      <c r="AN492" s="21">
        <f>IFERROR(NETWORKDAYS(D492,AE492,Hoja1!$A$1:$A$29),"N/A")</f>
        <v>37</v>
      </c>
      <c r="AO492" s="78">
        <v>7</v>
      </c>
      <c r="AP492" s="21">
        <f t="shared" si="57"/>
        <v>30</v>
      </c>
      <c r="AQ492" s="21">
        <f>IFERROR(NETWORKDAYS(AF492,AG492,Hoja1!$A$1:$A$29),"N/A")</f>
        <v>7</v>
      </c>
      <c r="AR492" s="78">
        <v>2</v>
      </c>
      <c r="AS492" s="75">
        <f t="shared" si="58"/>
        <v>5</v>
      </c>
      <c r="AT492" s="21">
        <f>IFERROR(NETWORKDAYS(D492,AG492,Hoja1!$A$1:$A$29),"N/A")</f>
        <v>43</v>
      </c>
      <c r="AU492" s="21">
        <f t="shared" si="62"/>
        <v>34</v>
      </c>
      <c r="AV492" s="143" t="s">
        <v>104</v>
      </c>
      <c r="AW492" s="86" t="s">
        <v>1525</v>
      </c>
      <c r="AX492" s="87"/>
      <c r="AY492" s="87"/>
      <c r="AZ492" s="87"/>
      <c r="BA492" s="87"/>
      <c r="BB492" s="87"/>
    </row>
    <row r="493" spans="1:54" ht="15" customHeight="1" x14ac:dyDescent="0.25">
      <c r="A493" s="55">
        <v>15903</v>
      </c>
      <c r="B493" s="27" t="s">
        <v>79</v>
      </c>
      <c r="C493" s="27" t="s">
        <v>79</v>
      </c>
      <c r="D493" s="16">
        <v>46070</v>
      </c>
      <c r="E493" s="16">
        <v>46070</v>
      </c>
      <c r="F493" s="84" t="s">
        <v>163</v>
      </c>
      <c r="G493" s="87" t="s">
        <v>164</v>
      </c>
      <c r="H493" s="179" t="s">
        <v>51</v>
      </c>
      <c r="I493" s="87" t="s">
        <v>92</v>
      </c>
      <c r="J493" s="111" t="s">
        <v>52</v>
      </c>
      <c r="K493" s="87" t="s">
        <v>165</v>
      </c>
      <c r="L493" s="3">
        <v>1</v>
      </c>
      <c r="M493" s="111" t="s">
        <v>54</v>
      </c>
      <c r="N493" s="33" t="s">
        <v>55</v>
      </c>
      <c r="O493" s="33">
        <v>17</v>
      </c>
      <c r="P493" s="21" t="s">
        <v>56</v>
      </c>
      <c r="Q493" s="53">
        <v>46073</v>
      </c>
      <c r="R493" s="28">
        <v>46091</v>
      </c>
      <c r="S493" s="33">
        <v>17</v>
      </c>
      <c r="T493" s="33" t="s">
        <v>55</v>
      </c>
      <c r="U493" s="33" t="s">
        <v>55</v>
      </c>
      <c r="V493" s="33" t="s">
        <v>55</v>
      </c>
      <c r="W493" s="33" t="s">
        <v>55</v>
      </c>
      <c r="X493" s="33" t="s">
        <v>55</v>
      </c>
      <c r="Y493" s="33" t="s">
        <v>55</v>
      </c>
      <c r="Z493" s="21" t="s">
        <v>55</v>
      </c>
      <c r="AA493" s="33">
        <v>1</v>
      </c>
      <c r="AB493" s="33">
        <v>1</v>
      </c>
      <c r="AC493" s="33">
        <v>0</v>
      </c>
      <c r="AD493" s="28">
        <v>46113</v>
      </c>
      <c r="AE493" s="28">
        <v>46113</v>
      </c>
      <c r="AF493" s="28">
        <v>46113</v>
      </c>
      <c r="AG493" s="28">
        <v>46122</v>
      </c>
      <c r="AH493" s="180">
        <v>46127</v>
      </c>
      <c r="AI493" s="33">
        <v>4</v>
      </c>
      <c r="AJ493" s="144" t="s">
        <v>1526</v>
      </c>
      <c r="AK493" s="35" t="s">
        <v>1527</v>
      </c>
      <c r="AL493" s="19">
        <f t="shared" si="59"/>
        <v>1</v>
      </c>
      <c r="AM493" s="67">
        <f>IFERROR(NETWORKDAYS(D493,Q493,Hoja1!$A$1:$A$29),"N/A")</f>
        <v>4</v>
      </c>
      <c r="AN493" s="21">
        <f>IFERROR(NETWORKDAYS(D493,AE493,Hoja1!$A$1:$A$29),"N/A")</f>
        <v>31</v>
      </c>
      <c r="AO493" s="78">
        <v>7</v>
      </c>
      <c r="AP493" s="21">
        <f t="shared" si="57"/>
        <v>24</v>
      </c>
      <c r="AQ493" s="21">
        <f>IFERROR(NETWORKDAYS(AF493,AG493,Hoja1!$A$1:$A$29),"N/A")</f>
        <v>6</v>
      </c>
      <c r="AR493" s="78">
        <v>1</v>
      </c>
      <c r="AS493" s="75">
        <f t="shared" si="58"/>
        <v>5</v>
      </c>
      <c r="AT493" s="21">
        <f>IFERROR(NETWORKDAYS(D493,AG493,Hoja1!$A$1:$A$29),"N/A")</f>
        <v>36</v>
      </c>
      <c r="AU493" s="21">
        <f t="shared" si="62"/>
        <v>28</v>
      </c>
      <c r="AV493" s="143" t="s">
        <v>131</v>
      </c>
      <c r="AW493" s="86" t="s">
        <v>1528</v>
      </c>
      <c r="AX493" s="87"/>
      <c r="AY493" s="87"/>
      <c r="AZ493" s="87"/>
      <c r="BA493" s="87"/>
      <c r="BB493" s="87"/>
    </row>
    <row r="494" spans="1:54" ht="15" customHeight="1" x14ac:dyDescent="0.25">
      <c r="A494" s="55">
        <v>15913</v>
      </c>
      <c r="B494" s="84" t="s">
        <v>85</v>
      </c>
      <c r="C494" s="84" t="s">
        <v>85</v>
      </c>
      <c r="D494" s="435">
        <v>46107</v>
      </c>
      <c r="E494" s="116">
        <v>46071</v>
      </c>
      <c r="F494" s="114" t="s">
        <v>62</v>
      </c>
      <c r="G494" s="179" t="s">
        <v>71</v>
      </c>
      <c r="H494" s="179" t="s">
        <v>101</v>
      </c>
      <c r="I494" s="49" t="s">
        <v>1529</v>
      </c>
      <c r="J494" s="27" t="s">
        <v>142</v>
      </c>
      <c r="K494" s="87" t="s">
        <v>1385</v>
      </c>
      <c r="L494" s="3">
        <v>1</v>
      </c>
      <c r="M494" s="111" t="s">
        <v>54</v>
      </c>
      <c r="N494" s="33" t="s">
        <v>55</v>
      </c>
      <c r="O494" s="33">
        <v>0</v>
      </c>
      <c r="P494" s="33"/>
      <c r="Q494" s="33" t="s">
        <v>55</v>
      </c>
      <c r="R494" s="33" t="s">
        <v>55</v>
      </c>
      <c r="S494" s="33">
        <v>0</v>
      </c>
      <c r="T494" s="33" t="s">
        <v>55</v>
      </c>
      <c r="U494" s="33" t="s">
        <v>55</v>
      </c>
      <c r="V494" s="33" t="s">
        <v>55</v>
      </c>
      <c r="W494" s="33" t="s">
        <v>55</v>
      </c>
      <c r="X494" s="33" t="s">
        <v>55</v>
      </c>
      <c r="Y494" s="33" t="s">
        <v>55</v>
      </c>
      <c r="Z494" s="33" t="s">
        <v>55</v>
      </c>
      <c r="AA494" s="33">
        <v>1</v>
      </c>
      <c r="AB494" s="33">
        <v>1</v>
      </c>
      <c r="AC494" s="33">
        <v>0</v>
      </c>
      <c r="AD494" s="180">
        <v>46111</v>
      </c>
      <c r="AE494" s="180">
        <v>46118</v>
      </c>
      <c r="AF494" s="180">
        <v>46118</v>
      </c>
      <c r="AG494" s="180">
        <v>46126</v>
      </c>
      <c r="AH494" s="180">
        <v>46127</v>
      </c>
      <c r="AI494" s="33">
        <f>MONTH(AH494)</f>
        <v>4</v>
      </c>
      <c r="AJ494" s="144" t="s">
        <v>1530</v>
      </c>
      <c r="AK494" s="45" t="s">
        <v>1531</v>
      </c>
      <c r="AL494" s="19" t="str">
        <f t="shared" si="59"/>
        <v>N/A</v>
      </c>
      <c r="AM494" s="67" t="str">
        <f>IFERROR(NETWORKDAYS(D494,Q494,Hoja1!$A$1:$A$29),"N/A")</f>
        <v>N/A</v>
      </c>
      <c r="AN494" s="21">
        <f>IFERROR(NETWORKDAYS(D494,AE494,Hoja1!$A$1:$A$29),"N/A")</f>
        <v>6</v>
      </c>
      <c r="AO494" s="78">
        <v>1</v>
      </c>
      <c r="AP494" s="21">
        <f t="shared" si="57"/>
        <v>5</v>
      </c>
      <c r="AQ494" s="21">
        <f>IFERROR(NETWORKDAYS(AF494,AG494,Hoja1!$A$1:$A$29),"N/A")</f>
        <v>7</v>
      </c>
      <c r="AR494" s="78">
        <v>2</v>
      </c>
      <c r="AS494" s="75">
        <f t="shared" si="58"/>
        <v>5</v>
      </c>
      <c r="AT494" s="21">
        <f>IFERROR(NETWORKDAYS(D494,AG494,Hoja1!$A$1:$A$29),"N/A")</f>
        <v>12</v>
      </c>
      <c r="AU494" s="21">
        <f t="shared" si="62"/>
        <v>9</v>
      </c>
      <c r="AV494" s="143" t="s">
        <v>104</v>
      </c>
      <c r="AW494" s="86" t="s">
        <v>1532</v>
      </c>
      <c r="AX494" s="87"/>
      <c r="AY494" s="87"/>
      <c r="AZ494" s="87"/>
      <c r="BA494" s="87"/>
      <c r="BB494" s="87"/>
    </row>
    <row r="495" spans="1:54" ht="15" customHeight="1" x14ac:dyDescent="0.25">
      <c r="A495" s="58">
        <v>15923</v>
      </c>
      <c r="B495" s="48" t="s">
        <v>169</v>
      </c>
      <c r="C495" s="48" t="s">
        <v>169</v>
      </c>
      <c r="D495" s="28">
        <v>46105</v>
      </c>
      <c r="E495" s="28">
        <v>46071</v>
      </c>
      <c r="F495" s="202" t="s">
        <v>879</v>
      </c>
      <c r="G495" s="48" t="s">
        <v>50</v>
      </c>
      <c r="H495" s="179" t="s">
        <v>51</v>
      </c>
      <c r="I495" s="27" t="s">
        <v>72</v>
      </c>
      <c r="J495" s="87" t="s">
        <v>73</v>
      </c>
      <c r="K495" s="87" t="s">
        <v>106</v>
      </c>
      <c r="L495" s="3">
        <v>1</v>
      </c>
      <c r="M495" s="111" t="s">
        <v>54</v>
      </c>
      <c r="N495" s="33" t="s">
        <v>55</v>
      </c>
      <c r="O495" s="33">
        <v>2</v>
      </c>
      <c r="P495" s="21" t="s">
        <v>112</v>
      </c>
      <c r="Q495" s="53">
        <v>46107</v>
      </c>
      <c r="R495" s="53">
        <v>46107</v>
      </c>
      <c r="S495" s="33">
        <v>2</v>
      </c>
      <c r="T495" s="33" t="s">
        <v>55</v>
      </c>
      <c r="U495" s="33" t="s">
        <v>55</v>
      </c>
      <c r="V495" s="33" t="s">
        <v>55</v>
      </c>
      <c r="W495" s="33" t="s">
        <v>55</v>
      </c>
      <c r="X495" s="33" t="s">
        <v>55</v>
      </c>
      <c r="Y495" s="33" t="s">
        <v>55</v>
      </c>
      <c r="Z495" s="21" t="s">
        <v>55</v>
      </c>
      <c r="AA495" s="33">
        <v>2</v>
      </c>
      <c r="AB495" s="33">
        <v>2</v>
      </c>
      <c r="AC495" s="33">
        <v>0</v>
      </c>
      <c r="AD495" s="28">
        <v>46111</v>
      </c>
      <c r="AE495" s="28">
        <v>46118</v>
      </c>
      <c r="AF495" s="28">
        <v>46118</v>
      </c>
      <c r="AG495" s="180">
        <v>46126</v>
      </c>
      <c r="AH495" s="180">
        <v>46127</v>
      </c>
      <c r="AI495" s="21">
        <v>4</v>
      </c>
      <c r="AJ495" s="48" t="s">
        <v>1533</v>
      </c>
      <c r="AK495" s="48" t="s">
        <v>1534</v>
      </c>
      <c r="AL495" s="19">
        <f t="shared" si="59"/>
        <v>1</v>
      </c>
      <c r="AM495" s="67">
        <f>IFERROR(NETWORKDAYS(D495,Q495,Hoja1!$A$1:$A$29),"N/A")</f>
        <v>3</v>
      </c>
      <c r="AN495" s="21">
        <f>IFERROR(NETWORKDAYS(D495,AE495,Hoja1!$A$1:$A$29),"N/A")</f>
        <v>8</v>
      </c>
      <c r="AO495" s="78">
        <v>0</v>
      </c>
      <c r="AP495" s="21">
        <f t="shared" si="57"/>
        <v>8</v>
      </c>
      <c r="AQ495" s="21">
        <f>IFERROR(NETWORKDAYS(AF495,AG495,Hoja1!$A$1:$A$29),"N/A")</f>
        <v>7</v>
      </c>
      <c r="AR495" s="78">
        <v>2</v>
      </c>
      <c r="AS495" s="75">
        <f t="shared" si="58"/>
        <v>5</v>
      </c>
      <c r="AT495" s="21">
        <f>IFERROR(NETWORKDAYS(D495,AG495,Hoja1!$A$1:$A$29),"N/A")</f>
        <v>14</v>
      </c>
      <c r="AU495" s="21">
        <f t="shared" si="62"/>
        <v>12</v>
      </c>
      <c r="AV495" s="143" t="s">
        <v>59</v>
      </c>
      <c r="AW495" s="86" t="s">
        <v>82</v>
      </c>
      <c r="AX495" s="192" t="s">
        <v>454</v>
      </c>
      <c r="AY495" s="87"/>
      <c r="AZ495" s="87"/>
      <c r="BA495" s="87"/>
      <c r="BB495" s="87"/>
    </row>
    <row r="496" spans="1:54" ht="15" customHeight="1" x14ac:dyDescent="0.25">
      <c r="A496" s="55">
        <v>15929</v>
      </c>
      <c r="B496" s="84" t="s">
        <v>85</v>
      </c>
      <c r="C496" s="84" t="s">
        <v>85</v>
      </c>
      <c r="D496" s="434">
        <v>46072</v>
      </c>
      <c r="E496" s="53">
        <v>46072</v>
      </c>
      <c r="F496" s="143" t="s">
        <v>90</v>
      </c>
      <c r="G496" s="159" t="s">
        <v>91</v>
      </c>
      <c r="H496" s="179" t="s">
        <v>51</v>
      </c>
      <c r="I496" s="27" t="s">
        <v>72</v>
      </c>
      <c r="J496" s="87" t="s">
        <v>73</v>
      </c>
      <c r="K496" s="111" t="s">
        <v>171</v>
      </c>
      <c r="L496" s="2">
        <v>1</v>
      </c>
      <c r="M496" s="111" t="s">
        <v>54</v>
      </c>
      <c r="N496" s="21" t="s">
        <v>55</v>
      </c>
      <c r="O496" s="21">
        <v>4</v>
      </c>
      <c r="P496" s="21" t="s">
        <v>112</v>
      </c>
      <c r="Q496" s="53">
        <v>46093</v>
      </c>
      <c r="R496" s="53">
        <v>46097</v>
      </c>
      <c r="S496" s="21">
        <v>4</v>
      </c>
      <c r="T496" s="21" t="s">
        <v>55</v>
      </c>
      <c r="U496" s="21" t="s">
        <v>55</v>
      </c>
      <c r="V496" s="21" t="s">
        <v>55</v>
      </c>
      <c r="W496" s="21" t="s">
        <v>55</v>
      </c>
      <c r="X496" s="21" t="s">
        <v>55</v>
      </c>
      <c r="Y496" s="21" t="s">
        <v>55</v>
      </c>
      <c r="Z496" s="21" t="s">
        <v>55</v>
      </c>
      <c r="AA496" s="21">
        <v>4</v>
      </c>
      <c r="AB496" s="21">
        <v>1</v>
      </c>
      <c r="AC496" s="21">
        <v>0</v>
      </c>
      <c r="AD496" s="53">
        <v>46097</v>
      </c>
      <c r="AE496" s="53">
        <v>46106</v>
      </c>
      <c r="AF496" s="53">
        <v>46118</v>
      </c>
      <c r="AG496" s="180">
        <v>46126</v>
      </c>
      <c r="AH496" s="180">
        <v>46127</v>
      </c>
      <c r="AI496" s="21">
        <v>4</v>
      </c>
      <c r="AJ496" s="159" t="s">
        <v>1535</v>
      </c>
      <c r="AK496" s="111" t="s">
        <v>1536</v>
      </c>
      <c r="AL496" s="19">
        <f t="shared" si="59"/>
        <v>1</v>
      </c>
      <c r="AM496" s="67">
        <f>IFERROR(NETWORKDAYS(D496,Q496,Hoja1!$A$1:$A$29),"N/A")</f>
        <v>16</v>
      </c>
      <c r="AN496" s="21">
        <f>IFERROR(NETWORKDAYS(D496,AE496,Hoja1!$A$1:$A$29),"N/A")</f>
        <v>24</v>
      </c>
      <c r="AO496" s="78">
        <v>7</v>
      </c>
      <c r="AP496" s="21">
        <f t="shared" si="57"/>
        <v>17</v>
      </c>
      <c r="AQ496" s="21">
        <f>IFERROR(NETWORKDAYS(AF496,AG496,Hoja1!$A$1:$A$29),"N/A")</f>
        <v>7</v>
      </c>
      <c r="AR496" s="78">
        <v>0</v>
      </c>
      <c r="AS496" s="75">
        <f t="shared" si="58"/>
        <v>7</v>
      </c>
      <c r="AT496" s="21">
        <f>IFERROR(NETWORKDAYS(D496,AG496,Hoja1!$A$1:$A$29),"N/A")</f>
        <v>36</v>
      </c>
      <c r="AU496" s="21">
        <f t="shared" si="62"/>
        <v>29</v>
      </c>
      <c r="AV496" s="143" t="s">
        <v>77</v>
      </c>
      <c r="AW496" s="86" t="s">
        <v>82</v>
      </c>
      <c r="AX496" s="87"/>
      <c r="AY496" s="87"/>
      <c r="AZ496" s="87"/>
      <c r="BA496" s="87"/>
      <c r="BB496" s="87"/>
    </row>
    <row r="497" spans="1:54" ht="15" customHeight="1" x14ac:dyDescent="0.25">
      <c r="A497" s="55">
        <v>15930</v>
      </c>
      <c r="B497" s="84" t="s">
        <v>85</v>
      </c>
      <c r="C497" s="84" t="s">
        <v>85</v>
      </c>
      <c r="D497" s="53">
        <v>46072</v>
      </c>
      <c r="E497" s="53">
        <v>46072</v>
      </c>
      <c r="F497" s="143" t="s">
        <v>90</v>
      </c>
      <c r="G497" s="159" t="s">
        <v>91</v>
      </c>
      <c r="H497" s="179" t="s">
        <v>51</v>
      </c>
      <c r="I497" s="27" t="s">
        <v>72</v>
      </c>
      <c r="J497" s="87" t="s">
        <v>73</v>
      </c>
      <c r="K497" s="111" t="s">
        <v>171</v>
      </c>
      <c r="L497" s="2">
        <v>1</v>
      </c>
      <c r="M497" s="111" t="s">
        <v>54</v>
      </c>
      <c r="N497" s="21" t="s">
        <v>55</v>
      </c>
      <c r="O497" s="21">
        <v>4</v>
      </c>
      <c r="P497" s="21" t="s">
        <v>112</v>
      </c>
      <c r="Q497" s="53">
        <v>46093</v>
      </c>
      <c r="R497" s="53">
        <v>46097</v>
      </c>
      <c r="S497" s="21">
        <v>4</v>
      </c>
      <c r="T497" s="21" t="s">
        <v>55</v>
      </c>
      <c r="U497" s="21" t="s">
        <v>55</v>
      </c>
      <c r="V497" s="21" t="s">
        <v>55</v>
      </c>
      <c r="W497" s="21" t="s">
        <v>55</v>
      </c>
      <c r="X497" s="21" t="s">
        <v>55</v>
      </c>
      <c r="Y497" s="21" t="s">
        <v>55</v>
      </c>
      <c r="Z497" s="21" t="s">
        <v>55</v>
      </c>
      <c r="AA497" s="21">
        <v>4</v>
      </c>
      <c r="AB497" s="21">
        <v>1</v>
      </c>
      <c r="AC497" s="21">
        <v>0</v>
      </c>
      <c r="AD497" s="53">
        <v>46097</v>
      </c>
      <c r="AE497" s="53">
        <v>46106</v>
      </c>
      <c r="AF497" s="53">
        <v>46118</v>
      </c>
      <c r="AG497" s="180">
        <v>46126</v>
      </c>
      <c r="AH497" s="180">
        <v>46127</v>
      </c>
      <c r="AI497" s="21">
        <v>4</v>
      </c>
      <c r="AJ497" s="159" t="s">
        <v>1537</v>
      </c>
      <c r="AK497" s="111" t="s">
        <v>1538</v>
      </c>
      <c r="AL497" s="19">
        <f t="shared" si="59"/>
        <v>1</v>
      </c>
      <c r="AM497" s="67">
        <f>IFERROR(NETWORKDAYS(D497,Q497,Hoja1!$A$1:$A$29),"N/A")</f>
        <v>16</v>
      </c>
      <c r="AN497" s="21">
        <f>IFERROR(NETWORKDAYS(D497,AE497,Hoja1!$A$1:$A$29),"N/A")</f>
        <v>24</v>
      </c>
      <c r="AO497" s="78">
        <v>7</v>
      </c>
      <c r="AP497" s="21">
        <f t="shared" si="57"/>
        <v>17</v>
      </c>
      <c r="AQ497" s="21">
        <f>IFERROR(NETWORKDAYS(AF497,AG497,Hoja1!$A$1:$A$29),"N/A")</f>
        <v>7</v>
      </c>
      <c r="AR497" s="78">
        <v>0</v>
      </c>
      <c r="AS497" s="75">
        <f t="shared" si="58"/>
        <v>7</v>
      </c>
      <c r="AT497" s="21">
        <f>IFERROR(NETWORKDAYS(D497,AG497,Hoja1!$A$1:$A$29),"N/A")</f>
        <v>36</v>
      </c>
      <c r="AU497" s="21">
        <f t="shared" si="62"/>
        <v>29</v>
      </c>
      <c r="AV497" s="143" t="s">
        <v>77</v>
      </c>
      <c r="AW497" s="86" t="s">
        <v>82</v>
      </c>
      <c r="AX497" s="87"/>
      <c r="AY497" s="87"/>
      <c r="AZ497" s="87"/>
      <c r="BA497" s="87"/>
      <c r="BB497" s="87"/>
    </row>
    <row r="498" spans="1:54" ht="15" customHeight="1" x14ac:dyDescent="0.25">
      <c r="A498" s="55">
        <v>15955</v>
      </c>
      <c r="B498" s="84" t="s">
        <v>85</v>
      </c>
      <c r="C498" s="84" t="s">
        <v>85</v>
      </c>
      <c r="D498" s="421">
        <v>46076</v>
      </c>
      <c r="E498" s="28">
        <v>46076</v>
      </c>
      <c r="F498" s="202" t="s">
        <v>879</v>
      </c>
      <c r="G498" s="87" t="s">
        <v>1539</v>
      </c>
      <c r="H498" s="179" t="s">
        <v>51</v>
      </c>
      <c r="I498" s="188" t="s">
        <v>516</v>
      </c>
      <c r="J498" s="111" t="s">
        <v>52</v>
      </c>
      <c r="K498" s="87" t="s">
        <v>53</v>
      </c>
      <c r="L498" s="3">
        <v>1</v>
      </c>
      <c r="M498" s="111" t="s">
        <v>54</v>
      </c>
      <c r="N498" s="33" t="s">
        <v>55</v>
      </c>
      <c r="O498" s="33">
        <v>4</v>
      </c>
      <c r="P498" s="21" t="s">
        <v>112</v>
      </c>
      <c r="Q498" s="28">
        <v>46086</v>
      </c>
      <c r="R498" s="28">
        <v>46086</v>
      </c>
      <c r="S498" s="33">
        <v>4</v>
      </c>
      <c r="T498" s="33" t="s">
        <v>55</v>
      </c>
      <c r="U498" s="33" t="s">
        <v>55</v>
      </c>
      <c r="V498" s="33" t="s">
        <v>55</v>
      </c>
      <c r="W498" s="33" t="s">
        <v>55</v>
      </c>
      <c r="X498" s="33" t="s">
        <v>55</v>
      </c>
      <c r="Y498" s="33" t="s">
        <v>55</v>
      </c>
      <c r="Z498" s="21" t="s">
        <v>55</v>
      </c>
      <c r="AA498" s="33">
        <v>2</v>
      </c>
      <c r="AB498" s="33">
        <v>2</v>
      </c>
      <c r="AC498" s="33">
        <v>0</v>
      </c>
      <c r="AD498" s="28">
        <v>46100</v>
      </c>
      <c r="AE498" s="28">
        <v>46100</v>
      </c>
      <c r="AF498" s="28">
        <v>46101</v>
      </c>
      <c r="AG498" s="28">
        <v>46118</v>
      </c>
      <c r="AH498" s="53">
        <v>46118</v>
      </c>
      <c r="AI498" s="21">
        <v>4</v>
      </c>
      <c r="AJ498" s="87" t="s">
        <v>1540</v>
      </c>
      <c r="AK498" s="48" t="s">
        <v>1541</v>
      </c>
      <c r="AL498" s="19">
        <f t="shared" si="59"/>
        <v>1</v>
      </c>
      <c r="AM498" s="67">
        <f>IFERROR(NETWORKDAYS(D498,Q498,Hoja1!$A$1:$A$29),"N/A")</f>
        <v>9</v>
      </c>
      <c r="AN498" s="21">
        <f>IFERROR(NETWORKDAYS(D498,AE498,Hoja1!$A$1:$A$29),"N/A")</f>
        <v>19</v>
      </c>
      <c r="AO498" s="78">
        <v>3</v>
      </c>
      <c r="AP498" s="21">
        <f t="shared" si="57"/>
        <v>16</v>
      </c>
      <c r="AQ498" s="21">
        <f>IFERROR(NETWORKDAYS(AF498,AG498,Hoja1!$A$1:$A$29),"N/A")</f>
        <v>9</v>
      </c>
      <c r="AR498" s="78">
        <v>0</v>
      </c>
      <c r="AS498" s="75">
        <f t="shared" si="58"/>
        <v>9</v>
      </c>
      <c r="AT498" s="21">
        <f>IFERROR(NETWORKDAYS(D498,AG498,Hoja1!$A$1:$A$29),"N/A")</f>
        <v>28</v>
      </c>
      <c r="AU498" s="21">
        <f t="shared" si="62"/>
        <v>25</v>
      </c>
      <c r="AV498" s="143" t="s">
        <v>59</v>
      </c>
      <c r="AW498" s="86" t="s">
        <v>1197</v>
      </c>
      <c r="AX498" s="87"/>
      <c r="AY498" s="87"/>
      <c r="AZ498" s="87"/>
      <c r="BA498" s="87"/>
      <c r="BB498" s="87"/>
    </row>
    <row r="499" spans="1:54" ht="15" customHeight="1" x14ac:dyDescent="0.25">
      <c r="A499" s="58">
        <v>15963</v>
      </c>
      <c r="B499" s="27" t="s">
        <v>79</v>
      </c>
      <c r="C499" s="27" t="s">
        <v>79</v>
      </c>
      <c r="D499" s="28">
        <v>46077</v>
      </c>
      <c r="E499" s="28">
        <v>46077</v>
      </c>
      <c r="F499" s="202" t="s">
        <v>879</v>
      </c>
      <c r="G499" s="48" t="s">
        <v>50</v>
      </c>
      <c r="H499" s="179" t="s">
        <v>51</v>
      </c>
      <c r="I499" s="27" t="s">
        <v>72</v>
      </c>
      <c r="J499" s="87" t="s">
        <v>73</v>
      </c>
      <c r="K499" s="87" t="s">
        <v>106</v>
      </c>
      <c r="L499" s="3">
        <v>1</v>
      </c>
      <c r="M499" s="111" t="s">
        <v>54</v>
      </c>
      <c r="N499" s="33" t="s">
        <v>55</v>
      </c>
      <c r="O499" s="33">
        <v>2</v>
      </c>
      <c r="P499" s="21" t="s">
        <v>112</v>
      </c>
      <c r="Q499" s="28">
        <v>46084</v>
      </c>
      <c r="R499" s="28">
        <v>46084</v>
      </c>
      <c r="S499" s="33">
        <v>2</v>
      </c>
      <c r="T499" s="33" t="s">
        <v>55</v>
      </c>
      <c r="U499" s="33" t="s">
        <v>55</v>
      </c>
      <c r="V499" s="33" t="s">
        <v>55</v>
      </c>
      <c r="W499" s="33" t="s">
        <v>55</v>
      </c>
      <c r="X499" s="33" t="s">
        <v>55</v>
      </c>
      <c r="Y499" s="33" t="s">
        <v>55</v>
      </c>
      <c r="Z499" s="21" t="s">
        <v>55</v>
      </c>
      <c r="AA499" s="33">
        <v>2</v>
      </c>
      <c r="AB499" s="33">
        <v>2</v>
      </c>
      <c r="AC499" s="33">
        <v>0</v>
      </c>
      <c r="AD499" s="38">
        <v>46098</v>
      </c>
      <c r="AE499" s="53">
        <v>46099</v>
      </c>
      <c r="AF499" s="53">
        <v>46099</v>
      </c>
      <c r="AG499" s="38">
        <v>46121</v>
      </c>
      <c r="AH499" s="180">
        <v>46127</v>
      </c>
      <c r="AI499" s="21">
        <v>4</v>
      </c>
      <c r="AJ499" s="48" t="s">
        <v>1542</v>
      </c>
      <c r="AK499" s="48" t="s">
        <v>1543</v>
      </c>
      <c r="AL499" s="19">
        <f t="shared" si="59"/>
        <v>1</v>
      </c>
      <c r="AM499" s="67">
        <f>IFERROR(NETWORKDAYS(D499,Q499,Hoja1!$A$1:$A$29),"N/A")</f>
        <v>6</v>
      </c>
      <c r="AN499" s="21">
        <f>IFERROR(NETWORKDAYS(D499,AE499,Hoja1!$A$1:$A$29),"N/A")</f>
        <v>17</v>
      </c>
      <c r="AO499" s="78">
        <v>0</v>
      </c>
      <c r="AP499" s="21">
        <f t="shared" si="57"/>
        <v>17</v>
      </c>
      <c r="AQ499" s="21">
        <f>IFERROR(NETWORKDAYS(AF499,AG499,Hoja1!$A$1:$A$29),"N/A")</f>
        <v>14</v>
      </c>
      <c r="AR499" s="78">
        <v>0</v>
      </c>
      <c r="AS499" s="75">
        <f t="shared" si="58"/>
        <v>14</v>
      </c>
      <c r="AT499" s="21">
        <f>IFERROR(NETWORKDAYS(D499,AG499,Hoja1!$A$1:$A$29),"N/A")</f>
        <v>30</v>
      </c>
      <c r="AU499" s="21">
        <f t="shared" si="62"/>
        <v>30</v>
      </c>
      <c r="AV499" s="143" t="s">
        <v>417</v>
      </c>
      <c r="AW499" s="86" t="s">
        <v>82</v>
      </c>
      <c r="AX499" s="111" t="s">
        <v>881</v>
      </c>
      <c r="AY499" s="87"/>
      <c r="AZ499" s="87"/>
      <c r="BA499" s="87"/>
      <c r="BB499" s="87"/>
    </row>
    <row r="500" spans="1:54" ht="15" customHeight="1" x14ac:dyDescent="0.25">
      <c r="A500" s="55">
        <v>15966</v>
      </c>
      <c r="B500" s="159" t="s">
        <v>69</v>
      </c>
      <c r="C500" s="43" t="s">
        <v>98</v>
      </c>
      <c r="D500" s="424">
        <v>46091</v>
      </c>
      <c r="E500" s="180">
        <v>46078</v>
      </c>
      <c r="F500" s="202" t="s">
        <v>62</v>
      </c>
      <c r="G500" s="48" t="s">
        <v>80</v>
      </c>
      <c r="H500" s="179" t="s">
        <v>101</v>
      </c>
      <c r="I500" s="111" t="s">
        <v>102</v>
      </c>
      <c r="J500" s="111" t="s">
        <v>52</v>
      </c>
      <c r="K500" s="111" t="s">
        <v>66</v>
      </c>
      <c r="L500" s="2">
        <v>1</v>
      </c>
      <c r="M500" s="111" t="s">
        <v>54</v>
      </c>
      <c r="N500" s="33" t="s">
        <v>55</v>
      </c>
      <c r="O500" s="33">
        <v>0</v>
      </c>
      <c r="P500" s="21"/>
      <c r="Q500" s="33" t="s">
        <v>55</v>
      </c>
      <c r="R500" s="33" t="s">
        <v>55</v>
      </c>
      <c r="S500" s="33">
        <v>0</v>
      </c>
      <c r="T500" s="33" t="s">
        <v>55</v>
      </c>
      <c r="U500" s="33" t="s">
        <v>55</v>
      </c>
      <c r="V500" s="33" t="s">
        <v>55</v>
      </c>
      <c r="W500" s="33" t="s">
        <v>55</v>
      </c>
      <c r="X500" s="33" t="s">
        <v>55</v>
      </c>
      <c r="Y500" s="33" t="s">
        <v>55</v>
      </c>
      <c r="Z500" s="33" t="s">
        <v>55</v>
      </c>
      <c r="AA500" s="33">
        <v>1</v>
      </c>
      <c r="AB500" s="33">
        <v>1</v>
      </c>
      <c r="AC500" s="33">
        <v>0</v>
      </c>
      <c r="AD500" s="53">
        <v>46097</v>
      </c>
      <c r="AE500" s="53">
        <v>46098</v>
      </c>
      <c r="AF500" s="53">
        <v>46099</v>
      </c>
      <c r="AG500" s="53">
        <v>46111</v>
      </c>
      <c r="AH500" s="53">
        <v>46118</v>
      </c>
      <c r="AI500" s="33">
        <v>4</v>
      </c>
      <c r="AJ500" s="144" t="s">
        <v>1544</v>
      </c>
      <c r="AK500" s="46" t="s">
        <v>1545</v>
      </c>
      <c r="AL500" s="19" t="str">
        <f t="shared" si="59"/>
        <v>N/A</v>
      </c>
      <c r="AM500" s="67" t="str">
        <f>IFERROR(NETWORKDAYS(D500,Q500,Hoja1!$A$1:$A$29),"N/A")</f>
        <v>N/A</v>
      </c>
      <c r="AN500" s="21">
        <f>IFERROR(NETWORKDAYS(D500,AE500,Hoja1!$A$1:$A$29),"N/A")</f>
        <v>6</v>
      </c>
      <c r="AO500" s="78">
        <v>0</v>
      </c>
      <c r="AP500" s="21">
        <f t="shared" si="57"/>
        <v>6</v>
      </c>
      <c r="AQ500" s="21">
        <f>IFERROR(NETWORKDAYS(AF500,AG500,Hoja1!$A$1:$A$29),"N/A")</f>
        <v>8</v>
      </c>
      <c r="AR500" s="78">
        <v>3</v>
      </c>
      <c r="AS500" s="75">
        <f t="shared" si="58"/>
        <v>5</v>
      </c>
      <c r="AT500" s="21">
        <f>IFERROR(NETWORKDAYS(D500,AG500,Hoja1!$A$1:$A$29),"N/A")</f>
        <v>14</v>
      </c>
      <c r="AU500" s="21">
        <f t="shared" si="62"/>
        <v>11</v>
      </c>
      <c r="AV500" s="143" t="s">
        <v>104</v>
      </c>
      <c r="AW500" s="86" t="s">
        <v>1546</v>
      </c>
      <c r="AX500" s="87"/>
      <c r="AY500" s="87"/>
      <c r="AZ500" s="87"/>
      <c r="BA500" s="87"/>
      <c r="BB500" s="87"/>
    </row>
    <row r="501" spans="1:54" ht="15" customHeight="1" x14ac:dyDescent="0.25">
      <c r="A501" s="55">
        <v>15969</v>
      </c>
      <c r="B501" s="159" t="s">
        <v>69</v>
      </c>
      <c r="C501" s="43" t="s">
        <v>98</v>
      </c>
      <c r="D501" s="53">
        <v>46109</v>
      </c>
      <c r="E501" s="53">
        <v>46077</v>
      </c>
      <c r="F501" s="143" t="s">
        <v>90</v>
      </c>
      <c r="G501" s="159" t="s">
        <v>91</v>
      </c>
      <c r="H501" s="179" t="s">
        <v>51</v>
      </c>
      <c r="I501" s="159" t="s">
        <v>582</v>
      </c>
      <c r="J501" s="111" t="s">
        <v>52</v>
      </c>
      <c r="K501" s="111" t="s">
        <v>111</v>
      </c>
      <c r="L501" s="2">
        <v>1</v>
      </c>
      <c r="M501" s="111" t="s">
        <v>54</v>
      </c>
      <c r="N501" s="21" t="s">
        <v>55</v>
      </c>
      <c r="O501" s="21">
        <v>14</v>
      </c>
      <c r="P501" s="21" t="s">
        <v>56</v>
      </c>
      <c r="Q501" s="53">
        <v>46120</v>
      </c>
      <c r="R501" s="53">
        <v>46126</v>
      </c>
      <c r="S501" s="21">
        <v>14</v>
      </c>
      <c r="T501" s="21" t="s">
        <v>55</v>
      </c>
      <c r="U501" s="21" t="s">
        <v>55</v>
      </c>
      <c r="V501" s="21" t="s">
        <v>55</v>
      </c>
      <c r="W501" s="21" t="s">
        <v>55</v>
      </c>
      <c r="X501" s="21" t="s">
        <v>55</v>
      </c>
      <c r="Y501" s="21" t="s">
        <v>55</v>
      </c>
      <c r="Z501" s="21" t="s">
        <v>55</v>
      </c>
      <c r="AA501" s="21">
        <v>14</v>
      </c>
      <c r="AB501" s="21">
        <v>1</v>
      </c>
      <c r="AC501" s="21">
        <v>0</v>
      </c>
      <c r="AD501" s="53">
        <v>46126</v>
      </c>
      <c r="AE501" s="53">
        <v>46126</v>
      </c>
      <c r="AF501" s="53">
        <v>46127</v>
      </c>
      <c r="AG501" s="53">
        <v>46133</v>
      </c>
      <c r="AH501" s="53">
        <v>46139</v>
      </c>
      <c r="AI501" s="21">
        <v>4</v>
      </c>
      <c r="AJ501" s="159" t="s">
        <v>1547</v>
      </c>
      <c r="AK501" s="111" t="s">
        <v>1548</v>
      </c>
      <c r="AL501" s="19">
        <f t="shared" si="59"/>
        <v>1</v>
      </c>
      <c r="AM501" s="67">
        <f>IFERROR(NETWORKDAYS(D501,Q501,Hoja1!$A$1:$A$29),"N/A")</f>
        <v>6</v>
      </c>
      <c r="AN501" s="21">
        <f>IFERROR(NETWORKDAYS(D501,AE501,Hoja1!$A$1:$A$29),"N/A")</f>
        <v>10</v>
      </c>
      <c r="AO501" s="78">
        <v>0</v>
      </c>
      <c r="AP501" s="21">
        <f t="shared" si="57"/>
        <v>10</v>
      </c>
      <c r="AQ501" s="21">
        <f>IFERROR(NETWORKDAYS(AF501,AG501,Hoja1!$A$1:$A$29),"N/A")</f>
        <v>5</v>
      </c>
      <c r="AR501" s="78">
        <v>0</v>
      </c>
      <c r="AS501" s="75">
        <f t="shared" si="58"/>
        <v>5</v>
      </c>
      <c r="AT501" s="21">
        <f>IFERROR(NETWORKDAYS(D501,AG501,Hoja1!$A$1:$A$29),"N/A")</f>
        <v>15</v>
      </c>
      <c r="AU501" s="21">
        <f t="shared" si="62"/>
        <v>15</v>
      </c>
      <c r="AV501" s="143" t="s">
        <v>127</v>
      </c>
      <c r="AW501" s="86" t="s">
        <v>302</v>
      </c>
      <c r="AX501" s="87" t="s">
        <v>1376</v>
      </c>
      <c r="AY501" s="87"/>
      <c r="AZ501" s="87"/>
      <c r="BA501" s="87"/>
      <c r="BB501" s="87"/>
    </row>
    <row r="502" spans="1:54" ht="15" customHeight="1" x14ac:dyDescent="0.25">
      <c r="A502" s="55">
        <v>15973</v>
      </c>
      <c r="B502" s="159" t="s">
        <v>69</v>
      </c>
      <c r="C502" s="43" t="s">
        <v>98</v>
      </c>
      <c r="D502" s="434">
        <v>46077</v>
      </c>
      <c r="E502" s="53">
        <v>46077</v>
      </c>
      <c r="F502" s="143" t="s">
        <v>90</v>
      </c>
      <c r="G502" s="159" t="s">
        <v>91</v>
      </c>
      <c r="H502" s="179" t="s">
        <v>51</v>
      </c>
      <c r="I502" s="159" t="s">
        <v>582</v>
      </c>
      <c r="J502" s="111" t="s">
        <v>52</v>
      </c>
      <c r="K502" s="111" t="s">
        <v>111</v>
      </c>
      <c r="L502" s="2">
        <v>1</v>
      </c>
      <c r="M502" s="111" t="s">
        <v>54</v>
      </c>
      <c r="N502" s="21" t="s">
        <v>55</v>
      </c>
      <c r="O502" s="21">
        <v>18</v>
      </c>
      <c r="P502" s="21" t="s">
        <v>56</v>
      </c>
      <c r="Q502" s="53">
        <v>46097</v>
      </c>
      <c r="R502" s="53">
        <v>46101</v>
      </c>
      <c r="S502" s="21">
        <v>18</v>
      </c>
      <c r="T502" s="21" t="s">
        <v>55</v>
      </c>
      <c r="U502" s="21" t="s">
        <v>55</v>
      </c>
      <c r="V502" s="21" t="s">
        <v>55</v>
      </c>
      <c r="W502" s="21" t="s">
        <v>55</v>
      </c>
      <c r="X502" s="21" t="s">
        <v>55</v>
      </c>
      <c r="Y502" s="21" t="s">
        <v>55</v>
      </c>
      <c r="Z502" s="21" t="s">
        <v>55</v>
      </c>
      <c r="AA502" s="21">
        <v>18</v>
      </c>
      <c r="AB502" s="21">
        <v>1</v>
      </c>
      <c r="AC502" s="21">
        <v>0</v>
      </c>
      <c r="AD502" s="53">
        <v>46101</v>
      </c>
      <c r="AE502" s="53">
        <v>46101</v>
      </c>
      <c r="AF502" s="53">
        <v>46106</v>
      </c>
      <c r="AG502" s="28">
        <v>46112</v>
      </c>
      <c r="AH502" s="53">
        <v>46118</v>
      </c>
      <c r="AI502" s="21">
        <v>4</v>
      </c>
      <c r="AJ502" s="159" t="s">
        <v>1549</v>
      </c>
      <c r="AK502" s="111" t="s">
        <v>1550</v>
      </c>
      <c r="AL502" s="19">
        <f t="shared" si="59"/>
        <v>1</v>
      </c>
      <c r="AM502" s="67">
        <f>IFERROR(NETWORKDAYS(D502,Q502,Hoja1!$A$1:$A$29),"N/A")</f>
        <v>15</v>
      </c>
      <c r="AN502" s="21">
        <f>IFERROR(NETWORKDAYS(D502,AE502,Hoja1!$A$1:$A$29),"N/A")</f>
        <v>19</v>
      </c>
      <c r="AO502" s="78">
        <v>0</v>
      </c>
      <c r="AP502" s="21">
        <f t="shared" si="57"/>
        <v>19</v>
      </c>
      <c r="AQ502" s="21">
        <f>IFERROR(NETWORKDAYS(AF502,AG502,Hoja1!$A$1:$A$29),"N/A")</f>
        <v>5</v>
      </c>
      <c r="AR502" s="78">
        <v>0</v>
      </c>
      <c r="AS502" s="75">
        <f t="shared" si="58"/>
        <v>5</v>
      </c>
      <c r="AT502" s="21">
        <f>IFERROR(NETWORKDAYS(D502,AG502,Hoja1!$A$1:$A$29),"N/A")</f>
        <v>25</v>
      </c>
      <c r="AU502" s="21">
        <f t="shared" si="62"/>
        <v>25</v>
      </c>
      <c r="AV502" s="143" t="s">
        <v>127</v>
      </c>
      <c r="AW502" s="86" t="s">
        <v>1551</v>
      </c>
      <c r="AX502" s="87" t="s">
        <v>881</v>
      </c>
      <c r="AY502" s="87"/>
      <c r="AZ502" s="87"/>
      <c r="BA502" s="87"/>
      <c r="BB502" s="87"/>
    </row>
    <row r="503" spans="1:54" ht="15" customHeight="1" x14ac:dyDescent="0.25">
      <c r="A503" s="55">
        <v>15974</v>
      </c>
      <c r="B503" s="27" t="s">
        <v>79</v>
      </c>
      <c r="C503" s="27" t="s">
        <v>79</v>
      </c>
      <c r="D503" s="53">
        <v>46090</v>
      </c>
      <c r="E503" s="180">
        <v>46078</v>
      </c>
      <c r="F503" s="143" t="s">
        <v>99</v>
      </c>
      <c r="G503" s="152" t="s">
        <v>100</v>
      </c>
      <c r="H503" s="179" t="s">
        <v>51</v>
      </c>
      <c r="I503" s="87" t="s">
        <v>92</v>
      </c>
      <c r="J503" s="111" t="s">
        <v>52</v>
      </c>
      <c r="K503" s="111" t="s">
        <v>129</v>
      </c>
      <c r="L503" s="2">
        <v>1</v>
      </c>
      <c r="M503" s="111" t="s">
        <v>54</v>
      </c>
      <c r="N503" s="21" t="s">
        <v>55</v>
      </c>
      <c r="O503" s="21">
        <v>6</v>
      </c>
      <c r="P503" s="21" t="s">
        <v>56</v>
      </c>
      <c r="Q503" s="16">
        <v>46105</v>
      </c>
      <c r="R503" s="16">
        <v>46105</v>
      </c>
      <c r="S503" s="21">
        <v>6</v>
      </c>
      <c r="T503" s="21" t="s">
        <v>55</v>
      </c>
      <c r="U503" s="21" t="s">
        <v>55</v>
      </c>
      <c r="V503" s="21" t="s">
        <v>55</v>
      </c>
      <c r="W503" s="21" t="s">
        <v>55</v>
      </c>
      <c r="X503" s="21" t="s">
        <v>55</v>
      </c>
      <c r="Y503" s="21" t="s">
        <v>55</v>
      </c>
      <c r="Z503" s="21" t="s">
        <v>55</v>
      </c>
      <c r="AA503" s="21">
        <v>2</v>
      </c>
      <c r="AB503" s="21">
        <v>2</v>
      </c>
      <c r="AC503" s="21">
        <v>0</v>
      </c>
      <c r="AD503" s="53">
        <v>46113</v>
      </c>
      <c r="AE503" s="53">
        <v>46113</v>
      </c>
      <c r="AF503" s="53">
        <v>46113</v>
      </c>
      <c r="AG503" s="180">
        <v>46126</v>
      </c>
      <c r="AH503" s="180">
        <v>46127</v>
      </c>
      <c r="AI503" s="21">
        <v>4</v>
      </c>
      <c r="AJ503" s="152" t="s">
        <v>1552</v>
      </c>
      <c r="AK503" s="111" t="s">
        <v>1553</v>
      </c>
      <c r="AL503" s="19">
        <f t="shared" si="59"/>
        <v>1</v>
      </c>
      <c r="AM503" s="67">
        <f>IFERROR(NETWORKDAYS(D503,Q503,Hoja1!$A$1:$A$29),"N/A")</f>
        <v>11</v>
      </c>
      <c r="AN503" s="21">
        <f>IFERROR(NETWORKDAYS(D503,AE503,Hoja1!$A$1:$A$29),"N/A")</f>
        <v>17</v>
      </c>
      <c r="AO503" s="78">
        <v>0</v>
      </c>
      <c r="AP503" s="21">
        <f t="shared" si="57"/>
        <v>17</v>
      </c>
      <c r="AQ503" s="21">
        <f>IFERROR(NETWORKDAYS(AF503,AG503,Hoja1!$A$1:$A$29),"N/A")</f>
        <v>8</v>
      </c>
      <c r="AR503" s="78">
        <v>3</v>
      </c>
      <c r="AS503" s="75">
        <f t="shared" si="58"/>
        <v>5</v>
      </c>
      <c r="AT503" s="21">
        <f>IFERROR(NETWORKDAYS(D503,AG503,Hoja1!$A$1:$A$29),"N/A")</f>
        <v>24</v>
      </c>
      <c r="AU503" s="21">
        <f t="shared" si="62"/>
        <v>21</v>
      </c>
      <c r="AV503" s="143" t="s">
        <v>419</v>
      </c>
      <c r="AW503" s="86" t="s">
        <v>901</v>
      </c>
      <c r="AX503" s="111" t="s">
        <v>1376</v>
      </c>
      <c r="AY503" s="111"/>
      <c r="AZ503" s="111"/>
      <c r="BA503" s="111"/>
      <c r="BB503" s="111"/>
    </row>
    <row r="504" spans="1:54" ht="15" customHeight="1" x14ac:dyDescent="0.25">
      <c r="A504" s="55">
        <v>15975</v>
      </c>
      <c r="B504" s="27" t="s">
        <v>79</v>
      </c>
      <c r="C504" s="27" t="s">
        <v>79</v>
      </c>
      <c r="D504" s="435">
        <v>46107</v>
      </c>
      <c r="E504" s="180">
        <v>46078</v>
      </c>
      <c r="F504" s="143" t="s">
        <v>99</v>
      </c>
      <c r="G504" s="152" t="s">
        <v>128</v>
      </c>
      <c r="H504" s="179" t="s">
        <v>51</v>
      </c>
      <c r="I504" s="87" t="s">
        <v>92</v>
      </c>
      <c r="J504" s="111" t="s">
        <v>52</v>
      </c>
      <c r="K504" s="111" t="s">
        <v>129</v>
      </c>
      <c r="L504" s="2">
        <v>1</v>
      </c>
      <c r="M504" s="111" t="s">
        <v>54</v>
      </c>
      <c r="N504" s="21" t="s">
        <v>55</v>
      </c>
      <c r="O504" s="21">
        <v>6</v>
      </c>
      <c r="P504" s="21" t="s">
        <v>56</v>
      </c>
      <c r="Q504" s="53">
        <v>46120</v>
      </c>
      <c r="R504" s="53">
        <v>46120</v>
      </c>
      <c r="S504" s="21">
        <v>6</v>
      </c>
      <c r="T504" s="21" t="s">
        <v>55</v>
      </c>
      <c r="U504" s="21" t="s">
        <v>55</v>
      </c>
      <c r="V504" s="21" t="s">
        <v>55</v>
      </c>
      <c r="W504" s="21" t="s">
        <v>55</v>
      </c>
      <c r="X504" s="21" t="s">
        <v>55</v>
      </c>
      <c r="Y504" s="21" t="s">
        <v>55</v>
      </c>
      <c r="Z504" s="21" t="s">
        <v>55</v>
      </c>
      <c r="AA504" s="21">
        <v>3</v>
      </c>
      <c r="AB504" s="21">
        <v>3</v>
      </c>
      <c r="AC504" s="21">
        <v>0</v>
      </c>
      <c r="AD504" s="53">
        <v>46127</v>
      </c>
      <c r="AE504" s="53">
        <v>46127</v>
      </c>
      <c r="AF504" s="53">
        <v>46127</v>
      </c>
      <c r="AG504" s="53">
        <v>46132</v>
      </c>
      <c r="AH504" s="53">
        <v>46139</v>
      </c>
      <c r="AI504" s="21">
        <v>4</v>
      </c>
      <c r="AJ504" s="152" t="s">
        <v>1554</v>
      </c>
      <c r="AK504" s="111" t="s">
        <v>1555</v>
      </c>
      <c r="AL504" s="19">
        <f t="shared" si="59"/>
        <v>1</v>
      </c>
      <c r="AM504" s="67">
        <f>IFERROR(NETWORKDAYS(D504,Q504,Hoja1!$A$1:$A$29),"N/A")</f>
        <v>8</v>
      </c>
      <c r="AN504" s="21">
        <f>IFERROR(NETWORKDAYS(D504,AE504,Hoja1!$A$1:$A$29),"N/A")</f>
        <v>13</v>
      </c>
      <c r="AO504" s="78">
        <v>0</v>
      </c>
      <c r="AP504" s="21">
        <f t="shared" si="57"/>
        <v>13</v>
      </c>
      <c r="AQ504" s="21">
        <f>IFERROR(NETWORKDAYS(AF504,AG504,Hoja1!$A$1:$A$29),"N/A")</f>
        <v>4</v>
      </c>
      <c r="AR504" s="78">
        <v>0</v>
      </c>
      <c r="AS504" s="75">
        <f t="shared" si="58"/>
        <v>4</v>
      </c>
      <c r="AT504" s="21">
        <f>IFERROR(NETWORKDAYS(D504,AG504,Hoja1!$A$1:$A$29),"N/A")</f>
        <v>16</v>
      </c>
      <c r="AU504" s="21">
        <f t="shared" si="62"/>
        <v>16</v>
      </c>
      <c r="AV504" s="143" t="s">
        <v>131</v>
      </c>
      <c r="AW504" s="86" t="s">
        <v>1556</v>
      </c>
      <c r="AX504" s="111" t="s">
        <v>1376</v>
      </c>
      <c r="AY504" s="111"/>
      <c r="AZ504" s="111"/>
      <c r="BA504" s="111"/>
      <c r="BB504" s="111"/>
    </row>
    <row r="505" spans="1:54" ht="15" customHeight="1" x14ac:dyDescent="0.25">
      <c r="A505" s="95">
        <v>15979</v>
      </c>
      <c r="B505" s="188" t="s">
        <v>597</v>
      </c>
      <c r="C505" s="188" t="s">
        <v>597</v>
      </c>
      <c r="D505" s="180">
        <v>46078</v>
      </c>
      <c r="E505" s="180">
        <v>46078</v>
      </c>
      <c r="F505" s="143" t="s">
        <v>62</v>
      </c>
      <c r="G505" s="179" t="s">
        <v>71</v>
      </c>
      <c r="H505" s="179" t="s">
        <v>116</v>
      </c>
      <c r="I505" s="188" t="s">
        <v>1557</v>
      </c>
      <c r="J505" s="111" t="s">
        <v>118</v>
      </c>
      <c r="K505" s="111" t="s">
        <v>351</v>
      </c>
      <c r="L505" s="2">
        <v>1</v>
      </c>
      <c r="M505" s="111" t="s">
        <v>54</v>
      </c>
      <c r="N505" s="33" t="s">
        <v>55</v>
      </c>
      <c r="O505" s="33">
        <v>5</v>
      </c>
      <c r="P505" s="21" t="s">
        <v>56</v>
      </c>
      <c r="Q505" s="196">
        <v>46086</v>
      </c>
      <c r="R505" s="196">
        <v>46086</v>
      </c>
      <c r="S505" s="33">
        <v>5</v>
      </c>
      <c r="T505" s="168" t="s">
        <v>55</v>
      </c>
      <c r="U505" s="196">
        <v>46078</v>
      </c>
      <c r="V505" s="196">
        <v>46086</v>
      </c>
      <c r="W505" s="33" t="s">
        <v>55</v>
      </c>
      <c r="X505" s="33" t="s">
        <v>55</v>
      </c>
      <c r="Y505" s="33" t="s">
        <v>55</v>
      </c>
      <c r="Z505" s="196">
        <v>46093</v>
      </c>
      <c r="AA505" s="33">
        <v>3</v>
      </c>
      <c r="AB505" s="33">
        <v>3</v>
      </c>
      <c r="AC505" s="33">
        <v>0</v>
      </c>
      <c r="AD505" s="53">
        <v>46106</v>
      </c>
      <c r="AE505" s="28">
        <v>46113</v>
      </c>
      <c r="AF505" s="28">
        <v>46113</v>
      </c>
      <c r="AG505" s="28">
        <v>46122</v>
      </c>
      <c r="AH505" s="180">
        <v>46127</v>
      </c>
      <c r="AI505" s="33">
        <f>MONTH(AH505)</f>
        <v>4</v>
      </c>
      <c r="AJ505" s="144" t="s">
        <v>1558</v>
      </c>
      <c r="AK505" s="114" t="s">
        <v>1559</v>
      </c>
      <c r="AL505" s="19">
        <f t="shared" si="59"/>
        <v>1</v>
      </c>
      <c r="AM505" s="67">
        <f>IFERROR(NETWORKDAYS(D505,Q505,Hoja1!$A$1:$A$29),"N/A")</f>
        <v>7</v>
      </c>
      <c r="AN505" s="21">
        <f>IFERROR(NETWORKDAYS(D505,AE505,Hoja1!$A$1:$A$29),"N/A")</f>
        <v>25</v>
      </c>
      <c r="AO505" s="78">
        <v>0</v>
      </c>
      <c r="AP505" s="21">
        <f t="shared" si="57"/>
        <v>25</v>
      </c>
      <c r="AQ505" s="21">
        <f>IFERROR(NETWORKDAYS(AF505,AG505,Hoja1!$A$1:$A$29),"N/A")</f>
        <v>6</v>
      </c>
      <c r="AR505" s="78">
        <v>1</v>
      </c>
      <c r="AS505" s="75">
        <f t="shared" si="58"/>
        <v>5</v>
      </c>
      <c r="AT505" s="21">
        <f>IFERROR(NETWORKDAYS(D505,AG505,Hoja1!$A$1:$A$29),"N/A")</f>
        <v>30</v>
      </c>
      <c r="AU505" s="21">
        <f t="shared" si="62"/>
        <v>29</v>
      </c>
      <c r="AV505" s="143" t="s">
        <v>104</v>
      </c>
      <c r="AW505" s="86" t="s">
        <v>1560</v>
      </c>
      <c r="AX505" s="87"/>
      <c r="AY505" s="87"/>
      <c r="AZ505" s="87"/>
      <c r="BA505" s="87"/>
      <c r="BB505" s="87"/>
    </row>
    <row r="506" spans="1:54" ht="15" customHeight="1" x14ac:dyDescent="0.25">
      <c r="A506" s="95">
        <v>15986</v>
      </c>
      <c r="B506" s="84" t="s">
        <v>85</v>
      </c>
      <c r="C506" s="84" t="s">
        <v>85</v>
      </c>
      <c r="D506" s="435">
        <v>46084</v>
      </c>
      <c r="E506" s="116">
        <v>46079</v>
      </c>
      <c r="F506" s="143" t="s">
        <v>62</v>
      </c>
      <c r="G506" s="179" t="s">
        <v>314</v>
      </c>
      <c r="H506" s="179" t="s">
        <v>101</v>
      </c>
      <c r="I506" s="48" t="s">
        <v>1406</v>
      </c>
      <c r="J506" s="111" t="s">
        <v>52</v>
      </c>
      <c r="K506" s="111" t="s">
        <v>351</v>
      </c>
      <c r="L506" s="1">
        <v>1</v>
      </c>
      <c r="M506" s="111" t="s">
        <v>54</v>
      </c>
      <c r="N506" s="33" t="s">
        <v>55</v>
      </c>
      <c r="O506" s="33">
        <v>0</v>
      </c>
      <c r="P506" s="1"/>
      <c r="Q506" s="33" t="s">
        <v>55</v>
      </c>
      <c r="R506" s="33" t="s">
        <v>55</v>
      </c>
      <c r="S506" s="33">
        <v>0</v>
      </c>
      <c r="T506" s="33" t="s">
        <v>55</v>
      </c>
      <c r="U506" s="33" t="s">
        <v>55</v>
      </c>
      <c r="V506" s="33" t="s">
        <v>55</v>
      </c>
      <c r="W506" s="33" t="s">
        <v>55</v>
      </c>
      <c r="X506" s="33" t="s">
        <v>55</v>
      </c>
      <c r="Y506" s="33" t="s">
        <v>55</v>
      </c>
      <c r="Z506" s="33" t="s">
        <v>55</v>
      </c>
      <c r="AA506" s="33">
        <v>3</v>
      </c>
      <c r="AB506" s="33">
        <v>3</v>
      </c>
      <c r="AC506" s="33">
        <v>0</v>
      </c>
      <c r="AD506" s="38">
        <v>46090</v>
      </c>
      <c r="AE506" s="180">
        <v>46101</v>
      </c>
      <c r="AF506" s="180">
        <v>46105</v>
      </c>
      <c r="AG506" s="53">
        <v>46111</v>
      </c>
      <c r="AH506" s="53">
        <v>46118</v>
      </c>
      <c r="AI506" s="33">
        <f>MONTH(AH506)</f>
        <v>4</v>
      </c>
      <c r="AJ506" s="144" t="s">
        <v>1561</v>
      </c>
      <c r="AK506" s="114" t="s">
        <v>1562</v>
      </c>
      <c r="AL506" s="19" t="str">
        <f t="shared" si="59"/>
        <v>N/A</v>
      </c>
      <c r="AM506" s="67" t="str">
        <f>IFERROR(NETWORKDAYS(D506,Q506,Hoja1!$A$1:$A$29),"N/A")</f>
        <v>N/A</v>
      </c>
      <c r="AN506" s="21">
        <f>IFERROR(NETWORKDAYS(D506,AE506,Hoja1!$A$1:$A$29),"N/A")</f>
        <v>14</v>
      </c>
      <c r="AO506" s="78">
        <v>9</v>
      </c>
      <c r="AP506" s="21">
        <f t="shared" si="57"/>
        <v>5</v>
      </c>
      <c r="AQ506" s="21">
        <f>IFERROR(NETWORKDAYS(AF506,AG506,Hoja1!$A$1:$A$29),"N/A")</f>
        <v>5</v>
      </c>
      <c r="AR506" s="78">
        <v>0</v>
      </c>
      <c r="AS506" s="75">
        <f t="shared" si="58"/>
        <v>5</v>
      </c>
      <c r="AT506" s="21">
        <f>IFERROR(NETWORKDAYS(D506,AG506,Hoja1!$A$1:$A$29),"N/A")</f>
        <v>19</v>
      </c>
      <c r="AU506" s="21">
        <f t="shared" si="62"/>
        <v>10</v>
      </c>
      <c r="AV506" s="143" t="s">
        <v>104</v>
      </c>
      <c r="AW506" s="86" t="s">
        <v>1563</v>
      </c>
      <c r="AX506" s="111" t="s">
        <v>1376</v>
      </c>
      <c r="AY506" s="84"/>
      <c r="AZ506" s="84"/>
      <c r="BA506" s="84"/>
      <c r="BB506" s="84"/>
    </row>
    <row r="507" spans="1:54" ht="15" customHeight="1" x14ac:dyDescent="0.25">
      <c r="A507" s="95">
        <v>15987</v>
      </c>
      <c r="B507" s="188" t="s">
        <v>387</v>
      </c>
      <c r="C507" s="188" t="s">
        <v>387</v>
      </c>
      <c r="D507" s="16">
        <v>46100</v>
      </c>
      <c r="E507" s="116">
        <v>46079</v>
      </c>
      <c r="F507" s="143" t="s">
        <v>62</v>
      </c>
      <c r="G507" s="179" t="s">
        <v>71</v>
      </c>
      <c r="H507" s="179" t="s">
        <v>101</v>
      </c>
      <c r="I507" s="188" t="s">
        <v>1564</v>
      </c>
      <c r="J507" s="27" t="s">
        <v>142</v>
      </c>
      <c r="K507" s="111" t="s">
        <v>351</v>
      </c>
      <c r="L507" s="1">
        <v>1</v>
      </c>
      <c r="M507" s="111" t="s">
        <v>54</v>
      </c>
      <c r="N507" s="33" t="s">
        <v>55</v>
      </c>
      <c r="O507" s="33">
        <v>0</v>
      </c>
      <c r="P507" s="1"/>
      <c r="Q507" s="33" t="s">
        <v>55</v>
      </c>
      <c r="R507" s="33" t="s">
        <v>55</v>
      </c>
      <c r="S507" s="33">
        <v>0</v>
      </c>
      <c r="T507" s="33" t="s">
        <v>55</v>
      </c>
      <c r="U507" s="33" t="s">
        <v>55</v>
      </c>
      <c r="V507" s="33" t="s">
        <v>55</v>
      </c>
      <c r="W507" s="33" t="s">
        <v>55</v>
      </c>
      <c r="X507" s="33" t="s">
        <v>55</v>
      </c>
      <c r="Y507" s="33" t="s">
        <v>55</v>
      </c>
      <c r="Z507" s="33" t="s">
        <v>55</v>
      </c>
      <c r="AA507" s="33">
        <v>1</v>
      </c>
      <c r="AB507" s="33">
        <v>1</v>
      </c>
      <c r="AC507" s="33">
        <v>0</v>
      </c>
      <c r="AD507" s="53">
        <v>46106</v>
      </c>
      <c r="AE507" s="53">
        <v>46106</v>
      </c>
      <c r="AF507" s="53">
        <v>46106</v>
      </c>
      <c r="AG507" s="28">
        <v>46113</v>
      </c>
      <c r="AH507" s="53">
        <v>46118</v>
      </c>
      <c r="AI507" s="33">
        <f>MONTH(AH507)</f>
        <v>4</v>
      </c>
      <c r="AJ507" s="144" t="s">
        <v>1565</v>
      </c>
      <c r="AK507" s="114" t="s">
        <v>1566</v>
      </c>
      <c r="AL507" s="19" t="str">
        <f t="shared" si="59"/>
        <v>N/A</v>
      </c>
      <c r="AM507" s="67" t="str">
        <f>IFERROR(NETWORKDAYS(D507,Q507,Hoja1!$A$1:$A$29),"N/A")</f>
        <v>N/A</v>
      </c>
      <c r="AN507" s="21">
        <f>IFERROR(NETWORKDAYS(D507,AE507,Hoja1!$A$1:$A$29),"N/A")</f>
        <v>4</v>
      </c>
      <c r="AO507" s="78">
        <v>0</v>
      </c>
      <c r="AP507" s="21">
        <f t="shared" si="57"/>
        <v>4</v>
      </c>
      <c r="AQ507" s="21">
        <f>IFERROR(NETWORKDAYS(AF507,AG507,Hoja1!$A$1:$A$29),"N/A")</f>
        <v>6</v>
      </c>
      <c r="AR507" s="78">
        <v>1</v>
      </c>
      <c r="AS507" s="75">
        <f t="shared" si="58"/>
        <v>5</v>
      </c>
      <c r="AT507" s="21">
        <f>IFERROR(NETWORKDAYS(D507,AG507,Hoja1!$A$1:$A$29),"N/A")</f>
        <v>9</v>
      </c>
      <c r="AU507" s="21">
        <f t="shared" si="62"/>
        <v>8</v>
      </c>
      <c r="AV507" s="143" t="s">
        <v>104</v>
      </c>
      <c r="AW507" s="86" t="s">
        <v>1567</v>
      </c>
      <c r="AX507" s="87"/>
      <c r="AY507" s="87"/>
      <c r="AZ507" s="87"/>
      <c r="BA507" s="87"/>
      <c r="BB507" s="87"/>
    </row>
    <row r="508" spans="1:54" ht="15" customHeight="1" x14ac:dyDescent="0.25">
      <c r="A508" s="58">
        <v>15991</v>
      </c>
      <c r="B508" s="159" t="s">
        <v>69</v>
      </c>
      <c r="C508" s="84" t="s">
        <v>122</v>
      </c>
      <c r="D508" s="424">
        <v>46085</v>
      </c>
      <c r="E508" s="38">
        <v>46080</v>
      </c>
      <c r="F508" s="202" t="s">
        <v>62</v>
      </c>
      <c r="G508" s="48" t="s">
        <v>71</v>
      </c>
      <c r="H508" s="179" t="s">
        <v>101</v>
      </c>
      <c r="I508" s="27" t="s">
        <v>96</v>
      </c>
      <c r="J508" s="87" t="s">
        <v>73</v>
      </c>
      <c r="K508" s="48" t="s">
        <v>66</v>
      </c>
      <c r="L508" s="3">
        <v>1</v>
      </c>
      <c r="M508" s="111" t="s">
        <v>54</v>
      </c>
      <c r="N508" s="33" t="s">
        <v>55</v>
      </c>
      <c r="O508" s="33">
        <v>0</v>
      </c>
      <c r="P508" s="33"/>
      <c r="Q508" s="33" t="s">
        <v>55</v>
      </c>
      <c r="R508" s="33" t="s">
        <v>55</v>
      </c>
      <c r="S508" s="33">
        <v>0</v>
      </c>
      <c r="T508" s="33" t="s">
        <v>55</v>
      </c>
      <c r="U508" s="33" t="s">
        <v>55</v>
      </c>
      <c r="V508" s="33" t="s">
        <v>55</v>
      </c>
      <c r="W508" s="33" t="s">
        <v>55</v>
      </c>
      <c r="X508" s="33" t="s">
        <v>55</v>
      </c>
      <c r="Y508" s="33" t="s">
        <v>55</v>
      </c>
      <c r="Z508" s="33" t="s">
        <v>55</v>
      </c>
      <c r="AA508" s="33">
        <v>1</v>
      </c>
      <c r="AB508" s="33">
        <v>1</v>
      </c>
      <c r="AC508" s="33">
        <v>0</v>
      </c>
      <c r="AD508" s="16">
        <v>46092</v>
      </c>
      <c r="AE508" s="28">
        <v>46092</v>
      </c>
      <c r="AF508" s="28">
        <v>46092</v>
      </c>
      <c r="AG508" s="53">
        <v>46111</v>
      </c>
      <c r="AH508" s="53">
        <v>46118</v>
      </c>
      <c r="AI508" s="33">
        <v>4</v>
      </c>
      <c r="AJ508" s="144" t="s">
        <v>1568</v>
      </c>
      <c r="AK508" s="35" t="s">
        <v>1569</v>
      </c>
      <c r="AL508" s="19" t="str">
        <f t="shared" si="59"/>
        <v>N/A</v>
      </c>
      <c r="AM508" s="67" t="str">
        <f>IFERROR(NETWORKDAYS(D508,Q508,Hoja1!$A$1:$A$29),"N/A")</f>
        <v>N/A</v>
      </c>
      <c r="AN508" s="21">
        <f>IFERROR(NETWORKDAYS(D508,AE508,Hoja1!$A$1:$A$29),"N/A")</f>
        <v>6</v>
      </c>
      <c r="AO508" s="78">
        <v>0</v>
      </c>
      <c r="AP508" s="21">
        <f t="shared" si="57"/>
        <v>6</v>
      </c>
      <c r="AQ508" s="21">
        <f>IFERROR(NETWORKDAYS(AF508,AG508,Hoja1!$A$1:$A$29),"N/A")</f>
        <v>13</v>
      </c>
      <c r="AR508" s="78">
        <v>8</v>
      </c>
      <c r="AS508" s="75">
        <f t="shared" si="58"/>
        <v>5</v>
      </c>
      <c r="AT508" s="21">
        <f>IFERROR(NETWORKDAYS(D508,AG508,Hoja1!$A$1:$A$29),"N/A")</f>
        <v>18</v>
      </c>
      <c r="AU508" s="21">
        <f t="shared" si="62"/>
        <v>10</v>
      </c>
      <c r="AV508" s="143" t="s">
        <v>104</v>
      </c>
      <c r="AW508" s="86" t="s">
        <v>82</v>
      </c>
      <c r="AX508" s="87"/>
      <c r="AY508" s="87"/>
      <c r="AZ508" s="87"/>
      <c r="BA508" s="87"/>
      <c r="BB508" s="87"/>
    </row>
    <row r="509" spans="1:54" ht="15" customHeight="1" x14ac:dyDescent="0.25">
      <c r="A509" s="55">
        <v>15994</v>
      </c>
      <c r="B509" s="27" t="s">
        <v>79</v>
      </c>
      <c r="C509" s="27" t="s">
        <v>79</v>
      </c>
      <c r="D509" s="53">
        <v>46080</v>
      </c>
      <c r="E509" s="53">
        <v>46080</v>
      </c>
      <c r="F509" s="143" t="s">
        <v>90</v>
      </c>
      <c r="G509" s="159" t="s">
        <v>91</v>
      </c>
      <c r="H509" s="179" t="s">
        <v>51</v>
      </c>
      <c r="I509" s="159" t="s">
        <v>1570</v>
      </c>
      <c r="J509" s="111" t="s">
        <v>118</v>
      </c>
      <c r="K509" s="111" t="s">
        <v>171</v>
      </c>
      <c r="L509" s="2">
        <v>1</v>
      </c>
      <c r="M509" s="111" t="s">
        <v>54</v>
      </c>
      <c r="N509" s="21" t="s">
        <v>55</v>
      </c>
      <c r="O509" s="21">
        <v>9</v>
      </c>
      <c r="P509" s="21" t="s">
        <v>112</v>
      </c>
      <c r="Q509" s="53">
        <v>46092</v>
      </c>
      <c r="R509" s="53">
        <v>46097</v>
      </c>
      <c r="S509" s="21">
        <v>9</v>
      </c>
      <c r="T509" s="21" t="s">
        <v>55</v>
      </c>
      <c r="U509" s="21" t="s">
        <v>55</v>
      </c>
      <c r="V509" s="21" t="s">
        <v>55</v>
      </c>
      <c r="W509" s="21" t="s">
        <v>55</v>
      </c>
      <c r="X509" s="21" t="s">
        <v>55</v>
      </c>
      <c r="Y509" s="21" t="s">
        <v>55</v>
      </c>
      <c r="Z509" s="21" t="s">
        <v>55</v>
      </c>
      <c r="AA509" s="21">
        <v>9</v>
      </c>
      <c r="AB509" s="21">
        <v>1</v>
      </c>
      <c r="AC509" s="21">
        <v>0</v>
      </c>
      <c r="AD509" s="53">
        <v>46097</v>
      </c>
      <c r="AE509" s="53">
        <v>46097</v>
      </c>
      <c r="AF509" s="53">
        <v>46102</v>
      </c>
      <c r="AG509" s="28">
        <v>46112</v>
      </c>
      <c r="AH509" s="53">
        <v>46118</v>
      </c>
      <c r="AI509" s="21">
        <v>4</v>
      </c>
      <c r="AJ509" s="159" t="s">
        <v>1571</v>
      </c>
      <c r="AK509" s="111" t="s">
        <v>1572</v>
      </c>
      <c r="AL509" s="19">
        <f t="shared" si="59"/>
        <v>1</v>
      </c>
      <c r="AM509" s="67">
        <f>IFERROR(NETWORKDAYS(D509,Q509,Hoja1!$A$1:$A$29),"N/A")</f>
        <v>9</v>
      </c>
      <c r="AN509" s="21">
        <f>IFERROR(NETWORKDAYS(D509,AE509,Hoja1!$A$1:$A$29),"N/A")</f>
        <v>12</v>
      </c>
      <c r="AO509" s="78">
        <v>0</v>
      </c>
      <c r="AP509" s="21">
        <f t="shared" ref="AP509:AP572" si="63">AN509-AO509</f>
        <v>12</v>
      </c>
      <c r="AQ509" s="21">
        <f>IFERROR(NETWORKDAYS(AF509,AG509,Hoja1!$A$1:$A$29),"N/A")</f>
        <v>6</v>
      </c>
      <c r="AR509" s="78">
        <v>0</v>
      </c>
      <c r="AS509" s="75">
        <f t="shared" ref="AS509:AS572" si="64">AQ509-AR509</f>
        <v>6</v>
      </c>
      <c r="AT509" s="21">
        <f>IFERROR(NETWORKDAYS(D509,AG509,Hoja1!$A$1:$A$29),"N/A")</f>
        <v>22</v>
      </c>
      <c r="AU509" s="21">
        <f t="shared" si="62"/>
        <v>22</v>
      </c>
      <c r="AV509" s="143" t="s">
        <v>127</v>
      </c>
      <c r="AW509" s="86" t="s">
        <v>1013</v>
      </c>
      <c r="AX509" s="87"/>
      <c r="AY509" s="87"/>
      <c r="AZ509" s="87"/>
      <c r="BA509" s="87"/>
      <c r="BB509" s="87"/>
    </row>
    <row r="510" spans="1:54" ht="15" customHeight="1" x14ac:dyDescent="0.25">
      <c r="A510" s="55">
        <v>16000</v>
      </c>
      <c r="B510" s="84" t="s">
        <v>85</v>
      </c>
      <c r="C510" s="84" t="s">
        <v>85</v>
      </c>
      <c r="D510" s="421">
        <v>46080</v>
      </c>
      <c r="E510" s="28">
        <v>46080</v>
      </c>
      <c r="F510" s="202" t="s">
        <v>879</v>
      </c>
      <c r="G510" s="87" t="s">
        <v>632</v>
      </c>
      <c r="H510" s="179" t="s">
        <v>51</v>
      </c>
      <c r="I510" s="27" t="s">
        <v>72</v>
      </c>
      <c r="J510" s="87" t="s">
        <v>73</v>
      </c>
      <c r="K510" s="87" t="s">
        <v>53</v>
      </c>
      <c r="L510" s="3">
        <v>1</v>
      </c>
      <c r="M510" s="111" t="s">
        <v>54</v>
      </c>
      <c r="N510" s="33" t="s">
        <v>55</v>
      </c>
      <c r="O510" s="33">
        <v>4</v>
      </c>
      <c r="P510" s="21" t="s">
        <v>112</v>
      </c>
      <c r="Q510" s="28">
        <v>46092</v>
      </c>
      <c r="R510" s="28">
        <v>46092</v>
      </c>
      <c r="S510" s="33">
        <v>4</v>
      </c>
      <c r="T510" s="33" t="s">
        <v>55</v>
      </c>
      <c r="U510" s="33" t="s">
        <v>55</v>
      </c>
      <c r="V510" s="33" t="s">
        <v>55</v>
      </c>
      <c r="W510" s="33" t="s">
        <v>55</v>
      </c>
      <c r="X510" s="33" t="s">
        <v>55</v>
      </c>
      <c r="Y510" s="33" t="s">
        <v>55</v>
      </c>
      <c r="Z510" s="21" t="s">
        <v>55</v>
      </c>
      <c r="AA510" s="33">
        <v>3</v>
      </c>
      <c r="AB510" s="33">
        <v>3</v>
      </c>
      <c r="AC510" s="33">
        <v>0</v>
      </c>
      <c r="AD510" s="53">
        <v>46106</v>
      </c>
      <c r="AE510" s="53">
        <v>46106</v>
      </c>
      <c r="AF510" s="28">
        <v>46107</v>
      </c>
      <c r="AG510" s="28">
        <v>46127</v>
      </c>
      <c r="AH510" s="180">
        <v>46127</v>
      </c>
      <c r="AI510" s="21">
        <v>4</v>
      </c>
      <c r="AJ510" s="87" t="s">
        <v>1573</v>
      </c>
      <c r="AK510" s="48" t="s">
        <v>1574</v>
      </c>
      <c r="AL510" s="19">
        <f t="shared" si="59"/>
        <v>1</v>
      </c>
      <c r="AM510" s="67">
        <f>IFERROR(NETWORKDAYS(D510,Q510,Hoja1!$A$1:$A$29),"N/A")</f>
        <v>9</v>
      </c>
      <c r="AN510" s="21">
        <f>IFERROR(NETWORKDAYS(D510,AE510,Hoja1!$A$1:$A$29),"N/A")</f>
        <v>18</v>
      </c>
      <c r="AO510" s="78">
        <v>0</v>
      </c>
      <c r="AP510" s="21">
        <f t="shared" si="63"/>
        <v>18</v>
      </c>
      <c r="AQ510" s="21">
        <f>IFERROR(NETWORKDAYS(AF510,AG510,Hoja1!$A$1:$A$29),"N/A")</f>
        <v>13</v>
      </c>
      <c r="AR510" s="78">
        <v>0</v>
      </c>
      <c r="AS510" s="75">
        <f t="shared" si="64"/>
        <v>13</v>
      </c>
      <c r="AT510" s="21">
        <f>IFERROR(NETWORKDAYS(D510,AG510,Hoja1!$A$1:$A$29),"N/A")</f>
        <v>31</v>
      </c>
      <c r="AU510" s="21">
        <f t="shared" si="62"/>
        <v>31</v>
      </c>
      <c r="AV510" s="143" t="s">
        <v>417</v>
      </c>
      <c r="AW510" s="86" t="s">
        <v>82</v>
      </c>
      <c r="AX510" s="87"/>
      <c r="AY510" s="87"/>
      <c r="AZ510" s="87"/>
      <c r="BA510" s="87"/>
      <c r="BB510" s="87"/>
    </row>
    <row r="511" spans="1:54" ht="15" customHeight="1" x14ac:dyDescent="0.25">
      <c r="A511" s="55">
        <v>16019</v>
      </c>
      <c r="B511" s="84" t="s">
        <v>85</v>
      </c>
      <c r="C511" s="84" t="s">
        <v>85</v>
      </c>
      <c r="D511" s="116">
        <v>46083</v>
      </c>
      <c r="E511" s="116">
        <v>46083</v>
      </c>
      <c r="F511" s="232" t="s">
        <v>62</v>
      </c>
      <c r="G511" s="87" t="s">
        <v>80</v>
      </c>
      <c r="H511" s="179" t="s">
        <v>51</v>
      </c>
      <c r="I511" s="188" t="s">
        <v>516</v>
      </c>
      <c r="J511" s="111" t="s">
        <v>52</v>
      </c>
      <c r="K511" s="87" t="s">
        <v>1401</v>
      </c>
      <c r="L511" s="3">
        <v>1</v>
      </c>
      <c r="M511" s="111" t="s">
        <v>54</v>
      </c>
      <c r="N511" s="33" t="s">
        <v>55</v>
      </c>
      <c r="O511" s="33">
        <v>3</v>
      </c>
      <c r="P511" s="21" t="s">
        <v>112</v>
      </c>
      <c r="Q511" s="16">
        <v>46090</v>
      </c>
      <c r="R511" s="53">
        <v>46091</v>
      </c>
      <c r="S511" s="33">
        <v>3</v>
      </c>
      <c r="T511" s="33" t="s">
        <v>55</v>
      </c>
      <c r="U511" s="33" t="s">
        <v>55</v>
      </c>
      <c r="V511" s="33" t="s">
        <v>55</v>
      </c>
      <c r="W511" s="33" t="s">
        <v>55</v>
      </c>
      <c r="X511" s="33" t="s">
        <v>55</v>
      </c>
      <c r="Y511" s="33" t="s">
        <v>55</v>
      </c>
      <c r="Z511" s="21" t="s">
        <v>55</v>
      </c>
      <c r="AA511" s="33">
        <v>2</v>
      </c>
      <c r="AB511" s="33">
        <v>1</v>
      </c>
      <c r="AC511" s="33">
        <v>0</v>
      </c>
      <c r="AD511" s="53">
        <v>46097</v>
      </c>
      <c r="AE511" s="53">
        <v>46097</v>
      </c>
      <c r="AF511" s="28">
        <v>46100</v>
      </c>
      <c r="AG511" s="28">
        <v>46112</v>
      </c>
      <c r="AH511" s="53">
        <v>46118</v>
      </c>
      <c r="AI511" s="33">
        <v>4</v>
      </c>
      <c r="AJ511" s="144" t="s">
        <v>1575</v>
      </c>
      <c r="AK511" s="45" t="s">
        <v>1576</v>
      </c>
      <c r="AL511" s="19">
        <f t="shared" si="59"/>
        <v>1</v>
      </c>
      <c r="AM511" s="67">
        <f>IFERROR(NETWORKDAYS(D511,Q511,Hoja1!$A$1:$A$29),"N/A")</f>
        <v>6</v>
      </c>
      <c r="AN511" s="21">
        <f>IFERROR(NETWORKDAYS(D511,AE511,Hoja1!$A$1:$A$29),"N/A")</f>
        <v>11</v>
      </c>
      <c r="AO511" s="78">
        <v>0</v>
      </c>
      <c r="AP511" s="21">
        <f t="shared" si="63"/>
        <v>11</v>
      </c>
      <c r="AQ511" s="21">
        <f>IFERROR(NETWORKDAYS(AF511,AG511,Hoja1!$A$1:$A$29),"N/A")</f>
        <v>8</v>
      </c>
      <c r="AR511" s="78">
        <v>3</v>
      </c>
      <c r="AS511" s="75">
        <f t="shared" si="64"/>
        <v>5</v>
      </c>
      <c r="AT511" s="21">
        <f>IFERROR(NETWORKDAYS(D511,AG511,Hoja1!$A$1:$A$29),"N/A")</f>
        <v>21</v>
      </c>
      <c r="AU511" s="21">
        <f t="shared" si="62"/>
        <v>18</v>
      </c>
      <c r="AV511" s="143" t="s">
        <v>127</v>
      </c>
      <c r="AW511" s="86" t="s">
        <v>661</v>
      </c>
      <c r="AX511" s="87"/>
      <c r="AY511" s="87"/>
      <c r="AZ511" s="87"/>
      <c r="BA511" s="87"/>
      <c r="BB511" s="87"/>
    </row>
    <row r="512" spans="1:54" ht="15" customHeight="1" x14ac:dyDescent="0.25">
      <c r="A512" s="95">
        <v>16020</v>
      </c>
      <c r="B512" s="84" t="s">
        <v>85</v>
      </c>
      <c r="C512" s="84" t="s">
        <v>85</v>
      </c>
      <c r="D512" s="435">
        <v>46083</v>
      </c>
      <c r="E512" s="116">
        <v>46083</v>
      </c>
      <c r="F512" s="143" t="s">
        <v>62</v>
      </c>
      <c r="G512" s="179" t="s">
        <v>80</v>
      </c>
      <c r="H512" s="179" t="s">
        <v>51</v>
      </c>
      <c r="I512" s="188" t="s">
        <v>516</v>
      </c>
      <c r="J512" s="111" t="s">
        <v>52</v>
      </c>
      <c r="K512" s="111" t="s">
        <v>351</v>
      </c>
      <c r="L512" s="1">
        <v>1</v>
      </c>
      <c r="M512" s="111" t="s">
        <v>54</v>
      </c>
      <c r="N512" s="33" t="s">
        <v>55</v>
      </c>
      <c r="O512" s="33">
        <v>2</v>
      </c>
      <c r="P512" s="21" t="s">
        <v>112</v>
      </c>
      <c r="Q512" s="28">
        <v>46090</v>
      </c>
      <c r="R512" s="28">
        <v>46098</v>
      </c>
      <c r="S512" s="33">
        <v>2</v>
      </c>
      <c r="T512" s="33" t="s">
        <v>55</v>
      </c>
      <c r="U512" s="33" t="s">
        <v>55</v>
      </c>
      <c r="V512" s="33" t="s">
        <v>55</v>
      </c>
      <c r="W512" s="33" t="s">
        <v>55</v>
      </c>
      <c r="X512" s="33" t="s">
        <v>55</v>
      </c>
      <c r="Y512" s="33" t="s">
        <v>55</v>
      </c>
      <c r="Z512" s="21" t="s">
        <v>55</v>
      </c>
      <c r="AA512" s="33">
        <v>1</v>
      </c>
      <c r="AB512" s="33">
        <v>1</v>
      </c>
      <c r="AC512" s="33">
        <v>0</v>
      </c>
      <c r="AD512" s="38">
        <v>46101</v>
      </c>
      <c r="AE512" s="38">
        <v>46101</v>
      </c>
      <c r="AF512" s="180">
        <v>46105</v>
      </c>
      <c r="AG512" s="28">
        <v>46113</v>
      </c>
      <c r="AH512" s="53">
        <v>46118</v>
      </c>
      <c r="AI512" s="33">
        <f>MONTH(AH512)</f>
        <v>4</v>
      </c>
      <c r="AJ512" s="144" t="s">
        <v>1577</v>
      </c>
      <c r="AK512" s="114" t="s">
        <v>1578</v>
      </c>
      <c r="AL512" s="19">
        <f t="shared" si="59"/>
        <v>1</v>
      </c>
      <c r="AM512" s="67">
        <f>IFERROR(NETWORKDAYS(D512,Q512,Hoja1!$A$1:$A$29),"N/A")</f>
        <v>6</v>
      </c>
      <c r="AN512" s="21">
        <f>IFERROR(NETWORKDAYS(D512,AE512,Hoja1!$A$1:$A$29),"N/A")</f>
        <v>15</v>
      </c>
      <c r="AO512" s="78">
        <v>0</v>
      </c>
      <c r="AP512" s="21">
        <f t="shared" si="63"/>
        <v>15</v>
      </c>
      <c r="AQ512" s="21">
        <f>IFERROR(NETWORKDAYS(AF512,AG512,Hoja1!$A$1:$A$29),"N/A")</f>
        <v>7</v>
      </c>
      <c r="AR512" s="78">
        <v>2</v>
      </c>
      <c r="AS512" s="75">
        <f t="shared" si="64"/>
        <v>5</v>
      </c>
      <c r="AT512" s="21">
        <f>IFERROR(NETWORKDAYS(D512,AG512,Hoja1!$A$1:$A$29),"N/A")</f>
        <v>22</v>
      </c>
      <c r="AU512" s="21">
        <f t="shared" si="62"/>
        <v>20</v>
      </c>
      <c r="AV512" s="143" t="s">
        <v>59</v>
      </c>
      <c r="AW512" s="86" t="s">
        <v>784</v>
      </c>
      <c r="AX512" s="87"/>
      <c r="AY512" s="87"/>
      <c r="AZ512" s="87"/>
      <c r="BA512" s="87"/>
      <c r="BB512" s="87"/>
    </row>
    <row r="513" spans="1:54" ht="15" customHeight="1" x14ac:dyDescent="0.25">
      <c r="A513" s="55">
        <v>16025</v>
      </c>
      <c r="B513" s="159" t="s">
        <v>69</v>
      </c>
      <c r="C513" s="43" t="s">
        <v>98</v>
      </c>
      <c r="D513" s="28">
        <v>46107</v>
      </c>
      <c r="E513" s="28">
        <v>46083</v>
      </c>
      <c r="F513" s="202" t="s">
        <v>879</v>
      </c>
      <c r="G513" s="87" t="s">
        <v>884</v>
      </c>
      <c r="H513" s="179" t="s">
        <v>51</v>
      </c>
      <c r="I513" s="159" t="s">
        <v>885</v>
      </c>
      <c r="J513" s="111" t="s">
        <v>52</v>
      </c>
      <c r="K513" s="87" t="s">
        <v>53</v>
      </c>
      <c r="L513" s="3">
        <v>1</v>
      </c>
      <c r="M513" s="111" t="s">
        <v>54</v>
      </c>
      <c r="N513" s="33" t="s">
        <v>55</v>
      </c>
      <c r="O513" s="33">
        <v>7</v>
      </c>
      <c r="P513" s="21" t="s">
        <v>56</v>
      </c>
      <c r="Q513" s="16">
        <v>46108</v>
      </c>
      <c r="R513" s="16">
        <v>46108</v>
      </c>
      <c r="S513" s="33">
        <v>7</v>
      </c>
      <c r="T513" s="33" t="s">
        <v>55</v>
      </c>
      <c r="U513" s="33" t="s">
        <v>55</v>
      </c>
      <c r="V513" s="33" t="s">
        <v>55</v>
      </c>
      <c r="W513" s="33" t="s">
        <v>55</v>
      </c>
      <c r="X513" s="33" t="s">
        <v>55</v>
      </c>
      <c r="Y513" s="33" t="s">
        <v>55</v>
      </c>
      <c r="Z513" s="21" t="s">
        <v>55</v>
      </c>
      <c r="AA513" s="33">
        <v>2</v>
      </c>
      <c r="AB513" s="33">
        <v>2</v>
      </c>
      <c r="AC513" s="33">
        <v>0</v>
      </c>
      <c r="AD513" s="28">
        <v>46112</v>
      </c>
      <c r="AE513" s="28">
        <v>46127</v>
      </c>
      <c r="AF513" s="28">
        <v>46127</v>
      </c>
      <c r="AG513" s="28">
        <v>46139</v>
      </c>
      <c r="AH513" s="53">
        <v>46139</v>
      </c>
      <c r="AI513" s="21">
        <v>4</v>
      </c>
      <c r="AJ513" s="87" t="s">
        <v>1579</v>
      </c>
      <c r="AK513" s="48" t="s">
        <v>1580</v>
      </c>
      <c r="AL513" s="19">
        <f t="shared" si="59"/>
        <v>1</v>
      </c>
      <c r="AM513" s="67">
        <f>IFERROR(NETWORKDAYS(D513,Q513,Hoja1!$A$1:$A$29),"N/A")</f>
        <v>2</v>
      </c>
      <c r="AN513" s="21">
        <f>IFERROR(NETWORKDAYS(D513,AE513,Hoja1!$A$1:$A$29),"N/A")</f>
        <v>13</v>
      </c>
      <c r="AO513" s="78">
        <v>0</v>
      </c>
      <c r="AP513" s="21">
        <f t="shared" si="63"/>
        <v>13</v>
      </c>
      <c r="AQ513" s="21">
        <f>IFERROR(NETWORKDAYS(AF513,AG513,Hoja1!$A$1:$A$29),"N/A")</f>
        <v>9</v>
      </c>
      <c r="AR513" s="78">
        <v>0</v>
      </c>
      <c r="AS513" s="75">
        <f t="shared" si="64"/>
        <v>9</v>
      </c>
      <c r="AT513" s="21">
        <f>IFERROR(NETWORKDAYS(D513,AG513,Hoja1!$A$1:$A$29),"N/A")</f>
        <v>21</v>
      </c>
      <c r="AU513" s="21">
        <f t="shared" si="62"/>
        <v>21</v>
      </c>
      <c r="AV513" s="143" t="s">
        <v>59</v>
      </c>
      <c r="AW513" s="86" t="s">
        <v>1581</v>
      </c>
      <c r="AX513" s="87" t="s">
        <v>1582</v>
      </c>
      <c r="AY513" s="87"/>
      <c r="AZ513" s="87"/>
      <c r="BA513" s="87"/>
      <c r="BB513" s="87"/>
    </row>
    <row r="514" spans="1:54" ht="15" customHeight="1" x14ac:dyDescent="0.25">
      <c r="A514" s="55">
        <v>16030</v>
      </c>
      <c r="B514" s="84" t="s">
        <v>85</v>
      </c>
      <c r="C514" s="84" t="s">
        <v>85</v>
      </c>
      <c r="D514" s="434">
        <v>46083</v>
      </c>
      <c r="E514" s="53">
        <v>46083</v>
      </c>
      <c r="F514" s="143" t="s">
        <v>90</v>
      </c>
      <c r="G514" s="159" t="s">
        <v>91</v>
      </c>
      <c r="H514" s="179" t="s">
        <v>51</v>
      </c>
      <c r="I514" s="159" t="s">
        <v>276</v>
      </c>
      <c r="J514" s="111" t="s">
        <v>52</v>
      </c>
      <c r="K514" s="111" t="s">
        <v>171</v>
      </c>
      <c r="L514" s="2">
        <v>1</v>
      </c>
      <c r="M514" s="111" t="s">
        <v>54</v>
      </c>
      <c r="N514" s="21" t="s">
        <v>55</v>
      </c>
      <c r="O514" s="21">
        <v>3</v>
      </c>
      <c r="P514" s="21" t="s">
        <v>112</v>
      </c>
      <c r="Q514" s="53">
        <v>46085</v>
      </c>
      <c r="R514" s="53">
        <v>46086</v>
      </c>
      <c r="S514" s="21">
        <v>3</v>
      </c>
      <c r="T514" s="21" t="s">
        <v>55</v>
      </c>
      <c r="U514" s="21" t="s">
        <v>55</v>
      </c>
      <c r="V514" s="21" t="s">
        <v>55</v>
      </c>
      <c r="W514" s="21" t="s">
        <v>55</v>
      </c>
      <c r="X514" s="21" t="s">
        <v>55</v>
      </c>
      <c r="Y514" s="21" t="s">
        <v>55</v>
      </c>
      <c r="Z514" s="21" t="s">
        <v>55</v>
      </c>
      <c r="AA514" s="21">
        <v>3</v>
      </c>
      <c r="AB514" s="21">
        <v>1</v>
      </c>
      <c r="AC514" s="21">
        <v>0</v>
      </c>
      <c r="AD514" s="53">
        <v>46091</v>
      </c>
      <c r="AE514" s="53">
        <v>46093</v>
      </c>
      <c r="AF514" s="53">
        <v>46097</v>
      </c>
      <c r="AG514" s="53">
        <v>46113</v>
      </c>
      <c r="AH514" s="53">
        <v>46118</v>
      </c>
      <c r="AI514" s="21">
        <v>4</v>
      </c>
      <c r="AJ514" s="159" t="s">
        <v>1583</v>
      </c>
      <c r="AK514" s="111" t="s">
        <v>1584</v>
      </c>
      <c r="AL514" s="19">
        <f t="shared" si="59"/>
        <v>1</v>
      </c>
      <c r="AM514" s="67">
        <f>IFERROR(NETWORKDAYS(D514,Q514,Hoja1!$A$1:$A$29),"N/A")</f>
        <v>3</v>
      </c>
      <c r="AN514" s="21">
        <f>IFERROR(NETWORKDAYS(D514,AE514,Hoja1!$A$1:$A$29),"N/A")</f>
        <v>9</v>
      </c>
      <c r="AO514" s="78">
        <v>0</v>
      </c>
      <c r="AP514" s="21">
        <f t="shared" si="63"/>
        <v>9</v>
      </c>
      <c r="AQ514" s="21">
        <f>IFERROR(NETWORKDAYS(AF514,AG514,Hoja1!$A$1:$A$29),"N/A")</f>
        <v>12</v>
      </c>
      <c r="AR514" s="78">
        <v>0</v>
      </c>
      <c r="AS514" s="75">
        <f t="shared" si="64"/>
        <v>12</v>
      </c>
      <c r="AT514" s="21">
        <f>IFERROR(NETWORKDAYS(D514,AG514,Hoja1!$A$1:$A$29),"N/A")</f>
        <v>22</v>
      </c>
      <c r="AU514" s="21">
        <f t="shared" si="62"/>
        <v>22</v>
      </c>
      <c r="AV514" s="143" t="s">
        <v>127</v>
      </c>
      <c r="AW514" s="86" t="s">
        <v>1585</v>
      </c>
      <c r="AX514" s="87"/>
      <c r="AY514" s="87"/>
      <c r="AZ514" s="87"/>
      <c r="BA514" s="87"/>
      <c r="BB514" s="87"/>
    </row>
    <row r="515" spans="1:54" ht="15" customHeight="1" x14ac:dyDescent="0.25">
      <c r="A515" s="95">
        <v>16033</v>
      </c>
      <c r="B515" s="84" t="s">
        <v>85</v>
      </c>
      <c r="C515" s="84" t="s">
        <v>85</v>
      </c>
      <c r="D515" s="116">
        <v>46084</v>
      </c>
      <c r="E515" s="116">
        <v>46083</v>
      </c>
      <c r="F515" s="84" t="s">
        <v>62</v>
      </c>
      <c r="G515" s="84" t="s">
        <v>71</v>
      </c>
      <c r="H515" s="179" t="s">
        <v>116</v>
      </c>
      <c r="I515" s="240" t="s">
        <v>1586</v>
      </c>
      <c r="J515" s="27" t="s">
        <v>118</v>
      </c>
      <c r="K515" s="84" t="s">
        <v>66</v>
      </c>
      <c r="L515" s="33">
        <v>1</v>
      </c>
      <c r="M515" s="111" t="s">
        <v>54</v>
      </c>
      <c r="N515" s="33" t="s">
        <v>55</v>
      </c>
      <c r="O515" s="33">
        <v>5</v>
      </c>
      <c r="P515" s="21" t="s">
        <v>56</v>
      </c>
      <c r="Q515" s="53">
        <v>46098</v>
      </c>
      <c r="R515" s="53">
        <v>46098</v>
      </c>
      <c r="S515" s="33">
        <v>5</v>
      </c>
      <c r="T515" s="33" t="s">
        <v>55</v>
      </c>
      <c r="U515" s="28">
        <v>46091</v>
      </c>
      <c r="V515" s="28">
        <v>46097</v>
      </c>
      <c r="W515" s="33" t="s">
        <v>55</v>
      </c>
      <c r="X515" s="33" t="s">
        <v>55</v>
      </c>
      <c r="Y515" s="33" t="s">
        <v>55</v>
      </c>
      <c r="Z515" s="33" t="s">
        <v>55</v>
      </c>
      <c r="AA515" s="33">
        <v>2</v>
      </c>
      <c r="AB515" s="33">
        <v>2</v>
      </c>
      <c r="AC515" s="33">
        <v>0</v>
      </c>
      <c r="AD515" s="28">
        <v>46120</v>
      </c>
      <c r="AE515" s="28">
        <v>46120</v>
      </c>
      <c r="AF515" s="28">
        <v>46120</v>
      </c>
      <c r="AG515" s="180">
        <v>46126</v>
      </c>
      <c r="AH515" s="180">
        <v>46127</v>
      </c>
      <c r="AI515" s="33">
        <v>4</v>
      </c>
      <c r="AJ515" s="144" t="s">
        <v>1587</v>
      </c>
      <c r="AK515" s="35" t="s">
        <v>1588</v>
      </c>
      <c r="AL515" s="19">
        <f t="shared" ref="AL515:AL578" si="65">IFERROR(S515/O515,"N/A")</f>
        <v>1</v>
      </c>
      <c r="AM515" s="67">
        <f>IFERROR(NETWORKDAYS(D515,Q515,Hoja1!$A$1:$A$29),"N/A")</f>
        <v>11</v>
      </c>
      <c r="AN515" s="21">
        <f>IFERROR(NETWORKDAYS(D515,AE515,Hoja1!$A$1:$A$29),"N/A")</f>
        <v>24</v>
      </c>
      <c r="AO515" s="78">
        <v>0</v>
      </c>
      <c r="AP515" s="21">
        <f t="shared" si="63"/>
        <v>24</v>
      </c>
      <c r="AQ515" s="21">
        <f>IFERROR(NETWORKDAYS(AF515,AG515,Hoja1!$A$1:$A$29),"N/A")</f>
        <v>5</v>
      </c>
      <c r="AR515" s="78">
        <v>0</v>
      </c>
      <c r="AS515" s="75">
        <f t="shared" si="64"/>
        <v>5</v>
      </c>
      <c r="AT515" s="21">
        <f>IFERROR(NETWORKDAYS(D515,AG515,Hoja1!$A$1:$A$29),"N/A")</f>
        <v>28</v>
      </c>
      <c r="AU515" s="21">
        <f t="shared" si="62"/>
        <v>28</v>
      </c>
      <c r="AV515" s="143" t="s">
        <v>145</v>
      </c>
      <c r="AW515" s="86" t="s">
        <v>1589</v>
      </c>
      <c r="AX515" s="87"/>
      <c r="AY515" s="87"/>
      <c r="AZ515" s="87"/>
      <c r="BA515" s="87"/>
      <c r="BB515" s="87"/>
    </row>
    <row r="516" spans="1:54" ht="15" customHeight="1" x14ac:dyDescent="0.25">
      <c r="A516" s="95">
        <v>16034</v>
      </c>
      <c r="B516" s="48" t="s">
        <v>169</v>
      </c>
      <c r="C516" s="48" t="s">
        <v>169</v>
      </c>
      <c r="D516" s="435">
        <v>46094</v>
      </c>
      <c r="E516" s="116">
        <v>46083</v>
      </c>
      <c r="F516" s="143" t="s">
        <v>62</v>
      </c>
      <c r="G516" s="179" t="s">
        <v>80</v>
      </c>
      <c r="H516" s="179" t="s">
        <v>101</v>
      </c>
      <c r="I516" s="188" t="s">
        <v>487</v>
      </c>
      <c r="J516" s="111" t="s">
        <v>105</v>
      </c>
      <c r="K516" s="111" t="s">
        <v>351</v>
      </c>
      <c r="L516" s="1">
        <v>1</v>
      </c>
      <c r="M516" s="111" t="s">
        <v>54</v>
      </c>
      <c r="N516" s="33" t="s">
        <v>55</v>
      </c>
      <c r="O516" s="33">
        <v>0</v>
      </c>
      <c r="P516" s="1"/>
      <c r="Q516" s="33" t="s">
        <v>55</v>
      </c>
      <c r="R516" s="33" t="s">
        <v>55</v>
      </c>
      <c r="S516" s="33">
        <v>0</v>
      </c>
      <c r="T516" s="33" t="s">
        <v>55</v>
      </c>
      <c r="U516" s="33" t="s">
        <v>55</v>
      </c>
      <c r="V516" s="33" t="s">
        <v>55</v>
      </c>
      <c r="W516" s="33" t="s">
        <v>55</v>
      </c>
      <c r="X516" s="33" t="s">
        <v>55</v>
      </c>
      <c r="Y516" s="33" t="s">
        <v>55</v>
      </c>
      <c r="Z516" s="33" t="s">
        <v>55</v>
      </c>
      <c r="AA516" s="33">
        <v>1</v>
      </c>
      <c r="AB516" s="33">
        <v>1</v>
      </c>
      <c r="AC516" s="33">
        <v>0</v>
      </c>
      <c r="AD516" s="38">
        <v>46100</v>
      </c>
      <c r="AE516" s="180">
        <v>46105</v>
      </c>
      <c r="AF516" s="28">
        <v>46106</v>
      </c>
      <c r="AG516" s="28">
        <v>46113</v>
      </c>
      <c r="AH516" s="53">
        <v>46118</v>
      </c>
      <c r="AI516" s="33">
        <f>MONTH(AH516)</f>
        <v>4</v>
      </c>
      <c r="AJ516" s="144" t="s">
        <v>1590</v>
      </c>
      <c r="AK516" s="114" t="s">
        <v>1591</v>
      </c>
      <c r="AL516" s="19" t="str">
        <f t="shared" si="65"/>
        <v>N/A</v>
      </c>
      <c r="AM516" s="67" t="str">
        <f>IFERROR(NETWORKDAYS(D516,Q516,Hoja1!$A$1:$A$29),"N/A")</f>
        <v>N/A</v>
      </c>
      <c r="AN516" s="21">
        <f>IFERROR(NETWORKDAYS(D516,AE516,Hoja1!$A$1:$A$29),"N/A")</f>
        <v>7</v>
      </c>
      <c r="AO516" s="78">
        <v>2</v>
      </c>
      <c r="AP516" s="21">
        <f t="shared" si="63"/>
        <v>5</v>
      </c>
      <c r="AQ516" s="21">
        <f>IFERROR(NETWORKDAYS(AF516,AG516,Hoja1!$A$1:$A$29),"N/A")</f>
        <v>6</v>
      </c>
      <c r="AR516" s="78">
        <v>1</v>
      </c>
      <c r="AS516" s="75">
        <f t="shared" si="64"/>
        <v>5</v>
      </c>
      <c r="AT516" s="21">
        <f>IFERROR(NETWORKDAYS(D516,AG516,Hoja1!$A$1:$A$29),"N/A")</f>
        <v>13</v>
      </c>
      <c r="AU516" s="21">
        <f t="shared" si="62"/>
        <v>10</v>
      </c>
      <c r="AV516" s="143" t="s">
        <v>104</v>
      </c>
      <c r="AW516" s="86" t="s">
        <v>500</v>
      </c>
      <c r="AX516" s="87"/>
      <c r="AY516" s="87"/>
      <c r="AZ516" s="87"/>
      <c r="BA516" s="87"/>
      <c r="BB516" s="87"/>
    </row>
    <row r="517" spans="1:54" ht="15" customHeight="1" x14ac:dyDescent="0.25">
      <c r="A517" s="95">
        <v>16035</v>
      </c>
      <c r="B517" s="48" t="s">
        <v>169</v>
      </c>
      <c r="C517" s="48" t="s">
        <v>169</v>
      </c>
      <c r="D517" s="116">
        <v>46098</v>
      </c>
      <c r="E517" s="116">
        <v>46083</v>
      </c>
      <c r="F517" s="143" t="s">
        <v>62</v>
      </c>
      <c r="G517" s="179" t="s">
        <v>80</v>
      </c>
      <c r="H517" s="179" t="s">
        <v>101</v>
      </c>
      <c r="I517" s="111" t="s">
        <v>872</v>
      </c>
      <c r="J517" s="87" t="s">
        <v>105</v>
      </c>
      <c r="K517" s="111" t="s">
        <v>351</v>
      </c>
      <c r="L517" s="1">
        <v>1</v>
      </c>
      <c r="M517" s="111" t="s">
        <v>54</v>
      </c>
      <c r="N517" s="33" t="s">
        <v>55</v>
      </c>
      <c r="O517" s="33">
        <v>0</v>
      </c>
      <c r="P517" s="1"/>
      <c r="Q517" s="33" t="s">
        <v>55</v>
      </c>
      <c r="R517" s="33" t="s">
        <v>55</v>
      </c>
      <c r="S517" s="33">
        <v>0</v>
      </c>
      <c r="T517" s="33" t="s">
        <v>55</v>
      </c>
      <c r="U517" s="33" t="s">
        <v>55</v>
      </c>
      <c r="V517" s="33" t="s">
        <v>55</v>
      </c>
      <c r="W517" s="33" t="s">
        <v>55</v>
      </c>
      <c r="X517" s="33" t="s">
        <v>55</v>
      </c>
      <c r="Y517" s="33" t="s">
        <v>55</v>
      </c>
      <c r="Z517" s="33" t="s">
        <v>55</v>
      </c>
      <c r="AA517" s="33">
        <v>1</v>
      </c>
      <c r="AB517" s="33">
        <v>1</v>
      </c>
      <c r="AC517" s="33">
        <v>0</v>
      </c>
      <c r="AD517" s="38">
        <v>46104</v>
      </c>
      <c r="AE517" s="180">
        <v>46105</v>
      </c>
      <c r="AF517" s="38">
        <v>46106</v>
      </c>
      <c r="AG517" s="53">
        <v>46125</v>
      </c>
      <c r="AH517" s="180">
        <v>46127</v>
      </c>
      <c r="AI517" s="33">
        <f>MONTH(AH517)</f>
        <v>4</v>
      </c>
      <c r="AJ517" s="144" t="s">
        <v>1592</v>
      </c>
      <c r="AK517" s="114" t="s">
        <v>1593</v>
      </c>
      <c r="AL517" s="19" t="str">
        <f t="shared" si="65"/>
        <v>N/A</v>
      </c>
      <c r="AM517" s="67" t="str">
        <f>IFERROR(NETWORKDAYS(D517,Q517,Hoja1!$A$1:$A$29),"N/A")</f>
        <v>N/A</v>
      </c>
      <c r="AN517" s="21">
        <f>IFERROR(NETWORKDAYS(D517,AE517,Hoja1!$A$1:$A$29),"N/A")</f>
        <v>5</v>
      </c>
      <c r="AO517" s="78">
        <v>0</v>
      </c>
      <c r="AP517" s="21">
        <f t="shared" si="63"/>
        <v>5</v>
      </c>
      <c r="AQ517" s="21">
        <f>IFERROR(NETWORKDAYS(AF517,AG517,Hoja1!$A$1:$A$29),"N/A")</f>
        <v>12</v>
      </c>
      <c r="AR517" s="78">
        <v>7</v>
      </c>
      <c r="AS517" s="75">
        <f t="shared" si="64"/>
        <v>5</v>
      </c>
      <c r="AT517" s="21">
        <f>IFERROR(NETWORKDAYS(D517,AG517,Hoja1!$A$1:$A$29),"N/A")</f>
        <v>17</v>
      </c>
      <c r="AU517" s="21">
        <f t="shared" si="62"/>
        <v>10</v>
      </c>
      <c r="AV517" s="143" t="s">
        <v>104</v>
      </c>
      <c r="AW517" s="86" t="s">
        <v>1594</v>
      </c>
      <c r="AX517" s="87"/>
      <c r="AY517" s="87"/>
      <c r="AZ517" s="87"/>
      <c r="BA517" s="87"/>
      <c r="BB517" s="87"/>
    </row>
    <row r="518" spans="1:54" ht="15" customHeight="1" x14ac:dyDescent="0.25">
      <c r="A518" s="55">
        <v>16036</v>
      </c>
      <c r="B518" s="159" t="s">
        <v>69</v>
      </c>
      <c r="C518" s="43" t="s">
        <v>98</v>
      </c>
      <c r="D518" s="434">
        <v>46083</v>
      </c>
      <c r="E518" s="53">
        <v>46083</v>
      </c>
      <c r="F518" s="143" t="s">
        <v>90</v>
      </c>
      <c r="G518" s="159" t="s">
        <v>91</v>
      </c>
      <c r="H518" s="179" t="s">
        <v>51</v>
      </c>
      <c r="I518" s="111" t="s">
        <v>102</v>
      </c>
      <c r="J518" s="111" t="s">
        <v>52</v>
      </c>
      <c r="K518" s="111" t="s">
        <v>111</v>
      </c>
      <c r="L518" s="2">
        <v>1</v>
      </c>
      <c r="M518" s="111" t="s">
        <v>54</v>
      </c>
      <c r="N518" s="21" t="s">
        <v>55</v>
      </c>
      <c r="O518" s="21">
        <v>6</v>
      </c>
      <c r="P518" s="21" t="s">
        <v>112</v>
      </c>
      <c r="Q518" s="53">
        <v>46091</v>
      </c>
      <c r="R518" s="53">
        <v>46091</v>
      </c>
      <c r="S518" s="21">
        <v>6</v>
      </c>
      <c r="T518" s="21" t="s">
        <v>55</v>
      </c>
      <c r="U518" s="21" t="s">
        <v>55</v>
      </c>
      <c r="V518" s="21" t="s">
        <v>55</v>
      </c>
      <c r="W518" s="21" t="s">
        <v>55</v>
      </c>
      <c r="X518" s="21" t="s">
        <v>55</v>
      </c>
      <c r="Y518" s="21" t="s">
        <v>55</v>
      </c>
      <c r="Z518" s="21" t="s">
        <v>55</v>
      </c>
      <c r="AA518" s="21">
        <v>6</v>
      </c>
      <c r="AB518" s="21">
        <v>1</v>
      </c>
      <c r="AC518" s="21">
        <v>0</v>
      </c>
      <c r="AD518" s="53">
        <v>46097</v>
      </c>
      <c r="AE518" s="53">
        <v>46097</v>
      </c>
      <c r="AF518" s="53">
        <v>46097</v>
      </c>
      <c r="AG518" s="53">
        <v>46106</v>
      </c>
      <c r="AH518" s="53">
        <v>46118</v>
      </c>
      <c r="AI518" s="21">
        <v>4</v>
      </c>
      <c r="AJ518" s="159" t="s">
        <v>1595</v>
      </c>
      <c r="AK518" s="111" t="s">
        <v>1596</v>
      </c>
      <c r="AL518" s="19">
        <f t="shared" si="65"/>
        <v>1</v>
      </c>
      <c r="AM518" s="67">
        <f>IFERROR(NETWORKDAYS(D518,Q518,Hoja1!$A$1:$A$29),"N/A")</f>
        <v>7</v>
      </c>
      <c r="AN518" s="21">
        <f>IFERROR(NETWORKDAYS(D518,AE518,Hoja1!$A$1:$A$29),"N/A")</f>
        <v>11</v>
      </c>
      <c r="AO518" s="78">
        <v>0</v>
      </c>
      <c r="AP518" s="21">
        <f t="shared" si="63"/>
        <v>11</v>
      </c>
      <c r="AQ518" s="21">
        <f>IFERROR(NETWORKDAYS(AF518,AG518,Hoja1!$A$1:$A$29),"N/A")</f>
        <v>7</v>
      </c>
      <c r="AR518" s="78">
        <v>0</v>
      </c>
      <c r="AS518" s="75">
        <f t="shared" si="64"/>
        <v>7</v>
      </c>
      <c r="AT518" s="21">
        <f>IFERROR(NETWORKDAYS(D518,AG518,Hoja1!$A$1:$A$29),"N/A")</f>
        <v>17</v>
      </c>
      <c r="AU518" s="21">
        <f t="shared" si="62"/>
        <v>17</v>
      </c>
      <c r="AV518" s="143" t="s">
        <v>127</v>
      </c>
      <c r="AW518" s="252" t="s">
        <v>1597</v>
      </c>
      <c r="AX518" s="87"/>
      <c r="AY518" s="87"/>
      <c r="AZ518" s="87"/>
      <c r="BA518" s="87"/>
      <c r="BB518" s="87"/>
    </row>
    <row r="519" spans="1:54" ht="15" customHeight="1" x14ac:dyDescent="0.25">
      <c r="A519" s="55">
        <v>16038</v>
      </c>
      <c r="B519" s="159" t="s">
        <v>69</v>
      </c>
      <c r="C519" s="43" t="s">
        <v>98</v>
      </c>
      <c r="D519" s="53">
        <v>46083</v>
      </c>
      <c r="E519" s="53">
        <v>46083</v>
      </c>
      <c r="F519" s="143" t="s">
        <v>90</v>
      </c>
      <c r="G519" s="159" t="s">
        <v>91</v>
      </c>
      <c r="H519" s="179" t="s">
        <v>51</v>
      </c>
      <c r="I519" s="159" t="s">
        <v>1598</v>
      </c>
      <c r="J519" s="111" t="s">
        <v>52</v>
      </c>
      <c r="K519" s="111" t="s">
        <v>111</v>
      </c>
      <c r="L519" s="2">
        <v>1</v>
      </c>
      <c r="M519" s="111" t="s">
        <v>54</v>
      </c>
      <c r="N519" s="21" t="s">
        <v>55</v>
      </c>
      <c r="O519" s="21">
        <v>2</v>
      </c>
      <c r="P519" s="21" t="s">
        <v>112</v>
      </c>
      <c r="Q519" s="53">
        <v>46094</v>
      </c>
      <c r="R519" s="53">
        <v>46094</v>
      </c>
      <c r="S519" s="21">
        <v>2</v>
      </c>
      <c r="T519" s="21" t="s">
        <v>55</v>
      </c>
      <c r="U519" s="21" t="s">
        <v>55</v>
      </c>
      <c r="V519" s="21" t="s">
        <v>55</v>
      </c>
      <c r="W519" s="21" t="s">
        <v>55</v>
      </c>
      <c r="X519" s="21" t="s">
        <v>55</v>
      </c>
      <c r="Y519" s="21" t="s">
        <v>55</v>
      </c>
      <c r="Z519" s="21" t="s">
        <v>55</v>
      </c>
      <c r="AA519" s="21">
        <v>2</v>
      </c>
      <c r="AB519" s="21">
        <v>1</v>
      </c>
      <c r="AC519" s="21">
        <v>0</v>
      </c>
      <c r="AD519" s="53">
        <v>46099</v>
      </c>
      <c r="AE519" s="53">
        <v>46105</v>
      </c>
      <c r="AF519" s="180">
        <v>46105</v>
      </c>
      <c r="AG519" s="53">
        <v>46111</v>
      </c>
      <c r="AH519" s="53">
        <v>46118</v>
      </c>
      <c r="AI519" s="21">
        <v>4</v>
      </c>
      <c r="AJ519" s="159" t="s">
        <v>1599</v>
      </c>
      <c r="AK519" s="111" t="s">
        <v>1600</v>
      </c>
      <c r="AL519" s="19">
        <f t="shared" si="65"/>
        <v>1</v>
      </c>
      <c r="AM519" s="67">
        <f>IFERROR(NETWORKDAYS(D519,Q519,Hoja1!$A$1:$A$29),"N/A")</f>
        <v>10</v>
      </c>
      <c r="AN519" s="21">
        <f>IFERROR(NETWORKDAYS(D519,AE519,Hoja1!$A$1:$A$29),"N/A")</f>
        <v>16</v>
      </c>
      <c r="AO519" s="78">
        <v>0</v>
      </c>
      <c r="AP519" s="21">
        <f t="shared" si="63"/>
        <v>16</v>
      </c>
      <c r="AQ519" s="21">
        <f>IFERROR(NETWORKDAYS(AF519,AG519,Hoja1!$A$1:$A$29),"N/A")</f>
        <v>5</v>
      </c>
      <c r="AR519" s="78">
        <v>0</v>
      </c>
      <c r="AS519" s="75">
        <f t="shared" si="64"/>
        <v>5</v>
      </c>
      <c r="AT519" s="21">
        <f>IFERROR(NETWORKDAYS(D519,AG519,Hoja1!$A$1:$A$29),"N/A")</f>
        <v>20</v>
      </c>
      <c r="AU519" s="21">
        <f t="shared" si="62"/>
        <v>20</v>
      </c>
      <c r="AV519" s="143" t="s">
        <v>104</v>
      </c>
      <c r="AW519" s="86" t="s">
        <v>1601</v>
      </c>
      <c r="AX519" s="87"/>
      <c r="AY519" s="87"/>
      <c r="AZ519" s="87"/>
      <c r="BA519" s="87"/>
      <c r="BB519" s="87"/>
    </row>
    <row r="520" spans="1:54" ht="15" customHeight="1" x14ac:dyDescent="0.25">
      <c r="A520" s="55">
        <v>16042</v>
      </c>
      <c r="B520" s="159" t="s">
        <v>69</v>
      </c>
      <c r="C520" s="43" t="s">
        <v>98</v>
      </c>
      <c r="D520" s="421">
        <v>46084</v>
      </c>
      <c r="E520" s="28">
        <v>46084</v>
      </c>
      <c r="F520" s="202" t="s">
        <v>879</v>
      </c>
      <c r="G520" s="48" t="s">
        <v>50</v>
      </c>
      <c r="H520" s="179" t="s">
        <v>51</v>
      </c>
      <c r="I520" s="159" t="s">
        <v>885</v>
      </c>
      <c r="J520" s="111" t="s">
        <v>52</v>
      </c>
      <c r="K520" s="87" t="s">
        <v>53</v>
      </c>
      <c r="L520" s="3">
        <v>1</v>
      </c>
      <c r="M520" s="159" t="s">
        <v>247</v>
      </c>
      <c r="N520" s="33" t="s">
        <v>55</v>
      </c>
      <c r="O520" s="33">
        <v>16</v>
      </c>
      <c r="P520" s="21" t="s">
        <v>56</v>
      </c>
      <c r="Q520" s="28">
        <v>46112</v>
      </c>
      <c r="R520" s="28">
        <v>46112</v>
      </c>
      <c r="S520" s="33">
        <v>16</v>
      </c>
      <c r="T520" s="33" t="s">
        <v>55</v>
      </c>
      <c r="U520" s="33" t="s">
        <v>55</v>
      </c>
      <c r="V520" s="33" t="s">
        <v>55</v>
      </c>
      <c r="W520" s="33" t="s">
        <v>55</v>
      </c>
      <c r="X520" s="33" t="s">
        <v>55</v>
      </c>
      <c r="Y520" s="33" t="s">
        <v>55</v>
      </c>
      <c r="Z520" s="21" t="s">
        <v>55</v>
      </c>
      <c r="AA520" s="33">
        <v>3</v>
      </c>
      <c r="AB520" s="33">
        <v>3</v>
      </c>
      <c r="AC520" s="33">
        <v>0</v>
      </c>
      <c r="AD520" s="28">
        <v>46120</v>
      </c>
      <c r="AE520" s="28">
        <v>46132</v>
      </c>
      <c r="AF520" s="28" t="s">
        <v>55</v>
      </c>
      <c r="AG520" s="28">
        <v>46132</v>
      </c>
      <c r="AH520" s="28" t="s">
        <v>55</v>
      </c>
      <c r="AI520" s="21">
        <v>4</v>
      </c>
      <c r="AJ520" s="87" t="s">
        <v>1602</v>
      </c>
      <c r="AK520" s="48" t="s">
        <v>1603</v>
      </c>
      <c r="AL520" s="19">
        <f t="shared" si="65"/>
        <v>1</v>
      </c>
      <c r="AM520" s="67">
        <f>IFERROR(NETWORKDAYS(D520,Q520,Hoja1!$A$1:$A$29),"N/A")</f>
        <v>20</v>
      </c>
      <c r="AN520" s="21">
        <f>IFERROR(NETWORKDAYS(D520,AE520,Hoja1!$A$1:$A$29),"N/A")</f>
        <v>32</v>
      </c>
      <c r="AO520" s="78">
        <v>2</v>
      </c>
      <c r="AP520" s="21">
        <f t="shared" si="63"/>
        <v>30</v>
      </c>
      <c r="AQ520" s="21" t="str">
        <f>IFERROR(NETWORKDAYS(AF520,AG520,Hoja1!$A$1:$A$29),"N/A")</f>
        <v>N/A</v>
      </c>
      <c r="AR520" s="78">
        <v>0</v>
      </c>
      <c r="AS520" s="21" t="s">
        <v>82</v>
      </c>
      <c r="AT520" s="21">
        <f>IFERROR(NETWORKDAYS(D520,AG520,Hoja1!$A$1:$A$29),"N/A")</f>
        <v>32</v>
      </c>
      <c r="AU520" s="21">
        <f t="shared" si="62"/>
        <v>30</v>
      </c>
      <c r="AV520" s="143" t="s">
        <v>59</v>
      </c>
      <c r="AW520" s="86" t="s">
        <v>743</v>
      </c>
      <c r="AX520" s="87" t="s">
        <v>881</v>
      </c>
      <c r="AY520" s="87"/>
      <c r="AZ520" s="87"/>
      <c r="BA520" s="87"/>
      <c r="BB520" s="87"/>
    </row>
    <row r="521" spans="1:54" ht="15" customHeight="1" x14ac:dyDescent="0.25">
      <c r="A521" s="95">
        <v>16048</v>
      </c>
      <c r="B521" s="159" t="s">
        <v>69</v>
      </c>
      <c r="C521" s="188" t="s">
        <v>122</v>
      </c>
      <c r="D521" s="116">
        <v>46084</v>
      </c>
      <c r="E521" s="116">
        <v>46084</v>
      </c>
      <c r="F521" s="143" t="s">
        <v>62</v>
      </c>
      <c r="G521" s="179" t="s">
        <v>80</v>
      </c>
      <c r="H521" s="179" t="s">
        <v>51</v>
      </c>
      <c r="I521" s="188" t="s">
        <v>1604</v>
      </c>
      <c r="J521" s="111" t="s">
        <v>118</v>
      </c>
      <c r="K521" s="111" t="s">
        <v>351</v>
      </c>
      <c r="L521" s="1">
        <v>1</v>
      </c>
      <c r="M521" s="111" t="s">
        <v>54</v>
      </c>
      <c r="N521" s="33" t="s">
        <v>55</v>
      </c>
      <c r="O521" s="33">
        <v>3</v>
      </c>
      <c r="P521" s="21" t="s">
        <v>112</v>
      </c>
      <c r="Q521" s="28">
        <v>46106</v>
      </c>
      <c r="R521" s="28">
        <v>46106</v>
      </c>
      <c r="S521" s="33">
        <v>3</v>
      </c>
      <c r="T521" s="33" t="s">
        <v>55</v>
      </c>
      <c r="U521" s="33" t="s">
        <v>55</v>
      </c>
      <c r="V521" s="33" t="s">
        <v>55</v>
      </c>
      <c r="W521" s="33" t="s">
        <v>55</v>
      </c>
      <c r="X521" s="33" t="s">
        <v>55</v>
      </c>
      <c r="Y521" s="33" t="s">
        <v>55</v>
      </c>
      <c r="Z521" s="21" t="s">
        <v>55</v>
      </c>
      <c r="AA521" s="33">
        <v>2</v>
      </c>
      <c r="AB521" s="33">
        <v>1</v>
      </c>
      <c r="AC521" s="33">
        <v>0</v>
      </c>
      <c r="AD521" s="28">
        <v>46113</v>
      </c>
      <c r="AE521" s="28">
        <v>46113</v>
      </c>
      <c r="AF521" s="28">
        <v>46113</v>
      </c>
      <c r="AG521" s="180">
        <v>46126</v>
      </c>
      <c r="AH521" s="180">
        <v>46127</v>
      </c>
      <c r="AI521" s="33">
        <f>MONTH(AH521)</f>
        <v>4</v>
      </c>
      <c r="AJ521" s="144" t="s">
        <v>1605</v>
      </c>
      <c r="AK521" s="114" t="s">
        <v>1606</v>
      </c>
      <c r="AL521" s="19">
        <f t="shared" si="65"/>
        <v>1</v>
      </c>
      <c r="AM521" s="67">
        <f>IFERROR(NETWORKDAYS(D521,Q521,Hoja1!$A$1:$A$29),"N/A")</f>
        <v>16</v>
      </c>
      <c r="AN521" s="21">
        <f>IFERROR(NETWORKDAYS(D521,AE521,Hoja1!$A$1:$A$29),"N/A")</f>
        <v>21</v>
      </c>
      <c r="AO521" s="78">
        <v>0</v>
      </c>
      <c r="AP521" s="21">
        <f t="shared" si="63"/>
        <v>21</v>
      </c>
      <c r="AQ521" s="21">
        <f>IFERROR(NETWORKDAYS(AF521,AG521,Hoja1!$A$1:$A$29),"N/A")</f>
        <v>8</v>
      </c>
      <c r="AR521" s="78">
        <v>3</v>
      </c>
      <c r="AS521" s="75">
        <f t="shared" si="64"/>
        <v>5</v>
      </c>
      <c r="AT521" s="21">
        <f>IFERROR(NETWORKDAYS(D521,AG521,Hoja1!$A$1:$A$29),"N/A")</f>
        <v>28</v>
      </c>
      <c r="AU521" s="21">
        <f t="shared" si="62"/>
        <v>25</v>
      </c>
      <c r="AV521" s="143" t="s">
        <v>127</v>
      </c>
      <c r="AW521" s="86" t="s">
        <v>1607</v>
      </c>
      <c r="AX521" s="87"/>
      <c r="AY521" s="87"/>
      <c r="AZ521" s="87"/>
      <c r="BA521" s="87"/>
      <c r="BB521" s="87"/>
    </row>
    <row r="522" spans="1:54" ht="15" customHeight="1" x14ac:dyDescent="0.25">
      <c r="A522" s="95">
        <v>16049</v>
      </c>
      <c r="B522" s="48" t="s">
        <v>169</v>
      </c>
      <c r="C522" s="48" t="s">
        <v>169</v>
      </c>
      <c r="D522" s="435">
        <v>46084</v>
      </c>
      <c r="E522" s="116">
        <v>46084</v>
      </c>
      <c r="F522" s="143" t="s">
        <v>62</v>
      </c>
      <c r="G522" s="179" t="s">
        <v>80</v>
      </c>
      <c r="H522" s="179" t="s">
        <v>51</v>
      </c>
      <c r="I522" s="27" t="s">
        <v>72</v>
      </c>
      <c r="J522" s="87" t="s">
        <v>73</v>
      </c>
      <c r="K522" s="111" t="s">
        <v>351</v>
      </c>
      <c r="L522" s="1">
        <v>1</v>
      </c>
      <c r="M522" s="111" t="s">
        <v>54</v>
      </c>
      <c r="N522" s="33" t="s">
        <v>55</v>
      </c>
      <c r="O522" s="33">
        <v>3</v>
      </c>
      <c r="P522" s="21" t="s">
        <v>112</v>
      </c>
      <c r="Q522" s="28">
        <v>46090</v>
      </c>
      <c r="R522" s="196">
        <v>46093</v>
      </c>
      <c r="S522" s="33">
        <v>3</v>
      </c>
      <c r="T522" s="33" t="s">
        <v>55</v>
      </c>
      <c r="U522" s="33" t="s">
        <v>55</v>
      </c>
      <c r="V522" s="33" t="s">
        <v>55</v>
      </c>
      <c r="W522" s="33" t="s">
        <v>55</v>
      </c>
      <c r="X522" s="33" t="s">
        <v>55</v>
      </c>
      <c r="Y522" s="33" t="s">
        <v>55</v>
      </c>
      <c r="Z522" s="21" t="s">
        <v>55</v>
      </c>
      <c r="AA522" s="33">
        <v>3</v>
      </c>
      <c r="AB522" s="33">
        <v>3</v>
      </c>
      <c r="AC522" s="33">
        <v>0</v>
      </c>
      <c r="AD522" s="38">
        <v>46101</v>
      </c>
      <c r="AE522" s="180">
        <v>46105</v>
      </c>
      <c r="AF522" s="180">
        <v>46105</v>
      </c>
      <c r="AG522" s="28">
        <v>46120</v>
      </c>
      <c r="AH522" s="180">
        <v>46127</v>
      </c>
      <c r="AI522" s="33">
        <f>MONTH(AH522)</f>
        <v>4</v>
      </c>
      <c r="AJ522" s="144" t="s">
        <v>1608</v>
      </c>
      <c r="AK522" s="114" t="s">
        <v>1609</v>
      </c>
      <c r="AL522" s="19">
        <f t="shared" si="65"/>
        <v>1</v>
      </c>
      <c r="AM522" s="67">
        <f>IFERROR(NETWORKDAYS(D522,Q522,Hoja1!$A$1:$A$29),"N/A")</f>
        <v>5</v>
      </c>
      <c r="AN522" s="21">
        <f>IFERROR(NETWORKDAYS(D522,AE522,Hoja1!$A$1:$A$29),"N/A")</f>
        <v>15</v>
      </c>
      <c r="AO522" s="78">
        <v>0</v>
      </c>
      <c r="AP522" s="21">
        <f t="shared" si="63"/>
        <v>15</v>
      </c>
      <c r="AQ522" s="21">
        <f>IFERROR(NETWORKDAYS(AF522,AG522,Hoja1!$A$1:$A$29),"N/A")</f>
        <v>10</v>
      </c>
      <c r="AR522" s="78">
        <v>5</v>
      </c>
      <c r="AS522" s="75">
        <f t="shared" si="64"/>
        <v>5</v>
      </c>
      <c r="AT522" s="21">
        <f>IFERROR(NETWORKDAYS(D522,AG522,Hoja1!$A$1:$A$29),"N/A")</f>
        <v>24</v>
      </c>
      <c r="AU522" s="21">
        <f t="shared" si="62"/>
        <v>19</v>
      </c>
      <c r="AV522" s="143" t="s">
        <v>77</v>
      </c>
      <c r="AW522" s="86" t="s">
        <v>82</v>
      </c>
      <c r="AX522" s="87"/>
      <c r="AY522" s="87"/>
      <c r="AZ522" s="87"/>
      <c r="BA522" s="87"/>
      <c r="BB522" s="87"/>
    </row>
    <row r="523" spans="1:54" ht="15" customHeight="1" x14ac:dyDescent="0.25">
      <c r="A523" s="55">
        <v>16054</v>
      </c>
      <c r="B523" s="159" t="s">
        <v>49</v>
      </c>
      <c r="C523" s="159" t="s">
        <v>49</v>
      </c>
      <c r="D523" s="28">
        <v>46085</v>
      </c>
      <c r="E523" s="28">
        <v>46085</v>
      </c>
      <c r="F523" s="202" t="s">
        <v>879</v>
      </c>
      <c r="G523" s="48" t="s">
        <v>50</v>
      </c>
      <c r="H523" s="179" t="s">
        <v>51</v>
      </c>
      <c r="I523" s="159" t="s">
        <v>882</v>
      </c>
      <c r="J523" s="111" t="s">
        <v>52</v>
      </c>
      <c r="K523" s="87" t="s">
        <v>53</v>
      </c>
      <c r="L523" s="3">
        <v>1</v>
      </c>
      <c r="M523" s="111" t="s">
        <v>54</v>
      </c>
      <c r="N523" s="33" t="s">
        <v>55</v>
      </c>
      <c r="O523" s="33">
        <v>5</v>
      </c>
      <c r="P523" s="21" t="s">
        <v>56</v>
      </c>
      <c r="Q523" s="53">
        <v>46098</v>
      </c>
      <c r="R523" s="53">
        <v>46098</v>
      </c>
      <c r="S523" s="33">
        <v>5</v>
      </c>
      <c r="T523" s="33" t="s">
        <v>55</v>
      </c>
      <c r="U523" s="33" t="s">
        <v>55</v>
      </c>
      <c r="V523" s="33" t="s">
        <v>55</v>
      </c>
      <c r="W523" s="33" t="s">
        <v>55</v>
      </c>
      <c r="X523" s="33" t="s">
        <v>55</v>
      </c>
      <c r="Y523" s="33" t="s">
        <v>55</v>
      </c>
      <c r="Z523" s="21" t="s">
        <v>55</v>
      </c>
      <c r="AA523" s="33">
        <v>2</v>
      </c>
      <c r="AB523" s="33">
        <v>2</v>
      </c>
      <c r="AC523" s="33">
        <v>0</v>
      </c>
      <c r="AD523" s="28">
        <v>46119</v>
      </c>
      <c r="AE523" s="28">
        <v>46119</v>
      </c>
      <c r="AF523" s="28">
        <v>46119</v>
      </c>
      <c r="AG523" s="28">
        <v>46127</v>
      </c>
      <c r="AH523" s="180">
        <v>46127</v>
      </c>
      <c r="AI523" s="21">
        <v>4</v>
      </c>
      <c r="AJ523" s="87" t="s">
        <v>1610</v>
      </c>
      <c r="AK523" s="48" t="s">
        <v>1611</v>
      </c>
      <c r="AL523" s="19">
        <f t="shared" si="65"/>
        <v>1</v>
      </c>
      <c r="AM523" s="67">
        <f>IFERROR(NETWORKDAYS(D523,Q523,Hoja1!$A$1:$A$29),"N/A")</f>
        <v>10</v>
      </c>
      <c r="AN523" s="21">
        <f>IFERROR(NETWORKDAYS(D523,AE523,Hoja1!$A$1:$A$29),"N/A")</f>
        <v>22</v>
      </c>
      <c r="AO523" s="78">
        <v>4</v>
      </c>
      <c r="AP523" s="21">
        <f t="shared" si="63"/>
        <v>18</v>
      </c>
      <c r="AQ523" s="21">
        <f>IFERROR(NETWORKDAYS(AF523,AG523,Hoja1!$A$1:$A$29),"N/A")</f>
        <v>7</v>
      </c>
      <c r="AR523" s="78">
        <v>0</v>
      </c>
      <c r="AS523" s="75">
        <f t="shared" si="64"/>
        <v>7</v>
      </c>
      <c r="AT523" s="21">
        <f>IFERROR(NETWORKDAYS(D523,AG523,Hoja1!$A$1:$A$29),"N/A")</f>
        <v>28</v>
      </c>
      <c r="AU523" s="21">
        <f t="shared" si="62"/>
        <v>24</v>
      </c>
      <c r="AV523" s="143" t="s">
        <v>59</v>
      </c>
      <c r="AW523" s="86" t="s">
        <v>1612</v>
      </c>
      <c r="AX523" s="87" t="s">
        <v>1379</v>
      </c>
      <c r="AY523" s="87"/>
      <c r="AZ523" s="87"/>
      <c r="BA523" s="87"/>
      <c r="BB523" s="87"/>
    </row>
    <row r="524" spans="1:54" ht="15" customHeight="1" x14ac:dyDescent="0.25">
      <c r="A524" s="58">
        <v>16055</v>
      </c>
      <c r="B524" s="27" t="s">
        <v>79</v>
      </c>
      <c r="C524" s="27" t="s">
        <v>79</v>
      </c>
      <c r="D524" s="421">
        <v>46085</v>
      </c>
      <c r="E524" s="28">
        <v>46085</v>
      </c>
      <c r="F524" s="202" t="s">
        <v>879</v>
      </c>
      <c r="G524" s="48" t="s">
        <v>321</v>
      </c>
      <c r="H524" s="179" t="s">
        <v>51</v>
      </c>
      <c r="I524" s="87" t="s">
        <v>92</v>
      </c>
      <c r="J524" s="111" t="s">
        <v>52</v>
      </c>
      <c r="K524" s="87" t="s">
        <v>106</v>
      </c>
      <c r="L524" s="3">
        <v>1</v>
      </c>
      <c r="M524" s="111" t="s">
        <v>54</v>
      </c>
      <c r="N524" s="33" t="s">
        <v>55</v>
      </c>
      <c r="O524" s="33">
        <v>3</v>
      </c>
      <c r="P524" s="21" t="s">
        <v>112</v>
      </c>
      <c r="Q524" s="28">
        <v>46090</v>
      </c>
      <c r="R524" s="28">
        <v>46090</v>
      </c>
      <c r="S524" s="33">
        <v>3</v>
      </c>
      <c r="T524" s="33" t="s">
        <v>55</v>
      </c>
      <c r="U524" s="33" t="s">
        <v>55</v>
      </c>
      <c r="V524" s="33" t="s">
        <v>55</v>
      </c>
      <c r="W524" s="33" t="s">
        <v>55</v>
      </c>
      <c r="X524" s="33" t="s">
        <v>55</v>
      </c>
      <c r="Y524" s="33" t="s">
        <v>55</v>
      </c>
      <c r="Z524" s="21" t="s">
        <v>55</v>
      </c>
      <c r="AA524" s="33">
        <v>1</v>
      </c>
      <c r="AB524" s="33">
        <v>1</v>
      </c>
      <c r="AC524" s="33">
        <v>0</v>
      </c>
      <c r="AD524" s="38">
        <v>46105</v>
      </c>
      <c r="AE524" s="38">
        <v>46105</v>
      </c>
      <c r="AF524" s="180">
        <v>46105</v>
      </c>
      <c r="AG524" s="28">
        <v>46112</v>
      </c>
      <c r="AH524" s="53">
        <v>46118</v>
      </c>
      <c r="AI524" s="21">
        <v>4</v>
      </c>
      <c r="AJ524" s="48" t="s">
        <v>1613</v>
      </c>
      <c r="AK524" s="48" t="s">
        <v>1614</v>
      </c>
      <c r="AL524" s="19">
        <f t="shared" si="65"/>
        <v>1</v>
      </c>
      <c r="AM524" s="67">
        <f>IFERROR(NETWORKDAYS(D524,Q524,Hoja1!$A$1:$A$29),"N/A")</f>
        <v>4</v>
      </c>
      <c r="AN524" s="21">
        <f>IFERROR(NETWORKDAYS(D524,AE524,Hoja1!$A$1:$A$29),"N/A")</f>
        <v>14</v>
      </c>
      <c r="AO524" s="78">
        <v>3</v>
      </c>
      <c r="AP524" s="21">
        <f t="shared" si="63"/>
        <v>11</v>
      </c>
      <c r="AQ524" s="21">
        <f>IFERROR(NETWORKDAYS(AF524,AG524,Hoja1!$A$1:$A$29),"N/A")</f>
        <v>6</v>
      </c>
      <c r="AR524" s="78">
        <v>1</v>
      </c>
      <c r="AS524" s="75">
        <f t="shared" si="64"/>
        <v>5</v>
      </c>
      <c r="AT524" s="21">
        <f>IFERROR(NETWORKDAYS(D524,AG524,Hoja1!$A$1:$A$29),"N/A")</f>
        <v>19</v>
      </c>
      <c r="AU524" s="21">
        <f t="shared" si="62"/>
        <v>15</v>
      </c>
      <c r="AV524" s="143" t="s">
        <v>419</v>
      </c>
      <c r="AW524" s="86" t="s">
        <v>1615</v>
      </c>
      <c r="AX524" s="87"/>
      <c r="AY524" s="87"/>
      <c r="AZ524" s="87"/>
      <c r="BA524" s="87"/>
      <c r="BB524" s="87"/>
    </row>
    <row r="525" spans="1:54" ht="15" customHeight="1" x14ac:dyDescent="0.25">
      <c r="A525" s="55">
        <v>16059</v>
      </c>
      <c r="B525" s="159" t="s">
        <v>69</v>
      </c>
      <c r="C525" s="43" t="s">
        <v>98</v>
      </c>
      <c r="D525" s="53">
        <v>46085</v>
      </c>
      <c r="E525" s="53">
        <v>46085</v>
      </c>
      <c r="F525" s="143" t="s">
        <v>90</v>
      </c>
      <c r="G525" s="159" t="s">
        <v>91</v>
      </c>
      <c r="H525" s="179" t="s">
        <v>51</v>
      </c>
      <c r="I525" s="240" t="s">
        <v>456</v>
      </c>
      <c r="J525" s="111" t="s">
        <v>52</v>
      </c>
      <c r="K525" s="111" t="s">
        <v>111</v>
      </c>
      <c r="L525" s="2">
        <v>1</v>
      </c>
      <c r="M525" s="111" t="s">
        <v>54</v>
      </c>
      <c r="N525" s="21" t="s">
        <v>55</v>
      </c>
      <c r="O525" s="21">
        <v>4</v>
      </c>
      <c r="P525" s="21" t="s">
        <v>112</v>
      </c>
      <c r="Q525" s="53">
        <v>46121</v>
      </c>
      <c r="R525" s="53">
        <v>46121</v>
      </c>
      <c r="S525" s="21">
        <v>4</v>
      </c>
      <c r="T525" s="21" t="s">
        <v>55</v>
      </c>
      <c r="U525" s="21" t="s">
        <v>55</v>
      </c>
      <c r="V525" s="21" t="s">
        <v>55</v>
      </c>
      <c r="W525" s="21" t="s">
        <v>55</v>
      </c>
      <c r="X525" s="21" t="s">
        <v>55</v>
      </c>
      <c r="Y525" s="21" t="s">
        <v>55</v>
      </c>
      <c r="Z525" s="21" t="s">
        <v>55</v>
      </c>
      <c r="AA525" s="21">
        <v>4</v>
      </c>
      <c r="AB525" s="21">
        <v>1</v>
      </c>
      <c r="AC525" s="21">
        <v>0</v>
      </c>
      <c r="AD525" s="53">
        <v>46127</v>
      </c>
      <c r="AE525" s="53">
        <v>46127</v>
      </c>
      <c r="AF525" s="53">
        <v>46127</v>
      </c>
      <c r="AG525" s="53">
        <v>46133</v>
      </c>
      <c r="AH525" s="53">
        <v>46139</v>
      </c>
      <c r="AI525" s="21">
        <v>4</v>
      </c>
      <c r="AJ525" s="159" t="s">
        <v>1616</v>
      </c>
      <c r="AK525" s="111" t="s">
        <v>1617</v>
      </c>
      <c r="AL525" s="19">
        <f t="shared" si="65"/>
        <v>1</v>
      </c>
      <c r="AM525" s="67">
        <f>IFERROR(NETWORKDAYS(D525,Q525,Hoja1!$A$1:$A$29),"N/A")</f>
        <v>24</v>
      </c>
      <c r="AN525" s="21">
        <f>IFERROR(NETWORKDAYS(D525,AE525,Hoja1!$A$1:$A$29),"N/A")</f>
        <v>28</v>
      </c>
      <c r="AO525" s="78">
        <v>4</v>
      </c>
      <c r="AP525" s="21">
        <f t="shared" si="63"/>
        <v>24</v>
      </c>
      <c r="AQ525" s="21">
        <f>IFERROR(NETWORKDAYS(AF525,AG525,Hoja1!$A$1:$A$29),"N/A")</f>
        <v>5</v>
      </c>
      <c r="AR525" s="78">
        <v>0</v>
      </c>
      <c r="AS525" s="75">
        <f t="shared" si="64"/>
        <v>5</v>
      </c>
      <c r="AT525" s="21">
        <f>IFERROR(NETWORKDAYS(D525,AG525,Hoja1!$A$1:$A$29),"N/A")</f>
        <v>32</v>
      </c>
      <c r="AU525" s="21">
        <f t="shared" si="62"/>
        <v>28</v>
      </c>
      <c r="AV525" s="143" t="s">
        <v>104</v>
      </c>
      <c r="AW525" s="86" t="s">
        <v>515</v>
      </c>
      <c r="AX525" s="87"/>
      <c r="AY525" s="87"/>
      <c r="AZ525" s="87"/>
      <c r="BA525" s="87"/>
      <c r="BB525" s="87"/>
    </row>
    <row r="526" spans="1:54" ht="15" customHeight="1" x14ac:dyDescent="0.25">
      <c r="A526" s="55">
        <v>16061</v>
      </c>
      <c r="B526" s="27" t="s">
        <v>79</v>
      </c>
      <c r="C526" s="27" t="s">
        <v>79</v>
      </c>
      <c r="D526" s="421">
        <v>46085</v>
      </c>
      <c r="E526" s="28">
        <v>46085</v>
      </c>
      <c r="F526" s="84" t="s">
        <v>163</v>
      </c>
      <c r="G526" s="84" t="s">
        <v>688</v>
      </c>
      <c r="H526" s="179" t="s">
        <v>51</v>
      </c>
      <c r="I526" s="87" t="s">
        <v>92</v>
      </c>
      <c r="J526" s="111" t="s">
        <v>52</v>
      </c>
      <c r="K526" s="87" t="s">
        <v>165</v>
      </c>
      <c r="L526" s="33">
        <v>1</v>
      </c>
      <c r="M526" s="111" t="s">
        <v>54</v>
      </c>
      <c r="N526" s="33" t="s">
        <v>55</v>
      </c>
      <c r="O526" s="33">
        <v>12</v>
      </c>
      <c r="P526" s="21" t="s">
        <v>56</v>
      </c>
      <c r="Q526" s="28">
        <v>46090</v>
      </c>
      <c r="R526" s="28">
        <v>46106</v>
      </c>
      <c r="S526" s="33">
        <v>12</v>
      </c>
      <c r="T526" s="33" t="s">
        <v>55</v>
      </c>
      <c r="U526" s="33" t="s">
        <v>55</v>
      </c>
      <c r="V526" s="33" t="s">
        <v>55</v>
      </c>
      <c r="W526" s="33" t="s">
        <v>55</v>
      </c>
      <c r="X526" s="33" t="s">
        <v>55</v>
      </c>
      <c r="Y526" s="33" t="s">
        <v>55</v>
      </c>
      <c r="Z526" s="21" t="s">
        <v>55</v>
      </c>
      <c r="AA526" s="33">
        <v>1</v>
      </c>
      <c r="AB526" s="33">
        <v>1</v>
      </c>
      <c r="AC526" s="33">
        <v>0</v>
      </c>
      <c r="AD526" s="28">
        <v>46112</v>
      </c>
      <c r="AE526" s="28">
        <v>46112</v>
      </c>
      <c r="AF526" s="28">
        <v>46112</v>
      </c>
      <c r="AG526" s="180">
        <v>46126</v>
      </c>
      <c r="AH526" s="180">
        <v>46127</v>
      </c>
      <c r="AI526" s="33">
        <v>4</v>
      </c>
      <c r="AJ526" s="144" t="s">
        <v>1618</v>
      </c>
      <c r="AK526" s="35" t="s">
        <v>1619</v>
      </c>
      <c r="AL526" s="19">
        <f t="shared" si="65"/>
        <v>1</v>
      </c>
      <c r="AM526" s="67">
        <f>IFERROR(NETWORKDAYS(D526,Q526,Hoja1!$A$1:$A$29),"N/A")</f>
        <v>4</v>
      </c>
      <c r="AN526" s="21">
        <f>IFERROR(NETWORKDAYS(D526,AE526,Hoja1!$A$1:$A$29),"N/A")</f>
        <v>19</v>
      </c>
      <c r="AO526" s="78">
        <v>3</v>
      </c>
      <c r="AP526" s="21">
        <f t="shared" si="63"/>
        <v>16</v>
      </c>
      <c r="AQ526" s="21">
        <f>IFERROR(NETWORKDAYS(AF526,AG526,Hoja1!$A$1:$A$29),"N/A")</f>
        <v>9</v>
      </c>
      <c r="AR526" s="78">
        <v>4</v>
      </c>
      <c r="AS526" s="75">
        <f t="shared" si="64"/>
        <v>5</v>
      </c>
      <c r="AT526" s="21">
        <f>IFERROR(NETWORKDAYS(D526,AG526,Hoja1!$A$1:$A$29),"N/A")</f>
        <v>27</v>
      </c>
      <c r="AU526" s="21">
        <f t="shared" si="62"/>
        <v>20</v>
      </c>
      <c r="AV526" s="143" t="s">
        <v>127</v>
      </c>
      <c r="AW526" s="86" t="s">
        <v>258</v>
      </c>
      <c r="AX526" s="87"/>
      <c r="AY526" s="87"/>
      <c r="AZ526" s="87"/>
      <c r="BA526" s="87"/>
      <c r="BB526" s="87"/>
    </row>
    <row r="527" spans="1:54" ht="15" customHeight="1" x14ac:dyDescent="0.25">
      <c r="A527" s="55">
        <v>16066</v>
      </c>
      <c r="B527" s="84" t="s">
        <v>85</v>
      </c>
      <c r="C527" s="84" t="s">
        <v>85</v>
      </c>
      <c r="D527" s="28">
        <v>46101</v>
      </c>
      <c r="E527" s="28">
        <v>46085</v>
      </c>
      <c r="F527" s="202" t="s">
        <v>879</v>
      </c>
      <c r="G527" s="48" t="s">
        <v>50</v>
      </c>
      <c r="H527" s="179" t="s">
        <v>51</v>
      </c>
      <c r="I527" s="159" t="s">
        <v>276</v>
      </c>
      <c r="J527" s="111" t="s">
        <v>52</v>
      </c>
      <c r="K527" s="87" t="s">
        <v>53</v>
      </c>
      <c r="L527" s="3">
        <v>1</v>
      </c>
      <c r="M527" s="111" t="s">
        <v>54</v>
      </c>
      <c r="N527" s="33" t="s">
        <v>55</v>
      </c>
      <c r="O527" s="33">
        <v>5</v>
      </c>
      <c r="P527" s="21" t="s">
        <v>56</v>
      </c>
      <c r="Q527" s="16">
        <v>46105</v>
      </c>
      <c r="R527" s="16">
        <v>46105</v>
      </c>
      <c r="S527" s="33">
        <v>5</v>
      </c>
      <c r="T527" s="33" t="s">
        <v>55</v>
      </c>
      <c r="U527" s="33" t="s">
        <v>55</v>
      </c>
      <c r="V527" s="33" t="s">
        <v>55</v>
      </c>
      <c r="W527" s="33" t="s">
        <v>55</v>
      </c>
      <c r="X527" s="33" t="s">
        <v>55</v>
      </c>
      <c r="Y527" s="33" t="s">
        <v>55</v>
      </c>
      <c r="Z527" s="21" t="s">
        <v>55</v>
      </c>
      <c r="AA527" s="33">
        <v>3</v>
      </c>
      <c r="AB527" s="33">
        <v>3</v>
      </c>
      <c r="AC527" s="33">
        <v>0</v>
      </c>
      <c r="AD527" s="28">
        <v>46112</v>
      </c>
      <c r="AE527" s="28">
        <v>46112</v>
      </c>
      <c r="AF527" s="28">
        <v>46113</v>
      </c>
      <c r="AG527" s="28">
        <v>46127</v>
      </c>
      <c r="AH527" s="180">
        <v>46127</v>
      </c>
      <c r="AI527" s="21">
        <v>4</v>
      </c>
      <c r="AJ527" s="87" t="s">
        <v>1620</v>
      </c>
      <c r="AK527" s="48" t="s">
        <v>1621</v>
      </c>
      <c r="AL527" s="19">
        <f t="shared" si="65"/>
        <v>1</v>
      </c>
      <c r="AM527" s="67">
        <f>IFERROR(NETWORKDAYS(D527,Q527,Hoja1!$A$1:$A$29),"N/A")</f>
        <v>2</v>
      </c>
      <c r="AN527" s="21">
        <f>IFERROR(NETWORKDAYS(D527,AE527,Hoja1!$A$1:$A$29),"N/A")</f>
        <v>7</v>
      </c>
      <c r="AO527" s="78">
        <v>0</v>
      </c>
      <c r="AP527" s="21">
        <f t="shared" si="63"/>
        <v>7</v>
      </c>
      <c r="AQ527" s="21">
        <f>IFERROR(NETWORKDAYS(AF527,AG527,Hoja1!$A$1:$A$29),"N/A")</f>
        <v>9</v>
      </c>
      <c r="AR527" s="78">
        <v>0</v>
      </c>
      <c r="AS527" s="75">
        <f t="shared" si="64"/>
        <v>9</v>
      </c>
      <c r="AT527" s="21">
        <f>IFERROR(NETWORKDAYS(D527,AG527,Hoja1!$A$1:$A$29),"N/A")</f>
        <v>16</v>
      </c>
      <c r="AU527" s="21">
        <f t="shared" si="62"/>
        <v>16</v>
      </c>
      <c r="AV527" s="143" t="s">
        <v>416</v>
      </c>
      <c r="AW527" s="86" t="s">
        <v>1197</v>
      </c>
      <c r="AX527" s="111" t="s">
        <v>1376</v>
      </c>
      <c r="AY527" s="87"/>
      <c r="AZ527" s="87"/>
      <c r="BA527" s="87"/>
      <c r="BB527" s="87"/>
    </row>
    <row r="528" spans="1:54" ht="15" customHeight="1" x14ac:dyDescent="0.25">
      <c r="A528" s="55">
        <v>16069</v>
      </c>
      <c r="B528" s="27" t="s">
        <v>79</v>
      </c>
      <c r="C528" s="27" t="s">
        <v>79</v>
      </c>
      <c r="D528" s="425">
        <v>46092</v>
      </c>
      <c r="E528" s="53">
        <v>46092</v>
      </c>
      <c r="F528" s="143" t="s">
        <v>99</v>
      </c>
      <c r="G528" s="152" t="s">
        <v>100</v>
      </c>
      <c r="H528" s="179" t="s">
        <v>101</v>
      </c>
      <c r="I528" s="111" t="s">
        <v>239</v>
      </c>
      <c r="J528" s="111" t="s">
        <v>52</v>
      </c>
      <c r="K528" s="111" t="s">
        <v>129</v>
      </c>
      <c r="L528" s="2">
        <v>1</v>
      </c>
      <c r="M528" s="111" t="s">
        <v>54</v>
      </c>
      <c r="N528" s="21" t="s">
        <v>55</v>
      </c>
      <c r="O528" s="21">
        <v>0</v>
      </c>
      <c r="P528" s="21"/>
      <c r="Q528" s="21" t="s">
        <v>55</v>
      </c>
      <c r="R528" s="21" t="s">
        <v>55</v>
      </c>
      <c r="S528" s="21">
        <v>0</v>
      </c>
      <c r="T528" s="21" t="s">
        <v>55</v>
      </c>
      <c r="U528" s="21" t="s">
        <v>55</v>
      </c>
      <c r="V528" s="21" t="s">
        <v>55</v>
      </c>
      <c r="W528" s="21" t="s">
        <v>55</v>
      </c>
      <c r="X528" s="21" t="s">
        <v>55</v>
      </c>
      <c r="Y528" s="21" t="s">
        <v>55</v>
      </c>
      <c r="Z528" s="21" t="s">
        <v>55</v>
      </c>
      <c r="AA528" s="21">
        <v>2</v>
      </c>
      <c r="AB528" s="21">
        <v>2</v>
      </c>
      <c r="AC528" s="21">
        <v>0</v>
      </c>
      <c r="AD528" s="38">
        <v>46105</v>
      </c>
      <c r="AE528" s="38">
        <v>46105</v>
      </c>
      <c r="AF528" s="180">
        <v>46105</v>
      </c>
      <c r="AG528" s="53">
        <v>46111</v>
      </c>
      <c r="AH528" s="53">
        <v>46118</v>
      </c>
      <c r="AI528" s="21">
        <v>4</v>
      </c>
      <c r="AJ528" s="152" t="s">
        <v>1622</v>
      </c>
      <c r="AK528" s="111" t="s">
        <v>1623</v>
      </c>
      <c r="AL528" s="19" t="str">
        <f t="shared" si="65"/>
        <v>N/A</v>
      </c>
      <c r="AM528" s="67" t="str">
        <f>IFERROR(NETWORKDAYS(D528,Q528,Hoja1!$A$1:$A$29),"N/A")</f>
        <v>N/A</v>
      </c>
      <c r="AN528" s="21">
        <f>IFERROR(NETWORKDAYS(D528,AE528,Hoja1!$A$1:$A$29),"N/A")</f>
        <v>9</v>
      </c>
      <c r="AO528" s="78">
        <v>0</v>
      </c>
      <c r="AP528" s="21">
        <f t="shared" si="63"/>
        <v>9</v>
      </c>
      <c r="AQ528" s="21">
        <f>IFERROR(NETWORKDAYS(AF528,AG528,Hoja1!$A$1:$A$29),"N/A")</f>
        <v>5</v>
      </c>
      <c r="AR528" s="78">
        <v>0</v>
      </c>
      <c r="AS528" s="75">
        <f t="shared" si="64"/>
        <v>5</v>
      </c>
      <c r="AT528" s="21">
        <f>IFERROR(NETWORKDAYS(D528,AG528,Hoja1!$A$1:$A$29),"N/A")</f>
        <v>13</v>
      </c>
      <c r="AU528" s="21">
        <f t="shared" si="62"/>
        <v>13</v>
      </c>
      <c r="AV528" s="143" t="s">
        <v>104</v>
      </c>
      <c r="AW528" s="86" t="s">
        <v>294</v>
      </c>
      <c r="AX528" s="111" t="s">
        <v>1376</v>
      </c>
      <c r="AY528" s="111"/>
      <c r="AZ528" s="111"/>
      <c r="BA528" s="111"/>
      <c r="BB528" s="111"/>
    </row>
    <row r="529" spans="1:54" ht="15" customHeight="1" x14ac:dyDescent="0.25">
      <c r="A529" s="55">
        <v>16072</v>
      </c>
      <c r="B529" s="27" t="s">
        <v>79</v>
      </c>
      <c r="C529" s="27" t="s">
        <v>79</v>
      </c>
      <c r="D529" s="16">
        <v>46086</v>
      </c>
      <c r="E529" s="16">
        <v>46086</v>
      </c>
      <c r="F529" s="232" t="s">
        <v>62</v>
      </c>
      <c r="G529" s="87" t="s">
        <v>80</v>
      </c>
      <c r="H529" s="179" t="s">
        <v>51</v>
      </c>
      <c r="I529" s="159" t="s">
        <v>1624</v>
      </c>
      <c r="J529" s="111" t="s">
        <v>105</v>
      </c>
      <c r="K529" s="87" t="s">
        <v>1401</v>
      </c>
      <c r="L529" s="3">
        <v>1</v>
      </c>
      <c r="M529" s="111" t="s">
        <v>54</v>
      </c>
      <c r="N529" s="33" t="s">
        <v>55</v>
      </c>
      <c r="O529" s="33">
        <v>4</v>
      </c>
      <c r="P529" s="21" t="s">
        <v>112</v>
      </c>
      <c r="Q529" s="28">
        <v>46093</v>
      </c>
      <c r="R529" s="28">
        <v>46097</v>
      </c>
      <c r="S529" s="33">
        <v>4</v>
      </c>
      <c r="T529" s="33" t="s">
        <v>55</v>
      </c>
      <c r="U529" s="33" t="s">
        <v>55</v>
      </c>
      <c r="V529" s="33" t="s">
        <v>55</v>
      </c>
      <c r="W529" s="33" t="s">
        <v>55</v>
      </c>
      <c r="X529" s="33" t="s">
        <v>55</v>
      </c>
      <c r="Y529" s="33" t="s">
        <v>55</v>
      </c>
      <c r="Z529" s="21" t="s">
        <v>55</v>
      </c>
      <c r="AA529" s="33">
        <v>4</v>
      </c>
      <c r="AB529" s="33">
        <v>4</v>
      </c>
      <c r="AC529" s="33">
        <v>0</v>
      </c>
      <c r="AD529" s="38">
        <v>46101</v>
      </c>
      <c r="AE529" s="38">
        <v>46105</v>
      </c>
      <c r="AF529" s="180">
        <v>46105</v>
      </c>
      <c r="AG529" s="180">
        <v>46113</v>
      </c>
      <c r="AH529" s="53">
        <v>46118</v>
      </c>
      <c r="AI529" s="33">
        <v>4</v>
      </c>
      <c r="AJ529" s="144" t="s">
        <v>1625</v>
      </c>
      <c r="AK529" s="45" t="s">
        <v>1626</v>
      </c>
      <c r="AL529" s="19">
        <f t="shared" si="65"/>
        <v>1</v>
      </c>
      <c r="AM529" s="67">
        <f>IFERROR(NETWORKDAYS(D529,Q529,Hoja1!$A$1:$A$29),"N/A")</f>
        <v>6</v>
      </c>
      <c r="AN529" s="21">
        <f>IFERROR(NETWORKDAYS(D529,AE529,Hoja1!$A$1:$A$29),"N/A")</f>
        <v>13</v>
      </c>
      <c r="AO529" s="78">
        <v>0</v>
      </c>
      <c r="AP529" s="21">
        <f t="shared" si="63"/>
        <v>13</v>
      </c>
      <c r="AQ529" s="21">
        <f>IFERROR(NETWORKDAYS(AF529,AG529,Hoja1!$A$1:$A$29),"N/A")</f>
        <v>7</v>
      </c>
      <c r="AR529" s="78">
        <v>2</v>
      </c>
      <c r="AS529" s="75">
        <f t="shared" si="64"/>
        <v>5</v>
      </c>
      <c r="AT529" s="21">
        <f>IFERROR(NETWORKDAYS(D529,AG529,Hoja1!$A$1:$A$29),"N/A")</f>
        <v>19</v>
      </c>
      <c r="AU529" s="21">
        <f t="shared" si="62"/>
        <v>17</v>
      </c>
      <c r="AV529" s="143" t="s">
        <v>127</v>
      </c>
      <c r="AW529" s="86" t="s">
        <v>1627</v>
      </c>
      <c r="AX529" s="87"/>
      <c r="AY529" s="87"/>
      <c r="AZ529" s="87"/>
      <c r="BA529" s="87"/>
      <c r="BB529" s="87"/>
    </row>
    <row r="530" spans="1:54" ht="15" customHeight="1" x14ac:dyDescent="0.25">
      <c r="A530" s="55">
        <v>16073</v>
      </c>
      <c r="B530" s="27" t="s">
        <v>79</v>
      </c>
      <c r="C530" s="27" t="s">
        <v>79</v>
      </c>
      <c r="D530" s="435">
        <v>46099</v>
      </c>
      <c r="E530" s="28">
        <v>46086</v>
      </c>
      <c r="F530" s="232" t="s">
        <v>62</v>
      </c>
      <c r="G530" s="87" t="s">
        <v>80</v>
      </c>
      <c r="H530" s="179" t="s">
        <v>51</v>
      </c>
      <c r="I530" s="159" t="s">
        <v>957</v>
      </c>
      <c r="J530" s="111" t="s">
        <v>105</v>
      </c>
      <c r="K530" s="87" t="s">
        <v>1401</v>
      </c>
      <c r="L530" s="3">
        <v>1</v>
      </c>
      <c r="M530" s="111" t="s">
        <v>54</v>
      </c>
      <c r="N530" s="33" t="s">
        <v>55</v>
      </c>
      <c r="O530" s="33">
        <v>5</v>
      </c>
      <c r="P530" s="21" t="s">
        <v>112</v>
      </c>
      <c r="Q530" s="16">
        <v>46105</v>
      </c>
      <c r="R530" s="28">
        <v>46113</v>
      </c>
      <c r="S530" s="33">
        <v>5</v>
      </c>
      <c r="T530" s="33" t="s">
        <v>55</v>
      </c>
      <c r="U530" s="33" t="s">
        <v>55</v>
      </c>
      <c r="V530" s="33" t="s">
        <v>55</v>
      </c>
      <c r="W530" s="33" t="s">
        <v>55</v>
      </c>
      <c r="X530" s="33" t="s">
        <v>55</v>
      </c>
      <c r="Y530" s="33" t="s">
        <v>55</v>
      </c>
      <c r="Z530" s="21" t="s">
        <v>55</v>
      </c>
      <c r="AA530" s="33">
        <v>2</v>
      </c>
      <c r="AB530" s="33">
        <v>2</v>
      </c>
      <c r="AC530" s="33">
        <v>0</v>
      </c>
      <c r="AD530" s="28">
        <v>46120</v>
      </c>
      <c r="AE530" s="28">
        <v>46120</v>
      </c>
      <c r="AF530" s="28">
        <v>46120</v>
      </c>
      <c r="AG530" s="180">
        <v>46132</v>
      </c>
      <c r="AH530" s="53">
        <v>46139</v>
      </c>
      <c r="AI530" s="33">
        <v>4</v>
      </c>
      <c r="AJ530" s="144" t="s">
        <v>1628</v>
      </c>
      <c r="AK530" s="45" t="s">
        <v>1629</v>
      </c>
      <c r="AL530" s="19">
        <f t="shared" si="65"/>
        <v>1</v>
      </c>
      <c r="AM530" s="67">
        <f>IFERROR(NETWORKDAYS(D530,Q530,Hoja1!$A$1:$A$29),"N/A")</f>
        <v>4</v>
      </c>
      <c r="AN530" s="21">
        <f>IFERROR(NETWORKDAYS(D530,AE530,Hoja1!$A$1:$A$29),"N/A")</f>
        <v>13</v>
      </c>
      <c r="AO530" s="78">
        <v>0</v>
      </c>
      <c r="AP530" s="21">
        <f t="shared" si="63"/>
        <v>13</v>
      </c>
      <c r="AQ530" s="21">
        <f>IFERROR(NETWORKDAYS(AF530,AG530,Hoja1!$A$1:$A$29),"N/A")</f>
        <v>9</v>
      </c>
      <c r="AR530" s="78">
        <v>4</v>
      </c>
      <c r="AS530" s="75">
        <f t="shared" si="64"/>
        <v>5</v>
      </c>
      <c r="AT530" s="21">
        <f>IFERROR(NETWORKDAYS(D530,AG530,Hoja1!$A$1:$A$29),"N/A")</f>
        <v>21</v>
      </c>
      <c r="AU530" s="21">
        <f t="shared" si="62"/>
        <v>17</v>
      </c>
      <c r="AV530" s="143" t="s">
        <v>59</v>
      </c>
      <c r="AW530" s="86" t="s">
        <v>1630</v>
      </c>
      <c r="AX530" s="192" t="s">
        <v>454</v>
      </c>
      <c r="AY530" s="114"/>
      <c r="AZ530" s="114"/>
      <c r="BA530" s="114"/>
      <c r="BB530" s="114"/>
    </row>
    <row r="531" spans="1:54" ht="15" customHeight="1" x14ac:dyDescent="0.25">
      <c r="A531" s="55">
        <v>16074</v>
      </c>
      <c r="B531" s="27" t="s">
        <v>79</v>
      </c>
      <c r="C531" s="27" t="s">
        <v>79</v>
      </c>
      <c r="D531" s="16">
        <v>46076</v>
      </c>
      <c r="E531" s="28">
        <v>46086</v>
      </c>
      <c r="F531" s="232" t="s">
        <v>62</v>
      </c>
      <c r="G531" s="87" t="s">
        <v>80</v>
      </c>
      <c r="H531" s="179" t="s">
        <v>51</v>
      </c>
      <c r="I531" s="240" t="s">
        <v>957</v>
      </c>
      <c r="J531" s="111" t="s">
        <v>105</v>
      </c>
      <c r="K531" s="87" t="s">
        <v>1401</v>
      </c>
      <c r="L531" s="3">
        <v>1</v>
      </c>
      <c r="M531" s="111" t="s">
        <v>54</v>
      </c>
      <c r="N531" s="33" t="s">
        <v>55</v>
      </c>
      <c r="O531" s="33">
        <v>4</v>
      </c>
      <c r="P531" s="21" t="s">
        <v>112</v>
      </c>
      <c r="Q531" s="180">
        <v>46080</v>
      </c>
      <c r="R531" s="28">
        <v>46086</v>
      </c>
      <c r="S531" s="33">
        <v>4</v>
      </c>
      <c r="T531" s="33" t="s">
        <v>55</v>
      </c>
      <c r="U531" s="33" t="s">
        <v>55</v>
      </c>
      <c r="V531" s="33" t="s">
        <v>55</v>
      </c>
      <c r="W531" s="33" t="s">
        <v>55</v>
      </c>
      <c r="X531" s="33" t="s">
        <v>55</v>
      </c>
      <c r="Y531" s="33" t="s">
        <v>55</v>
      </c>
      <c r="Z531" s="21" t="s">
        <v>55</v>
      </c>
      <c r="AA531" s="33">
        <v>4</v>
      </c>
      <c r="AB531" s="33">
        <v>2</v>
      </c>
      <c r="AC531" s="33">
        <v>0</v>
      </c>
      <c r="AD531" s="28">
        <v>46092</v>
      </c>
      <c r="AE531" s="180">
        <v>46101</v>
      </c>
      <c r="AF531" s="180">
        <v>46105</v>
      </c>
      <c r="AG531" s="16">
        <v>46113</v>
      </c>
      <c r="AH531" s="53">
        <v>46118</v>
      </c>
      <c r="AI531" s="33">
        <v>4</v>
      </c>
      <c r="AJ531" s="144" t="s">
        <v>1631</v>
      </c>
      <c r="AK531" s="45" t="s">
        <v>1632</v>
      </c>
      <c r="AL531" s="19">
        <f t="shared" si="65"/>
        <v>1</v>
      </c>
      <c r="AM531" s="67">
        <f>IFERROR(NETWORKDAYS(D531,Q531,Hoja1!$A$1:$A$29),"N/A")</f>
        <v>5</v>
      </c>
      <c r="AN531" s="21">
        <f>IFERROR(NETWORKDAYS(D531,AE531,Hoja1!$A$1:$A$29),"N/A")</f>
        <v>20</v>
      </c>
      <c r="AO531" s="78">
        <v>5</v>
      </c>
      <c r="AP531" s="21">
        <f t="shared" si="63"/>
        <v>15</v>
      </c>
      <c r="AQ531" s="21">
        <f>IFERROR(NETWORKDAYS(AF531,AG531,Hoja1!$A$1:$A$29),"N/A")</f>
        <v>7</v>
      </c>
      <c r="AR531" s="78">
        <v>2</v>
      </c>
      <c r="AS531" s="75">
        <f t="shared" si="64"/>
        <v>5</v>
      </c>
      <c r="AT531" s="21">
        <f>IFERROR(NETWORKDAYS(D531,AG531,Hoja1!$A$1:$A$29),"N/A")</f>
        <v>27</v>
      </c>
      <c r="AU531" s="21">
        <f t="shared" si="62"/>
        <v>20</v>
      </c>
      <c r="AV531" s="143" t="s">
        <v>127</v>
      </c>
      <c r="AW531" s="86" t="s">
        <v>1633</v>
      </c>
      <c r="AX531" s="201" t="s">
        <v>460</v>
      </c>
      <c r="AY531" s="114"/>
      <c r="AZ531" s="114"/>
      <c r="BA531" s="114"/>
      <c r="BB531" s="114"/>
    </row>
    <row r="532" spans="1:54" ht="15" customHeight="1" x14ac:dyDescent="0.25">
      <c r="A532" s="55">
        <v>16076</v>
      </c>
      <c r="B532" s="159" t="s">
        <v>69</v>
      </c>
      <c r="C532" s="43" t="s">
        <v>98</v>
      </c>
      <c r="D532" s="421">
        <v>46070</v>
      </c>
      <c r="E532" s="28">
        <v>46086</v>
      </c>
      <c r="F532" s="232" t="s">
        <v>62</v>
      </c>
      <c r="G532" s="87" t="s">
        <v>80</v>
      </c>
      <c r="H532" s="179" t="s">
        <v>51</v>
      </c>
      <c r="I532" s="159" t="s">
        <v>885</v>
      </c>
      <c r="J532" s="111" t="s">
        <v>52</v>
      </c>
      <c r="K532" s="87" t="s">
        <v>66</v>
      </c>
      <c r="L532" s="3">
        <v>1</v>
      </c>
      <c r="M532" s="111" t="s">
        <v>54</v>
      </c>
      <c r="N532" s="33" t="s">
        <v>55</v>
      </c>
      <c r="O532" s="33">
        <v>10</v>
      </c>
      <c r="P532" s="21" t="s">
        <v>56</v>
      </c>
      <c r="Q532" s="28">
        <v>46112</v>
      </c>
      <c r="R532" s="28">
        <v>46118</v>
      </c>
      <c r="S532" s="33">
        <v>10</v>
      </c>
      <c r="T532" s="33" t="s">
        <v>55</v>
      </c>
      <c r="U532" s="33" t="s">
        <v>55</v>
      </c>
      <c r="V532" s="33" t="s">
        <v>55</v>
      </c>
      <c r="W532" s="33" t="s">
        <v>55</v>
      </c>
      <c r="X532" s="33" t="s">
        <v>55</v>
      </c>
      <c r="Y532" s="33" t="s">
        <v>55</v>
      </c>
      <c r="Z532" s="21" t="s">
        <v>55</v>
      </c>
      <c r="AA532" s="33">
        <v>2</v>
      </c>
      <c r="AB532" s="33">
        <v>2</v>
      </c>
      <c r="AC532" s="33">
        <v>0</v>
      </c>
      <c r="AD532" s="28">
        <v>46126</v>
      </c>
      <c r="AE532" s="16">
        <v>46126</v>
      </c>
      <c r="AF532" s="16">
        <v>46127</v>
      </c>
      <c r="AG532" s="53">
        <v>46133</v>
      </c>
      <c r="AH532" s="53">
        <v>46139</v>
      </c>
      <c r="AI532" s="33">
        <v>4</v>
      </c>
      <c r="AJ532" s="144" t="s">
        <v>1634</v>
      </c>
      <c r="AK532" s="202" t="s">
        <v>1635</v>
      </c>
      <c r="AL532" s="19">
        <f t="shared" si="65"/>
        <v>1</v>
      </c>
      <c r="AM532" s="67">
        <f>IFERROR(NETWORKDAYS(D532,Q532,Hoja1!$A$1:$A$29),"N/A")</f>
        <v>30</v>
      </c>
      <c r="AN532" s="21">
        <f>IFERROR(NETWORKDAYS(D532,AE532,Hoja1!$A$1:$A$29),"N/A")</f>
        <v>38</v>
      </c>
      <c r="AO532" s="78">
        <v>6</v>
      </c>
      <c r="AP532" s="21">
        <f t="shared" si="63"/>
        <v>32</v>
      </c>
      <c r="AQ532" s="21">
        <f>IFERROR(NETWORKDAYS(AF532,AG532,Hoja1!$A$1:$A$29),"N/A")</f>
        <v>5</v>
      </c>
      <c r="AR532" s="78">
        <v>0</v>
      </c>
      <c r="AS532" s="75">
        <f t="shared" si="64"/>
        <v>5</v>
      </c>
      <c r="AT532" s="21">
        <f>IFERROR(NETWORKDAYS(D532,AG532,Hoja1!$A$1:$A$29),"N/A")</f>
        <v>43</v>
      </c>
      <c r="AU532" s="21">
        <f t="shared" si="62"/>
        <v>37</v>
      </c>
      <c r="AV532" s="143" t="s">
        <v>127</v>
      </c>
      <c r="AW532" s="86" t="s">
        <v>1636</v>
      </c>
      <c r="AX532" s="111" t="s">
        <v>1376</v>
      </c>
      <c r="AY532" s="114"/>
      <c r="AZ532" s="114"/>
      <c r="BA532" s="114"/>
      <c r="BB532" s="114"/>
    </row>
    <row r="533" spans="1:54" ht="15" customHeight="1" x14ac:dyDescent="0.25">
      <c r="A533" s="55">
        <v>16078</v>
      </c>
      <c r="B533" s="84" t="s">
        <v>85</v>
      </c>
      <c r="C533" s="84" t="s">
        <v>85</v>
      </c>
      <c r="D533" s="53">
        <v>46086</v>
      </c>
      <c r="E533" s="53">
        <v>46086</v>
      </c>
      <c r="F533" s="143" t="s">
        <v>99</v>
      </c>
      <c r="G533" s="111" t="s">
        <v>455</v>
      </c>
      <c r="H533" s="179" t="s">
        <v>101</v>
      </c>
      <c r="I533" s="48" t="s">
        <v>1406</v>
      </c>
      <c r="J533" s="111" t="s">
        <v>52</v>
      </c>
      <c r="K533" s="111" t="s">
        <v>129</v>
      </c>
      <c r="L533" s="2">
        <v>1</v>
      </c>
      <c r="M533" s="111" t="s">
        <v>54</v>
      </c>
      <c r="N533" s="21" t="s">
        <v>55</v>
      </c>
      <c r="O533" s="21">
        <v>0</v>
      </c>
      <c r="P533" s="21"/>
      <c r="Q533" s="21" t="s">
        <v>55</v>
      </c>
      <c r="R533" s="21" t="s">
        <v>55</v>
      </c>
      <c r="S533" s="21">
        <v>0</v>
      </c>
      <c r="T533" s="21" t="s">
        <v>55</v>
      </c>
      <c r="U533" s="21" t="s">
        <v>55</v>
      </c>
      <c r="V533" s="21" t="s">
        <v>55</v>
      </c>
      <c r="W533" s="21" t="s">
        <v>55</v>
      </c>
      <c r="X533" s="21" t="s">
        <v>55</v>
      </c>
      <c r="Y533" s="21" t="s">
        <v>55</v>
      </c>
      <c r="Z533" s="21" t="s">
        <v>55</v>
      </c>
      <c r="AA533" s="21">
        <v>4</v>
      </c>
      <c r="AB533" s="21">
        <v>4</v>
      </c>
      <c r="AC533" s="21">
        <v>0</v>
      </c>
      <c r="AD533" s="53">
        <v>46106</v>
      </c>
      <c r="AE533" s="53">
        <v>46106</v>
      </c>
      <c r="AF533" s="53">
        <v>46106</v>
      </c>
      <c r="AG533" s="28">
        <v>46112</v>
      </c>
      <c r="AH533" s="53">
        <v>46118</v>
      </c>
      <c r="AI533" s="21">
        <v>4</v>
      </c>
      <c r="AJ533" s="152" t="s">
        <v>1637</v>
      </c>
      <c r="AK533" s="111" t="s">
        <v>1638</v>
      </c>
      <c r="AL533" s="19" t="str">
        <f t="shared" si="65"/>
        <v>N/A</v>
      </c>
      <c r="AM533" s="67" t="str">
        <f>IFERROR(NETWORKDAYS(D533,Q533,Hoja1!$A$1:$A$29),"N/A")</f>
        <v>N/A</v>
      </c>
      <c r="AN533" s="21">
        <f>IFERROR(NETWORKDAYS(D533,AE533,Hoja1!$A$1:$A$29),"N/A")</f>
        <v>14</v>
      </c>
      <c r="AO533" s="78">
        <v>4</v>
      </c>
      <c r="AP533" s="21">
        <f t="shared" si="63"/>
        <v>10</v>
      </c>
      <c r="AQ533" s="21">
        <f>IFERROR(NETWORKDAYS(AF533,AG533,Hoja1!$A$1:$A$29),"N/A")</f>
        <v>5</v>
      </c>
      <c r="AR533" s="78">
        <v>0</v>
      </c>
      <c r="AS533" s="75">
        <f t="shared" si="64"/>
        <v>5</v>
      </c>
      <c r="AT533" s="21">
        <f>IFERROR(NETWORKDAYS(D533,AG533,Hoja1!$A$1:$A$29),"N/A")</f>
        <v>18</v>
      </c>
      <c r="AU533" s="21">
        <f t="shared" si="62"/>
        <v>14</v>
      </c>
      <c r="AV533" s="143" t="s">
        <v>104</v>
      </c>
      <c r="AW533" s="86" t="s">
        <v>743</v>
      </c>
      <c r="AX533" s="111"/>
      <c r="AY533" s="111"/>
      <c r="AZ533" s="111"/>
      <c r="BA533" s="111"/>
      <c r="BB533" s="111"/>
    </row>
    <row r="534" spans="1:54" ht="15" customHeight="1" x14ac:dyDescent="0.25">
      <c r="A534" s="55">
        <v>16081</v>
      </c>
      <c r="B534" s="84" t="s">
        <v>61</v>
      </c>
      <c r="C534" s="84" t="s">
        <v>61</v>
      </c>
      <c r="D534" s="434">
        <v>46087</v>
      </c>
      <c r="E534" s="53">
        <v>46087</v>
      </c>
      <c r="F534" s="143" t="s">
        <v>62</v>
      </c>
      <c r="G534" s="84" t="s">
        <v>63</v>
      </c>
      <c r="H534" s="179" t="s">
        <v>101</v>
      </c>
      <c r="I534" s="111" t="s">
        <v>1639</v>
      </c>
      <c r="J534" s="111" t="s">
        <v>142</v>
      </c>
      <c r="K534" s="111" t="s">
        <v>66</v>
      </c>
      <c r="L534" s="2">
        <v>1</v>
      </c>
      <c r="M534" s="111" t="s">
        <v>54</v>
      </c>
      <c r="N534" s="33" t="s">
        <v>55</v>
      </c>
      <c r="O534" s="33">
        <v>0</v>
      </c>
      <c r="P534" s="21"/>
      <c r="Q534" s="33" t="s">
        <v>55</v>
      </c>
      <c r="R534" s="33" t="s">
        <v>55</v>
      </c>
      <c r="S534" s="33">
        <v>0</v>
      </c>
      <c r="T534" s="33" t="s">
        <v>55</v>
      </c>
      <c r="U534" s="33" t="s">
        <v>55</v>
      </c>
      <c r="V534" s="33" t="s">
        <v>55</v>
      </c>
      <c r="W534" s="33" t="s">
        <v>55</v>
      </c>
      <c r="X534" s="33" t="s">
        <v>55</v>
      </c>
      <c r="Y534" s="33" t="s">
        <v>55</v>
      </c>
      <c r="Z534" s="33" t="s">
        <v>55</v>
      </c>
      <c r="AA534" s="33">
        <v>1</v>
      </c>
      <c r="AB534" s="33">
        <v>1</v>
      </c>
      <c r="AC534" s="33">
        <v>0</v>
      </c>
      <c r="AD534" s="38">
        <v>46098</v>
      </c>
      <c r="AE534" s="28">
        <v>46100</v>
      </c>
      <c r="AF534" s="28">
        <v>46108</v>
      </c>
      <c r="AG534" s="180">
        <v>46126</v>
      </c>
      <c r="AH534" s="180">
        <v>46127</v>
      </c>
      <c r="AI534" s="33">
        <v>4</v>
      </c>
      <c r="AJ534" s="144" t="s">
        <v>1640</v>
      </c>
      <c r="AK534" s="46" t="s">
        <v>1641</v>
      </c>
      <c r="AL534" s="19" t="str">
        <f t="shared" si="65"/>
        <v>N/A</v>
      </c>
      <c r="AM534" s="67" t="str">
        <f>IFERROR(NETWORKDAYS(D534,Q534,Hoja1!$A$1:$A$29),"N/A")</f>
        <v>N/A</v>
      </c>
      <c r="AN534" s="21">
        <f>IFERROR(NETWORKDAYS(D534,AE534,Hoja1!$A$1:$A$29),"N/A")</f>
        <v>10</v>
      </c>
      <c r="AO534" s="78">
        <v>3</v>
      </c>
      <c r="AP534" s="21">
        <f t="shared" si="63"/>
        <v>7</v>
      </c>
      <c r="AQ534" s="21">
        <f>IFERROR(NETWORKDAYS(AF534,AG534,Hoja1!$A$1:$A$29),"N/A")</f>
        <v>11</v>
      </c>
      <c r="AR534" s="78">
        <v>6</v>
      </c>
      <c r="AS534" s="75">
        <f t="shared" si="64"/>
        <v>5</v>
      </c>
      <c r="AT534" s="21">
        <f>IFERROR(NETWORKDAYS(D534,AG534,Hoja1!$A$1:$A$29),"N/A")</f>
        <v>25</v>
      </c>
      <c r="AU534" s="21">
        <f t="shared" si="62"/>
        <v>16</v>
      </c>
      <c r="AV534" s="143" t="s">
        <v>104</v>
      </c>
      <c r="AW534" s="86" t="s">
        <v>1642</v>
      </c>
      <c r="AX534" s="87"/>
      <c r="AY534" s="87"/>
      <c r="AZ534" s="87"/>
      <c r="BA534" s="87"/>
      <c r="BB534" s="87"/>
    </row>
    <row r="535" spans="1:54" ht="15" customHeight="1" x14ac:dyDescent="0.25">
      <c r="A535" s="55">
        <v>16082</v>
      </c>
      <c r="B535" s="159" t="s">
        <v>69</v>
      </c>
      <c r="C535" s="43" t="s">
        <v>98</v>
      </c>
      <c r="D535" s="28">
        <v>46087</v>
      </c>
      <c r="E535" s="28">
        <v>46087</v>
      </c>
      <c r="F535" s="202" t="s">
        <v>879</v>
      </c>
      <c r="G535" s="87" t="s">
        <v>884</v>
      </c>
      <c r="H535" s="179" t="s">
        <v>51</v>
      </c>
      <c r="I535" s="159" t="s">
        <v>885</v>
      </c>
      <c r="J535" s="111" t="s">
        <v>52</v>
      </c>
      <c r="K535" s="87" t="s">
        <v>53</v>
      </c>
      <c r="L535" s="3">
        <v>1</v>
      </c>
      <c r="M535" s="111" t="s">
        <v>54</v>
      </c>
      <c r="N535" s="33" t="s">
        <v>55</v>
      </c>
      <c r="O535" s="33">
        <v>11</v>
      </c>
      <c r="P535" s="21" t="s">
        <v>56</v>
      </c>
      <c r="Q535" s="28">
        <v>46100</v>
      </c>
      <c r="R535" s="28">
        <v>46100</v>
      </c>
      <c r="S535" s="33">
        <v>11</v>
      </c>
      <c r="T535" s="33" t="s">
        <v>55</v>
      </c>
      <c r="U535" s="33" t="s">
        <v>55</v>
      </c>
      <c r="V535" s="33" t="s">
        <v>55</v>
      </c>
      <c r="W535" s="33" t="s">
        <v>55</v>
      </c>
      <c r="X535" s="33" t="s">
        <v>55</v>
      </c>
      <c r="Y535" s="33" t="s">
        <v>55</v>
      </c>
      <c r="Z535" s="21" t="s">
        <v>55</v>
      </c>
      <c r="AA535" s="33">
        <v>1</v>
      </c>
      <c r="AB535" s="33">
        <v>1</v>
      </c>
      <c r="AC535" s="33">
        <v>0</v>
      </c>
      <c r="AD535" s="53">
        <v>46107</v>
      </c>
      <c r="AE535" s="53">
        <v>46107</v>
      </c>
      <c r="AF535" s="53">
        <v>46107</v>
      </c>
      <c r="AG535" s="28">
        <v>46127</v>
      </c>
      <c r="AH535" s="180">
        <v>46127</v>
      </c>
      <c r="AI535" s="21">
        <v>4</v>
      </c>
      <c r="AJ535" s="87" t="s">
        <v>1643</v>
      </c>
      <c r="AK535" s="48" t="s">
        <v>1644</v>
      </c>
      <c r="AL535" s="19">
        <f t="shared" si="65"/>
        <v>1</v>
      </c>
      <c r="AM535" s="67">
        <f>IFERROR(NETWORKDAYS(D535,Q535,Hoja1!$A$1:$A$29),"N/A")</f>
        <v>10</v>
      </c>
      <c r="AN535" s="21">
        <f>IFERROR(NETWORKDAYS(D535,AE535,Hoja1!$A$1:$A$29),"N/A")</f>
        <v>14</v>
      </c>
      <c r="AO535" s="78">
        <v>0</v>
      </c>
      <c r="AP535" s="21">
        <f t="shared" si="63"/>
        <v>14</v>
      </c>
      <c r="AQ535" s="21">
        <f>IFERROR(NETWORKDAYS(AF535,AG535,Hoja1!$A$1:$A$29),"N/A")</f>
        <v>13</v>
      </c>
      <c r="AR535" s="78">
        <v>0</v>
      </c>
      <c r="AS535" s="75">
        <f t="shared" si="64"/>
        <v>13</v>
      </c>
      <c r="AT535" s="21">
        <f>IFERROR(NETWORKDAYS(D535,AG535,Hoja1!$A$1:$A$29),"N/A")</f>
        <v>26</v>
      </c>
      <c r="AU535" s="21">
        <f t="shared" si="62"/>
        <v>26</v>
      </c>
      <c r="AV535" s="143" t="s">
        <v>59</v>
      </c>
      <c r="AW535" s="86" t="s">
        <v>1645</v>
      </c>
      <c r="AX535" s="87"/>
      <c r="AY535" s="87"/>
      <c r="AZ535" s="87"/>
      <c r="BA535" s="87"/>
      <c r="BB535" s="87"/>
    </row>
    <row r="536" spans="1:54" ht="15" customHeight="1" x14ac:dyDescent="0.25">
      <c r="A536" s="55">
        <v>16083</v>
      </c>
      <c r="B536" s="159" t="s">
        <v>69</v>
      </c>
      <c r="C536" s="43" t="s">
        <v>98</v>
      </c>
      <c r="D536" s="421">
        <v>46087</v>
      </c>
      <c r="E536" s="28">
        <v>46087</v>
      </c>
      <c r="F536" s="202" t="s">
        <v>879</v>
      </c>
      <c r="G536" s="87" t="s">
        <v>1646</v>
      </c>
      <c r="H536" s="179" t="s">
        <v>51</v>
      </c>
      <c r="I536" s="159" t="s">
        <v>1647</v>
      </c>
      <c r="J536" s="111" t="s">
        <v>52</v>
      </c>
      <c r="K536" s="87" t="s">
        <v>53</v>
      </c>
      <c r="L536" s="3">
        <v>1</v>
      </c>
      <c r="M536" s="111" t="s">
        <v>54</v>
      </c>
      <c r="N536" s="33" t="s">
        <v>55</v>
      </c>
      <c r="O536" s="33">
        <v>9</v>
      </c>
      <c r="P536" s="21" t="s">
        <v>112</v>
      </c>
      <c r="Q536" s="28">
        <v>46090</v>
      </c>
      <c r="R536" s="28">
        <v>46090</v>
      </c>
      <c r="S536" s="33">
        <v>9</v>
      </c>
      <c r="T536" s="33" t="s">
        <v>55</v>
      </c>
      <c r="U536" s="33" t="s">
        <v>55</v>
      </c>
      <c r="V536" s="33" t="s">
        <v>55</v>
      </c>
      <c r="W536" s="33" t="s">
        <v>55</v>
      </c>
      <c r="X536" s="33" t="s">
        <v>55</v>
      </c>
      <c r="Y536" s="33" t="s">
        <v>55</v>
      </c>
      <c r="Z536" s="21" t="s">
        <v>55</v>
      </c>
      <c r="AA536" s="33">
        <v>3</v>
      </c>
      <c r="AB536" s="33">
        <v>3</v>
      </c>
      <c r="AC536" s="33">
        <v>0</v>
      </c>
      <c r="AD536" s="53">
        <v>46094</v>
      </c>
      <c r="AE536" s="28">
        <v>46097</v>
      </c>
      <c r="AF536" s="28">
        <v>46097</v>
      </c>
      <c r="AG536" s="28">
        <v>46118</v>
      </c>
      <c r="AH536" s="53">
        <v>46118</v>
      </c>
      <c r="AI536" s="21">
        <v>4</v>
      </c>
      <c r="AJ536" s="87" t="s">
        <v>1648</v>
      </c>
      <c r="AK536" s="48" t="s">
        <v>1649</v>
      </c>
      <c r="AL536" s="19">
        <f t="shared" si="65"/>
        <v>1</v>
      </c>
      <c r="AM536" s="67">
        <f>IFERROR(NETWORKDAYS(D536,Q536,Hoja1!$A$1:$A$29),"N/A")</f>
        <v>2</v>
      </c>
      <c r="AN536" s="21">
        <f>IFERROR(NETWORKDAYS(D536,AE536,Hoja1!$A$1:$A$29),"N/A")</f>
        <v>7</v>
      </c>
      <c r="AO536" s="78">
        <v>0</v>
      </c>
      <c r="AP536" s="21">
        <f t="shared" si="63"/>
        <v>7</v>
      </c>
      <c r="AQ536" s="21">
        <f>IFERROR(NETWORKDAYS(AF536,AG536,Hoja1!$A$1:$A$29),"N/A")</f>
        <v>13</v>
      </c>
      <c r="AR536" s="78">
        <v>0</v>
      </c>
      <c r="AS536" s="75">
        <f t="shared" si="64"/>
        <v>13</v>
      </c>
      <c r="AT536" s="21">
        <f>IFERROR(NETWORKDAYS(D536,AG536,Hoja1!$A$1:$A$29),"N/A")</f>
        <v>19</v>
      </c>
      <c r="AU536" s="21">
        <f t="shared" si="62"/>
        <v>19</v>
      </c>
      <c r="AV536" s="143" t="s">
        <v>59</v>
      </c>
      <c r="AW536" s="86" t="s">
        <v>1650</v>
      </c>
      <c r="AX536" s="87"/>
      <c r="AY536" s="87"/>
      <c r="AZ536" s="87"/>
      <c r="BA536" s="87"/>
      <c r="BB536" s="87"/>
    </row>
    <row r="537" spans="1:54" ht="15" customHeight="1" x14ac:dyDescent="0.25">
      <c r="A537" s="95">
        <v>16085</v>
      </c>
      <c r="B537" s="84" t="s">
        <v>85</v>
      </c>
      <c r="C537" s="84" t="s">
        <v>85</v>
      </c>
      <c r="D537" s="116">
        <v>46120</v>
      </c>
      <c r="E537" s="116">
        <v>46087</v>
      </c>
      <c r="F537" s="114" t="s">
        <v>62</v>
      </c>
      <c r="G537" s="84" t="s">
        <v>275</v>
      </c>
      <c r="H537" s="179" t="s">
        <v>101</v>
      </c>
      <c r="I537" s="188" t="s">
        <v>516</v>
      </c>
      <c r="J537" s="111" t="s">
        <v>52</v>
      </c>
      <c r="K537" s="87" t="s">
        <v>1385</v>
      </c>
      <c r="L537" s="33">
        <v>1</v>
      </c>
      <c r="M537" s="111" t="s">
        <v>54</v>
      </c>
      <c r="N537" s="33" t="s">
        <v>55</v>
      </c>
      <c r="O537" s="33">
        <v>0</v>
      </c>
      <c r="P537" s="33"/>
      <c r="Q537" s="33" t="s">
        <v>55</v>
      </c>
      <c r="R537" s="33" t="s">
        <v>55</v>
      </c>
      <c r="S537" s="33">
        <v>0</v>
      </c>
      <c r="T537" s="33" t="s">
        <v>55</v>
      </c>
      <c r="U537" s="33" t="s">
        <v>55</v>
      </c>
      <c r="V537" s="33" t="s">
        <v>55</v>
      </c>
      <c r="W537" s="33" t="s">
        <v>55</v>
      </c>
      <c r="X537" s="33" t="s">
        <v>55</v>
      </c>
      <c r="Y537" s="33" t="s">
        <v>55</v>
      </c>
      <c r="Z537" s="33" t="s">
        <v>55</v>
      </c>
      <c r="AA537" s="33">
        <v>2</v>
      </c>
      <c r="AB537" s="33">
        <v>2</v>
      </c>
      <c r="AC537" s="33">
        <v>0</v>
      </c>
      <c r="AD537" s="28">
        <v>46126</v>
      </c>
      <c r="AE537" s="28">
        <v>46126</v>
      </c>
      <c r="AF537" s="28">
        <v>46126</v>
      </c>
      <c r="AG537" s="53">
        <v>46133</v>
      </c>
      <c r="AH537" s="53">
        <v>46139</v>
      </c>
      <c r="AI537" s="33">
        <f>MONTH(AH537)</f>
        <v>4</v>
      </c>
      <c r="AJ537" s="240" t="s">
        <v>1651</v>
      </c>
      <c r="AK537" s="35" t="s">
        <v>1652</v>
      </c>
      <c r="AL537" s="19" t="str">
        <f t="shared" si="65"/>
        <v>N/A</v>
      </c>
      <c r="AM537" s="67" t="str">
        <f>IFERROR(NETWORKDAYS(D537,Q537,Hoja1!$A$1:$A$29),"N/A")</f>
        <v>N/A</v>
      </c>
      <c r="AN537" s="21">
        <f>IFERROR(NETWORKDAYS(D537,AE537,Hoja1!$A$1:$A$29),"N/A")</f>
        <v>5</v>
      </c>
      <c r="AO537" s="78">
        <v>0</v>
      </c>
      <c r="AP537" s="21">
        <f t="shared" si="63"/>
        <v>5</v>
      </c>
      <c r="AQ537" s="21">
        <f>IFERROR(NETWORKDAYS(AF537,AG537,Hoja1!$A$1:$A$29),"N/A")</f>
        <v>6</v>
      </c>
      <c r="AR537" s="78">
        <v>1</v>
      </c>
      <c r="AS537" s="75">
        <f t="shared" si="64"/>
        <v>5</v>
      </c>
      <c r="AT537" s="21">
        <f>IFERROR(NETWORKDAYS(D537,AG537,Hoja1!$A$1:$A$29),"N/A")</f>
        <v>10</v>
      </c>
      <c r="AU537" s="21">
        <f t="shared" si="62"/>
        <v>9</v>
      </c>
      <c r="AV537" s="143" t="s">
        <v>104</v>
      </c>
      <c r="AW537" s="86" t="s">
        <v>1653</v>
      </c>
      <c r="AX537" s="87" t="s">
        <v>1376</v>
      </c>
      <c r="AY537" s="87"/>
      <c r="AZ537" s="87"/>
      <c r="BA537" s="87"/>
      <c r="BB537" s="87"/>
    </row>
    <row r="538" spans="1:54" ht="15" customHeight="1" x14ac:dyDescent="0.25">
      <c r="A538" s="55">
        <v>16086</v>
      </c>
      <c r="B538" s="27" t="s">
        <v>79</v>
      </c>
      <c r="C538" s="27" t="s">
        <v>79</v>
      </c>
      <c r="D538" s="434">
        <v>46088</v>
      </c>
      <c r="E538" s="53">
        <v>46088</v>
      </c>
      <c r="F538" s="143" t="s">
        <v>90</v>
      </c>
      <c r="G538" s="159" t="s">
        <v>91</v>
      </c>
      <c r="H538" s="179" t="s">
        <v>51</v>
      </c>
      <c r="I538" s="27" t="s">
        <v>72</v>
      </c>
      <c r="J538" s="87" t="s">
        <v>73</v>
      </c>
      <c r="K538" s="111" t="s">
        <v>171</v>
      </c>
      <c r="L538" s="2">
        <v>1</v>
      </c>
      <c r="M538" s="111" t="s">
        <v>54</v>
      </c>
      <c r="N538" s="21" t="s">
        <v>55</v>
      </c>
      <c r="O538" s="21">
        <v>3</v>
      </c>
      <c r="P538" s="21" t="s">
        <v>112</v>
      </c>
      <c r="Q538" s="53">
        <v>46093</v>
      </c>
      <c r="R538" s="53">
        <v>46099</v>
      </c>
      <c r="S538" s="21">
        <v>3</v>
      </c>
      <c r="T538" s="21" t="s">
        <v>55</v>
      </c>
      <c r="U538" s="21" t="s">
        <v>55</v>
      </c>
      <c r="V538" s="21" t="s">
        <v>55</v>
      </c>
      <c r="W538" s="21" t="s">
        <v>55</v>
      </c>
      <c r="X538" s="21" t="s">
        <v>55</v>
      </c>
      <c r="Y538" s="21" t="s">
        <v>55</v>
      </c>
      <c r="Z538" s="21" t="s">
        <v>55</v>
      </c>
      <c r="AA538" s="21">
        <v>3</v>
      </c>
      <c r="AB538" s="21">
        <v>1</v>
      </c>
      <c r="AC538" s="21">
        <v>0</v>
      </c>
      <c r="AD538" s="53">
        <v>46099</v>
      </c>
      <c r="AE538" s="53">
        <v>46105</v>
      </c>
      <c r="AF538" s="53">
        <v>46113</v>
      </c>
      <c r="AG538" s="180">
        <v>46126</v>
      </c>
      <c r="AH538" s="180">
        <v>46127</v>
      </c>
      <c r="AI538" s="21">
        <v>4</v>
      </c>
      <c r="AJ538" s="159" t="s">
        <v>1654</v>
      </c>
      <c r="AK538" s="111" t="s">
        <v>1655</v>
      </c>
      <c r="AL538" s="19">
        <f t="shared" si="65"/>
        <v>1</v>
      </c>
      <c r="AM538" s="67">
        <f>IFERROR(NETWORKDAYS(D538,Q538,Hoja1!$A$1:$A$29),"N/A")</f>
        <v>4</v>
      </c>
      <c r="AN538" s="21">
        <f>IFERROR(NETWORKDAYS(D538,AE538,Hoja1!$A$1:$A$29),"N/A")</f>
        <v>11</v>
      </c>
      <c r="AO538" s="78">
        <v>0</v>
      </c>
      <c r="AP538" s="21">
        <f t="shared" si="63"/>
        <v>11</v>
      </c>
      <c r="AQ538" s="21">
        <f>IFERROR(NETWORKDAYS(AF538,AG538,Hoja1!$A$1:$A$29),"N/A")</f>
        <v>8</v>
      </c>
      <c r="AR538" s="78">
        <v>0</v>
      </c>
      <c r="AS538" s="75">
        <f t="shared" si="64"/>
        <v>8</v>
      </c>
      <c r="AT538" s="21">
        <f>IFERROR(NETWORKDAYS(D538,AG538,Hoja1!$A$1:$A$29),"N/A")</f>
        <v>24</v>
      </c>
      <c r="AU538" s="21">
        <f t="shared" si="62"/>
        <v>24</v>
      </c>
      <c r="AV538" s="143" t="s">
        <v>77</v>
      </c>
      <c r="AW538" s="86" t="s">
        <v>82</v>
      </c>
      <c r="AX538" s="87"/>
      <c r="AY538" s="87"/>
      <c r="AZ538" s="87"/>
      <c r="BA538" s="87"/>
      <c r="BB538" s="87"/>
    </row>
    <row r="539" spans="1:54" ht="15" customHeight="1" x14ac:dyDescent="0.25">
      <c r="A539" s="55">
        <v>16087</v>
      </c>
      <c r="B539" s="27" t="s">
        <v>79</v>
      </c>
      <c r="C539" s="27" t="s">
        <v>79</v>
      </c>
      <c r="D539" s="53">
        <v>46088</v>
      </c>
      <c r="E539" s="53">
        <v>46088</v>
      </c>
      <c r="F539" s="143" t="s">
        <v>90</v>
      </c>
      <c r="G539" s="159" t="s">
        <v>91</v>
      </c>
      <c r="H539" s="179" t="s">
        <v>51</v>
      </c>
      <c r="I539" s="27" t="s">
        <v>72</v>
      </c>
      <c r="J539" s="87" t="s">
        <v>73</v>
      </c>
      <c r="K539" s="111" t="s">
        <v>171</v>
      </c>
      <c r="L539" s="2">
        <v>1</v>
      </c>
      <c r="M539" s="111" t="s">
        <v>54</v>
      </c>
      <c r="N539" s="21" t="s">
        <v>55</v>
      </c>
      <c r="O539" s="21">
        <v>3</v>
      </c>
      <c r="P539" s="21" t="s">
        <v>112</v>
      </c>
      <c r="Q539" s="53">
        <v>46093</v>
      </c>
      <c r="R539" s="53">
        <v>46099</v>
      </c>
      <c r="S539" s="21">
        <v>3</v>
      </c>
      <c r="T539" s="21" t="s">
        <v>55</v>
      </c>
      <c r="U539" s="21" t="s">
        <v>55</v>
      </c>
      <c r="V539" s="21" t="s">
        <v>55</v>
      </c>
      <c r="W539" s="21" t="s">
        <v>55</v>
      </c>
      <c r="X539" s="21" t="s">
        <v>55</v>
      </c>
      <c r="Y539" s="21" t="s">
        <v>55</v>
      </c>
      <c r="Z539" s="21" t="s">
        <v>55</v>
      </c>
      <c r="AA539" s="21">
        <v>3</v>
      </c>
      <c r="AB539" s="21">
        <v>1</v>
      </c>
      <c r="AC539" s="21">
        <v>0</v>
      </c>
      <c r="AD539" s="53">
        <v>46099</v>
      </c>
      <c r="AE539" s="53">
        <v>46105</v>
      </c>
      <c r="AF539" s="53">
        <v>46113</v>
      </c>
      <c r="AG539" s="180">
        <v>46126</v>
      </c>
      <c r="AH539" s="180">
        <v>46127</v>
      </c>
      <c r="AI539" s="21">
        <v>4</v>
      </c>
      <c r="AJ539" s="159" t="s">
        <v>1656</v>
      </c>
      <c r="AK539" s="111" t="s">
        <v>1657</v>
      </c>
      <c r="AL539" s="19">
        <f t="shared" si="65"/>
        <v>1</v>
      </c>
      <c r="AM539" s="67">
        <f>IFERROR(NETWORKDAYS(D539,Q539,Hoja1!$A$1:$A$29),"N/A")</f>
        <v>4</v>
      </c>
      <c r="AN539" s="21">
        <f>IFERROR(NETWORKDAYS(D539,AE539,Hoja1!$A$1:$A$29),"N/A")</f>
        <v>11</v>
      </c>
      <c r="AO539" s="78">
        <v>0</v>
      </c>
      <c r="AP539" s="21">
        <f t="shared" si="63"/>
        <v>11</v>
      </c>
      <c r="AQ539" s="21">
        <f>IFERROR(NETWORKDAYS(AF539,AG539,Hoja1!$A$1:$A$29),"N/A")</f>
        <v>8</v>
      </c>
      <c r="AR539" s="78">
        <v>0</v>
      </c>
      <c r="AS539" s="75">
        <f t="shared" si="64"/>
        <v>8</v>
      </c>
      <c r="AT539" s="21">
        <f>IFERROR(NETWORKDAYS(D539,AG539,Hoja1!$A$1:$A$29),"N/A")</f>
        <v>24</v>
      </c>
      <c r="AU539" s="21">
        <f t="shared" si="62"/>
        <v>24</v>
      </c>
      <c r="AV539" s="143" t="s">
        <v>77</v>
      </c>
      <c r="AW539" s="86" t="s">
        <v>82</v>
      </c>
      <c r="AX539" s="87"/>
      <c r="AY539" s="87"/>
      <c r="AZ539" s="87"/>
      <c r="BA539" s="87"/>
      <c r="BB539" s="87"/>
    </row>
    <row r="540" spans="1:54" ht="15" customHeight="1" x14ac:dyDescent="0.25">
      <c r="A540" s="57">
        <v>16088</v>
      </c>
      <c r="B540" s="159" t="s">
        <v>69</v>
      </c>
      <c r="C540" s="43" t="s">
        <v>98</v>
      </c>
      <c r="D540" s="425">
        <v>46090</v>
      </c>
      <c r="E540" s="16">
        <v>46090</v>
      </c>
      <c r="F540" s="114" t="s">
        <v>62</v>
      </c>
      <c r="G540" s="114" t="s">
        <v>80</v>
      </c>
      <c r="H540" s="179" t="s">
        <v>51</v>
      </c>
      <c r="I540" s="240" t="s">
        <v>885</v>
      </c>
      <c r="J540" s="111" t="s">
        <v>52</v>
      </c>
      <c r="K540" s="27" t="s">
        <v>66</v>
      </c>
      <c r="L540" s="1">
        <v>1</v>
      </c>
      <c r="M540" s="111" t="s">
        <v>54</v>
      </c>
      <c r="N540" s="33" t="s">
        <v>55</v>
      </c>
      <c r="O540" s="33">
        <v>3</v>
      </c>
      <c r="P540" s="21" t="s">
        <v>112</v>
      </c>
      <c r="Q540" s="16">
        <v>46112</v>
      </c>
      <c r="R540" s="16">
        <v>46112</v>
      </c>
      <c r="S540" s="33">
        <v>3</v>
      </c>
      <c r="T540" s="33" t="s">
        <v>55</v>
      </c>
      <c r="U540" s="33" t="s">
        <v>55</v>
      </c>
      <c r="V540" s="33" t="s">
        <v>55</v>
      </c>
      <c r="W540" s="33" t="s">
        <v>55</v>
      </c>
      <c r="X540" s="33" t="s">
        <v>55</v>
      </c>
      <c r="Y540" s="33" t="s">
        <v>55</v>
      </c>
      <c r="Z540" s="21" t="s">
        <v>55</v>
      </c>
      <c r="AA540" s="33">
        <v>1</v>
      </c>
      <c r="AB540" s="33">
        <v>1</v>
      </c>
      <c r="AC540" s="33">
        <v>0</v>
      </c>
      <c r="AD540" s="53">
        <v>46127</v>
      </c>
      <c r="AE540" s="53">
        <v>46127</v>
      </c>
      <c r="AF540" s="53">
        <v>46127</v>
      </c>
      <c r="AG540" s="16">
        <v>46134</v>
      </c>
      <c r="AH540" s="53">
        <v>46139</v>
      </c>
      <c r="AI540" s="33">
        <f>MONTH(AH540)</f>
        <v>4</v>
      </c>
      <c r="AJ540" s="183" t="s">
        <v>1658</v>
      </c>
      <c r="AK540" s="49" t="s">
        <v>1659</v>
      </c>
      <c r="AL540" s="19">
        <f t="shared" si="65"/>
        <v>1</v>
      </c>
      <c r="AM540" s="67">
        <f>IFERROR(NETWORKDAYS(D540,Q540,Hoja1!$A$1:$A$29),"N/A")</f>
        <v>16</v>
      </c>
      <c r="AN540" s="21">
        <f>IFERROR(NETWORKDAYS(D540,AE540,Hoja1!$A$1:$A$29),"N/A")</f>
        <v>25</v>
      </c>
      <c r="AO540" s="78">
        <v>6</v>
      </c>
      <c r="AP540" s="21">
        <f t="shared" si="63"/>
        <v>19</v>
      </c>
      <c r="AQ540" s="21">
        <f>IFERROR(NETWORKDAYS(AF540,AG540,Hoja1!$A$1:$A$29),"N/A")</f>
        <v>6</v>
      </c>
      <c r="AR540" s="78">
        <v>1</v>
      </c>
      <c r="AS540" s="75">
        <f t="shared" si="64"/>
        <v>5</v>
      </c>
      <c r="AT540" s="21">
        <f>IFERROR(NETWORKDAYS(D540,AG540,Hoja1!$A$1:$A$29),"N/A")</f>
        <v>30</v>
      </c>
      <c r="AU540" s="21">
        <f t="shared" si="62"/>
        <v>23</v>
      </c>
      <c r="AV540" s="143" t="s">
        <v>59</v>
      </c>
      <c r="AW540" s="86" t="s">
        <v>1660</v>
      </c>
      <c r="AX540" s="87"/>
      <c r="AY540" s="87"/>
      <c r="AZ540" s="87"/>
      <c r="BA540" s="87"/>
      <c r="BB540" s="87"/>
    </row>
    <row r="541" spans="1:54" ht="15" customHeight="1" x14ac:dyDescent="0.25">
      <c r="A541" s="55">
        <v>16089</v>
      </c>
      <c r="B541" s="159" t="s">
        <v>69</v>
      </c>
      <c r="C541" s="43" t="s">
        <v>98</v>
      </c>
      <c r="D541" s="53">
        <v>46090</v>
      </c>
      <c r="E541" s="53">
        <v>46090</v>
      </c>
      <c r="F541" s="143" t="s">
        <v>90</v>
      </c>
      <c r="G541" s="159" t="s">
        <v>896</v>
      </c>
      <c r="H541" s="179" t="s">
        <v>51</v>
      </c>
      <c r="I541" s="84" t="s">
        <v>227</v>
      </c>
      <c r="J541" s="111" t="s">
        <v>52</v>
      </c>
      <c r="K541" s="111" t="s">
        <v>111</v>
      </c>
      <c r="L541" s="2">
        <v>1</v>
      </c>
      <c r="M541" s="111" t="s">
        <v>54</v>
      </c>
      <c r="N541" s="21" t="s">
        <v>55</v>
      </c>
      <c r="O541" s="21">
        <v>4</v>
      </c>
      <c r="P541" s="21" t="s">
        <v>112</v>
      </c>
      <c r="Q541" s="53">
        <v>46097</v>
      </c>
      <c r="R541" s="53">
        <v>46097</v>
      </c>
      <c r="S541" s="21">
        <v>4</v>
      </c>
      <c r="T541" s="21" t="s">
        <v>55</v>
      </c>
      <c r="U541" s="21" t="s">
        <v>55</v>
      </c>
      <c r="V541" s="21" t="s">
        <v>55</v>
      </c>
      <c r="W541" s="21" t="s">
        <v>55</v>
      </c>
      <c r="X541" s="21" t="s">
        <v>55</v>
      </c>
      <c r="Y541" s="21" t="s">
        <v>55</v>
      </c>
      <c r="Z541" s="21" t="s">
        <v>55</v>
      </c>
      <c r="AA541" s="21">
        <v>4</v>
      </c>
      <c r="AB541" s="21">
        <v>1</v>
      </c>
      <c r="AC541" s="21">
        <v>0</v>
      </c>
      <c r="AD541" s="53">
        <v>46106</v>
      </c>
      <c r="AE541" s="53">
        <v>46106</v>
      </c>
      <c r="AF541" s="53">
        <v>46106</v>
      </c>
      <c r="AG541" s="28">
        <v>46112</v>
      </c>
      <c r="AH541" s="53">
        <v>46118</v>
      </c>
      <c r="AI541" s="21">
        <v>4</v>
      </c>
      <c r="AJ541" s="159" t="s">
        <v>1661</v>
      </c>
      <c r="AK541" s="111" t="s">
        <v>1662</v>
      </c>
      <c r="AL541" s="19">
        <f t="shared" si="65"/>
        <v>1</v>
      </c>
      <c r="AM541" s="67">
        <f>IFERROR(NETWORKDAYS(D541,Q541,Hoja1!$A$1:$A$29),"N/A")</f>
        <v>6</v>
      </c>
      <c r="AN541" s="21">
        <f>IFERROR(NETWORKDAYS(D541,AE541,Hoja1!$A$1:$A$29),"N/A")</f>
        <v>12</v>
      </c>
      <c r="AO541" s="78">
        <v>0</v>
      </c>
      <c r="AP541" s="21">
        <f t="shared" si="63"/>
        <v>12</v>
      </c>
      <c r="AQ541" s="21">
        <f>IFERROR(NETWORKDAYS(AF541,AG541,Hoja1!$A$1:$A$29),"N/A")</f>
        <v>5</v>
      </c>
      <c r="AR541" s="78">
        <v>0</v>
      </c>
      <c r="AS541" s="75">
        <f t="shared" si="64"/>
        <v>5</v>
      </c>
      <c r="AT541" s="21">
        <f>IFERROR(NETWORKDAYS(D541,AG541,Hoja1!$A$1:$A$29),"N/A")</f>
        <v>16</v>
      </c>
      <c r="AU541" s="21">
        <f t="shared" si="62"/>
        <v>16</v>
      </c>
      <c r="AV541" s="143" t="s">
        <v>127</v>
      </c>
      <c r="AW541" s="86" t="s">
        <v>1663</v>
      </c>
      <c r="AX541" s="87"/>
      <c r="AY541" s="87"/>
      <c r="AZ541" s="87"/>
      <c r="BA541" s="87"/>
      <c r="BB541" s="87"/>
    </row>
    <row r="542" spans="1:54" ht="15" customHeight="1" x14ac:dyDescent="0.25">
      <c r="A542" s="55">
        <v>16097</v>
      </c>
      <c r="B542" s="159" t="s">
        <v>69</v>
      </c>
      <c r="C542" s="43" t="s">
        <v>98</v>
      </c>
      <c r="D542" s="421">
        <v>46091</v>
      </c>
      <c r="E542" s="28">
        <v>46091</v>
      </c>
      <c r="F542" s="84" t="s">
        <v>163</v>
      </c>
      <c r="G542" s="84" t="s">
        <v>1047</v>
      </c>
      <c r="H542" s="179" t="s">
        <v>116</v>
      </c>
      <c r="I542" s="84" t="s">
        <v>227</v>
      </c>
      <c r="J542" s="111" t="s">
        <v>52</v>
      </c>
      <c r="K542" s="87" t="s">
        <v>165</v>
      </c>
      <c r="L542" s="33">
        <v>1</v>
      </c>
      <c r="M542" s="111" t="s">
        <v>54</v>
      </c>
      <c r="N542" s="33" t="s">
        <v>55</v>
      </c>
      <c r="O542" s="33">
        <v>5</v>
      </c>
      <c r="P542" s="21" t="s">
        <v>112</v>
      </c>
      <c r="Q542" s="53">
        <v>46098</v>
      </c>
      <c r="R542" s="28">
        <v>46100</v>
      </c>
      <c r="S542" s="33">
        <v>5</v>
      </c>
      <c r="T542" s="28">
        <v>46091</v>
      </c>
      <c r="U542" s="28">
        <v>46093</v>
      </c>
      <c r="V542" s="53">
        <v>46098</v>
      </c>
      <c r="W542" s="33" t="s">
        <v>55</v>
      </c>
      <c r="X542" s="33" t="s">
        <v>55</v>
      </c>
      <c r="Y542" s="33" t="s">
        <v>55</v>
      </c>
      <c r="Z542" s="33" t="s">
        <v>55</v>
      </c>
      <c r="AA542" s="33">
        <v>2</v>
      </c>
      <c r="AB542" s="33">
        <v>2</v>
      </c>
      <c r="AC542" s="33">
        <v>0</v>
      </c>
      <c r="AD542" s="38">
        <v>46105</v>
      </c>
      <c r="AE542" s="38">
        <v>46105</v>
      </c>
      <c r="AF542" s="180">
        <v>46105</v>
      </c>
      <c r="AG542" s="28">
        <v>46112</v>
      </c>
      <c r="AH542" s="53">
        <v>46118</v>
      </c>
      <c r="AI542" s="33">
        <v>4</v>
      </c>
      <c r="AJ542" s="144" t="s">
        <v>1664</v>
      </c>
      <c r="AK542" s="35" t="s">
        <v>1665</v>
      </c>
      <c r="AL542" s="19">
        <f t="shared" si="65"/>
        <v>1</v>
      </c>
      <c r="AM542" s="67">
        <f>IFERROR(NETWORKDAYS(D542,Q542,Hoja1!$A$1:$A$29),"N/A")</f>
        <v>6</v>
      </c>
      <c r="AN542" s="21">
        <f>IFERROR(NETWORKDAYS(D542,AE542,Hoja1!$A$1:$A$29),"N/A")</f>
        <v>10</v>
      </c>
      <c r="AO542" s="78">
        <v>0</v>
      </c>
      <c r="AP542" s="21">
        <f t="shared" si="63"/>
        <v>10</v>
      </c>
      <c r="AQ542" s="21">
        <f>IFERROR(NETWORKDAYS(AF542,AG542,Hoja1!$A$1:$A$29),"N/A")</f>
        <v>6</v>
      </c>
      <c r="AR542" s="78">
        <v>1</v>
      </c>
      <c r="AS542" s="75">
        <f t="shared" si="64"/>
        <v>5</v>
      </c>
      <c r="AT542" s="21">
        <f>IFERROR(NETWORKDAYS(D542,AG542,Hoja1!$A$1:$A$29),"N/A")</f>
        <v>15</v>
      </c>
      <c r="AU542" s="21">
        <f t="shared" si="62"/>
        <v>14</v>
      </c>
      <c r="AV542" s="143" t="s">
        <v>59</v>
      </c>
      <c r="AW542" s="86" t="s">
        <v>400</v>
      </c>
      <c r="AX542" s="87"/>
      <c r="AY542" s="87"/>
      <c r="AZ542" s="87"/>
      <c r="BA542" s="87"/>
      <c r="BB542" s="87"/>
    </row>
    <row r="543" spans="1:54" ht="15" customHeight="1" x14ac:dyDescent="0.25">
      <c r="A543" s="55">
        <v>16098</v>
      </c>
      <c r="B543" s="159" t="s">
        <v>69</v>
      </c>
      <c r="C543" s="43" t="s">
        <v>98</v>
      </c>
      <c r="D543" s="28">
        <v>46091</v>
      </c>
      <c r="E543" s="28">
        <v>46091</v>
      </c>
      <c r="F543" s="202" t="s">
        <v>879</v>
      </c>
      <c r="G543" s="48" t="s">
        <v>50</v>
      </c>
      <c r="H543" s="179" t="s">
        <v>51</v>
      </c>
      <c r="I543" s="111" t="s">
        <v>102</v>
      </c>
      <c r="J543" s="111" t="s">
        <v>52</v>
      </c>
      <c r="K543" s="87" t="s">
        <v>53</v>
      </c>
      <c r="L543" s="3">
        <v>1</v>
      </c>
      <c r="M543" s="111" t="s">
        <v>54</v>
      </c>
      <c r="N543" s="33" t="s">
        <v>55</v>
      </c>
      <c r="O543" s="33">
        <v>8</v>
      </c>
      <c r="P543" s="21" t="s">
        <v>56</v>
      </c>
      <c r="Q543" s="53">
        <v>46098</v>
      </c>
      <c r="R543" s="53">
        <v>46098</v>
      </c>
      <c r="S543" s="33">
        <v>8</v>
      </c>
      <c r="T543" s="33" t="s">
        <v>55</v>
      </c>
      <c r="U543" s="33" t="s">
        <v>55</v>
      </c>
      <c r="V543" s="33" t="s">
        <v>55</v>
      </c>
      <c r="W543" s="33" t="s">
        <v>55</v>
      </c>
      <c r="X543" s="33" t="s">
        <v>55</v>
      </c>
      <c r="Y543" s="33" t="s">
        <v>55</v>
      </c>
      <c r="Z543" s="21" t="s">
        <v>55</v>
      </c>
      <c r="AA543" s="33">
        <v>3</v>
      </c>
      <c r="AB543" s="33">
        <v>3</v>
      </c>
      <c r="AC543" s="33">
        <v>0</v>
      </c>
      <c r="AD543" s="28">
        <v>46113</v>
      </c>
      <c r="AE543" s="28">
        <v>46118</v>
      </c>
      <c r="AF543" s="28">
        <v>46119</v>
      </c>
      <c r="AG543" s="28">
        <v>46127</v>
      </c>
      <c r="AH543" s="180">
        <v>46127</v>
      </c>
      <c r="AI543" s="21">
        <v>4</v>
      </c>
      <c r="AJ543" s="87" t="s">
        <v>1666</v>
      </c>
      <c r="AK543" s="48" t="s">
        <v>1667</v>
      </c>
      <c r="AL543" s="19">
        <f t="shared" si="65"/>
        <v>1</v>
      </c>
      <c r="AM543" s="67">
        <f>IFERROR(NETWORKDAYS(D543,Q543,Hoja1!$A$1:$A$29),"N/A")</f>
        <v>6</v>
      </c>
      <c r="AN543" s="21">
        <f>IFERROR(NETWORKDAYS(D543,AE543,Hoja1!$A$1:$A$29),"N/A")</f>
        <v>17</v>
      </c>
      <c r="AO543" s="78">
        <v>2</v>
      </c>
      <c r="AP543" s="21">
        <f t="shared" si="63"/>
        <v>15</v>
      </c>
      <c r="AQ543" s="21">
        <f>IFERROR(NETWORKDAYS(AF543,AG543,Hoja1!$A$1:$A$29),"N/A")</f>
        <v>7</v>
      </c>
      <c r="AR543" s="78">
        <v>0</v>
      </c>
      <c r="AS543" s="75">
        <f t="shared" si="64"/>
        <v>7</v>
      </c>
      <c r="AT543" s="21">
        <f>IFERROR(NETWORKDAYS(D543,AG543,Hoja1!$A$1:$A$29),"N/A")</f>
        <v>24</v>
      </c>
      <c r="AU543" s="21">
        <f t="shared" si="62"/>
        <v>22</v>
      </c>
      <c r="AV543" s="143" t="s">
        <v>419</v>
      </c>
      <c r="AW543" s="86" t="s">
        <v>661</v>
      </c>
      <c r="AX543" s="87"/>
      <c r="AY543" s="87"/>
      <c r="AZ543" s="87"/>
      <c r="BA543" s="87"/>
      <c r="BB543" s="87"/>
    </row>
    <row r="544" spans="1:54" ht="15" customHeight="1" x14ac:dyDescent="0.25">
      <c r="A544" s="55">
        <v>16100</v>
      </c>
      <c r="B544" s="84" t="s">
        <v>85</v>
      </c>
      <c r="C544" s="84" t="s">
        <v>85</v>
      </c>
      <c r="D544" s="434">
        <v>46092</v>
      </c>
      <c r="E544" s="53">
        <v>46092</v>
      </c>
      <c r="F544" s="143" t="s">
        <v>99</v>
      </c>
      <c r="G544" s="152" t="s">
        <v>100</v>
      </c>
      <c r="H544" s="179" t="s">
        <v>51</v>
      </c>
      <c r="I544" s="152" t="s">
        <v>1668</v>
      </c>
      <c r="J544" s="111" t="s">
        <v>52</v>
      </c>
      <c r="K544" s="111" t="s">
        <v>129</v>
      </c>
      <c r="L544" s="2">
        <v>1</v>
      </c>
      <c r="M544" s="111" t="s">
        <v>54</v>
      </c>
      <c r="N544" s="21" t="s">
        <v>55</v>
      </c>
      <c r="O544" s="21">
        <v>4</v>
      </c>
      <c r="P544" s="21" t="s">
        <v>112</v>
      </c>
      <c r="Q544" s="53">
        <v>46097</v>
      </c>
      <c r="R544" s="53">
        <v>46097</v>
      </c>
      <c r="S544" s="21">
        <v>4</v>
      </c>
      <c r="T544" s="21" t="s">
        <v>55</v>
      </c>
      <c r="U544" s="21" t="s">
        <v>55</v>
      </c>
      <c r="V544" s="21" t="s">
        <v>55</v>
      </c>
      <c r="W544" s="21" t="s">
        <v>55</v>
      </c>
      <c r="X544" s="21" t="s">
        <v>55</v>
      </c>
      <c r="Y544" s="21" t="s">
        <v>55</v>
      </c>
      <c r="Z544" s="21" t="s">
        <v>55</v>
      </c>
      <c r="AA544" s="21">
        <v>1</v>
      </c>
      <c r="AB544" s="21">
        <v>1</v>
      </c>
      <c r="AC544" s="21">
        <v>0</v>
      </c>
      <c r="AD544" s="53">
        <v>46120</v>
      </c>
      <c r="AE544" s="53">
        <v>46120</v>
      </c>
      <c r="AF544" s="53">
        <v>46120</v>
      </c>
      <c r="AG544" s="180">
        <v>46126</v>
      </c>
      <c r="AH544" s="180">
        <v>46127</v>
      </c>
      <c r="AI544" s="21">
        <v>4</v>
      </c>
      <c r="AJ544" s="152" t="s">
        <v>1669</v>
      </c>
      <c r="AK544" s="111" t="s">
        <v>1670</v>
      </c>
      <c r="AL544" s="19">
        <f t="shared" si="65"/>
        <v>1</v>
      </c>
      <c r="AM544" s="67">
        <f>IFERROR(NETWORKDAYS(D544,Q544,Hoja1!$A$1:$A$29),"N/A")</f>
        <v>4</v>
      </c>
      <c r="AN544" s="21">
        <f>IFERROR(NETWORKDAYS(D544,AE544,Hoja1!$A$1:$A$29),"N/A")</f>
        <v>18</v>
      </c>
      <c r="AO544" s="78">
        <v>7</v>
      </c>
      <c r="AP544" s="21">
        <f t="shared" si="63"/>
        <v>11</v>
      </c>
      <c r="AQ544" s="21">
        <f>IFERROR(NETWORKDAYS(AF544,AG544,Hoja1!$A$1:$A$29),"N/A")</f>
        <v>5</v>
      </c>
      <c r="AR544" s="78">
        <v>0</v>
      </c>
      <c r="AS544" s="75">
        <f t="shared" si="64"/>
        <v>5</v>
      </c>
      <c r="AT544" s="21">
        <f>IFERROR(NETWORKDAYS(D544,AG544,Hoja1!$A$1:$A$29),"N/A")</f>
        <v>22</v>
      </c>
      <c r="AU544" s="21">
        <f t="shared" si="62"/>
        <v>15</v>
      </c>
      <c r="AV544" s="143" t="s">
        <v>127</v>
      </c>
      <c r="AW544" s="86" t="s">
        <v>480</v>
      </c>
      <c r="AX544" s="87"/>
      <c r="AY544" s="87"/>
      <c r="AZ544" s="87"/>
      <c r="BA544" s="87"/>
      <c r="BB544" s="87"/>
    </row>
    <row r="545" spans="1:54" ht="15" customHeight="1" x14ac:dyDescent="0.25">
      <c r="A545" s="55">
        <v>16102</v>
      </c>
      <c r="B545" s="159" t="s">
        <v>69</v>
      </c>
      <c r="C545" s="43" t="s">
        <v>98</v>
      </c>
      <c r="D545" s="16">
        <v>46092</v>
      </c>
      <c r="E545" s="16">
        <v>46092</v>
      </c>
      <c r="F545" s="84" t="s">
        <v>163</v>
      </c>
      <c r="G545" s="23" t="s">
        <v>262</v>
      </c>
      <c r="H545" s="179" t="s">
        <v>116</v>
      </c>
      <c r="I545" s="240" t="s">
        <v>456</v>
      </c>
      <c r="J545" s="111" t="s">
        <v>52</v>
      </c>
      <c r="K545" s="87" t="s">
        <v>165</v>
      </c>
      <c r="L545" s="1">
        <v>1</v>
      </c>
      <c r="M545" s="111" t="s">
        <v>54</v>
      </c>
      <c r="N545" s="33" t="s">
        <v>55</v>
      </c>
      <c r="O545" s="33">
        <v>7</v>
      </c>
      <c r="P545" s="21" t="s">
        <v>56</v>
      </c>
      <c r="Q545" s="28">
        <v>46100</v>
      </c>
      <c r="R545" s="28">
        <v>46106</v>
      </c>
      <c r="S545" s="33">
        <v>7</v>
      </c>
      <c r="T545" s="28">
        <v>46092</v>
      </c>
      <c r="U545" s="28">
        <v>46093</v>
      </c>
      <c r="V545" s="28">
        <v>46100</v>
      </c>
      <c r="W545" s="33" t="s">
        <v>55</v>
      </c>
      <c r="X545" s="33" t="s">
        <v>55</v>
      </c>
      <c r="Y545" s="33" t="s">
        <v>55</v>
      </c>
      <c r="Z545" s="33" t="s">
        <v>55</v>
      </c>
      <c r="AA545" s="33">
        <v>2</v>
      </c>
      <c r="AB545" s="33">
        <v>2</v>
      </c>
      <c r="AC545" s="33">
        <v>0</v>
      </c>
      <c r="AD545" s="53">
        <v>46106</v>
      </c>
      <c r="AE545" s="53">
        <v>46106</v>
      </c>
      <c r="AF545" s="53">
        <v>46106</v>
      </c>
      <c r="AG545" s="28">
        <v>46112</v>
      </c>
      <c r="AH545" s="53">
        <v>46118</v>
      </c>
      <c r="AI545" s="33">
        <v>4</v>
      </c>
      <c r="AJ545" s="240" t="s">
        <v>1671</v>
      </c>
      <c r="AK545" s="49" t="s">
        <v>1672</v>
      </c>
      <c r="AL545" s="19">
        <f t="shared" si="65"/>
        <v>1</v>
      </c>
      <c r="AM545" s="67">
        <f>IFERROR(NETWORKDAYS(D545,Q545,Hoja1!$A$1:$A$29),"N/A")</f>
        <v>7</v>
      </c>
      <c r="AN545" s="21">
        <f>IFERROR(NETWORKDAYS(D545,AE545,Hoja1!$A$1:$A$29),"N/A")</f>
        <v>10</v>
      </c>
      <c r="AO545" s="78">
        <v>0</v>
      </c>
      <c r="AP545" s="21">
        <f t="shared" si="63"/>
        <v>10</v>
      </c>
      <c r="AQ545" s="21">
        <f>IFERROR(NETWORKDAYS(AF545,AG545,Hoja1!$A$1:$A$29),"N/A")</f>
        <v>5</v>
      </c>
      <c r="AR545" s="78">
        <v>0</v>
      </c>
      <c r="AS545" s="75">
        <f t="shared" si="64"/>
        <v>5</v>
      </c>
      <c r="AT545" s="21">
        <f>IFERROR(NETWORKDAYS(D545,AG545,Hoja1!$A$1:$A$29),"N/A")</f>
        <v>14</v>
      </c>
      <c r="AU545" s="21">
        <f t="shared" si="62"/>
        <v>14</v>
      </c>
      <c r="AV545" s="143" t="s">
        <v>145</v>
      </c>
      <c r="AW545" s="86" t="s">
        <v>180</v>
      </c>
      <c r="AX545" s="87"/>
      <c r="AY545" s="87"/>
      <c r="AZ545" s="87"/>
      <c r="BA545" s="87"/>
      <c r="BB545" s="87"/>
    </row>
    <row r="546" spans="1:54" ht="15" customHeight="1" x14ac:dyDescent="0.25">
      <c r="A546" s="55">
        <v>16104</v>
      </c>
      <c r="B546" s="159" t="s">
        <v>69</v>
      </c>
      <c r="C546" s="43" t="s">
        <v>98</v>
      </c>
      <c r="D546" s="434">
        <v>46092</v>
      </c>
      <c r="E546" s="53">
        <v>46092</v>
      </c>
      <c r="F546" s="143" t="s">
        <v>99</v>
      </c>
      <c r="G546" s="159" t="s">
        <v>100</v>
      </c>
      <c r="H546" s="179" t="s">
        <v>51</v>
      </c>
      <c r="I546" s="27" t="s">
        <v>72</v>
      </c>
      <c r="J546" s="87" t="s">
        <v>73</v>
      </c>
      <c r="K546" s="111" t="s">
        <v>1081</v>
      </c>
      <c r="L546" s="2">
        <v>1</v>
      </c>
      <c r="M546" s="111" t="s">
        <v>54</v>
      </c>
      <c r="N546" s="21" t="s">
        <v>55</v>
      </c>
      <c r="O546" s="21">
        <v>3</v>
      </c>
      <c r="P546" s="21" t="s">
        <v>56</v>
      </c>
      <c r="Q546" s="53">
        <v>46118</v>
      </c>
      <c r="R546" s="53">
        <v>46118</v>
      </c>
      <c r="S546" s="21">
        <v>3</v>
      </c>
      <c r="T546" s="21" t="s">
        <v>55</v>
      </c>
      <c r="U546" s="21" t="s">
        <v>55</v>
      </c>
      <c r="V546" s="21" t="s">
        <v>55</v>
      </c>
      <c r="W546" s="21" t="s">
        <v>55</v>
      </c>
      <c r="X546" s="21" t="s">
        <v>55</v>
      </c>
      <c r="Y546" s="21" t="s">
        <v>55</v>
      </c>
      <c r="Z546" s="21" t="s">
        <v>55</v>
      </c>
      <c r="AA546" s="21">
        <v>1</v>
      </c>
      <c r="AB546" s="21">
        <v>1</v>
      </c>
      <c r="AC546" s="21">
        <v>0</v>
      </c>
      <c r="AD546" s="53">
        <v>46127</v>
      </c>
      <c r="AE546" s="53">
        <v>46127</v>
      </c>
      <c r="AF546" s="53">
        <v>46127</v>
      </c>
      <c r="AG546" s="53">
        <v>46133</v>
      </c>
      <c r="AH546" s="53">
        <v>46139</v>
      </c>
      <c r="AI546" s="21">
        <v>4</v>
      </c>
      <c r="AJ546" s="159" t="s">
        <v>1673</v>
      </c>
      <c r="AK546" s="111" t="s">
        <v>1674</v>
      </c>
      <c r="AL546" s="19">
        <f t="shared" si="65"/>
        <v>1</v>
      </c>
      <c r="AM546" s="67">
        <f>IFERROR(NETWORKDAYS(D546,Q546,Hoja1!$A$1:$A$29),"N/A")</f>
        <v>16</v>
      </c>
      <c r="AN546" s="21">
        <f>IFERROR(NETWORKDAYS(D546,AE546,Hoja1!$A$1:$A$29),"N/A")</f>
        <v>23</v>
      </c>
      <c r="AO546" s="78">
        <v>0</v>
      </c>
      <c r="AP546" s="21">
        <f t="shared" si="63"/>
        <v>23</v>
      </c>
      <c r="AQ546" s="21">
        <f>IFERROR(NETWORKDAYS(AF546,AG546,Hoja1!$A$1:$A$29),"N/A")</f>
        <v>5</v>
      </c>
      <c r="AR546" s="78">
        <v>0</v>
      </c>
      <c r="AS546" s="75">
        <f t="shared" si="64"/>
        <v>5</v>
      </c>
      <c r="AT546" s="21">
        <f>IFERROR(NETWORKDAYS(D546,AG546,Hoja1!$A$1:$A$29),"N/A")</f>
        <v>27</v>
      </c>
      <c r="AU546" s="21">
        <f t="shared" ref="AU546:AU609" si="66">AT546-AO546-AR546</f>
        <v>27</v>
      </c>
      <c r="AV546" s="143" t="s">
        <v>127</v>
      </c>
      <c r="AW546" s="111" t="s">
        <v>82</v>
      </c>
      <c r="AX546" s="111"/>
      <c r="AY546" s="87"/>
      <c r="AZ546" s="87"/>
      <c r="BA546" s="87"/>
      <c r="BB546" s="87"/>
    </row>
    <row r="547" spans="1:54" ht="15" customHeight="1" x14ac:dyDescent="0.25">
      <c r="A547" s="55">
        <v>16108</v>
      </c>
      <c r="B547" s="27" t="s">
        <v>79</v>
      </c>
      <c r="C547" s="27" t="s">
        <v>79</v>
      </c>
      <c r="D547" s="53">
        <v>46092</v>
      </c>
      <c r="E547" s="53">
        <v>46092</v>
      </c>
      <c r="F547" s="143" t="s">
        <v>90</v>
      </c>
      <c r="G547" s="159" t="s">
        <v>91</v>
      </c>
      <c r="H547" s="179" t="s">
        <v>51</v>
      </c>
      <c r="I547" s="87" t="s">
        <v>92</v>
      </c>
      <c r="J547" s="111" t="s">
        <v>52</v>
      </c>
      <c r="K547" s="111" t="s">
        <v>171</v>
      </c>
      <c r="L547" s="2">
        <v>1</v>
      </c>
      <c r="M547" s="111" t="s">
        <v>54</v>
      </c>
      <c r="N547" s="21" t="s">
        <v>55</v>
      </c>
      <c r="O547" s="21">
        <v>3</v>
      </c>
      <c r="P547" s="21" t="s">
        <v>112</v>
      </c>
      <c r="Q547" s="53">
        <v>46093</v>
      </c>
      <c r="R547" s="28">
        <v>46100</v>
      </c>
      <c r="S547" s="21">
        <v>3</v>
      </c>
      <c r="T547" s="21" t="s">
        <v>55</v>
      </c>
      <c r="U547" s="21" t="s">
        <v>55</v>
      </c>
      <c r="V547" s="21" t="s">
        <v>55</v>
      </c>
      <c r="W547" s="21" t="s">
        <v>55</v>
      </c>
      <c r="X547" s="21" t="s">
        <v>55</v>
      </c>
      <c r="Y547" s="21" t="s">
        <v>55</v>
      </c>
      <c r="Z547" s="21" t="s">
        <v>55</v>
      </c>
      <c r="AA547" s="21">
        <v>3</v>
      </c>
      <c r="AB547" s="21">
        <v>1</v>
      </c>
      <c r="AC547" s="21">
        <v>0</v>
      </c>
      <c r="AD547" s="53">
        <v>46105</v>
      </c>
      <c r="AE547" s="53">
        <v>46105</v>
      </c>
      <c r="AF547" s="53">
        <v>46106</v>
      </c>
      <c r="AG547" s="53">
        <v>46113</v>
      </c>
      <c r="AH547" s="53">
        <v>46118</v>
      </c>
      <c r="AI547" s="21">
        <v>4</v>
      </c>
      <c r="AJ547" s="159" t="s">
        <v>1675</v>
      </c>
      <c r="AK547" s="111" t="s">
        <v>1676</v>
      </c>
      <c r="AL547" s="19">
        <f t="shared" si="65"/>
        <v>1</v>
      </c>
      <c r="AM547" s="67">
        <f>IFERROR(NETWORKDAYS(D547,Q547,Hoja1!$A$1:$A$29),"N/A")</f>
        <v>2</v>
      </c>
      <c r="AN547" s="21">
        <f>IFERROR(NETWORKDAYS(D547,AE547,Hoja1!$A$1:$A$29),"N/A")</f>
        <v>9</v>
      </c>
      <c r="AO547" s="78">
        <v>0</v>
      </c>
      <c r="AP547" s="21">
        <f t="shared" si="63"/>
        <v>9</v>
      </c>
      <c r="AQ547" s="21">
        <f>IFERROR(NETWORKDAYS(AF547,AG547,Hoja1!$A$1:$A$29),"N/A")</f>
        <v>6</v>
      </c>
      <c r="AR547" s="78">
        <v>0</v>
      </c>
      <c r="AS547" s="75">
        <f t="shared" si="64"/>
        <v>6</v>
      </c>
      <c r="AT547" s="21">
        <f>IFERROR(NETWORKDAYS(D547,AG547,Hoja1!$A$1:$A$29),"N/A")</f>
        <v>15</v>
      </c>
      <c r="AU547" s="21">
        <f t="shared" si="66"/>
        <v>15</v>
      </c>
      <c r="AV547" s="143" t="s">
        <v>127</v>
      </c>
      <c r="AW547" s="86" t="s">
        <v>1677</v>
      </c>
      <c r="AX547" s="87"/>
      <c r="AY547" s="87"/>
      <c r="AZ547" s="87"/>
      <c r="BA547" s="87"/>
      <c r="BB547" s="87"/>
    </row>
    <row r="548" spans="1:54" ht="15" customHeight="1" x14ac:dyDescent="0.25">
      <c r="A548" s="55">
        <v>16110</v>
      </c>
      <c r="B548" s="27" t="s">
        <v>79</v>
      </c>
      <c r="C548" s="27" t="s">
        <v>79</v>
      </c>
      <c r="D548" s="434">
        <v>46092</v>
      </c>
      <c r="E548" s="53">
        <v>46092</v>
      </c>
      <c r="F548" s="143" t="s">
        <v>90</v>
      </c>
      <c r="G548" s="159" t="s">
        <v>91</v>
      </c>
      <c r="H548" s="179" t="s">
        <v>51</v>
      </c>
      <c r="I548" s="111" t="s">
        <v>239</v>
      </c>
      <c r="J548" s="111" t="s">
        <v>52</v>
      </c>
      <c r="K548" s="111" t="s">
        <v>171</v>
      </c>
      <c r="L548" s="2">
        <v>1</v>
      </c>
      <c r="M548" s="111" t="s">
        <v>54</v>
      </c>
      <c r="N548" s="21" t="s">
        <v>55</v>
      </c>
      <c r="O548" s="21">
        <v>4</v>
      </c>
      <c r="P548" s="21" t="s">
        <v>112</v>
      </c>
      <c r="Q548" s="53">
        <v>46098</v>
      </c>
      <c r="R548" s="53">
        <v>46098</v>
      </c>
      <c r="S548" s="21">
        <v>4</v>
      </c>
      <c r="T548" s="21" t="s">
        <v>55</v>
      </c>
      <c r="U548" s="21" t="s">
        <v>55</v>
      </c>
      <c r="V548" s="21" t="s">
        <v>55</v>
      </c>
      <c r="W548" s="21" t="s">
        <v>55</v>
      </c>
      <c r="X548" s="21" t="s">
        <v>55</v>
      </c>
      <c r="Y548" s="21" t="s">
        <v>55</v>
      </c>
      <c r="Z548" s="21" t="s">
        <v>55</v>
      </c>
      <c r="AA548" s="21">
        <v>4</v>
      </c>
      <c r="AB548" s="21">
        <v>1</v>
      </c>
      <c r="AC548" s="21">
        <v>0</v>
      </c>
      <c r="AD548" s="38">
        <v>46105</v>
      </c>
      <c r="AE548" s="38">
        <v>46105</v>
      </c>
      <c r="AF548" s="53">
        <v>46106</v>
      </c>
      <c r="AG548" s="53">
        <v>46113</v>
      </c>
      <c r="AH548" s="53">
        <v>46118</v>
      </c>
      <c r="AI548" s="21">
        <v>4</v>
      </c>
      <c r="AJ548" s="159" t="s">
        <v>1678</v>
      </c>
      <c r="AK548" s="111" t="s">
        <v>1679</v>
      </c>
      <c r="AL548" s="19">
        <f t="shared" si="65"/>
        <v>1</v>
      </c>
      <c r="AM548" s="67">
        <f>IFERROR(NETWORKDAYS(D548,Q548,Hoja1!$A$1:$A$29),"N/A")</f>
        <v>5</v>
      </c>
      <c r="AN548" s="21">
        <f>IFERROR(NETWORKDAYS(D548,AE548,Hoja1!$A$1:$A$29),"N/A")</f>
        <v>9</v>
      </c>
      <c r="AO548" s="78">
        <v>0</v>
      </c>
      <c r="AP548" s="21">
        <f t="shared" si="63"/>
        <v>9</v>
      </c>
      <c r="AQ548" s="21">
        <f>IFERROR(NETWORKDAYS(AF548,AG548,Hoja1!$A$1:$A$29),"N/A")</f>
        <v>6</v>
      </c>
      <c r="AR548" s="78">
        <v>0</v>
      </c>
      <c r="AS548" s="75">
        <f t="shared" si="64"/>
        <v>6</v>
      </c>
      <c r="AT548" s="21">
        <f>IFERROR(NETWORKDAYS(D548,AG548,Hoja1!$A$1:$A$29),"N/A")</f>
        <v>15</v>
      </c>
      <c r="AU548" s="21">
        <f t="shared" si="66"/>
        <v>15</v>
      </c>
      <c r="AV548" s="143" t="s">
        <v>127</v>
      </c>
      <c r="AW548" s="86" t="s">
        <v>784</v>
      </c>
      <c r="AX548" s="87"/>
      <c r="AY548" s="87"/>
      <c r="AZ548" s="87"/>
      <c r="BA548" s="87"/>
      <c r="BB548" s="87"/>
    </row>
    <row r="549" spans="1:54" ht="15" customHeight="1" x14ac:dyDescent="0.25">
      <c r="A549" s="95">
        <v>16111</v>
      </c>
      <c r="B549" s="48" t="s">
        <v>169</v>
      </c>
      <c r="C549" s="48" t="s">
        <v>169</v>
      </c>
      <c r="D549" s="116">
        <v>46093</v>
      </c>
      <c r="E549" s="116">
        <v>46093</v>
      </c>
      <c r="F549" s="84" t="s">
        <v>62</v>
      </c>
      <c r="G549" s="84" t="s">
        <v>71</v>
      </c>
      <c r="H549" s="179" t="s">
        <v>51</v>
      </c>
      <c r="I549" s="27" t="s">
        <v>205</v>
      </c>
      <c r="J549" s="111" t="s">
        <v>105</v>
      </c>
      <c r="K549" s="84" t="s">
        <v>66</v>
      </c>
      <c r="L549" s="33">
        <v>1</v>
      </c>
      <c r="M549" s="111" t="s">
        <v>54</v>
      </c>
      <c r="N549" s="33" t="s">
        <v>55</v>
      </c>
      <c r="O549" s="33">
        <v>5</v>
      </c>
      <c r="P549" s="21" t="s">
        <v>112</v>
      </c>
      <c r="Q549" s="53">
        <v>46097</v>
      </c>
      <c r="R549" s="28">
        <v>46107</v>
      </c>
      <c r="S549" s="33">
        <v>5</v>
      </c>
      <c r="T549" s="33" t="s">
        <v>55</v>
      </c>
      <c r="U549" s="33" t="s">
        <v>55</v>
      </c>
      <c r="V549" s="33" t="s">
        <v>55</v>
      </c>
      <c r="W549" s="33" t="s">
        <v>55</v>
      </c>
      <c r="X549" s="33" t="s">
        <v>55</v>
      </c>
      <c r="Y549" s="33" t="s">
        <v>55</v>
      </c>
      <c r="Z549" s="21" t="s">
        <v>55</v>
      </c>
      <c r="AA549" s="33">
        <v>2</v>
      </c>
      <c r="AB549" s="33">
        <v>2</v>
      </c>
      <c r="AC549" s="33">
        <v>0</v>
      </c>
      <c r="AD549" s="28">
        <v>46118</v>
      </c>
      <c r="AE549" s="28">
        <v>46118</v>
      </c>
      <c r="AF549" s="28">
        <v>46118</v>
      </c>
      <c r="AG549" s="180">
        <v>46126</v>
      </c>
      <c r="AH549" s="180">
        <v>46127</v>
      </c>
      <c r="AI549" s="33">
        <v>4</v>
      </c>
      <c r="AJ549" s="144" t="s">
        <v>1680</v>
      </c>
      <c r="AK549" s="35" t="s">
        <v>1681</v>
      </c>
      <c r="AL549" s="19">
        <f t="shared" si="65"/>
        <v>1</v>
      </c>
      <c r="AM549" s="67">
        <f>IFERROR(NETWORKDAYS(D549,Q549,Hoja1!$A$1:$A$29),"N/A")</f>
        <v>3</v>
      </c>
      <c r="AN549" s="21">
        <f>IFERROR(NETWORKDAYS(D549,AE549,Hoja1!$A$1:$A$29),"N/A")</f>
        <v>15</v>
      </c>
      <c r="AO549" s="78">
        <v>3</v>
      </c>
      <c r="AP549" s="21">
        <f t="shared" si="63"/>
        <v>12</v>
      </c>
      <c r="AQ549" s="21">
        <f>IFERROR(NETWORKDAYS(AF549,AG549,Hoja1!$A$1:$A$29),"N/A")</f>
        <v>7</v>
      </c>
      <c r="AR549" s="78">
        <v>2</v>
      </c>
      <c r="AS549" s="75">
        <f t="shared" si="64"/>
        <v>5</v>
      </c>
      <c r="AT549" s="21">
        <f>IFERROR(NETWORKDAYS(D549,AG549,Hoja1!$A$1:$A$29),"N/A")</f>
        <v>21</v>
      </c>
      <c r="AU549" s="21">
        <f t="shared" si="66"/>
        <v>16</v>
      </c>
      <c r="AV549" s="143" t="s">
        <v>59</v>
      </c>
      <c r="AW549" s="86" t="s">
        <v>1682</v>
      </c>
      <c r="AX549" s="87" t="s">
        <v>1379</v>
      </c>
      <c r="AY549" s="87"/>
      <c r="AZ549" s="87"/>
      <c r="BA549" s="87"/>
      <c r="BB549" s="87"/>
    </row>
    <row r="550" spans="1:54" ht="15" customHeight="1" x14ac:dyDescent="0.25">
      <c r="A550" s="95">
        <v>16117</v>
      </c>
      <c r="B550" s="188" t="s">
        <v>597</v>
      </c>
      <c r="C550" s="188" t="s">
        <v>597</v>
      </c>
      <c r="D550" s="425">
        <v>46093</v>
      </c>
      <c r="E550" s="16">
        <v>46093</v>
      </c>
      <c r="F550" s="143" t="s">
        <v>62</v>
      </c>
      <c r="G550" s="179" t="s">
        <v>71</v>
      </c>
      <c r="H550" s="179" t="s">
        <v>1465</v>
      </c>
      <c r="I550" s="188" t="s">
        <v>1683</v>
      </c>
      <c r="J550" s="111" t="s">
        <v>118</v>
      </c>
      <c r="K550" s="111" t="s">
        <v>351</v>
      </c>
      <c r="L550" s="2">
        <v>1</v>
      </c>
      <c r="M550" s="111" t="s">
        <v>54</v>
      </c>
      <c r="N550" s="33" t="s">
        <v>55</v>
      </c>
      <c r="O550" s="33">
        <v>0</v>
      </c>
      <c r="P550" s="21"/>
      <c r="Q550" s="33" t="s">
        <v>55</v>
      </c>
      <c r="R550" s="33" t="s">
        <v>55</v>
      </c>
      <c r="S550" s="33">
        <v>0</v>
      </c>
      <c r="T550" s="33" t="s">
        <v>55</v>
      </c>
      <c r="U550" s="33" t="s">
        <v>55</v>
      </c>
      <c r="V550" s="33" t="s">
        <v>55</v>
      </c>
      <c r="W550" s="33" t="s">
        <v>55</v>
      </c>
      <c r="X550" s="33" t="s">
        <v>55</v>
      </c>
      <c r="Y550" s="33" t="s">
        <v>55</v>
      </c>
      <c r="Z550" s="33" t="s">
        <v>55</v>
      </c>
      <c r="AA550" s="33">
        <v>1</v>
      </c>
      <c r="AB550" s="33">
        <v>1</v>
      </c>
      <c r="AC550" s="33">
        <v>0</v>
      </c>
      <c r="AD550" s="28">
        <v>46100</v>
      </c>
      <c r="AE550" s="28">
        <v>46100</v>
      </c>
      <c r="AF550" s="28">
        <v>46100</v>
      </c>
      <c r="AG550" s="53">
        <v>46111</v>
      </c>
      <c r="AH550" s="53">
        <v>46118</v>
      </c>
      <c r="AI550" s="33">
        <f>MONTH(AH550)</f>
        <v>4</v>
      </c>
      <c r="AJ550" s="144" t="s">
        <v>1684</v>
      </c>
      <c r="AK550" s="114" t="s">
        <v>1685</v>
      </c>
      <c r="AL550" s="19" t="str">
        <f t="shared" si="65"/>
        <v>N/A</v>
      </c>
      <c r="AM550" s="67" t="str">
        <f>IFERROR(NETWORKDAYS(D550,Q550,Hoja1!$A$1:$A$29),"N/A")</f>
        <v>N/A</v>
      </c>
      <c r="AN550" s="21">
        <f>IFERROR(NETWORKDAYS(D550,AE550,Hoja1!$A$1:$A$29),"N/A")</f>
        <v>6</v>
      </c>
      <c r="AO550" s="78">
        <v>0</v>
      </c>
      <c r="AP550" s="21">
        <f t="shared" si="63"/>
        <v>6</v>
      </c>
      <c r="AQ550" s="21">
        <f>IFERROR(NETWORKDAYS(AF550,AG550,Hoja1!$A$1:$A$29),"N/A")</f>
        <v>7</v>
      </c>
      <c r="AR550" s="78">
        <v>2</v>
      </c>
      <c r="AS550" s="75">
        <f t="shared" si="64"/>
        <v>5</v>
      </c>
      <c r="AT550" s="21">
        <f>IFERROR(NETWORKDAYS(D550,AG550,Hoja1!$A$1:$A$29),"N/A")</f>
        <v>12</v>
      </c>
      <c r="AU550" s="21">
        <f t="shared" si="66"/>
        <v>10</v>
      </c>
      <c r="AV550" s="143" t="s">
        <v>145</v>
      </c>
      <c r="AW550" s="86" t="s">
        <v>1686</v>
      </c>
      <c r="AX550" s="87"/>
      <c r="AY550" s="87"/>
      <c r="AZ550" s="87"/>
      <c r="BA550" s="87"/>
      <c r="BB550" s="87"/>
    </row>
    <row r="551" spans="1:54" ht="15" customHeight="1" x14ac:dyDescent="0.25">
      <c r="A551" s="95">
        <v>16119</v>
      </c>
      <c r="B551" s="27" t="s">
        <v>79</v>
      </c>
      <c r="C551" s="27" t="s">
        <v>79</v>
      </c>
      <c r="D551" s="116">
        <v>46093</v>
      </c>
      <c r="E551" s="116">
        <v>46093</v>
      </c>
      <c r="F551" s="143" t="s">
        <v>62</v>
      </c>
      <c r="G551" s="179" t="s">
        <v>71</v>
      </c>
      <c r="H551" s="179" t="s">
        <v>101</v>
      </c>
      <c r="I551" s="188" t="s">
        <v>1687</v>
      </c>
      <c r="J551" s="27" t="s">
        <v>142</v>
      </c>
      <c r="K551" s="111" t="s">
        <v>351</v>
      </c>
      <c r="L551" s="1">
        <v>1</v>
      </c>
      <c r="M551" s="111" t="s">
        <v>54</v>
      </c>
      <c r="N551" s="33" t="s">
        <v>55</v>
      </c>
      <c r="O551" s="33">
        <v>0</v>
      </c>
      <c r="P551" s="1"/>
      <c r="Q551" s="33" t="s">
        <v>55</v>
      </c>
      <c r="R551" s="33" t="s">
        <v>55</v>
      </c>
      <c r="S551" s="33">
        <v>0</v>
      </c>
      <c r="T551" s="33" t="s">
        <v>55</v>
      </c>
      <c r="U551" s="33" t="s">
        <v>55</v>
      </c>
      <c r="V551" s="33" t="s">
        <v>55</v>
      </c>
      <c r="W551" s="33" t="s">
        <v>55</v>
      </c>
      <c r="X551" s="33" t="s">
        <v>55</v>
      </c>
      <c r="Y551" s="33" t="s">
        <v>55</v>
      </c>
      <c r="Z551" s="33" t="s">
        <v>55</v>
      </c>
      <c r="AA551" s="33">
        <v>1</v>
      </c>
      <c r="AB551" s="33">
        <v>1</v>
      </c>
      <c r="AC551" s="33">
        <v>0</v>
      </c>
      <c r="AD551" s="53">
        <v>46099</v>
      </c>
      <c r="AE551" s="180">
        <v>46105</v>
      </c>
      <c r="AF551" s="180">
        <v>46105</v>
      </c>
      <c r="AG551" s="28">
        <v>46108</v>
      </c>
      <c r="AH551" s="53">
        <v>46118</v>
      </c>
      <c r="AI551" s="33">
        <f>MONTH(AH551)</f>
        <v>4</v>
      </c>
      <c r="AJ551" s="144" t="s">
        <v>1688</v>
      </c>
      <c r="AK551" s="114" t="s">
        <v>1689</v>
      </c>
      <c r="AL551" s="19" t="str">
        <f t="shared" si="65"/>
        <v>N/A</v>
      </c>
      <c r="AM551" s="67" t="str">
        <f>IFERROR(NETWORKDAYS(D551,Q551,Hoja1!$A$1:$A$29),"N/A")</f>
        <v>N/A</v>
      </c>
      <c r="AN551" s="21">
        <f>IFERROR(NETWORKDAYS(D551,AE551,Hoja1!$A$1:$A$29),"N/A")</f>
        <v>8</v>
      </c>
      <c r="AO551" s="78">
        <v>3</v>
      </c>
      <c r="AP551" s="21">
        <f t="shared" si="63"/>
        <v>5</v>
      </c>
      <c r="AQ551" s="21">
        <f>IFERROR(NETWORKDAYS(AF551,AG551,Hoja1!$A$1:$A$29),"N/A")</f>
        <v>4</v>
      </c>
      <c r="AR551" s="78">
        <v>0</v>
      </c>
      <c r="AS551" s="75">
        <f t="shared" si="64"/>
        <v>4</v>
      </c>
      <c r="AT551" s="21">
        <f>IFERROR(NETWORKDAYS(D551,AG551,Hoja1!$A$1:$A$29),"N/A")</f>
        <v>11</v>
      </c>
      <c r="AU551" s="21">
        <f t="shared" si="66"/>
        <v>8</v>
      </c>
      <c r="AV551" s="143" t="s">
        <v>104</v>
      </c>
      <c r="AW551" s="86" t="s">
        <v>1690</v>
      </c>
      <c r="AX551" s="87"/>
      <c r="AY551" s="87"/>
      <c r="AZ551" s="87"/>
      <c r="BA551" s="87"/>
      <c r="BB551" s="87"/>
    </row>
    <row r="552" spans="1:54" ht="15" customHeight="1" x14ac:dyDescent="0.25">
      <c r="A552" s="55">
        <v>16122</v>
      </c>
      <c r="B552" s="27" t="s">
        <v>79</v>
      </c>
      <c r="C552" s="27" t="s">
        <v>79</v>
      </c>
      <c r="D552" s="434">
        <v>46093</v>
      </c>
      <c r="E552" s="53">
        <v>46093</v>
      </c>
      <c r="F552" s="143" t="s">
        <v>90</v>
      </c>
      <c r="G552" s="159" t="s">
        <v>91</v>
      </c>
      <c r="H552" s="179" t="s">
        <v>51</v>
      </c>
      <c r="I552" s="159" t="s">
        <v>1691</v>
      </c>
      <c r="J552" s="111" t="s">
        <v>105</v>
      </c>
      <c r="K552" s="111" t="s">
        <v>171</v>
      </c>
      <c r="L552" s="2">
        <v>1</v>
      </c>
      <c r="M552" s="111" t="s">
        <v>54</v>
      </c>
      <c r="N552" s="21" t="s">
        <v>55</v>
      </c>
      <c r="O552" s="21">
        <v>3</v>
      </c>
      <c r="P552" s="21" t="s">
        <v>112</v>
      </c>
      <c r="Q552" s="53">
        <v>46094</v>
      </c>
      <c r="R552" s="28">
        <v>46100</v>
      </c>
      <c r="S552" s="21">
        <v>3</v>
      </c>
      <c r="T552" s="21" t="s">
        <v>55</v>
      </c>
      <c r="U552" s="21" t="s">
        <v>55</v>
      </c>
      <c r="V552" s="21" t="s">
        <v>55</v>
      </c>
      <c r="W552" s="21" t="s">
        <v>55</v>
      </c>
      <c r="X552" s="21" t="s">
        <v>55</v>
      </c>
      <c r="Y552" s="21" t="s">
        <v>55</v>
      </c>
      <c r="Z552" s="21" t="s">
        <v>55</v>
      </c>
      <c r="AA552" s="21">
        <v>3</v>
      </c>
      <c r="AB552" s="21">
        <v>1</v>
      </c>
      <c r="AC552" s="21">
        <v>0</v>
      </c>
      <c r="AD552" s="53">
        <v>46100</v>
      </c>
      <c r="AE552" s="28">
        <v>46100</v>
      </c>
      <c r="AF552" s="180">
        <v>46105</v>
      </c>
      <c r="AG552" s="28">
        <v>46112</v>
      </c>
      <c r="AH552" s="53">
        <v>46118</v>
      </c>
      <c r="AI552" s="21">
        <v>4</v>
      </c>
      <c r="AJ552" s="159" t="s">
        <v>1692</v>
      </c>
      <c r="AK552" s="111" t="s">
        <v>1693</v>
      </c>
      <c r="AL552" s="19">
        <f t="shared" si="65"/>
        <v>1</v>
      </c>
      <c r="AM552" s="67">
        <f>IFERROR(NETWORKDAYS(D552,Q552,Hoja1!$A$1:$A$29),"N/A")</f>
        <v>2</v>
      </c>
      <c r="AN552" s="21">
        <f>IFERROR(NETWORKDAYS(D552,AE552,Hoja1!$A$1:$A$29),"N/A")</f>
        <v>6</v>
      </c>
      <c r="AO552" s="78">
        <v>0</v>
      </c>
      <c r="AP552" s="21">
        <f t="shared" si="63"/>
        <v>6</v>
      </c>
      <c r="AQ552" s="21">
        <f>IFERROR(NETWORKDAYS(AF552,AG552,Hoja1!$A$1:$A$29),"N/A")</f>
        <v>6</v>
      </c>
      <c r="AR552" s="78">
        <v>0</v>
      </c>
      <c r="AS552" s="75">
        <f t="shared" si="64"/>
        <v>6</v>
      </c>
      <c r="AT552" s="21">
        <f>IFERROR(NETWORKDAYS(D552,AG552,Hoja1!$A$1:$A$29),"N/A")</f>
        <v>13</v>
      </c>
      <c r="AU552" s="21">
        <f t="shared" si="66"/>
        <v>13</v>
      </c>
      <c r="AV552" s="143" t="s">
        <v>127</v>
      </c>
      <c r="AW552" s="86" t="s">
        <v>1694</v>
      </c>
      <c r="AX552" s="87"/>
      <c r="AY552" s="87"/>
      <c r="AZ552" s="87"/>
      <c r="BA552" s="87"/>
      <c r="BB552" s="87"/>
    </row>
    <row r="553" spans="1:54" ht="15" customHeight="1" x14ac:dyDescent="0.25">
      <c r="A553" s="55">
        <v>16126</v>
      </c>
      <c r="B553" s="159" t="s">
        <v>79</v>
      </c>
      <c r="C553" s="159" t="s">
        <v>79</v>
      </c>
      <c r="D553" s="53">
        <v>46093</v>
      </c>
      <c r="E553" s="53">
        <v>46093</v>
      </c>
      <c r="F553" s="143" t="s">
        <v>90</v>
      </c>
      <c r="G553" s="159" t="s">
        <v>91</v>
      </c>
      <c r="H553" s="179" t="s">
        <v>51</v>
      </c>
      <c r="I553" s="87" t="s">
        <v>92</v>
      </c>
      <c r="J553" s="111" t="s">
        <v>52</v>
      </c>
      <c r="K553" s="111" t="s">
        <v>111</v>
      </c>
      <c r="L553" s="2">
        <v>1</v>
      </c>
      <c r="M553" s="111" t="s">
        <v>54</v>
      </c>
      <c r="N553" s="21" t="s">
        <v>55</v>
      </c>
      <c r="O553" s="21">
        <v>5</v>
      </c>
      <c r="P553" s="21" t="s">
        <v>112</v>
      </c>
      <c r="Q553" s="53">
        <v>46101</v>
      </c>
      <c r="R553" s="53">
        <v>46101</v>
      </c>
      <c r="S553" s="21">
        <v>5</v>
      </c>
      <c r="T553" s="21" t="s">
        <v>55</v>
      </c>
      <c r="U553" s="21" t="s">
        <v>55</v>
      </c>
      <c r="V553" s="21" t="s">
        <v>55</v>
      </c>
      <c r="W553" s="21" t="s">
        <v>55</v>
      </c>
      <c r="X553" s="21" t="s">
        <v>55</v>
      </c>
      <c r="Y553" s="21" t="s">
        <v>55</v>
      </c>
      <c r="Z553" s="21" t="s">
        <v>55</v>
      </c>
      <c r="AA553" s="21">
        <v>5</v>
      </c>
      <c r="AB553" s="21">
        <v>1</v>
      </c>
      <c r="AC553" s="21">
        <v>0</v>
      </c>
      <c r="AD553" s="53">
        <v>46106</v>
      </c>
      <c r="AE553" s="53">
        <v>46106</v>
      </c>
      <c r="AF553" s="53">
        <v>46106</v>
      </c>
      <c r="AG553" s="53">
        <v>46113</v>
      </c>
      <c r="AH553" s="53">
        <v>46118</v>
      </c>
      <c r="AI553" s="21">
        <v>4</v>
      </c>
      <c r="AJ553" s="159" t="s">
        <v>1695</v>
      </c>
      <c r="AK553" s="111" t="s">
        <v>1696</v>
      </c>
      <c r="AL553" s="19">
        <f t="shared" si="65"/>
        <v>1</v>
      </c>
      <c r="AM553" s="67">
        <f>IFERROR(NETWORKDAYS(D553,Q553,Hoja1!$A$1:$A$29),"N/A")</f>
        <v>7</v>
      </c>
      <c r="AN553" s="21">
        <f>IFERROR(NETWORKDAYS(D553,AE553,Hoja1!$A$1:$A$29),"N/A")</f>
        <v>9</v>
      </c>
      <c r="AO553" s="78">
        <v>0</v>
      </c>
      <c r="AP553" s="21">
        <f t="shared" si="63"/>
        <v>9</v>
      </c>
      <c r="AQ553" s="21">
        <f>IFERROR(NETWORKDAYS(AF553,AG553,Hoja1!$A$1:$A$29),"N/A")</f>
        <v>6</v>
      </c>
      <c r="AR553" s="78">
        <v>0</v>
      </c>
      <c r="AS553" s="75">
        <f t="shared" si="64"/>
        <v>6</v>
      </c>
      <c r="AT553" s="21">
        <f>IFERROR(NETWORKDAYS(D553,AG553,Hoja1!$A$1:$A$29),"N/A")</f>
        <v>14</v>
      </c>
      <c r="AU553" s="21">
        <f t="shared" si="66"/>
        <v>14</v>
      </c>
      <c r="AV553" s="143" t="s">
        <v>127</v>
      </c>
      <c r="AW553" s="86" t="s">
        <v>258</v>
      </c>
      <c r="AX553" s="87"/>
      <c r="AY553" s="87"/>
      <c r="AZ553" s="87"/>
      <c r="BA553" s="87"/>
      <c r="BB553" s="87"/>
    </row>
    <row r="554" spans="1:54" ht="15" customHeight="1" x14ac:dyDescent="0.25">
      <c r="A554" s="95">
        <v>16127</v>
      </c>
      <c r="B554" s="27" t="s">
        <v>79</v>
      </c>
      <c r="C554" s="27" t="s">
        <v>79</v>
      </c>
      <c r="D554" s="425">
        <v>46094</v>
      </c>
      <c r="E554" s="16">
        <v>46093</v>
      </c>
      <c r="F554" s="84" t="s">
        <v>62</v>
      </c>
      <c r="G554" s="179" t="s">
        <v>71</v>
      </c>
      <c r="H554" s="179" t="s">
        <v>51</v>
      </c>
      <c r="I554" s="240" t="s">
        <v>1697</v>
      </c>
      <c r="J554" s="27" t="s">
        <v>118</v>
      </c>
      <c r="K554" s="84" t="s">
        <v>1401</v>
      </c>
      <c r="L554" s="33">
        <v>1</v>
      </c>
      <c r="M554" s="111" t="s">
        <v>54</v>
      </c>
      <c r="N554" s="33" t="s">
        <v>55</v>
      </c>
      <c r="O554" s="33">
        <v>2</v>
      </c>
      <c r="P554" s="21" t="s">
        <v>112</v>
      </c>
      <c r="Q554" s="16">
        <v>46105</v>
      </c>
      <c r="R554" s="16">
        <v>46111</v>
      </c>
      <c r="S554" s="33">
        <v>2</v>
      </c>
      <c r="T554" s="33" t="s">
        <v>55</v>
      </c>
      <c r="U554" s="33" t="s">
        <v>55</v>
      </c>
      <c r="V554" s="33" t="s">
        <v>55</v>
      </c>
      <c r="W554" s="33" t="s">
        <v>55</v>
      </c>
      <c r="X554" s="33" t="s">
        <v>55</v>
      </c>
      <c r="Y554" s="33" t="s">
        <v>55</v>
      </c>
      <c r="Z554" s="21" t="s">
        <v>55</v>
      </c>
      <c r="AA554" s="33">
        <v>1</v>
      </c>
      <c r="AB554" s="33">
        <v>1</v>
      </c>
      <c r="AC554" s="33">
        <v>0</v>
      </c>
      <c r="AD554" s="28">
        <v>46119</v>
      </c>
      <c r="AE554" s="28">
        <v>46119</v>
      </c>
      <c r="AF554" s="28">
        <v>46119</v>
      </c>
      <c r="AG554" s="180">
        <v>46126</v>
      </c>
      <c r="AH554" s="180">
        <v>46127</v>
      </c>
      <c r="AI554" s="33">
        <v>4</v>
      </c>
      <c r="AJ554" s="144" t="s">
        <v>1698</v>
      </c>
      <c r="AK554" s="35" t="s">
        <v>1699</v>
      </c>
      <c r="AL554" s="19">
        <f t="shared" si="65"/>
        <v>1</v>
      </c>
      <c r="AM554" s="67">
        <f>IFERROR(NETWORKDAYS(D554,Q554,Hoja1!$A$1:$A$29),"N/A")</f>
        <v>7</v>
      </c>
      <c r="AN554" s="21">
        <f>IFERROR(NETWORKDAYS(D554,AE554,Hoja1!$A$1:$A$29),"N/A")</f>
        <v>15</v>
      </c>
      <c r="AO554" s="78">
        <v>0</v>
      </c>
      <c r="AP554" s="21">
        <f t="shared" si="63"/>
        <v>15</v>
      </c>
      <c r="AQ554" s="21">
        <f>IFERROR(NETWORKDAYS(AF554,AG554,Hoja1!$A$1:$A$29),"N/A")</f>
        <v>6</v>
      </c>
      <c r="AR554" s="78">
        <v>1</v>
      </c>
      <c r="AS554" s="75">
        <f t="shared" si="64"/>
        <v>5</v>
      </c>
      <c r="AT554" s="21">
        <f>IFERROR(NETWORKDAYS(D554,AG554,Hoja1!$A$1:$A$29),"N/A")</f>
        <v>20</v>
      </c>
      <c r="AU554" s="21">
        <f t="shared" si="66"/>
        <v>19</v>
      </c>
      <c r="AV554" s="143" t="s">
        <v>59</v>
      </c>
      <c r="AW554" s="86" t="s">
        <v>1700</v>
      </c>
      <c r="AX554" s="87"/>
      <c r="AY554" s="87"/>
      <c r="AZ554" s="87"/>
      <c r="BA554" s="87"/>
      <c r="BB554" s="87"/>
    </row>
    <row r="555" spans="1:54" ht="15" customHeight="1" x14ac:dyDescent="0.25">
      <c r="A555" s="55">
        <v>16129</v>
      </c>
      <c r="B555" s="84" t="s">
        <v>85</v>
      </c>
      <c r="C555" s="84" t="s">
        <v>85</v>
      </c>
      <c r="D555" s="28">
        <v>46093</v>
      </c>
      <c r="E555" s="28">
        <v>46093</v>
      </c>
      <c r="F555" s="202" t="s">
        <v>879</v>
      </c>
      <c r="G555" s="48" t="s">
        <v>50</v>
      </c>
      <c r="H555" s="179" t="s">
        <v>101</v>
      </c>
      <c r="I555" s="48" t="s">
        <v>1406</v>
      </c>
      <c r="J555" s="111" t="s">
        <v>52</v>
      </c>
      <c r="K555" s="87" t="s">
        <v>53</v>
      </c>
      <c r="L555" s="3">
        <v>1</v>
      </c>
      <c r="M555" s="111" t="s">
        <v>54</v>
      </c>
      <c r="N555" s="33" t="s">
        <v>55</v>
      </c>
      <c r="O555" s="33">
        <v>0</v>
      </c>
      <c r="P555" s="33"/>
      <c r="Q555" s="33" t="s">
        <v>55</v>
      </c>
      <c r="R555" s="33" t="s">
        <v>55</v>
      </c>
      <c r="S555" s="33">
        <v>0</v>
      </c>
      <c r="T555" s="33" t="s">
        <v>55</v>
      </c>
      <c r="U555" s="33" t="s">
        <v>55</v>
      </c>
      <c r="V555" s="33" t="s">
        <v>55</v>
      </c>
      <c r="W555" s="33" t="s">
        <v>55</v>
      </c>
      <c r="X555" s="33" t="s">
        <v>55</v>
      </c>
      <c r="Y555" s="33" t="s">
        <v>55</v>
      </c>
      <c r="Z555" s="33" t="s">
        <v>55</v>
      </c>
      <c r="AA555" s="33">
        <v>1</v>
      </c>
      <c r="AB555" s="33">
        <v>1</v>
      </c>
      <c r="AC555" s="33">
        <v>0</v>
      </c>
      <c r="AD555" s="38">
        <v>46105</v>
      </c>
      <c r="AE555" s="38">
        <v>46105</v>
      </c>
      <c r="AF555" s="28">
        <v>46108</v>
      </c>
      <c r="AG555" s="28">
        <v>46127</v>
      </c>
      <c r="AH555" s="180">
        <v>46127</v>
      </c>
      <c r="AI555" s="21">
        <v>4</v>
      </c>
      <c r="AJ555" s="87" t="s">
        <v>1701</v>
      </c>
      <c r="AK555" s="48" t="s">
        <v>1702</v>
      </c>
      <c r="AL555" s="19" t="str">
        <f t="shared" si="65"/>
        <v>N/A</v>
      </c>
      <c r="AM555" s="67" t="str">
        <f>IFERROR(NETWORKDAYS(D555,Q555,Hoja1!$A$1:$A$29),"N/A")</f>
        <v>N/A</v>
      </c>
      <c r="AN555" s="21">
        <f>IFERROR(NETWORKDAYS(D555,AE555,Hoja1!$A$1:$A$29),"N/A")</f>
        <v>8</v>
      </c>
      <c r="AO555" s="78">
        <v>0</v>
      </c>
      <c r="AP555" s="21">
        <f t="shared" si="63"/>
        <v>8</v>
      </c>
      <c r="AQ555" s="21">
        <f>IFERROR(NETWORKDAYS(AF555,AG555,Hoja1!$A$1:$A$29),"N/A")</f>
        <v>12</v>
      </c>
      <c r="AR555" s="78">
        <v>0</v>
      </c>
      <c r="AS555" s="75">
        <f t="shared" si="64"/>
        <v>12</v>
      </c>
      <c r="AT555" s="21">
        <f>IFERROR(NETWORKDAYS(D555,AG555,Hoja1!$A$1:$A$29),"N/A")</f>
        <v>22</v>
      </c>
      <c r="AU555" s="21">
        <f t="shared" si="66"/>
        <v>22</v>
      </c>
      <c r="AV555" s="143" t="s">
        <v>104</v>
      </c>
      <c r="AW555" s="86" t="s">
        <v>480</v>
      </c>
      <c r="AX555" s="87"/>
      <c r="AY555" s="87"/>
      <c r="AZ555" s="87"/>
      <c r="BA555" s="87"/>
      <c r="BB555" s="87"/>
    </row>
    <row r="556" spans="1:54" ht="15" customHeight="1" x14ac:dyDescent="0.25">
      <c r="A556" s="55">
        <v>16138</v>
      </c>
      <c r="B556" s="84" t="s">
        <v>85</v>
      </c>
      <c r="C556" s="84" t="s">
        <v>85</v>
      </c>
      <c r="D556" s="434">
        <v>46097</v>
      </c>
      <c r="E556" s="53">
        <v>46097</v>
      </c>
      <c r="F556" s="143" t="s">
        <v>90</v>
      </c>
      <c r="G556" s="159" t="s">
        <v>91</v>
      </c>
      <c r="H556" s="179" t="s">
        <v>51</v>
      </c>
      <c r="I556" s="27" t="s">
        <v>72</v>
      </c>
      <c r="J556" s="87" t="s">
        <v>73</v>
      </c>
      <c r="K556" s="111" t="s">
        <v>171</v>
      </c>
      <c r="L556" s="2">
        <v>1</v>
      </c>
      <c r="M556" s="111" t="s">
        <v>54</v>
      </c>
      <c r="N556" s="21" t="s">
        <v>55</v>
      </c>
      <c r="O556" s="21">
        <v>3</v>
      </c>
      <c r="P556" s="21" t="s">
        <v>112</v>
      </c>
      <c r="Q556" s="16">
        <v>46099</v>
      </c>
      <c r="R556" s="16">
        <v>46099</v>
      </c>
      <c r="S556" s="21">
        <v>3</v>
      </c>
      <c r="T556" s="21" t="s">
        <v>55</v>
      </c>
      <c r="U556" s="21" t="s">
        <v>55</v>
      </c>
      <c r="V556" s="21" t="s">
        <v>55</v>
      </c>
      <c r="W556" s="21" t="s">
        <v>55</v>
      </c>
      <c r="X556" s="21" t="s">
        <v>55</v>
      </c>
      <c r="Y556" s="21" t="s">
        <v>55</v>
      </c>
      <c r="Z556" s="21" t="s">
        <v>55</v>
      </c>
      <c r="AA556" s="21">
        <v>3</v>
      </c>
      <c r="AB556" s="21">
        <v>1</v>
      </c>
      <c r="AC556" s="21">
        <v>0</v>
      </c>
      <c r="AD556" s="53">
        <v>46099</v>
      </c>
      <c r="AE556" s="53">
        <v>46105</v>
      </c>
      <c r="AF556" s="53">
        <v>46118</v>
      </c>
      <c r="AG556" s="180">
        <v>46126</v>
      </c>
      <c r="AH556" s="180">
        <v>46127</v>
      </c>
      <c r="AI556" s="21">
        <v>4</v>
      </c>
      <c r="AJ556" s="159" t="s">
        <v>1703</v>
      </c>
      <c r="AK556" s="111" t="s">
        <v>1704</v>
      </c>
      <c r="AL556" s="19">
        <f t="shared" si="65"/>
        <v>1</v>
      </c>
      <c r="AM556" s="67">
        <f>IFERROR(NETWORKDAYS(D556,Q556,Hoja1!$A$1:$A$29),"N/A")</f>
        <v>3</v>
      </c>
      <c r="AN556" s="21">
        <f>IFERROR(NETWORKDAYS(D556,AE556,Hoja1!$A$1:$A$29),"N/A")</f>
        <v>6</v>
      </c>
      <c r="AO556" s="78">
        <v>0</v>
      </c>
      <c r="AP556" s="21">
        <f t="shared" si="63"/>
        <v>6</v>
      </c>
      <c r="AQ556" s="21">
        <f>IFERROR(NETWORKDAYS(AF556,AG556,Hoja1!$A$1:$A$29),"N/A")</f>
        <v>7</v>
      </c>
      <c r="AR556" s="78">
        <v>0</v>
      </c>
      <c r="AS556" s="75">
        <f t="shared" si="64"/>
        <v>7</v>
      </c>
      <c r="AT556" s="21">
        <f>IFERROR(NETWORKDAYS(D556,AG556,Hoja1!$A$1:$A$29),"N/A")</f>
        <v>19</v>
      </c>
      <c r="AU556" s="21">
        <f t="shared" si="66"/>
        <v>19</v>
      </c>
      <c r="AV556" s="143" t="s">
        <v>77</v>
      </c>
      <c r="AW556" s="86" t="s">
        <v>82</v>
      </c>
      <c r="AX556" s="87"/>
      <c r="AY556" s="87"/>
      <c r="AZ556" s="87"/>
      <c r="BA556" s="87"/>
      <c r="BB556" s="87"/>
    </row>
    <row r="557" spans="1:54" ht="15" customHeight="1" x14ac:dyDescent="0.25">
      <c r="A557" s="58">
        <v>16140</v>
      </c>
      <c r="B557" s="159" t="s">
        <v>69</v>
      </c>
      <c r="C557" s="43" t="s">
        <v>98</v>
      </c>
      <c r="D557" s="38">
        <v>46098</v>
      </c>
      <c r="E557" s="38">
        <v>46097</v>
      </c>
      <c r="F557" s="202" t="s">
        <v>62</v>
      </c>
      <c r="G557" s="48" t="s">
        <v>80</v>
      </c>
      <c r="H557" s="179" t="s">
        <v>51</v>
      </c>
      <c r="I557" s="48" t="s">
        <v>1406</v>
      </c>
      <c r="J557" s="111" t="s">
        <v>52</v>
      </c>
      <c r="K557" s="48" t="s">
        <v>66</v>
      </c>
      <c r="L557" s="3">
        <v>1</v>
      </c>
      <c r="M557" s="111" t="s">
        <v>54</v>
      </c>
      <c r="N557" s="33" t="s">
        <v>55</v>
      </c>
      <c r="O557" s="33">
        <v>5</v>
      </c>
      <c r="P557" s="21" t="s">
        <v>112</v>
      </c>
      <c r="Q557" s="28">
        <v>46106</v>
      </c>
      <c r="R557" s="28">
        <v>46106</v>
      </c>
      <c r="S557" s="33">
        <v>5</v>
      </c>
      <c r="T557" s="33" t="s">
        <v>55</v>
      </c>
      <c r="U557" s="33" t="s">
        <v>55</v>
      </c>
      <c r="V557" s="33" t="s">
        <v>55</v>
      </c>
      <c r="W557" s="33" t="s">
        <v>55</v>
      </c>
      <c r="X557" s="33" t="s">
        <v>55</v>
      </c>
      <c r="Y557" s="33" t="s">
        <v>55</v>
      </c>
      <c r="Z557" s="21" t="s">
        <v>55</v>
      </c>
      <c r="AA557" s="33">
        <v>1</v>
      </c>
      <c r="AB557" s="33">
        <v>1</v>
      </c>
      <c r="AC557" s="33">
        <v>0</v>
      </c>
      <c r="AD557" s="28">
        <v>46116</v>
      </c>
      <c r="AE557" s="28">
        <v>46118</v>
      </c>
      <c r="AF557" s="28">
        <v>46119</v>
      </c>
      <c r="AG557" s="180">
        <v>46132</v>
      </c>
      <c r="AH557" s="53">
        <v>46139</v>
      </c>
      <c r="AI557" s="33">
        <v>4</v>
      </c>
      <c r="AJ557" s="144" t="s">
        <v>1705</v>
      </c>
      <c r="AK557" s="35" t="s">
        <v>1706</v>
      </c>
      <c r="AL557" s="19">
        <f t="shared" si="65"/>
        <v>1</v>
      </c>
      <c r="AM557" s="67">
        <f>IFERROR(NETWORKDAYS(D557,Q557,Hoja1!$A$1:$A$29),"N/A")</f>
        <v>6</v>
      </c>
      <c r="AN557" s="21">
        <f>IFERROR(NETWORKDAYS(D557,AE557,Hoja1!$A$1:$A$29),"N/A")</f>
        <v>12</v>
      </c>
      <c r="AO557" s="78">
        <v>0</v>
      </c>
      <c r="AP557" s="21">
        <f t="shared" si="63"/>
        <v>12</v>
      </c>
      <c r="AQ557" s="21">
        <f>IFERROR(NETWORKDAYS(AF557,AG557,Hoja1!$A$1:$A$29),"N/A")</f>
        <v>10</v>
      </c>
      <c r="AR557" s="78">
        <v>5</v>
      </c>
      <c r="AS557" s="75">
        <f t="shared" si="64"/>
        <v>5</v>
      </c>
      <c r="AT557" s="21">
        <f>IFERROR(NETWORKDAYS(D557,AG557,Hoja1!$A$1:$A$29),"N/A")</f>
        <v>22</v>
      </c>
      <c r="AU557" s="21">
        <f t="shared" si="66"/>
        <v>17</v>
      </c>
      <c r="AV557" s="143" t="s">
        <v>59</v>
      </c>
      <c r="AW557" s="86" t="s">
        <v>1707</v>
      </c>
      <c r="AX557" s="87"/>
      <c r="AY557" s="87"/>
      <c r="AZ557" s="87"/>
      <c r="BA557" s="87"/>
      <c r="BB557" s="87"/>
    </row>
    <row r="558" spans="1:54" ht="15" customHeight="1" x14ac:dyDescent="0.25">
      <c r="A558" s="58">
        <v>16141</v>
      </c>
      <c r="B558" s="159" t="s">
        <v>69</v>
      </c>
      <c r="C558" s="43" t="s">
        <v>98</v>
      </c>
      <c r="D558" s="424">
        <v>46097</v>
      </c>
      <c r="E558" s="38">
        <v>46097</v>
      </c>
      <c r="F558" s="202" t="s">
        <v>62</v>
      </c>
      <c r="G558" s="48" t="s">
        <v>80</v>
      </c>
      <c r="H558" s="179" t="s">
        <v>101</v>
      </c>
      <c r="I558" s="84" t="s">
        <v>227</v>
      </c>
      <c r="J558" s="111" t="s">
        <v>52</v>
      </c>
      <c r="K558" s="48" t="s">
        <v>66</v>
      </c>
      <c r="L558" s="3">
        <v>1</v>
      </c>
      <c r="M558" s="111" t="s">
        <v>54</v>
      </c>
      <c r="N558" s="33" t="s">
        <v>55</v>
      </c>
      <c r="O558" s="33">
        <v>0</v>
      </c>
      <c r="P558" s="33"/>
      <c r="Q558" s="33" t="s">
        <v>55</v>
      </c>
      <c r="R558" s="33" t="s">
        <v>55</v>
      </c>
      <c r="S558" s="33">
        <v>0</v>
      </c>
      <c r="T558" s="33" t="s">
        <v>55</v>
      </c>
      <c r="U558" s="33" t="s">
        <v>55</v>
      </c>
      <c r="V558" s="33" t="s">
        <v>55</v>
      </c>
      <c r="W558" s="33" t="s">
        <v>55</v>
      </c>
      <c r="X558" s="33" t="s">
        <v>55</v>
      </c>
      <c r="Y558" s="33" t="s">
        <v>55</v>
      </c>
      <c r="Z558" s="33" t="s">
        <v>55</v>
      </c>
      <c r="AA558" s="33">
        <v>1</v>
      </c>
      <c r="AB558" s="33">
        <v>1</v>
      </c>
      <c r="AC558" s="33">
        <v>0</v>
      </c>
      <c r="AD558" s="53">
        <v>46106</v>
      </c>
      <c r="AE558" s="53">
        <v>46106</v>
      </c>
      <c r="AF558" s="53">
        <v>46106</v>
      </c>
      <c r="AG558" s="28">
        <v>46112</v>
      </c>
      <c r="AH558" s="53">
        <v>46118</v>
      </c>
      <c r="AI558" s="33">
        <v>4</v>
      </c>
      <c r="AJ558" s="144" t="s">
        <v>1708</v>
      </c>
      <c r="AK558" s="35" t="s">
        <v>1709</v>
      </c>
      <c r="AL558" s="19" t="str">
        <f t="shared" si="65"/>
        <v>N/A</v>
      </c>
      <c r="AM558" s="67" t="str">
        <f>IFERROR(NETWORKDAYS(D558,Q558,Hoja1!$A$1:$A$29),"N/A")</f>
        <v>N/A</v>
      </c>
      <c r="AN558" s="21">
        <f>IFERROR(NETWORKDAYS(D558,AE558,Hoja1!$A$1:$A$29),"N/A")</f>
        <v>7</v>
      </c>
      <c r="AO558" s="78">
        <v>0</v>
      </c>
      <c r="AP558" s="21">
        <f t="shared" si="63"/>
        <v>7</v>
      </c>
      <c r="AQ558" s="21">
        <f>IFERROR(NETWORKDAYS(AF558,AG558,Hoja1!$A$1:$A$29),"N/A")</f>
        <v>5</v>
      </c>
      <c r="AR558" s="78">
        <v>0</v>
      </c>
      <c r="AS558" s="75">
        <f t="shared" si="64"/>
        <v>5</v>
      </c>
      <c r="AT558" s="21">
        <f>IFERROR(NETWORKDAYS(D558,AG558,Hoja1!$A$1:$A$29),"N/A")</f>
        <v>11</v>
      </c>
      <c r="AU558" s="21">
        <f t="shared" si="66"/>
        <v>11</v>
      </c>
      <c r="AV558" s="143" t="s">
        <v>104</v>
      </c>
      <c r="AW558" s="86" t="s">
        <v>288</v>
      </c>
      <c r="AX558" s="87"/>
      <c r="AY558" s="87"/>
      <c r="AZ558" s="87"/>
      <c r="BA558" s="87"/>
      <c r="BB558" s="87"/>
    </row>
    <row r="559" spans="1:54" ht="15" customHeight="1" x14ac:dyDescent="0.25">
      <c r="A559" s="95">
        <v>16145</v>
      </c>
      <c r="B559" s="159" t="s">
        <v>69</v>
      </c>
      <c r="C559" s="43" t="s">
        <v>98</v>
      </c>
      <c r="D559" s="116">
        <v>46120</v>
      </c>
      <c r="E559" s="28">
        <v>46129</v>
      </c>
      <c r="F559" s="84" t="s">
        <v>62</v>
      </c>
      <c r="G559" s="84" t="s">
        <v>80</v>
      </c>
      <c r="H559" s="179" t="s">
        <v>140</v>
      </c>
      <c r="I559" s="240" t="s">
        <v>289</v>
      </c>
      <c r="J559" s="27" t="s">
        <v>118</v>
      </c>
      <c r="K559" s="84" t="s">
        <v>66</v>
      </c>
      <c r="L559" s="33">
        <v>1</v>
      </c>
      <c r="M559" s="111" t="s">
        <v>54</v>
      </c>
      <c r="N559" s="33" t="s">
        <v>55</v>
      </c>
      <c r="O559" s="33">
        <v>0</v>
      </c>
      <c r="P559" s="33"/>
      <c r="Q559" s="33" t="s">
        <v>55</v>
      </c>
      <c r="R559" s="33" t="s">
        <v>55</v>
      </c>
      <c r="S559" s="33">
        <v>0</v>
      </c>
      <c r="T559" s="33" t="s">
        <v>55</v>
      </c>
      <c r="U559" s="33" t="s">
        <v>55</v>
      </c>
      <c r="V559" s="33" t="s">
        <v>55</v>
      </c>
      <c r="W559" s="33" t="s">
        <v>55</v>
      </c>
      <c r="X559" s="33" t="s">
        <v>55</v>
      </c>
      <c r="Y559" s="33" t="s">
        <v>55</v>
      </c>
      <c r="Z559" s="33" t="s">
        <v>55</v>
      </c>
      <c r="AA559" s="33">
        <v>3</v>
      </c>
      <c r="AB559" s="33">
        <v>3</v>
      </c>
      <c r="AC559" s="33">
        <v>0</v>
      </c>
      <c r="AD559" s="53">
        <v>46127</v>
      </c>
      <c r="AE559" s="53">
        <v>46127</v>
      </c>
      <c r="AF559" s="53">
        <v>46127</v>
      </c>
      <c r="AG559" s="16">
        <v>46134</v>
      </c>
      <c r="AH559" s="53">
        <v>46139</v>
      </c>
      <c r="AI559" s="33">
        <f>MONTH(AH559)</f>
        <v>4</v>
      </c>
      <c r="AJ559" s="144" t="s">
        <v>1710</v>
      </c>
      <c r="AK559" s="35" t="s">
        <v>1711</v>
      </c>
      <c r="AL559" s="19" t="str">
        <f t="shared" si="65"/>
        <v>N/A</v>
      </c>
      <c r="AM559" s="67" t="str">
        <f>IFERROR(NETWORKDAYS(D559,Q559,Hoja1!$A$1:$A$29),"N/A")</f>
        <v>N/A</v>
      </c>
      <c r="AN559" s="21">
        <f>IFERROR(NETWORKDAYS(D559,AE559,Hoja1!$A$1:$A$29),"N/A")</f>
        <v>6</v>
      </c>
      <c r="AO559" s="78">
        <v>0</v>
      </c>
      <c r="AP559" s="21">
        <f t="shared" si="63"/>
        <v>6</v>
      </c>
      <c r="AQ559" s="21">
        <f>IFERROR(NETWORKDAYS(AF559,AG559,Hoja1!$A$1:$A$29),"N/A")</f>
        <v>6</v>
      </c>
      <c r="AR559" s="78">
        <v>1</v>
      </c>
      <c r="AS559" s="75">
        <f t="shared" si="64"/>
        <v>5</v>
      </c>
      <c r="AT559" s="21">
        <f>IFERROR(NETWORKDAYS(D559,AG559,Hoja1!$A$1:$A$29),"N/A")</f>
        <v>11</v>
      </c>
      <c r="AU559" s="21">
        <f t="shared" si="66"/>
        <v>10</v>
      </c>
      <c r="AV559" s="143" t="s">
        <v>145</v>
      </c>
      <c r="AW559" s="86" t="s">
        <v>1712</v>
      </c>
      <c r="AX559" s="87"/>
      <c r="AY559" s="87"/>
      <c r="AZ559" s="87"/>
      <c r="BA559" s="87"/>
      <c r="BB559" s="87"/>
    </row>
    <row r="560" spans="1:54" ht="15" customHeight="1" x14ac:dyDescent="0.25">
      <c r="A560" s="95">
        <v>16146</v>
      </c>
      <c r="B560" s="84" t="s">
        <v>85</v>
      </c>
      <c r="C560" s="84" t="s">
        <v>85</v>
      </c>
      <c r="D560" s="435">
        <v>46099</v>
      </c>
      <c r="E560" s="116">
        <v>46097</v>
      </c>
      <c r="F560" s="143" t="s">
        <v>62</v>
      </c>
      <c r="G560" s="179" t="s">
        <v>71</v>
      </c>
      <c r="H560" s="179" t="s">
        <v>101</v>
      </c>
      <c r="I560" s="188" t="s">
        <v>1713</v>
      </c>
      <c r="J560" s="27" t="s">
        <v>142</v>
      </c>
      <c r="K560" s="111" t="s">
        <v>351</v>
      </c>
      <c r="L560" s="1">
        <v>1</v>
      </c>
      <c r="M560" s="111" t="s">
        <v>54</v>
      </c>
      <c r="N560" s="33" t="s">
        <v>55</v>
      </c>
      <c r="O560" s="33">
        <v>0</v>
      </c>
      <c r="P560" s="1"/>
      <c r="Q560" s="33" t="s">
        <v>55</v>
      </c>
      <c r="R560" s="33" t="s">
        <v>55</v>
      </c>
      <c r="S560" s="33">
        <v>0</v>
      </c>
      <c r="T560" s="33" t="s">
        <v>55</v>
      </c>
      <c r="U560" s="33" t="s">
        <v>55</v>
      </c>
      <c r="V560" s="33" t="s">
        <v>55</v>
      </c>
      <c r="W560" s="33" t="s">
        <v>55</v>
      </c>
      <c r="X560" s="33" t="s">
        <v>55</v>
      </c>
      <c r="Y560" s="33" t="s">
        <v>55</v>
      </c>
      <c r="Z560" s="33" t="s">
        <v>55</v>
      </c>
      <c r="AA560" s="33">
        <v>1</v>
      </c>
      <c r="AB560" s="33">
        <v>1</v>
      </c>
      <c r="AC560" s="33">
        <v>0</v>
      </c>
      <c r="AD560" s="38">
        <v>46105</v>
      </c>
      <c r="AE560" s="180">
        <v>46108</v>
      </c>
      <c r="AF560" s="53">
        <v>46111</v>
      </c>
      <c r="AG560" s="180">
        <v>46126</v>
      </c>
      <c r="AH560" s="180">
        <v>46127</v>
      </c>
      <c r="AI560" s="33">
        <f>MONTH(AH560)</f>
        <v>4</v>
      </c>
      <c r="AJ560" s="144" t="s">
        <v>1714</v>
      </c>
      <c r="AK560" s="114" t="s">
        <v>1715</v>
      </c>
      <c r="AL560" s="19" t="str">
        <f t="shared" si="65"/>
        <v>N/A</v>
      </c>
      <c r="AM560" s="67" t="str">
        <f>IFERROR(NETWORKDAYS(D560,Q560,Hoja1!$A$1:$A$29),"N/A")</f>
        <v>N/A</v>
      </c>
      <c r="AN560" s="21">
        <f>IFERROR(NETWORKDAYS(D560,AE560,Hoja1!$A$1:$A$29),"N/A")</f>
        <v>7</v>
      </c>
      <c r="AO560" s="78">
        <v>2</v>
      </c>
      <c r="AP560" s="21">
        <f t="shared" si="63"/>
        <v>5</v>
      </c>
      <c r="AQ560" s="21">
        <f>IFERROR(NETWORKDAYS(AF560,AG560,Hoja1!$A$1:$A$29),"N/A")</f>
        <v>10</v>
      </c>
      <c r="AR560" s="78">
        <v>5</v>
      </c>
      <c r="AS560" s="75">
        <f t="shared" si="64"/>
        <v>5</v>
      </c>
      <c r="AT560" s="21">
        <f>IFERROR(NETWORKDAYS(D560,AG560,Hoja1!$A$1:$A$29),"N/A")</f>
        <v>17</v>
      </c>
      <c r="AU560" s="21">
        <f t="shared" si="66"/>
        <v>10</v>
      </c>
      <c r="AV560" s="143" t="s">
        <v>104</v>
      </c>
      <c r="AW560" s="86" t="s">
        <v>901</v>
      </c>
      <c r="AX560" s="87"/>
      <c r="AY560" s="87"/>
      <c r="AZ560" s="87"/>
      <c r="BA560" s="87"/>
      <c r="BB560" s="87"/>
    </row>
    <row r="561" spans="1:54" ht="15" customHeight="1" x14ac:dyDescent="0.25">
      <c r="A561" s="95">
        <v>16147</v>
      </c>
      <c r="B561" s="84" t="s">
        <v>85</v>
      </c>
      <c r="C561" s="84" t="s">
        <v>85</v>
      </c>
      <c r="D561" s="116">
        <v>46098</v>
      </c>
      <c r="E561" s="116">
        <v>46097</v>
      </c>
      <c r="F561" s="114" t="s">
        <v>62</v>
      </c>
      <c r="G561" s="179" t="s">
        <v>71</v>
      </c>
      <c r="H561" s="111" t="s">
        <v>51</v>
      </c>
      <c r="I561" s="143" t="s">
        <v>1716</v>
      </c>
      <c r="J561" s="27" t="s">
        <v>142</v>
      </c>
      <c r="K561" s="87" t="s">
        <v>1385</v>
      </c>
      <c r="L561" s="33">
        <v>1</v>
      </c>
      <c r="M561" s="111" t="s">
        <v>54</v>
      </c>
      <c r="N561" s="33" t="s">
        <v>55</v>
      </c>
      <c r="O561" s="33">
        <v>5</v>
      </c>
      <c r="P561" s="21" t="s">
        <v>112</v>
      </c>
      <c r="Q561" s="16">
        <v>46099</v>
      </c>
      <c r="R561" s="28">
        <v>46100</v>
      </c>
      <c r="S561" s="33">
        <v>5</v>
      </c>
      <c r="T561" s="33" t="s">
        <v>55</v>
      </c>
      <c r="U561" s="33" t="s">
        <v>55</v>
      </c>
      <c r="V561" s="33" t="s">
        <v>55</v>
      </c>
      <c r="W561" s="33" t="s">
        <v>55</v>
      </c>
      <c r="X561" s="33" t="s">
        <v>55</v>
      </c>
      <c r="Y561" s="33" t="s">
        <v>55</v>
      </c>
      <c r="Z561" s="21" t="s">
        <v>55</v>
      </c>
      <c r="AA561" s="33">
        <v>3</v>
      </c>
      <c r="AB561" s="33">
        <v>3</v>
      </c>
      <c r="AC561" s="33">
        <v>0</v>
      </c>
      <c r="AD561" s="28">
        <v>46116</v>
      </c>
      <c r="AE561" s="28">
        <v>46120</v>
      </c>
      <c r="AF561" s="28">
        <v>46120</v>
      </c>
      <c r="AG561" s="180">
        <v>46127</v>
      </c>
      <c r="AH561" s="53">
        <v>46139</v>
      </c>
      <c r="AI561" s="33">
        <f>MONTH(AH561)</f>
        <v>4</v>
      </c>
      <c r="AJ561" s="144" t="s">
        <v>1717</v>
      </c>
      <c r="AK561" s="35" t="s">
        <v>1718</v>
      </c>
      <c r="AL561" s="19">
        <f t="shared" si="65"/>
        <v>1</v>
      </c>
      <c r="AM561" s="67">
        <f>IFERROR(NETWORKDAYS(D561,Q561,Hoja1!$A$1:$A$29),"N/A")</f>
        <v>2</v>
      </c>
      <c r="AN561" s="21">
        <f>IFERROR(NETWORKDAYS(D561,AE561,Hoja1!$A$1:$A$29),"N/A")</f>
        <v>14</v>
      </c>
      <c r="AO561" s="78">
        <v>0</v>
      </c>
      <c r="AP561" s="21">
        <f t="shared" si="63"/>
        <v>14</v>
      </c>
      <c r="AQ561" s="21">
        <f>IFERROR(NETWORKDAYS(AF561,AG561,Hoja1!$A$1:$A$29),"N/A")</f>
        <v>6</v>
      </c>
      <c r="AR561" s="78">
        <v>1</v>
      </c>
      <c r="AS561" s="75">
        <f t="shared" si="64"/>
        <v>5</v>
      </c>
      <c r="AT561" s="21">
        <f>IFERROR(NETWORKDAYS(D561,AG561,Hoja1!$A$1:$A$29),"N/A")</f>
        <v>19</v>
      </c>
      <c r="AU561" s="21">
        <f t="shared" si="66"/>
        <v>18</v>
      </c>
      <c r="AV561" s="143" t="s">
        <v>59</v>
      </c>
      <c r="AW561" s="86" t="s">
        <v>1719</v>
      </c>
      <c r="AX561" s="87"/>
      <c r="AY561" s="87"/>
      <c r="AZ561" s="87"/>
      <c r="BA561" s="87"/>
      <c r="BB561" s="87"/>
    </row>
    <row r="562" spans="1:54" ht="15" customHeight="1" x14ac:dyDescent="0.25">
      <c r="A562" s="55">
        <v>16148</v>
      </c>
      <c r="B562" s="159" t="s">
        <v>69</v>
      </c>
      <c r="C562" s="43" t="s">
        <v>98</v>
      </c>
      <c r="D562" s="421">
        <v>46091</v>
      </c>
      <c r="E562" s="28">
        <v>46098</v>
      </c>
      <c r="F562" s="202" t="s">
        <v>879</v>
      </c>
      <c r="G562" s="48" t="s">
        <v>50</v>
      </c>
      <c r="H562" s="111" t="s">
        <v>51</v>
      </c>
      <c r="I562" s="84" t="s">
        <v>227</v>
      </c>
      <c r="J562" s="111" t="s">
        <v>52</v>
      </c>
      <c r="K562" s="87" t="s">
        <v>53</v>
      </c>
      <c r="L562" s="3">
        <v>1</v>
      </c>
      <c r="M562" s="111" t="s">
        <v>54</v>
      </c>
      <c r="N562" s="33" t="s">
        <v>55</v>
      </c>
      <c r="O562" s="33">
        <v>6</v>
      </c>
      <c r="P562" s="21" t="s">
        <v>112</v>
      </c>
      <c r="Q562" s="28">
        <v>46094</v>
      </c>
      <c r="R562" s="28">
        <v>46094</v>
      </c>
      <c r="S562" s="33">
        <v>6</v>
      </c>
      <c r="T562" s="33" t="s">
        <v>55</v>
      </c>
      <c r="U562" s="33" t="s">
        <v>55</v>
      </c>
      <c r="V562" s="33" t="s">
        <v>55</v>
      </c>
      <c r="W562" s="33" t="s">
        <v>55</v>
      </c>
      <c r="X562" s="33" t="s">
        <v>55</v>
      </c>
      <c r="Y562" s="33" t="s">
        <v>55</v>
      </c>
      <c r="Z562" s="21" t="s">
        <v>55</v>
      </c>
      <c r="AA562" s="33">
        <v>1</v>
      </c>
      <c r="AB562" s="33">
        <v>1</v>
      </c>
      <c r="AC562" s="33">
        <v>0</v>
      </c>
      <c r="AD562" s="53">
        <v>46106</v>
      </c>
      <c r="AE562" s="53">
        <v>46106</v>
      </c>
      <c r="AF562" s="53">
        <v>46106</v>
      </c>
      <c r="AG562" s="28">
        <v>46118</v>
      </c>
      <c r="AH562" s="53">
        <v>46118</v>
      </c>
      <c r="AI562" s="21">
        <v>4</v>
      </c>
      <c r="AJ562" s="87" t="s">
        <v>1720</v>
      </c>
      <c r="AK562" s="48" t="s">
        <v>1721</v>
      </c>
      <c r="AL562" s="19">
        <f t="shared" si="65"/>
        <v>1</v>
      </c>
      <c r="AM562" s="67">
        <f>IFERROR(NETWORKDAYS(D562,Q562,Hoja1!$A$1:$A$29),"N/A")</f>
        <v>4</v>
      </c>
      <c r="AN562" s="21">
        <f>IFERROR(NETWORKDAYS(D562,AE562,Hoja1!$A$1:$A$29),"N/A")</f>
        <v>11</v>
      </c>
      <c r="AO562" s="78">
        <v>0</v>
      </c>
      <c r="AP562" s="21">
        <f t="shared" si="63"/>
        <v>11</v>
      </c>
      <c r="AQ562" s="21">
        <f>IFERROR(NETWORKDAYS(AF562,AG562,Hoja1!$A$1:$A$29),"N/A")</f>
        <v>7</v>
      </c>
      <c r="AR562" s="78">
        <v>0</v>
      </c>
      <c r="AS562" s="75">
        <f t="shared" si="64"/>
        <v>7</v>
      </c>
      <c r="AT562" s="21">
        <f>IFERROR(NETWORKDAYS(D562,AG562,Hoja1!$A$1:$A$29),"N/A")</f>
        <v>17</v>
      </c>
      <c r="AU562" s="21">
        <f t="shared" si="66"/>
        <v>17</v>
      </c>
      <c r="AV562" s="143" t="s">
        <v>59</v>
      </c>
      <c r="AW562" s="86" t="s">
        <v>651</v>
      </c>
      <c r="AX562" s="87"/>
      <c r="AY562" s="87"/>
      <c r="AZ562" s="87"/>
      <c r="BA562" s="87"/>
      <c r="BB562" s="87"/>
    </row>
    <row r="563" spans="1:54" ht="15" customHeight="1" x14ac:dyDescent="0.25">
      <c r="A563" s="95">
        <v>16149</v>
      </c>
      <c r="B563" s="188" t="s">
        <v>597</v>
      </c>
      <c r="C563" s="188" t="s">
        <v>597</v>
      </c>
      <c r="D563" s="116">
        <v>46098</v>
      </c>
      <c r="E563" s="116">
        <v>46098</v>
      </c>
      <c r="F563" s="143" t="s">
        <v>62</v>
      </c>
      <c r="G563" s="179" t="s">
        <v>80</v>
      </c>
      <c r="H563" s="179" t="s">
        <v>1465</v>
      </c>
      <c r="I563" s="188" t="s">
        <v>1722</v>
      </c>
      <c r="J563" s="111" t="s">
        <v>52</v>
      </c>
      <c r="K563" s="111" t="s">
        <v>351</v>
      </c>
      <c r="L563" s="1">
        <v>1</v>
      </c>
      <c r="M563" s="111" t="s">
        <v>54</v>
      </c>
      <c r="N563" s="33" t="s">
        <v>55</v>
      </c>
      <c r="O563" s="33">
        <v>0</v>
      </c>
      <c r="P563" s="1"/>
      <c r="Q563" s="33" t="s">
        <v>55</v>
      </c>
      <c r="R563" s="33" t="s">
        <v>55</v>
      </c>
      <c r="S563" s="33">
        <v>0</v>
      </c>
      <c r="T563" s="33" t="s">
        <v>55</v>
      </c>
      <c r="U563" s="33" t="s">
        <v>55</v>
      </c>
      <c r="V563" s="33" t="s">
        <v>55</v>
      </c>
      <c r="W563" s="33" t="s">
        <v>55</v>
      </c>
      <c r="X563" s="33" t="s">
        <v>55</v>
      </c>
      <c r="Y563" s="33" t="s">
        <v>55</v>
      </c>
      <c r="Z563" s="33" t="s">
        <v>55</v>
      </c>
      <c r="AA563" s="33">
        <v>1</v>
      </c>
      <c r="AB563" s="33">
        <v>1</v>
      </c>
      <c r="AC563" s="33">
        <v>0</v>
      </c>
      <c r="AD563" s="53">
        <v>46106</v>
      </c>
      <c r="AE563" s="53">
        <v>46106</v>
      </c>
      <c r="AF563" s="53">
        <v>46106</v>
      </c>
      <c r="AG563" s="28">
        <v>46113</v>
      </c>
      <c r="AH563" s="53">
        <v>46118</v>
      </c>
      <c r="AI563" s="33">
        <f>MONTH(AH563)</f>
        <v>4</v>
      </c>
      <c r="AJ563" s="144" t="s">
        <v>1723</v>
      </c>
      <c r="AK563" s="114" t="s">
        <v>1724</v>
      </c>
      <c r="AL563" s="19" t="str">
        <f t="shared" si="65"/>
        <v>N/A</v>
      </c>
      <c r="AM563" s="67" t="str">
        <f>IFERROR(NETWORKDAYS(D563,Q563,Hoja1!$A$1:$A$29),"N/A")</f>
        <v>N/A</v>
      </c>
      <c r="AN563" s="21">
        <f>IFERROR(NETWORKDAYS(D563,AE563,Hoja1!$A$1:$A$29),"N/A")</f>
        <v>6</v>
      </c>
      <c r="AO563" s="78">
        <v>0</v>
      </c>
      <c r="AP563" s="21">
        <f t="shared" si="63"/>
        <v>6</v>
      </c>
      <c r="AQ563" s="21">
        <f>IFERROR(NETWORKDAYS(AF563,AG563,Hoja1!$A$1:$A$29),"N/A")</f>
        <v>6</v>
      </c>
      <c r="AR563" s="78">
        <v>1</v>
      </c>
      <c r="AS563" s="75">
        <f t="shared" si="64"/>
        <v>5</v>
      </c>
      <c r="AT563" s="21">
        <f>IFERROR(NETWORKDAYS(D563,AG563,Hoja1!$A$1:$A$29),"N/A")</f>
        <v>11</v>
      </c>
      <c r="AU563" s="21">
        <f t="shared" si="66"/>
        <v>10</v>
      </c>
      <c r="AV563" s="143" t="s">
        <v>145</v>
      </c>
      <c r="AW563" s="86" t="s">
        <v>1513</v>
      </c>
      <c r="AX563" s="87"/>
      <c r="AY563" s="87"/>
      <c r="AZ563" s="87"/>
      <c r="BA563" s="87"/>
      <c r="BB563" s="87"/>
    </row>
    <row r="564" spans="1:54" ht="15" customHeight="1" x14ac:dyDescent="0.25">
      <c r="A564" s="57">
        <v>16153</v>
      </c>
      <c r="B564" s="48" t="s">
        <v>169</v>
      </c>
      <c r="C564" s="48" t="s">
        <v>169</v>
      </c>
      <c r="D564" s="435">
        <v>46108</v>
      </c>
      <c r="E564" s="116">
        <v>46098</v>
      </c>
      <c r="F564" s="192" t="s">
        <v>62</v>
      </c>
      <c r="G564" s="192" t="s">
        <v>80</v>
      </c>
      <c r="H564" s="179" t="s">
        <v>101</v>
      </c>
      <c r="I564" s="111" t="s">
        <v>872</v>
      </c>
      <c r="J564" s="111" t="s">
        <v>105</v>
      </c>
      <c r="K564" s="193" t="s">
        <v>1385</v>
      </c>
      <c r="L564" s="194">
        <v>1</v>
      </c>
      <c r="M564" s="111" t="s">
        <v>54</v>
      </c>
      <c r="N564" s="194" t="s">
        <v>55</v>
      </c>
      <c r="O564" s="194">
        <v>0</v>
      </c>
      <c r="P564" s="264"/>
      <c r="Q564" s="33" t="s">
        <v>55</v>
      </c>
      <c r="R564" s="33" t="s">
        <v>55</v>
      </c>
      <c r="S564" s="194">
        <v>0</v>
      </c>
      <c r="T564" s="194" t="s">
        <v>55</v>
      </c>
      <c r="U564" s="194" t="s">
        <v>55</v>
      </c>
      <c r="V564" s="194" t="s">
        <v>55</v>
      </c>
      <c r="W564" s="194" t="s">
        <v>55</v>
      </c>
      <c r="X564" s="194" t="s">
        <v>55</v>
      </c>
      <c r="Y564" s="194" t="s">
        <v>55</v>
      </c>
      <c r="Z564" s="194" t="s">
        <v>55</v>
      </c>
      <c r="AA564" s="194">
        <v>3</v>
      </c>
      <c r="AB564" s="194">
        <v>2</v>
      </c>
      <c r="AC564" s="194">
        <v>0</v>
      </c>
      <c r="AD564" s="180">
        <v>46118</v>
      </c>
      <c r="AE564" s="180">
        <v>46118</v>
      </c>
      <c r="AF564" s="180">
        <v>46118</v>
      </c>
      <c r="AG564" s="180">
        <v>46126</v>
      </c>
      <c r="AH564" s="180">
        <v>46127</v>
      </c>
      <c r="AI564" s="194">
        <v>4</v>
      </c>
      <c r="AJ564" s="195" t="s">
        <v>1725</v>
      </c>
      <c r="AK564" s="49" t="s">
        <v>1726</v>
      </c>
      <c r="AL564" s="19" t="str">
        <f t="shared" si="65"/>
        <v>N/A</v>
      </c>
      <c r="AM564" s="67" t="str">
        <f>IFERROR(NETWORKDAYS(D564,Q564,Hoja1!$A$1:$A$29),"N/A")</f>
        <v>N/A</v>
      </c>
      <c r="AN564" s="21">
        <f>IFERROR(NETWORKDAYS(D564,AE564,Hoja1!$A$1:$A$29),"N/A")</f>
        <v>5</v>
      </c>
      <c r="AO564" s="78">
        <v>0</v>
      </c>
      <c r="AP564" s="21">
        <f t="shared" si="63"/>
        <v>5</v>
      </c>
      <c r="AQ564" s="21">
        <f>IFERROR(NETWORKDAYS(AF564,AG564,Hoja1!$A$1:$A$29),"N/A")</f>
        <v>7</v>
      </c>
      <c r="AR564" s="78">
        <v>2</v>
      </c>
      <c r="AS564" s="75">
        <f t="shared" si="64"/>
        <v>5</v>
      </c>
      <c r="AT564" s="21">
        <f>IFERROR(NETWORKDAYS(D564,AG564,Hoja1!$A$1:$A$29),"N/A")</f>
        <v>11</v>
      </c>
      <c r="AU564" s="21">
        <f t="shared" si="66"/>
        <v>9</v>
      </c>
      <c r="AV564" s="143" t="s">
        <v>104</v>
      </c>
      <c r="AW564" s="86" t="s">
        <v>1727</v>
      </c>
      <c r="AX564" s="87"/>
      <c r="AY564" s="87"/>
      <c r="AZ564" s="87"/>
      <c r="BA564" s="87"/>
      <c r="BB564" s="87"/>
    </row>
    <row r="565" spans="1:54" ht="15" customHeight="1" x14ac:dyDescent="0.25">
      <c r="A565" s="55">
        <v>16157</v>
      </c>
      <c r="B565" s="159" t="s">
        <v>69</v>
      </c>
      <c r="C565" s="43" t="s">
        <v>98</v>
      </c>
      <c r="D565" s="28">
        <v>46100</v>
      </c>
      <c r="E565" s="116">
        <v>46098</v>
      </c>
      <c r="F565" s="232" t="s">
        <v>62</v>
      </c>
      <c r="G565" s="87" t="s">
        <v>80</v>
      </c>
      <c r="H565" s="111" t="s">
        <v>51</v>
      </c>
      <c r="I565" s="159" t="s">
        <v>885</v>
      </c>
      <c r="J565" s="111" t="s">
        <v>52</v>
      </c>
      <c r="K565" s="87" t="s">
        <v>66</v>
      </c>
      <c r="L565" s="3">
        <v>1</v>
      </c>
      <c r="M565" s="111" t="s">
        <v>54</v>
      </c>
      <c r="N565" s="33" t="s">
        <v>55</v>
      </c>
      <c r="O565" s="33">
        <v>12</v>
      </c>
      <c r="P565" s="21" t="s">
        <v>56</v>
      </c>
      <c r="Q565" s="28">
        <v>46112</v>
      </c>
      <c r="R565" s="28">
        <v>46112</v>
      </c>
      <c r="S565" s="33">
        <v>12</v>
      </c>
      <c r="T565" s="33" t="s">
        <v>55</v>
      </c>
      <c r="U565" s="33" t="s">
        <v>55</v>
      </c>
      <c r="V565" s="33" t="s">
        <v>55</v>
      </c>
      <c r="W565" s="33" t="s">
        <v>55</v>
      </c>
      <c r="X565" s="33" t="s">
        <v>55</v>
      </c>
      <c r="Y565" s="33" t="s">
        <v>55</v>
      </c>
      <c r="Z565" s="21" t="s">
        <v>55</v>
      </c>
      <c r="AA565" s="33">
        <v>4</v>
      </c>
      <c r="AB565" s="33">
        <v>4</v>
      </c>
      <c r="AC565" s="33">
        <v>0</v>
      </c>
      <c r="AD565" s="28">
        <v>46125</v>
      </c>
      <c r="AE565" s="28">
        <v>46125</v>
      </c>
      <c r="AF565" s="28">
        <v>46126</v>
      </c>
      <c r="AG565" s="180">
        <v>46132</v>
      </c>
      <c r="AH565" s="53">
        <v>46139</v>
      </c>
      <c r="AI565" s="33">
        <v>4</v>
      </c>
      <c r="AJ565" s="144" t="s">
        <v>1728</v>
      </c>
      <c r="AK565" s="45" t="s">
        <v>1729</v>
      </c>
      <c r="AL565" s="19">
        <f t="shared" si="65"/>
        <v>1</v>
      </c>
      <c r="AM565" s="67">
        <f>IFERROR(NETWORKDAYS(D565,Q565,Hoja1!$A$1:$A$29),"N/A")</f>
        <v>8</v>
      </c>
      <c r="AN565" s="21">
        <f>IFERROR(NETWORKDAYS(D565,AE565,Hoja1!$A$1:$A$29),"N/A")</f>
        <v>15</v>
      </c>
      <c r="AO565" s="78">
        <v>0</v>
      </c>
      <c r="AP565" s="21">
        <f t="shared" si="63"/>
        <v>15</v>
      </c>
      <c r="AQ565" s="21">
        <f>IFERROR(NETWORKDAYS(AF565,AG565,Hoja1!$A$1:$A$29),"N/A")</f>
        <v>5</v>
      </c>
      <c r="AR565" s="78">
        <v>0</v>
      </c>
      <c r="AS565" s="75">
        <f t="shared" si="64"/>
        <v>5</v>
      </c>
      <c r="AT565" s="21">
        <f>IFERROR(NETWORKDAYS(D565,AG565,Hoja1!$A$1:$A$29),"N/A")</f>
        <v>20</v>
      </c>
      <c r="AU565" s="21">
        <f t="shared" si="66"/>
        <v>20</v>
      </c>
      <c r="AV565" s="143" t="s">
        <v>59</v>
      </c>
      <c r="AW565" s="86" t="s">
        <v>1730</v>
      </c>
      <c r="AX565" s="111" t="s">
        <v>1376</v>
      </c>
      <c r="AY565" s="114" t="s">
        <v>1379</v>
      </c>
      <c r="AZ565" s="114"/>
      <c r="BA565" s="114"/>
      <c r="BB565" s="114"/>
    </row>
    <row r="566" spans="1:54" ht="15" customHeight="1" x14ac:dyDescent="0.25">
      <c r="A566" s="95">
        <v>16162</v>
      </c>
      <c r="B566" s="27" t="s">
        <v>79</v>
      </c>
      <c r="C566" s="27" t="s">
        <v>79</v>
      </c>
      <c r="D566" s="435">
        <v>46099</v>
      </c>
      <c r="E566" s="116">
        <v>46099</v>
      </c>
      <c r="F566" s="84" t="s">
        <v>163</v>
      </c>
      <c r="G566" s="84" t="s">
        <v>688</v>
      </c>
      <c r="H566" s="111" t="s">
        <v>51</v>
      </c>
      <c r="I566" s="27" t="s">
        <v>72</v>
      </c>
      <c r="J566" s="87" t="s">
        <v>73</v>
      </c>
      <c r="K566" s="87" t="s">
        <v>165</v>
      </c>
      <c r="L566" s="33">
        <v>1</v>
      </c>
      <c r="M566" s="111" t="s">
        <v>54</v>
      </c>
      <c r="N566" s="33" t="s">
        <v>55</v>
      </c>
      <c r="O566" s="33">
        <v>6</v>
      </c>
      <c r="P566" s="21" t="s">
        <v>112</v>
      </c>
      <c r="Q566" s="53">
        <v>46107</v>
      </c>
      <c r="R566" s="28">
        <v>46119</v>
      </c>
      <c r="S566" s="33">
        <v>6</v>
      </c>
      <c r="T566" s="33" t="s">
        <v>55</v>
      </c>
      <c r="U566" s="33" t="s">
        <v>55</v>
      </c>
      <c r="V566" s="33" t="s">
        <v>55</v>
      </c>
      <c r="W566" s="33" t="s">
        <v>55</v>
      </c>
      <c r="X566" s="33" t="s">
        <v>55</v>
      </c>
      <c r="Y566" s="33" t="s">
        <v>55</v>
      </c>
      <c r="Z566" s="21" t="s">
        <v>55</v>
      </c>
      <c r="AA566" s="33">
        <v>1</v>
      </c>
      <c r="AB566" s="33">
        <v>1</v>
      </c>
      <c r="AC566" s="33">
        <v>0</v>
      </c>
      <c r="AD566" s="53">
        <v>46127</v>
      </c>
      <c r="AE566" s="53">
        <v>46127</v>
      </c>
      <c r="AF566" s="53">
        <v>46127</v>
      </c>
      <c r="AG566" s="53">
        <v>46133</v>
      </c>
      <c r="AH566" s="53">
        <v>46139</v>
      </c>
      <c r="AI566" s="33">
        <v>4</v>
      </c>
      <c r="AJ566" s="143" t="s">
        <v>1731</v>
      </c>
      <c r="AK566" s="35" t="s">
        <v>1732</v>
      </c>
      <c r="AL566" s="19">
        <f t="shared" si="65"/>
        <v>1</v>
      </c>
      <c r="AM566" s="67">
        <f>IFERROR(NETWORKDAYS(D566,Q566,Hoja1!$A$1:$A$29),"N/A")</f>
        <v>6</v>
      </c>
      <c r="AN566" s="21">
        <f>IFERROR(NETWORKDAYS(D566,AE566,Hoja1!$A$1:$A$29),"N/A")</f>
        <v>18</v>
      </c>
      <c r="AO566" s="78">
        <v>3</v>
      </c>
      <c r="AP566" s="21">
        <f t="shared" si="63"/>
        <v>15</v>
      </c>
      <c r="AQ566" s="21">
        <f>IFERROR(NETWORKDAYS(AF566,AG566,Hoja1!$A$1:$A$29),"N/A")</f>
        <v>5</v>
      </c>
      <c r="AR566" s="78">
        <v>0</v>
      </c>
      <c r="AS566" s="75">
        <f t="shared" si="64"/>
        <v>5</v>
      </c>
      <c r="AT566" s="21">
        <f>IFERROR(NETWORKDAYS(D566,AG566,Hoja1!$A$1:$A$29),"N/A")</f>
        <v>22</v>
      </c>
      <c r="AU566" s="21">
        <f t="shared" si="66"/>
        <v>19</v>
      </c>
      <c r="AV566" s="143" t="s">
        <v>127</v>
      </c>
      <c r="AW566" s="86" t="s">
        <v>82</v>
      </c>
      <c r="AX566" s="87"/>
      <c r="AY566" s="87"/>
      <c r="AZ566" s="87"/>
      <c r="BA566" s="87"/>
      <c r="BB566" s="87"/>
    </row>
    <row r="567" spans="1:54" ht="15" customHeight="1" x14ac:dyDescent="0.25">
      <c r="A567" s="95">
        <v>16166</v>
      </c>
      <c r="B567" s="159" t="s">
        <v>69</v>
      </c>
      <c r="C567" s="43" t="s">
        <v>98</v>
      </c>
      <c r="D567" s="16">
        <v>46108</v>
      </c>
      <c r="E567" s="28">
        <v>46100</v>
      </c>
      <c r="F567" s="84" t="s">
        <v>62</v>
      </c>
      <c r="G567" s="84" t="s">
        <v>314</v>
      </c>
      <c r="H567" s="179" t="s">
        <v>101</v>
      </c>
      <c r="I567" s="27" t="s">
        <v>72</v>
      </c>
      <c r="J567" s="87" t="s">
        <v>73</v>
      </c>
      <c r="K567" s="84" t="s">
        <v>66</v>
      </c>
      <c r="L567" s="33">
        <v>1</v>
      </c>
      <c r="M567" s="111" t="s">
        <v>54</v>
      </c>
      <c r="N567" s="33" t="s">
        <v>55</v>
      </c>
      <c r="O567" s="33">
        <v>0</v>
      </c>
      <c r="P567" s="33"/>
      <c r="Q567" s="33" t="s">
        <v>55</v>
      </c>
      <c r="R567" s="33" t="s">
        <v>55</v>
      </c>
      <c r="S567" s="33">
        <v>0</v>
      </c>
      <c r="T567" s="33" t="s">
        <v>55</v>
      </c>
      <c r="U567" s="33" t="s">
        <v>55</v>
      </c>
      <c r="V567" s="33" t="s">
        <v>55</v>
      </c>
      <c r="W567" s="33" t="s">
        <v>55</v>
      </c>
      <c r="X567" s="33" t="s">
        <v>55</v>
      </c>
      <c r="Y567" s="33" t="s">
        <v>55</v>
      </c>
      <c r="Z567" s="33" t="s">
        <v>55</v>
      </c>
      <c r="AA567" s="33">
        <v>1</v>
      </c>
      <c r="AB567" s="33">
        <v>1</v>
      </c>
      <c r="AC567" s="33">
        <v>0</v>
      </c>
      <c r="AD567" s="28">
        <v>46118</v>
      </c>
      <c r="AE567" s="28">
        <v>46120</v>
      </c>
      <c r="AF567" s="28">
        <v>46126</v>
      </c>
      <c r="AG567" s="53">
        <v>46133</v>
      </c>
      <c r="AH567" s="53">
        <v>46139</v>
      </c>
      <c r="AI567" s="33">
        <v>4</v>
      </c>
      <c r="AJ567" s="144" t="s">
        <v>1733</v>
      </c>
      <c r="AK567" s="35" t="s">
        <v>1734</v>
      </c>
      <c r="AL567" s="19" t="str">
        <f t="shared" si="65"/>
        <v>N/A</v>
      </c>
      <c r="AM567" s="67" t="str">
        <f>IFERROR(NETWORKDAYS(D567,Q567,Hoja1!$A$1:$A$29),"N/A")</f>
        <v>N/A</v>
      </c>
      <c r="AN567" s="21">
        <f>IFERROR(NETWORKDAYS(D567,AE567,Hoja1!$A$1:$A$29),"N/A")</f>
        <v>7</v>
      </c>
      <c r="AO567" s="78">
        <v>2</v>
      </c>
      <c r="AP567" s="21">
        <f t="shared" si="63"/>
        <v>5</v>
      </c>
      <c r="AQ567" s="21">
        <f>IFERROR(NETWORKDAYS(AF567,AG567,Hoja1!$A$1:$A$29),"N/A")</f>
        <v>6</v>
      </c>
      <c r="AR567" s="78">
        <v>1</v>
      </c>
      <c r="AS567" s="75">
        <f t="shared" si="64"/>
        <v>5</v>
      </c>
      <c r="AT567" s="21">
        <f>IFERROR(NETWORKDAYS(D567,AG567,Hoja1!$A$1:$A$29),"N/A")</f>
        <v>16</v>
      </c>
      <c r="AU567" s="21">
        <f t="shared" si="66"/>
        <v>13</v>
      </c>
      <c r="AV567" s="143" t="s">
        <v>104</v>
      </c>
      <c r="AW567" s="86" t="s">
        <v>82</v>
      </c>
      <c r="AX567" s="87"/>
      <c r="AY567" s="87"/>
      <c r="AZ567" s="87"/>
      <c r="BA567" s="87"/>
      <c r="BB567" s="87"/>
    </row>
    <row r="568" spans="1:54" ht="15" customHeight="1" x14ac:dyDescent="0.25">
      <c r="A568" s="58">
        <v>16170</v>
      </c>
      <c r="B568" s="27" t="s">
        <v>79</v>
      </c>
      <c r="C568" s="27" t="s">
        <v>79</v>
      </c>
      <c r="D568" s="425">
        <v>46090</v>
      </c>
      <c r="E568" s="16">
        <v>46100</v>
      </c>
      <c r="F568" s="202" t="s">
        <v>879</v>
      </c>
      <c r="G568" s="48" t="s">
        <v>50</v>
      </c>
      <c r="H568" s="111" t="s">
        <v>51</v>
      </c>
      <c r="I568" s="48" t="s">
        <v>1251</v>
      </c>
      <c r="J568" s="207" t="s">
        <v>118</v>
      </c>
      <c r="K568" s="87" t="s">
        <v>106</v>
      </c>
      <c r="L568" s="3">
        <v>1</v>
      </c>
      <c r="M568" s="111" t="s">
        <v>54</v>
      </c>
      <c r="N568" s="33" t="s">
        <v>55</v>
      </c>
      <c r="O568" s="33">
        <v>1</v>
      </c>
      <c r="P568" s="21" t="s">
        <v>112</v>
      </c>
      <c r="Q568" s="28">
        <v>46101</v>
      </c>
      <c r="R568" s="28">
        <v>46101</v>
      </c>
      <c r="S568" s="33">
        <v>1</v>
      </c>
      <c r="T568" s="33" t="s">
        <v>55</v>
      </c>
      <c r="U568" s="33" t="s">
        <v>55</v>
      </c>
      <c r="V568" s="33" t="s">
        <v>55</v>
      </c>
      <c r="W568" s="33" t="s">
        <v>55</v>
      </c>
      <c r="X568" s="33" t="s">
        <v>55</v>
      </c>
      <c r="Y568" s="33" t="s">
        <v>55</v>
      </c>
      <c r="Z568" s="21" t="s">
        <v>55</v>
      </c>
      <c r="AA568" s="33">
        <v>1</v>
      </c>
      <c r="AB568" s="33">
        <v>1</v>
      </c>
      <c r="AC568" s="33">
        <v>0</v>
      </c>
      <c r="AD568" s="28">
        <v>46104</v>
      </c>
      <c r="AE568" s="28">
        <v>46104</v>
      </c>
      <c r="AF568" s="28">
        <v>46104</v>
      </c>
      <c r="AG568" s="38">
        <v>46113</v>
      </c>
      <c r="AH568" s="53">
        <v>46118</v>
      </c>
      <c r="AI568" s="21">
        <v>4</v>
      </c>
      <c r="AJ568" s="48" t="s">
        <v>1735</v>
      </c>
      <c r="AK568" s="48" t="s">
        <v>1736</v>
      </c>
      <c r="AL568" s="19">
        <f t="shared" si="65"/>
        <v>1</v>
      </c>
      <c r="AM568" s="67">
        <f>IFERROR(NETWORKDAYS(D568,Q568,Hoja1!$A$1:$A$29),"N/A")</f>
        <v>10</v>
      </c>
      <c r="AN568" s="21">
        <f>IFERROR(NETWORKDAYS(D568,AE568,Hoja1!$A$1:$A$29),"N/A")</f>
        <v>10</v>
      </c>
      <c r="AO568" s="78">
        <v>0</v>
      </c>
      <c r="AP568" s="21">
        <f t="shared" si="63"/>
        <v>10</v>
      </c>
      <c r="AQ568" s="21">
        <f>IFERROR(NETWORKDAYS(AF568,AG568,Hoja1!$A$1:$A$29),"N/A")</f>
        <v>7</v>
      </c>
      <c r="AR568" s="78">
        <v>0</v>
      </c>
      <c r="AS568" s="75">
        <f t="shared" si="64"/>
        <v>7</v>
      </c>
      <c r="AT568" s="21">
        <f>IFERROR(NETWORKDAYS(D568,AG568,Hoja1!$A$1:$A$29),"N/A")</f>
        <v>17</v>
      </c>
      <c r="AU568" s="21">
        <f t="shared" si="66"/>
        <v>17</v>
      </c>
      <c r="AV568" s="143" t="s">
        <v>59</v>
      </c>
      <c r="AW568" s="86" t="s">
        <v>1737</v>
      </c>
      <c r="AX568" s="87"/>
      <c r="AY568" s="87"/>
      <c r="AZ568" s="87"/>
      <c r="BA568" s="87"/>
      <c r="BB568" s="87"/>
    </row>
    <row r="569" spans="1:54" ht="15" customHeight="1" x14ac:dyDescent="0.25">
      <c r="A569" s="55">
        <v>16171</v>
      </c>
      <c r="B569" s="48" t="s">
        <v>169</v>
      </c>
      <c r="C569" s="48" t="s">
        <v>169</v>
      </c>
      <c r="D569" s="16">
        <v>46100</v>
      </c>
      <c r="E569" s="16">
        <v>46100</v>
      </c>
      <c r="F569" s="143" t="s">
        <v>90</v>
      </c>
      <c r="G569" s="159" t="s">
        <v>91</v>
      </c>
      <c r="H569" s="111" t="s">
        <v>51</v>
      </c>
      <c r="I569" s="27" t="s">
        <v>72</v>
      </c>
      <c r="J569" s="87" t="s">
        <v>73</v>
      </c>
      <c r="K569" s="111" t="s">
        <v>171</v>
      </c>
      <c r="L569" s="2">
        <v>1</v>
      </c>
      <c r="M569" s="111" t="s">
        <v>54</v>
      </c>
      <c r="N569" s="21" t="s">
        <v>55</v>
      </c>
      <c r="O569" s="21">
        <v>3</v>
      </c>
      <c r="P569" s="21" t="s">
        <v>112</v>
      </c>
      <c r="Q569" s="16">
        <v>46105</v>
      </c>
      <c r="R569" s="53">
        <v>46112</v>
      </c>
      <c r="S569" s="21">
        <v>3</v>
      </c>
      <c r="T569" s="21" t="s">
        <v>55</v>
      </c>
      <c r="U569" s="21" t="s">
        <v>55</v>
      </c>
      <c r="V569" s="21" t="s">
        <v>55</v>
      </c>
      <c r="W569" s="21" t="s">
        <v>55</v>
      </c>
      <c r="X569" s="21" t="s">
        <v>55</v>
      </c>
      <c r="Y569" s="21" t="s">
        <v>55</v>
      </c>
      <c r="Z569" s="21" t="s">
        <v>55</v>
      </c>
      <c r="AA569" s="21">
        <v>3</v>
      </c>
      <c r="AB569" s="21">
        <v>1</v>
      </c>
      <c r="AC569" s="21">
        <v>0</v>
      </c>
      <c r="AD569" s="28">
        <v>46112</v>
      </c>
      <c r="AE569" s="28">
        <v>46112</v>
      </c>
      <c r="AF569" s="53">
        <v>46118</v>
      </c>
      <c r="AG569" s="180">
        <v>46126</v>
      </c>
      <c r="AH569" s="180">
        <v>46127</v>
      </c>
      <c r="AI569" s="21">
        <v>4</v>
      </c>
      <c r="AJ569" s="159" t="s">
        <v>1738</v>
      </c>
      <c r="AK569" s="111" t="s">
        <v>1739</v>
      </c>
      <c r="AL569" s="19">
        <f t="shared" si="65"/>
        <v>1</v>
      </c>
      <c r="AM569" s="67">
        <f>IFERROR(NETWORKDAYS(D569,Q569,Hoja1!$A$1:$A$29),"N/A")</f>
        <v>3</v>
      </c>
      <c r="AN569" s="21">
        <f>IFERROR(NETWORKDAYS(D569,AE569,Hoja1!$A$1:$A$29),"N/A")</f>
        <v>8</v>
      </c>
      <c r="AO569" s="78">
        <v>0</v>
      </c>
      <c r="AP569" s="21">
        <f t="shared" si="63"/>
        <v>8</v>
      </c>
      <c r="AQ569" s="21">
        <f>IFERROR(NETWORKDAYS(AF569,AG569,Hoja1!$A$1:$A$29),"N/A")</f>
        <v>7</v>
      </c>
      <c r="AR569" s="78">
        <v>0</v>
      </c>
      <c r="AS569" s="75">
        <f t="shared" si="64"/>
        <v>7</v>
      </c>
      <c r="AT569" s="21">
        <f>IFERROR(NETWORKDAYS(D569,AG569,Hoja1!$A$1:$A$29),"N/A")</f>
        <v>16</v>
      </c>
      <c r="AU569" s="21">
        <f t="shared" si="66"/>
        <v>16</v>
      </c>
      <c r="AV569" s="143" t="s">
        <v>77</v>
      </c>
      <c r="AW569" s="86" t="s">
        <v>82</v>
      </c>
      <c r="AX569" s="87"/>
      <c r="AY569" s="87"/>
      <c r="AZ569" s="87"/>
      <c r="BA569" s="87"/>
      <c r="BB569" s="87"/>
    </row>
    <row r="570" spans="1:54" ht="15" customHeight="1" x14ac:dyDescent="0.25">
      <c r="A570" s="95">
        <v>16172</v>
      </c>
      <c r="B570" s="84" t="s">
        <v>85</v>
      </c>
      <c r="C570" s="84" t="s">
        <v>85</v>
      </c>
      <c r="D570" s="434">
        <v>46101</v>
      </c>
      <c r="E570" s="116">
        <v>46101</v>
      </c>
      <c r="F570" s="143" t="s">
        <v>62</v>
      </c>
      <c r="G570" s="179" t="s">
        <v>71</v>
      </c>
      <c r="H570" s="179" t="s">
        <v>271</v>
      </c>
      <c r="I570" s="188" t="s">
        <v>1740</v>
      </c>
      <c r="J570" s="27" t="s">
        <v>65</v>
      </c>
      <c r="K570" s="111" t="s">
        <v>351</v>
      </c>
      <c r="L570" s="33">
        <v>1</v>
      </c>
      <c r="M570" s="111" t="s">
        <v>54</v>
      </c>
      <c r="N570" s="33" t="s">
        <v>55</v>
      </c>
      <c r="O570" s="33">
        <v>0</v>
      </c>
      <c r="P570" s="33"/>
      <c r="Q570" s="33" t="s">
        <v>55</v>
      </c>
      <c r="R570" s="33" t="s">
        <v>55</v>
      </c>
      <c r="S570" s="33">
        <v>0</v>
      </c>
      <c r="T570" s="33" t="s">
        <v>55</v>
      </c>
      <c r="U570" s="33" t="s">
        <v>55</v>
      </c>
      <c r="V570" s="33" t="s">
        <v>55</v>
      </c>
      <c r="W570" s="33" t="s">
        <v>55</v>
      </c>
      <c r="X570" s="33" t="s">
        <v>55</v>
      </c>
      <c r="Y570" s="33" t="s">
        <v>55</v>
      </c>
      <c r="Z570" s="33" t="s">
        <v>55</v>
      </c>
      <c r="AA570" s="33">
        <v>0</v>
      </c>
      <c r="AB570" s="33">
        <v>0</v>
      </c>
      <c r="AC570" s="33">
        <v>0</v>
      </c>
      <c r="AD570" s="33" t="s">
        <v>55</v>
      </c>
      <c r="AE570" s="180">
        <v>46101</v>
      </c>
      <c r="AF570" s="28">
        <v>46106</v>
      </c>
      <c r="AG570" s="28">
        <v>46113</v>
      </c>
      <c r="AH570" s="28">
        <v>46113</v>
      </c>
      <c r="AI570" s="33">
        <f>MONTH(AH570)</f>
        <v>4</v>
      </c>
      <c r="AJ570" s="144" t="s">
        <v>1741</v>
      </c>
      <c r="AK570" s="114" t="s">
        <v>1742</v>
      </c>
      <c r="AL570" s="19" t="str">
        <f t="shared" si="65"/>
        <v>N/A</v>
      </c>
      <c r="AM570" s="67" t="str">
        <f>IFERROR(NETWORKDAYS(D570,Q570,Hoja1!$A$1:$A$29),"N/A")</f>
        <v>N/A</v>
      </c>
      <c r="AN570" s="21">
        <f>IFERROR(NETWORKDAYS(D570,AE570,Hoja1!$A$1:$A$29),"N/A")</f>
        <v>1</v>
      </c>
      <c r="AO570" s="78">
        <v>0</v>
      </c>
      <c r="AP570" s="19" t="s">
        <v>82</v>
      </c>
      <c r="AQ570" s="21">
        <f>IFERROR(NETWORKDAYS(AF570,AG570,Hoja1!$A$1:$A$29),"N/A")</f>
        <v>6</v>
      </c>
      <c r="AR570" s="78">
        <v>1</v>
      </c>
      <c r="AS570" s="75">
        <f t="shared" si="64"/>
        <v>5</v>
      </c>
      <c r="AT570" s="21">
        <f>IFERROR(NETWORKDAYS(D570,AG570,Hoja1!$A$1:$A$29),"N/A")</f>
        <v>8</v>
      </c>
      <c r="AU570" s="21">
        <f t="shared" si="66"/>
        <v>7</v>
      </c>
      <c r="AV570" s="143" t="s">
        <v>145</v>
      </c>
      <c r="AW570" s="86" t="s">
        <v>1743</v>
      </c>
      <c r="AX570" s="87"/>
      <c r="AY570" s="87"/>
      <c r="AZ570" s="87"/>
      <c r="BA570" s="87"/>
      <c r="BB570" s="87"/>
    </row>
    <row r="571" spans="1:54" ht="15" customHeight="1" x14ac:dyDescent="0.25">
      <c r="A571" s="58">
        <v>16175</v>
      </c>
      <c r="B571" s="48" t="s">
        <v>169</v>
      </c>
      <c r="C571" s="48" t="s">
        <v>169</v>
      </c>
      <c r="D571" s="53">
        <v>46100</v>
      </c>
      <c r="E571" s="28">
        <v>46105</v>
      </c>
      <c r="F571" s="202" t="s">
        <v>879</v>
      </c>
      <c r="G571" s="48" t="s">
        <v>50</v>
      </c>
      <c r="H571" s="111" t="s">
        <v>51</v>
      </c>
      <c r="I571" s="48" t="s">
        <v>753</v>
      </c>
      <c r="J571" s="111" t="s">
        <v>105</v>
      </c>
      <c r="K571" s="87" t="s">
        <v>106</v>
      </c>
      <c r="L571" s="3">
        <v>1</v>
      </c>
      <c r="M571" s="111" t="s">
        <v>54</v>
      </c>
      <c r="N571" s="33" t="s">
        <v>55</v>
      </c>
      <c r="O571" s="33">
        <v>8</v>
      </c>
      <c r="P571" s="21" t="s">
        <v>112</v>
      </c>
      <c r="Q571" s="16">
        <v>46105</v>
      </c>
      <c r="R571" s="16">
        <v>46105</v>
      </c>
      <c r="S571" s="33">
        <v>8</v>
      </c>
      <c r="T571" s="33" t="s">
        <v>55</v>
      </c>
      <c r="U571" s="33" t="s">
        <v>55</v>
      </c>
      <c r="V571" s="33" t="s">
        <v>55</v>
      </c>
      <c r="W571" s="33" t="s">
        <v>55</v>
      </c>
      <c r="X571" s="33" t="s">
        <v>55</v>
      </c>
      <c r="Y571" s="33" t="s">
        <v>55</v>
      </c>
      <c r="Z571" s="21" t="s">
        <v>55</v>
      </c>
      <c r="AA571" s="33">
        <v>2</v>
      </c>
      <c r="AB571" s="33">
        <v>2</v>
      </c>
      <c r="AC571" s="33">
        <v>0</v>
      </c>
      <c r="AD571" s="28">
        <v>46108</v>
      </c>
      <c r="AE571" s="28">
        <v>46108</v>
      </c>
      <c r="AF571" s="28">
        <v>46108</v>
      </c>
      <c r="AG571" s="38">
        <v>46135</v>
      </c>
      <c r="AH571" s="53">
        <v>46139</v>
      </c>
      <c r="AI571" s="21">
        <v>4</v>
      </c>
      <c r="AJ571" s="48" t="s">
        <v>1744</v>
      </c>
      <c r="AK571" s="48" t="s">
        <v>1745</v>
      </c>
      <c r="AL571" s="19">
        <f t="shared" si="65"/>
        <v>1</v>
      </c>
      <c r="AM571" s="67">
        <f>IFERROR(NETWORKDAYS(D571,Q571,Hoja1!$A$1:$A$29),"N/A")</f>
        <v>3</v>
      </c>
      <c r="AN571" s="21">
        <f>IFERROR(NETWORKDAYS(D571,AE571,Hoja1!$A$1:$A$29),"N/A")</f>
        <v>6</v>
      </c>
      <c r="AO571" s="78">
        <v>0</v>
      </c>
      <c r="AP571" s="21">
        <f t="shared" si="63"/>
        <v>6</v>
      </c>
      <c r="AQ571" s="21">
        <f>IFERROR(NETWORKDAYS(AF571,AG571,Hoja1!$A$1:$A$29),"N/A")</f>
        <v>18</v>
      </c>
      <c r="AR571" s="78">
        <v>10</v>
      </c>
      <c r="AS571" s="75">
        <f>AQ571-AR571</f>
        <v>8</v>
      </c>
      <c r="AT571" s="21">
        <f>IFERROR(NETWORKDAYS(D571,AG571,Hoja1!$A$1:$A$29),"N/A")</f>
        <v>23</v>
      </c>
      <c r="AU571" s="21">
        <f t="shared" si="66"/>
        <v>13</v>
      </c>
      <c r="AV571" s="143" t="s">
        <v>59</v>
      </c>
      <c r="AW571" s="86" t="s">
        <v>1645</v>
      </c>
      <c r="AX571" s="87"/>
      <c r="AY571" s="87"/>
      <c r="AZ571" s="87"/>
      <c r="BA571" s="87"/>
      <c r="BB571" s="87"/>
    </row>
    <row r="572" spans="1:54" ht="15" customHeight="1" x14ac:dyDescent="0.25">
      <c r="A572" s="55">
        <v>16177</v>
      </c>
      <c r="B572" s="84" t="s">
        <v>85</v>
      </c>
      <c r="C572" s="84" t="s">
        <v>85</v>
      </c>
      <c r="D572" s="421">
        <v>46105</v>
      </c>
      <c r="E572" s="28">
        <v>46105</v>
      </c>
      <c r="F572" s="202" t="s">
        <v>879</v>
      </c>
      <c r="G572" s="87" t="s">
        <v>396</v>
      </c>
      <c r="H572" s="179" t="s">
        <v>101</v>
      </c>
      <c r="I572" s="188" t="s">
        <v>516</v>
      </c>
      <c r="J572" s="111" t="s">
        <v>52</v>
      </c>
      <c r="K572" s="87" t="s">
        <v>53</v>
      </c>
      <c r="L572" s="3">
        <v>1</v>
      </c>
      <c r="M572" s="111" t="s">
        <v>54</v>
      </c>
      <c r="N572" s="33" t="s">
        <v>55</v>
      </c>
      <c r="O572" s="33">
        <v>0</v>
      </c>
      <c r="P572" s="33"/>
      <c r="Q572" s="33" t="s">
        <v>55</v>
      </c>
      <c r="R572" s="33" t="s">
        <v>55</v>
      </c>
      <c r="S572" s="33">
        <v>0</v>
      </c>
      <c r="T572" s="33" t="s">
        <v>55</v>
      </c>
      <c r="U572" s="33" t="s">
        <v>55</v>
      </c>
      <c r="V572" s="33" t="s">
        <v>55</v>
      </c>
      <c r="W572" s="33" t="s">
        <v>55</v>
      </c>
      <c r="X572" s="33" t="s">
        <v>55</v>
      </c>
      <c r="Y572" s="33" t="s">
        <v>55</v>
      </c>
      <c r="Z572" s="33" t="s">
        <v>55</v>
      </c>
      <c r="AA572" s="33">
        <v>1</v>
      </c>
      <c r="AB572" s="33">
        <v>1</v>
      </c>
      <c r="AC572" s="33">
        <v>0</v>
      </c>
      <c r="AD572" s="28">
        <v>46111</v>
      </c>
      <c r="AE572" s="53">
        <v>46111</v>
      </c>
      <c r="AF572" s="28">
        <v>46112</v>
      </c>
      <c r="AG572" s="28">
        <v>46127</v>
      </c>
      <c r="AH572" s="180">
        <v>46127</v>
      </c>
      <c r="AI572" s="21">
        <v>4</v>
      </c>
      <c r="AJ572" s="87" t="s">
        <v>1746</v>
      </c>
      <c r="AK572" s="48" t="s">
        <v>1747</v>
      </c>
      <c r="AL572" s="19" t="str">
        <f t="shared" si="65"/>
        <v>N/A</v>
      </c>
      <c r="AM572" s="67" t="str">
        <f>IFERROR(NETWORKDAYS(D572,Q572,Hoja1!$A$1:$A$29),"N/A")</f>
        <v>N/A</v>
      </c>
      <c r="AN572" s="21">
        <f>IFERROR(NETWORKDAYS(D572,AE572,Hoja1!$A$1:$A$29),"N/A")</f>
        <v>5</v>
      </c>
      <c r="AO572" s="78">
        <v>0</v>
      </c>
      <c r="AP572" s="21">
        <f t="shared" si="63"/>
        <v>5</v>
      </c>
      <c r="AQ572" s="21">
        <f>IFERROR(NETWORKDAYS(AF572,AG572,Hoja1!$A$1:$A$29),"N/A")</f>
        <v>10</v>
      </c>
      <c r="AR572" s="78">
        <v>0</v>
      </c>
      <c r="AS572" s="75">
        <f t="shared" si="64"/>
        <v>10</v>
      </c>
      <c r="AT572" s="21">
        <f>IFERROR(NETWORKDAYS(D572,AG572,Hoja1!$A$1:$A$29),"N/A")</f>
        <v>15</v>
      </c>
      <c r="AU572" s="21">
        <f t="shared" si="66"/>
        <v>15</v>
      </c>
      <c r="AV572" s="143" t="s">
        <v>104</v>
      </c>
      <c r="AW572" s="86" t="s">
        <v>480</v>
      </c>
      <c r="AX572" s="87"/>
      <c r="AY572" s="87"/>
      <c r="AZ572" s="87"/>
      <c r="BA572" s="87"/>
      <c r="BB572" s="87"/>
    </row>
    <row r="573" spans="1:54" ht="15" customHeight="1" x14ac:dyDescent="0.25">
      <c r="A573" s="95">
        <v>16178</v>
      </c>
      <c r="B573" s="159" t="s">
        <v>69</v>
      </c>
      <c r="C573" s="188" t="s">
        <v>202</v>
      </c>
      <c r="D573" s="116">
        <v>46106</v>
      </c>
      <c r="E573" s="116">
        <v>46105</v>
      </c>
      <c r="F573" s="143" t="s">
        <v>62</v>
      </c>
      <c r="G573" s="179" t="s">
        <v>71</v>
      </c>
      <c r="H573" s="111" t="s">
        <v>51</v>
      </c>
      <c r="I573" s="27" t="s">
        <v>96</v>
      </c>
      <c r="J573" s="87" t="s">
        <v>73</v>
      </c>
      <c r="K573" s="111" t="s">
        <v>351</v>
      </c>
      <c r="L573" s="33">
        <v>1</v>
      </c>
      <c r="M573" s="111" t="s">
        <v>54</v>
      </c>
      <c r="N573" s="33" t="s">
        <v>55</v>
      </c>
      <c r="O573" s="33">
        <v>3</v>
      </c>
      <c r="P573" s="21" t="s">
        <v>112</v>
      </c>
      <c r="Q573" s="28">
        <v>46121</v>
      </c>
      <c r="R573" s="28">
        <v>46122</v>
      </c>
      <c r="S573" s="33">
        <v>3</v>
      </c>
      <c r="T573" s="33" t="s">
        <v>55</v>
      </c>
      <c r="U573" s="33" t="s">
        <v>55</v>
      </c>
      <c r="V573" s="33" t="s">
        <v>55</v>
      </c>
      <c r="W573" s="33" t="s">
        <v>55</v>
      </c>
      <c r="X573" s="33" t="s">
        <v>55</v>
      </c>
      <c r="Y573" s="33" t="s">
        <v>55</v>
      </c>
      <c r="Z573" s="21" t="s">
        <v>55</v>
      </c>
      <c r="AA573" s="33">
        <v>1</v>
      </c>
      <c r="AB573" s="33">
        <v>2</v>
      </c>
      <c r="AC573" s="33">
        <v>0</v>
      </c>
      <c r="AD573" s="53">
        <v>46127</v>
      </c>
      <c r="AE573" s="53">
        <v>46127</v>
      </c>
      <c r="AF573" s="53">
        <v>46127</v>
      </c>
      <c r="AG573" s="28">
        <v>46134</v>
      </c>
      <c r="AH573" s="53">
        <v>46139</v>
      </c>
      <c r="AI573" s="33">
        <f>MONTH(AH573)</f>
        <v>4</v>
      </c>
      <c r="AJ573" s="144" t="s">
        <v>1748</v>
      </c>
      <c r="AK573" s="114" t="s">
        <v>1749</v>
      </c>
      <c r="AL573" s="19">
        <f t="shared" si="65"/>
        <v>1</v>
      </c>
      <c r="AM573" s="67">
        <f>IFERROR(NETWORKDAYS(D573,Q573,Hoja1!$A$1:$A$29),"N/A")</f>
        <v>10</v>
      </c>
      <c r="AN573" s="21">
        <f>IFERROR(NETWORKDAYS(D573,AE573,Hoja1!$A$1:$A$29),"N/A")</f>
        <v>14</v>
      </c>
      <c r="AO573" s="78">
        <v>0</v>
      </c>
      <c r="AP573" s="21">
        <f t="shared" ref="AP573:AP636" si="67">AN573-AO573</f>
        <v>14</v>
      </c>
      <c r="AQ573" s="21">
        <f>IFERROR(NETWORKDAYS(AF573,AG573,Hoja1!$A$1:$A$29),"N/A")</f>
        <v>6</v>
      </c>
      <c r="AR573" s="78">
        <v>1</v>
      </c>
      <c r="AS573" s="75">
        <f t="shared" ref="AS573:AS607" si="68">AQ573-AR573</f>
        <v>5</v>
      </c>
      <c r="AT573" s="21">
        <f>IFERROR(NETWORKDAYS(D573,AG573,Hoja1!$A$1:$A$29),"N/A")</f>
        <v>19</v>
      </c>
      <c r="AU573" s="21">
        <f t="shared" si="66"/>
        <v>18</v>
      </c>
      <c r="AV573" s="143" t="s">
        <v>77</v>
      </c>
      <c r="AW573" s="86" t="s">
        <v>82</v>
      </c>
      <c r="AX573" s="87" t="s">
        <v>1376</v>
      </c>
      <c r="AY573" s="87"/>
      <c r="AZ573" s="87"/>
      <c r="BA573" s="87"/>
      <c r="BB573" s="87"/>
    </row>
    <row r="574" spans="1:54" ht="15" customHeight="1" x14ac:dyDescent="0.25">
      <c r="A574" s="58">
        <v>16181</v>
      </c>
      <c r="B574" s="159" t="s">
        <v>69</v>
      </c>
      <c r="C574" s="84" t="s">
        <v>122</v>
      </c>
      <c r="D574" s="180">
        <v>46111</v>
      </c>
      <c r="E574" s="180">
        <v>46106</v>
      </c>
      <c r="F574" s="202" t="s">
        <v>62</v>
      </c>
      <c r="G574" s="48" t="s">
        <v>80</v>
      </c>
      <c r="H574" s="179" t="s">
        <v>101</v>
      </c>
      <c r="I574" s="48" t="s">
        <v>1016</v>
      </c>
      <c r="J574" s="87" t="s">
        <v>142</v>
      </c>
      <c r="K574" s="48" t="s">
        <v>66</v>
      </c>
      <c r="L574" s="3">
        <v>1</v>
      </c>
      <c r="M574" s="111" t="s">
        <v>54</v>
      </c>
      <c r="N574" s="33" t="s">
        <v>55</v>
      </c>
      <c r="O574" s="33">
        <v>0</v>
      </c>
      <c r="P574" s="33"/>
      <c r="Q574" s="33" t="s">
        <v>55</v>
      </c>
      <c r="R574" s="33" t="s">
        <v>55</v>
      </c>
      <c r="S574" s="33">
        <v>0</v>
      </c>
      <c r="T574" s="33" t="s">
        <v>55</v>
      </c>
      <c r="U574" s="33" t="s">
        <v>55</v>
      </c>
      <c r="V574" s="33" t="s">
        <v>55</v>
      </c>
      <c r="W574" s="33" t="s">
        <v>55</v>
      </c>
      <c r="X574" s="33" t="s">
        <v>55</v>
      </c>
      <c r="Y574" s="33" t="s">
        <v>55</v>
      </c>
      <c r="Z574" s="33" t="s">
        <v>55</v>
      </c>
      <c r="AA574" s="33">
        <v>1</v>
      </c>
      <c r="AB574" s="33">
        <v>1</v>
      </c>
      <c r="AC574" s="33">
        <v>0</v>
      </c>
      <c r="AD574" s="28">
        <v>46119</v>
      </c>
      <c r="AE574" s="28">
        <v>46119</v>
      </c>
      <c r="AF574" s="28">
        <v>46120</v>
      </c>
      <c r="AG574" s="180">
        <v>46126</v>
      </c>
      <c r="AH574" s="180">
        <v>46127</v>
      </c>
      <c r="AI574" s="33">
        <v>4</v>
      </c>
      <c r="AJ574" s="144" t="s">
        <v>1750</v>
      </c>
      <c r="AK574" s="202" t="s">
        <v>1751</v>
      </c>
      <c r="AL574" s="19" t="str">
        <f t="shared" si="65"/>
        <v>N/A</v>
      </c>
      <c r="AM574" s="67" t="str">
        <f>IFERROR(NETWORKDAYS(D574,Q574,Hoja1!$A$1:$A$29),"N/A")</f>
        <v>N/A</v>
      </c>
      <c r="AN574" s="21">
        <f>IFERROR(NETWORKDAYS(D574,AE574,Hoja1!$A$1:$A$29),"N/A")</f>
        <v>5</v>
      </c>
      <c r="AO574" s="78">
        <v>0</v>
      </c>
      <c r="AP574" s="21">
        <f t="shared" si="67"/>
        <v>5</v>
      </c>
      <c r="AQ574" s="21">
        <f>IFERROR(NETWORKDAYS(AF574,AG574,Hoja1!$A$1:$A$29),"N/A")</f>
        <v>5</v>
      </c>
      <c r="AR574" s="78">
        <v>0</v>
      </c>
      <c r="AS574" s="75">
        <f t="shared" si="68"/>
        <v>5</v>
      </c>
      <c r="AT574" s="21">
        <f>IFERROR(NETWORKDAYS(D574,AG574,Hoja1!$A$1:$A$29),"N/A")</f>
        <v>10</v>
      </c>
      <c r="AU574" s="21">
        <f t="shared" si="66"/>
        <v>10</v>
      </c>
      <c r="AV574" s="143" t="s">
        <v>104</v>
      </c>
      <c r="AW574" s="86" t="s">
        <v>1752</v>
      </c>
      <c r="AX574" s="87"/>
      <c r="AY574" s="87"/>
      <c r="AZ574" s="87"/>
      <c r="BA574" s="87"/>
      <c r="BB574" s="87"/>
    </row>
    <row r="575" spans="1:54" ht="15" customHeight="1" x14ac:dyDescent="0.25">
      <c r="A575" s="55">
        <v>16182</v>
      </c>
      <c r="B575" s="159" t="s">
        <v>69</v>
      </c>
      <c r="C575" s="43" t="s">
        <v>98</v>
      </c>
      <c r="D575" s="53">
        <v>46106</v>
      </c>
      <c r="E575" s="53">
        <v>46106</v>
      </c>
      <c r="F575" s="143" t="s">
        <v>90</v>
      </c>
      <c r="G575" s="159" t="s">
        <v>1027</v>
      </c>
      <c r="H575" s="111" t="s">
        <v>51</v>
      </c>
      <c r="I575" s="84" t="s">
        <v>227</v>
      </c>
      <c r="J575" s="111" t="s">
        <v>52</v>
      </c>
      <c r="K575" s="111" t="s">
        <v>111</v>
      </c>
      <c r="L575" s="2">
        <v>1</v>
      </c>
      <c r="M575" s="111" t="s">
        <v>54</v>
      </c>
      <c r="N575" s="21" t="s">
        <v>55</v>
      </c>
      <c r="O575" s="21">
        <v>6</v>
      </c>
      <c r="P575" s="21" t="s">
        <v>112</v>
      </c>
      <c r="Q575" s="53">
        <v>46120</v>
      </c>
      <c r="R575" s="53">
        <v>46122</v>
      </c>
      <c r="S575" s="21">
        <v>6</v>
      </c>
      <c r="T575" s="21" t="s">
        <v>55</v>
      </c>
      <c r="U575" s="21" t="s">
        <v>55</v>
      </c>
      <c r="V575" s="21" t="s">
        <v>55</v>
      </c>
      <c r="W575" s="21" t="s">
        <v>55</v>
      </c>
      <c r="X575" s="21" t="s">
        <v>55</v>
      </c>
      <c r="Y575" s="21" t="s">
        <v>55</v>
      </c>
      <c r="Z575" s="21" t="s">
        <v>55</v>
      </c>
      <c r="AA575" s="21">
        <v>6</v>
      </c>
      <c r="AB575" s="21">
        <v>1</v>
      </c>
      <c r="AC575" s="21">
        <v>0</v>
      </c>
      <c r="AD575" s="53">
        <v>46122</v>
      </c>
      <c r="AE575" s="53">
        <v>46122</v>
      </c>
      <c r="AF575" s="53">
        <v>46127</v>
      </c>
      <c r="AG575" s="53">
        <v>46133</v>
      </c>
      <c r="AH575" s="53">
        <v>46139</v>
      </c>
      <c r="AI575" s="21">
        <v>4</v>
      </c>
      <c r="AJ575" s="159" t="s">
        <v>1753</v>
      </c>
      <c r="AK575" s="111" t="s">
        <v>1754</v>
      </c>
      <c r="AL575" s="19">
        <f t="shared" si="65"/>
        <v>1</v>
      </c>
      <c r="AM575" s="67">
        <f>IFERROR(NETWORKDAYS(D575,Q575,Hoja1!$A$1:$A$29),"N/A")</f>
        <v>9</v>
      </c>
      <c r="AN575" s="21">
        <f>IFERROR(NETWORKDAYS(D575,AE575,Hoja1!$A$1:$A$29),"N/A")</f>
        <v>11</v>
      </c>
      <c r="AO575" s="78">
        <v>0</v>
      </c>
      <c r="AP575" s="21">
        <f t="shared" si="67"/>
        <v>11</v>
      </c>
      <c r="AQ575" s="21">
        <f>IFERROR(NETWORKDAYS(AF575,AG575,Hoja1!$A$1:$A$29),"N/A")</f>
        <v>5</v>
      </c>
      <c r="AR575" s="78">
        <v>0</v>
      </c>
      <c r="AS575" s="75">
        <f t="shared" si="68"/>
        <v>5</v>
      </c>
      <c r="AT575" s="21">
        <f>IFERROR(NETWORKDAYS(D575,AG575,Hoja1!$A$1:$A$29),"N/A")</f>
        <v>18</v>
      </c>
      <c r="AU575" s="21">
        <f t="shared" si="66"/>
        <v>18</v>
      </c>
      <c r="AV575" s="143" t="s">
        <v>127</v>
      </c>
      <c r="AW575" s="86" t="s">
        <v>1755</v>
      </c>
      <c r="AX575" s="87"/>
      <c r="AY575" s="87"/>
      <c r="AZ575" s="87"/>
      <c r="BA575" s="87"/>
      <c r="BB575" s="87"/>
    </row>
    <row r="576" spans="1:54" ht="15" customHeight="1" x14ac:dyDescent="0.25">
      <c r="A576" s="55">
        <v>16186</v>
      </c>
      <c r="B576" s="159" t="s">
        <v>69</v>
      </c>
      <c r="C576" s="43" t="s">
        <v>98</v>
      </c>
      <c r="D576" s="421">
        <v>46106</v>
      </c>
      <c r="E576" s="28">
        <v>46106</v>
      </c>
      <c r="F576" s="202" t="s">
        <v>879</v>
      </c>
      <c r="G576" s="87" t="s">
        <v>884</v>
      </c>
      <c r="H576" s="111" t="s">
        <v>51</v>
      </c>
      <c r="I576" s="159" t="s">
        <v>885</v>
      </c>
      <c r="J576" s="111" t="s">
        <v>52</v>
      </c>
      <c r="K576" s="87" t="s">
        <v>53</v>
      </c>
      <c r="L576" s="3">
        <v>1</v>
      </c>
      <c r="M576" s="111" t="s">
        <v>54</v>
      </c>
      <c r="N576" s="33" t="s">
        <v>55</v>
      </c>
      <c r="O576" s="33">
        <v>5</v>
      </c>
      <c r="P576" s="21" t="s">
        <v>112</v>
      </c>
      <c r="Q576" s="28">
        <v>46112</v>
      </c>
      <c r="R576" s="28">
        <v>46112</v>
      </c>
      <c r="S576" s="33">
        <v>5</v>
      </c>
      <c r="T576" s="33" t="s">
        <v>55</v>
      </c>
      <c r="U576" s="33" t="s">
        <v>55</v>
      </c>
      <c r="V576" s="33" t="s">
        <v>55</v>
      </c>
      <c r="W576" s="33" t="s">
        <v>55</v>
      </c>
      <c r="X576" s="33" t="s">
        <v>55</v>
      </c>
      <c r="Y576" s="33" t="s">
        <v>55</v>
      </c>
      <c r="Z576" s="21" t="s">
        <v>55</v>
      </c>
      <c r="AA576" s="33">
        <v>1</v>
      </c>
      <c r="AB576" s="33">
        <v>1</v>
      </c>
      <c r="AC576" s="33">
        <v>0</v>
      </c>
      <c r="AD576" s="28">
        <v>46119</v>
      </c>
      <c r="AE576" s="28">
        <v>46120</v>
      </c>
      <c r="AF576" s="28">
        <v>46120</v>
      </c>
      <c r="AG576" s="28">
        <v>46127</v>
      </c>
      <c r="AH576" s="180">
        <v>46127</v>
      </c>
      <c r="AI576" s="21">
        <v>4</v>
      </c>
      <c r="AJ576" s="87" t="s">
        <v>1756</v>
      </c>
      <c r="AK576" s="48" t="s">
        <v>1757</v>
      </c>
      <c r="AL576" s="19">
        <f t="shared" si="65"/>
        <v>1</v>
      </c>
      <c r="AM576" s="67">
        <f>IFERROR(NETWORKDAYS(D576,Q576,Hoja1!$A$1:$A$29),"N/A")</f>
        <v>5</v>
      </c>
      <c r="AN576" s="21">
        <f>IFERROR(NETWORKDAYS(D576,AE576,Hoja1!$A$1:$A$29),"N/A")</f>
        <v>9</v>
      </c>
      <c r="AO576" s="78">
        <v>0</v>
      </c>
      <c r="AP576" s="21">
        <f t="shared" si="67"/>
        <v>9</v>
      </c>
      <c r="AQ576" s="21">
        <f>IFERROR(NETWORKDAYS(AF576,AG576,Hoja1!$A$1:$A$29),"N/A")</f>
        <v>6</v>
      </c>
      <c r="AR576" s="78">
        <v>0</v>
      </c>
      <c r="AS576" s="75">
        <f t="shared" si="68"/>
        <v>6</v>
      </c>
      <c r="AT576" s="21">
        <f>IFERROR(NETWORKDAYS(D576,AG576,Hoja1!$A$1:$A$29),"N/A")</f>
        <v>14</v>
      </c>
      <c r="AU576" s="21">
        <f t="shared" si="66"/>
        <v>14</v>
      </c>
      <c r="AV576" s="143" t="s">
        <v>131</v>
      </c>
      <c r="AW576" s="86" t="s">
        <v>1758</v>
      </c>
      <c r="AX576" s="87"/>
      <c r="AY576" s="87"/>
      <c r="AZ576" s="87"/>
      <c r="BA576" s="87"/>
      <c r="BB576" s="87"/>
    </row>
    <row r="577" spans="1:54" ht="15" customHeight="1" x14ac:dyDescent="0.25">
      <c r="A577" s="55">
        <v>16187</v>
      </c>
      <c r="B577" s="27" t="s">
        <v>79</v>
      </c>
      <c r="C577" s="27" t="s">
        <v>79</v>
      </c>
      <c r="D577" s="180">
        <v>46106</v>
      </c>
      <c r="E577" s="180">
        <v>46106</v>
      </c>
      <c r="F577" s="232" t="s">
        <v>62</v>
      </c>
      <c r="G577" s="87" t="s">
        <v>80</v>
      </c>
      <c r="H577" s="179" t="s">
        <v>101</v>
      </c>
      <c r="I577" s="87" t="s">
        <v>976</v>
      </c>
      <c r="J577" s="111" t="s">
        <v>118</v>
      </c>
      <c r="K577" s="87" t="s">
        <v>1401</v>
      </c>
      <c r="L577" s="3">
        <v>1</v>
      </c>
      <c r="M577" s="111" t="s">
        <v>54</v>
      </c>
      <c r="N577" s="33" t="s">
        <v>55</v>
      </c>
      <c r="O577" s="33">
        <v>0</v>
      </c>
      <c r="P577" s="33"/>
      <c r="Q577" s="28" t="s">
        <v>55</v>
      </c>
      <c r="R577" s="28" t="s">
        <v>55</v>
      </c>
      <c r="S577" s="33">
        <v>0</v>
      </c>
      <c r="T577" s="33" t="s">
        <v>55</v>
      </c>
      <c r="U577" s="33" t="s">
        <v>55</v>
      </c>
      <c r="V577" s="33" t="s">
        <v>55</v>
      </c>
      <c r="W577" s="33" t="s">
        <v>55</v>
      </c>
      <c r="X577" s="33" t="s">
        <v>55</v>
      </c>
      <c r="Y577" s="33" t="s">
        <v>55</v>
      </c>
      <c r="Z577" s="33" t="s">
        <v>55</v>
      </c>
      <c r="AA577" s="33">
        <v>1</v>
      </c>
      <c r="AB577" s="33">
        <v>1</v>
      </c>
      <c r="AC577" s="33">
        <v>0</v>
      </c>
      <c r="AD577" s="28">
        <v>46112</v>
      </c>
      <c r="AE577" s="28">
        <v>46112</v>
      </c>
      <c r="AF577" s="28">
        <v>46118</v>
      </c>
      <c r="AG577" s="180">
        <v>46126</v>
      </c>
      <c r="AH577" s="180">
        <v>46127</v>
      </c>
      <c r="AI577" s="33">
        <v>4</v>
      </c>
      <c r="AJ577" s="144" t="s">
        <v>1759</v>
      </c>
      <c r="AK577" s="45" t="s">
        <v>1760</v>
      </c>
      <c r="AL577" s="19" t="str">
        <f t="shared" si="65"/>
        <v>N/A</v>
      </c>
      <c r="AM577" s="67" t="str">
        <f>IFERROR(NETWORKDAYS(D577,Q577,Hoja1!$A$1:$A$29),"N/A")</f>
        <v>N/A</v>
      </c>
      <c r="AN577" s="21">
        <f>IFERROR(NETWORKDAYS(D577,AE577,Hoja1!$A$1:$A$29),"N/A")</f>
        <v>5</v>
      </c>
      <c r="AO577" s="78">
        <v>0</v>
      </c>
      <c r="AP577" s="21">
        <f t="shared" si="67"/>
        <v>5</v>
      </c>
      <c r="AQ577" s="21">
        <f>IFERROR(NETWORKDAYS(AF577,AG577,Hoja1!$A$1:$A$29),"N/A")</f>
        <v>7</v>
      </c>
      <c r="AR577" s="78">
        <v>2</v>
      </c>
      <c r="AS577" s="75">
        <f t="shared" si="68"/>
        <v>5</v>
      </c>
      <c r="AT577" s="21">
        <f>IFERROR(NETWORKDAYS(D577,AG577,Hoja1!$A$1:$A$29),"N/A")</f>
        <v>13</v>
      </c>
      <c r="AU577" s="21">
        <f t="shared" si="66"/>
        <v>11</v>
      </c>
      <c r="AV577" s="143" t="s">
        <v>104</v>
      </c>
      <c r="AW577" s="86" t="s">
        <v>1761</v>
      </c>
      <c r="AX577" s="87"/>
      <c r="AY577" s="87"/>
      <c r="AZ577" s="87"/>
      <c r="BA577" s="87"/>
      <c r="BB577" s="87"/>
    </row>
    <row r="578" spans="1:54" ht="15" customHeight="1" x14ac:dyDescent="0.25">
      <c r="A578" s="55">
        <v>16191</v>
      </c>
      <c r="B578" s="27" t="s">
        <v>79</v>
      </c>
      <c r="C578" s="27" t="s">
        <v>79</v>
      </c>
      <c r="D578" s="434">
        <v>46106</v>
      </c>
      <c r="E578" s="53">
        <v>46106</v>
      </c>
      <c r="F578" s="143" t="s">
        <v>90</v>
      </c>
      <c r="G578" s="159" t="s">
        <v>91</v>
      </c>
      <c r="H578" s="111" t="s">
        <v>51</v>
      </c>
      <c r="I578" s="87" t="s">
        <v>92</v>
      </c>
      <c r="J578" s="111" t="s">
        <v>52</v>
      </c>
      <c r="K578" s="111" t="s">
        <v>171</v>
      </c>
      <c r="L578" s="2">
        <v>1</v>
      </c>
      <c r="M578" s="111" t="s">
        <v>54</v>
      </c>
      <c r="N578" s="21" t="s">
        <v>55</v>
      </c>
      <c r="O578" s="21">
        <v>3</v>
      </c>
      <c r="P578" s="21" t="s">
        <v>112</v>
      </c>
      <c r="Q578" s="53">
        <v>46111</v>
      </c>
      <c r="R578" s="53">
        <v>46111</v>
      </c>
      <c r="S578" s="21">
        <v>3</v>
      </c>
      <c r="T578" s="21" t="s">
        <v>55</v>
      </c>
      <c r="U578" s="21" t="s">
        <v>55</v>
      </c>
      <c r="V578" s="21" t="s">
        <v>55</v>
      </c>
      <c r="W578" s="21" t="s">
        <v>55</v>
      </c>
      <c r="X578" s="21" t="s">
        <v>55</v>
      </c>
      <c r="Y578" s="21" t="s">
        <v>55</v>
      </c>
      <c r="Z578" s="21" t="s">
        <v>55</v>
      </c>
      <c r="AA578" s="21">
        <v>3</v>
      </c>
      <c r="AB578" s="21">
        <v>1</v>
      </c>
      <c r="AC578" s="21">
        <v>0</v>
      </c>
      <c r="AD578" s="53">
        <v>46120</v>
      </c>
      <c r="AE578" s="53">
        <v>46120</v>
      </c>
      <c r="AF578" s="53">
        <v>46120</v>
      </c>
      <c r="AG578" s="180">
        <v>46126</v>
      </c>
      <c r="AH578" s="180">
        <v>46127</v>
      </c>
      <c r="AI578" s="21">
        <v>4</v>
      </c>
      <c r="AJ578" s="159" t="s">
        <v>1762</v>
      </c>
      <c r="AK578" s="111" t="s">
        <v>1763</v>
      </c>
      <c r="AL578" s="19">
        <f t="shared" si="65"/>
        <v>1</v>
      </c>
      <c r="AM578" s="67">
        <f>IFERROR(NETWORKDAYS(D578,Q578,Hoja1!$A$1:$A$29),"N/A")</f>
        <v>4</v>
      </c>
      <c r="AN578" s="21">
        <f>IFERROR(NETWORKDAYS(D578,AE578,Hoja1!$A$1:$A$29),"N/A")</f>
        <v>9</v>
      </c>
      <c r="AO578" s="78">
        <v>0</v>
      </c>
      <c r="AP578" s="21">
        <f t="shared" si="67"/>
        <v>9</v>
      </c>
      <c r="AQ578" s="21">
        <f>IFERROR(NETWORKDAYS(AF578,AG578,Hoja1!$A$1:$A$29),"N/A")</f>
        <v>5</v>
      </c>
      <c r="AR578" s="78">
        <v>0</v>
      </c>
      <c r="AS578" s="75">
        <f t="shared" si="68"/>
        <v>5</v>
      </c>
      <c r="AT578" s="21">
        <f>IFERROR(NETWORKDAYS(D578,AG578,Hoja1!$A$1:$A$29),"N/A")</f>
        <v>13</v>
      </c>
      <c r="AU578" s="21">
        <f t="shared" si="66"/>
        <v>13</v>
      </c>
      <c r="AV578" s="143" t="s">
        <v>127</v>
      </c>
      <c r="AW578" s="86" t="s">
        <v>1764</v>
      </c>
      <c r="AX578" s="87"/>
      <c r="AY578" s="87"/>
      <c r="AZ578" s="87"/>
      <c r="BA578" s="87"/>
      <c r="BB578" s="87"/>
    </row>
    <row r="579" spans="1:54" ht="15" customHeight="1" x14ac:dyDescent="0.25">
      <c r="A579" s="55">
        <v>16193</v>
      </c>
      <c r="B579" s="27" t="s">
        <v>79</v>
      </c>
      <c r="C579" s="27" t="s">
        <v>79</v>
      </c>
      <c r="D579" s="53">
        <v>46106</v>
      </c>
      <c r="E579" s="53">
        <v>46106</v>
      </c>
      <c r="F579" s="143" t="s">
        <v>90</v>
      </c>
      <c r="G579" s="159" t="s">
        <v>91</v>
      </c>
      <c r="H579" s="111" t="s">
        <v>51</v>
      </c>
      <c r="I579" s="87" t="s">
        <v>92</v>
      </c>
      <c r="J579" s="111" t="s">
        <v>52</v>
      </c>
      <c r="K579" s="111" t="s">
        <v>171</v>
      </c>
      <c r="L579" s="2">
        <v>1</v>
      </c>
      <c r="M579" s="111" t="s">
        <v>54</v>
      </c>
      <c r="N579" s="21" t="s">
        <v>55</v>
      </c>
      <c r="O579" s="21">
        <v>3</v>
      </c>
      <c r="P579" s="21" t="s">
        <v>112</v>
      </c>
      <c r="Q579" s="53">
        <v>46118</v>
      </c>
      <c r="R579" s="53">
        <v>46120</v>
      </c>
      <c r="S579" s="21">
        <v>3</v>
      </c>
      <c r="T579" s="21" t="s">
        <v>55</v>
      </c>
      <c r="U579" s="21" t="s">
        <v>55</v>
      </c>
      <c r="V579" s="21" t="s">
        <v>55</v>
      </c>
      <c r="W579" s="21" t="s">
        <v>55</v>
      </c>
      <c r="X579" s="21" t="s">
        <v>55</v>
      </c>
      <c r="Y579" s="21" t="s">
        <v>55</v>
      </c>
      <c r="Z579" s="21" t="s">
        <v>55</v>
      </c>
      <c r="AA579" s="21">
        <v>3</v>
      </c>
      <c r="AB579" s="21">
        <v>1</v>
      </c>
      <c r="AC579" s="21">
        <v>0</v>
      </c>
      <c r="AD579" s="53">
        <v>46126</v>
      </c>
      <c r="AE579" s="53">
        <v>46126</v>
      </c>
      <c r="AF579" s="53">
        <v>46127</v>
      </c>
      <c r="AG579" s="53">
        <v>46133</v>
      </c>
      <c r="AH579" s="53">
        <v>46139</v>
      </c>
      <c r="AI579" s="21">
        <v>4</v>
      </c>
      <c r="AJ579" s="159" t="s">
        <v>1765</v>
      </c>
      <c r="AK579" s="111" t="s">
        <v>1766</v>
      </c>
      <c r="AL579" s="19">
        <f t="shared" ref="AL579:AL641" si="69">IFERROR(S579/O579,"N/A")</f>
        <v>1</v>
      </c>
      <c r="AM579" s="67">
        <f>IFERROR(NETWORKDAYS(D579,Q579,Hoja1!$A$1:$A$29),"N/A")</f>
        <v>7</v>
      </c>
      <c r="AN579" s="21">
        <f>IFERROR(NETWORKDAYS(D579,AE579,Hoja1!$A$1:$A$29),"N/A")</f>
        <v>13</v>
      </c>
      <c r="AO579" s="78">
        <v>0</v>
      </c>
      <c r="AP579" s="21">
        <f t="shared" si="67"/>
        <v>13</v>
      </c>
      <c r="AQ579" s="21">
        <f>IFERROR(NETWORKDAYS(AF579,AG579,Hoja1!$A$1:$A$29),"N/A")</f>
        <v>5</v>
      </c>
      <c r="AR579" s="78">
        <v>0</v>
      </c>
      <c r="AS579" s="75">
        <f t="shared" si="68"/>
        <v>5</v>
      </c>
      <c r="AT579" s="21">
        <f>IFERROR(NETWORKDAYS(D579,AG579,Hoja1!$A$1:$A$29),"N/A")</f>
        <v>18</v>
      </c>
      <c r="AU579" s="21">
        <f t="shared" si="66"/>
        <v>18</v>
      </c>
      <c r="AV579" s="143" t="s">
        <v>127</v>
      </c>
      <c r="AW579" s="86" t="s">
        <v>1767</v>
      </c>
      <c r="AX579" s="87"/>
      <c r="AY579" s="87"/>
      <c r="AZ579" s="87"/>
      <c r="BA579" s="87"/>
      <c r="BB579" s="87"/>
    </row>
    <row r="580" spans="1:54" ht="15" customHeight="1" x14ac:dyDescent="0.25">
      <c r="A580" s="58">
        <v>16196</v>
      </c>
      <c r="B580" s="159" t="s">
        <v>69</v>
      </c>
      <c r="C580" s="48" t="s">
        <v>122</v>
      </c>
      <c r="D580" s="434">
        <v>46101</v>
      </c>
      <c r="E580" s="28">
        <v>46108</v>
      </c>
      <c r="F580" s="202" t="s">
        <v>879</v>
      </c>
      <c r="G580" s="48" t="s">
        <v>50</v>
      </c>
      <c r="H580" s="111" t="s">
        <v>51</v>
      </c>
      <c r="I580" s="27" t="s">
        <v>72</v>
      </c>
      <c r="J580" s="87" t="s">
        <v>73</v>
      </c>
      <c r="K580" s="87" t="s">
        <v>106</v>
      </c>
      <c r="L580" s="3">
        <v>1</v>
      </c>
      <c r="M580" s="111" t="s">
        <v>54</v>
      </c>
      <c r="N580" s="33" t="s">
        <v>55</v>
      </c>
      <c r="O580" s="33">
        <v>7</v>
      </c>
      <c r="P580" s="21" t="s">
        <v>112</v>
      </c>
      <c r="Q580" s="16">
        <v>46105</v>
      </c>
      <c r="R580" s="16">
        <v>46105</v>
      </c>
      <c r="S580" s="33">
        <v>7</v>
      </c>
      <c r="T580" s="33" t="s">
        <v>55</v>
      </c>
      <c r="U580" s="33" t="s">
        <v>55</v>
      </c>
      <c r="V580" s="33" t="s">
        <v>55</v>
      </c>
      <c r="W580" s="33" t="s">
        <v>55</v>
      </c>
      <c r="X580" s="33" t="s">
        <v>55</v>
      </c>
      <c r="Y580" s="33" t="s">
        <v>55</v>
      </c>
      <c r="Z580" s="21" t="s">
        <v>55</v>
      </c>
      <c r="AA580" s="33">
        <v>2</v>
      </c>
      <c r="AB580" s="33">
        <v>2</v>
      </c>
      <c r="AC580" s="33">
        <v>0</v>
      </c>
      <c r="AD580" s="28">
        <v>46108</v>
      </c>
      <c r="AE580" s="28">
        <v>46120</v>
      </c>
      <c r="AF580" s="28">
        <v>46120</v>
      </c>
      <c r="AG580" s="53">
        <v>46133</v>
      </c>
      <c r="AH580" s="53">
        <v>46139</v>
      </c>
      <c r="AI580" s="21">
        <v>4</v>
      </c>
      <c r="AJ580" s="48" t="s">
        <v>1768</v>
      </c>
      <c r="AK580" s="48" t="s">
        <v>1769</v>
      </c>
      <c r="AL580" s="19">
        <f t="shared" si="69"/>
        <v>1</v>
      </c>
      <c r="AM580" s="67">
        <f>IFERROR(NETWORKDAYS(D580,Q580,Hoja1!$A$1:$A$29),"N/A")</f>
        <v>2</v>
      </c>
      <c r="AN580" s="21">
        <f>IFERROR(NETWORKDAYS(D580,AE580,Hoja1!$A$1:$A$29),"N/A")</f>
        <v>11</v>
      </c>
      <c r="AO580" s="78">
        <v>0</v>
      </c>
      <c r="AP580" s="21">
        <f t="shared" si="67"/>
        <v>11</v>
      </c>
      <c r="AQ580" s="21">
        <f>IFERROR(NETWORKDAYS(AF580,AG580,Hoja1!$A$1:$A$29),"N/A")</f>
        <v>10</v>
      </c>
      <c r="AR580" s="78">
        <v>0</v>
      </c>
      <c r="AS580" s="75">
        <f t="shared" si="68"/>
        <v>10</v>
      </c>
      <c r="AT580" s="21">
        <f>IFERROR(NETWORKDAYS(D580,AG580,Hoja1!$A$1:$A$29),"N/A")</f>
        <v>20</v>
      </c>
      <c r="AU580" s="21">
        <f t="shared" si="66"/>
        <v>20</v>
      </c>
      <c r="AV580" s="143" t="s">
        <v>417</v>
      </c>
      <c r="AW580" s="86" t="s">
        <v>82</v>
      </c>
      <c r="AX580" s="87"/>
      <c r="AY580" s="87"/>
      <c r="AZ580" s="87"/>
      <c r="BA580" s="87"/>
      <c r="BB580" s="87"/>
    </row>
    <row r="581" spans="1:54" ht="15" customHeight="1" x14ac:dyDescent="0.25">
      <c r="A581" s="57">
        <v>16197</v>
      </c>
      <c r="B581" s="159" t="s">
        <v>69</v>
      </c>
      <c r="C581" s="27" t="s">
        <v>122</v>
      </c>
      <c r="D581" s="180">
        <v>46108</v>
      </c>
      <c r="E581" s="180">
        <v>46108</v>
      </c>
      <c r="F581" s="114" t="s">
        <v>62</v>
      </c>
      <c r="G581" s="114" t="s">
        <v>80</v>
      </c>
      <c r="H581" s="179" t="s">
        <v>1465</v>
      </c>
      <c r="I581" s="240" t="s">
        <v>1770</v>
      </c>
      <c r="J581" s="87" t="s">
        <v>142</v>
      </c>
      <c r="K581" s="27" t="s">
        <v>66</v>
      </c>
      <c r="L581" s="1">
        <v>1</v>
      </c>
      <c r="M581" s="111" t="s">
        <v>54</v>
      </c>
      <c r="N581" s="33" t="s">
        <v>55</v>
      </c>
      <c r="O581" s="33">
        <v>0</v>
      </c>
      <c r="P581" s="1"/>
      <c r="Q581" s="33" t="s">
        <v>55</v>
      </c>
      <c r="R581" s="33" t="s">
        <v>55</v>
      </c>
      <c r="S581" s="33">
        <v>0</v>
      </c>
      <c r="T581" s="33" t="s">
        <v>55</v>
      </c>
      <c r="U581" s="33" t="s">
        <v>55</v>
      </c>
      <c r="V581" s="33" t="s">
        <v>55</v>
      </c>
      <c r="W581" s="33" t="s">
        <v>55</v>
      </c>
      <c r="X581" s="33" t="s">
        <v>55</v>
      </c>
      <c r="Y581" s="33" t="s">
        <v>55</v>
      </c>
      <c r="Z581" s="33" t="s">
        <v>55</v>
      </c>
      <c r="AA581" s="33">
        <v>1</v>
      </c>
      <c r="AB581" s="33">
        <v>1</v>
      </c>
      <c r="AC581" s="33">
        <v>0</v>
      </c>
      <c r="AD581" s="16">
        <v>46120</v>
      </c>
      <c r="AE581" s="16">
        <v>46120</v>
      </c>
      <c r="AF581" s="16">
        <v>46120</v>
      </c>
      <c r="AG581" s="180">
        <v>46126</v>
      </c>
      <c r="AH581" s="180">
        <v>46127</v>
      </c>
      <c r="AI581" s="33">
        <v>4</v>
      </c>
      <c r="AJ581" s="183" t="s">
        <v>1771</v>
      </c>
      <c r="AK581" s="49" t="s">
        <v>1772</v>
      </c>
      <c r="AL581" s="19" t="str">
        <f t="shared" si="69"/>
        <v>N/A</v>
      </c>
      <c r="AM581" s="67" t="str">
        <f>IFERROR(NETWORKDAYS(D581,Q581,Hoja1!$A$1:$A$29),"N/A")</f>
        <v>N/A</v>
      </c>
      <c r="AN581" s="21">
        <f>IFERROR(NETWORKDAYS(D581,AE581,Hoja1!$A$1:$A$29),"N/A")</f>
        <v>7</v>
      </c>
      <c r="AO581" s="78">
        <v>0</v>
      </c>
      <c r="AP581" s="21">
        <f t="shared" si="67"/>
        <v>7</v>
      </c>
      <c r="AQ581" s="21">
        <f>IFERROR(NETWORKDAYS(AF581,AG581,Hoja1!$A$1:$A$29),"N/A")</f>
        <v>5</v>
      </c>
      <c r="AR581" s="78">
        <v>0</v>
      </c>
      <c r="AS581" s="75">
        <f t="shared" si="68"/>
        <v>5</v>
      </c>
      <c r="AT581" s="21">
        <f>IFERROR(NETWORKDAYS(D581,AG581,Hoja1!$A$1:$A$29),"N/A")</f>
        <v>11</v>
      </c>
      <c r="AU581" s="21">
        <f t="shared" si="66"/>
        <v>11</v>
      </c>
      <c r="AV581" s="143" t="s">
        <v>145</v>
      </c>
      <c r="AW581" s="86" t="s">
        <v>1712</v>
      </c>
      <c r="AX581" s="87"/>
      <c r="AY581" s="87"/>
      <c r="AZ581" s="87"/>
      <c r="BA581" s="87"/>
      <c r="BB581" s="87"/>
    </row>
    <row r="582" spans="1:54" ht="15" customHeight="1" x14ac:dyDescent="0.25">
      <c r="A582" s="55">
        <v>16198</v>
      </c>
      <c r="B582" s="159" t="s">
        <v>69</v>
      </c>
      <c r="C582" s="43" t="s">
        <v>98</v>
      </c>
      <c r="D582" s="434">
        <v>46083</v>
      </c>
      <c r="E582" s="53">
        <v>46108</v>
      </c>
      <c r="F582" s="143" t="s">
        <v>90</v>
      </c>
      <c r="G582" s="159" t="s">
        <v>91</v>
      </c>
      <c r="H582" s="111" t="s">
        <v>51</v>
      </c>
      <c r="I582" s="111" t="s">
        <v>102</v>
      </c>
      <c r="J582" s="111" t="s">
        <v>52</v>
      </c>
      <c r="K582" s="111" t="s">
        <v>111</v>
      </c>
      <c r="L582" s="2">
        <v>1</v>
      </c>
      <c r="M582" s="111" t="s">
        <v>54</v>
      </c>
      <c r="N582" s="21" t="s">
        <v>55</v>
      </c>
      <c r="O582" s="21">
        <v>4</v>
      </c>
      <c r="P582" s="21" t="s">
        <v>112</v>
      </c>
      <c r="Q582" s="53">
        <v>46094</v>
      </c>
      <c r="R582" s="53">
        <v>46094</v>
      </c>
      <c r="S582" s="21">
        <v>4</v>
      </c>
      <c r="T582" s="21" t="s">
        <v>55</v>
      </c>
      <c r="U582" s="21" t="s">
        <v>55</v>
      </c>
      <c r="V582" s="21" t="s">
        <v>55</v>
      </c>
      <c r="W582" s="21" t="s">
        <v>55</v>
      </c>
      <c r="X582" s="21" t="s">
        <v>55</v>
      </c>
      <c r="Y582" s="21" t="s">
        <v>55</v>
      </c>
      <c r="Z582" s="21" t="s">
        <v>55</v>
      </c>
      <c r="AA582" s="21">
        <v>4</v>
      </c>
      <c r="AB582" s="21">
        <v>1</v>
      </c>
      <c r="AC582" s="21">
        <v>0</v>
      </c>
      <c r="AD582" s="53">
        <v>46106</v>
      </c>
      <c r="AE582" s="53">
        <v>46106</v>
      </c>
      <c r="AF582" s="53">
        <v>46106</v>
      </c>
      <c r="AG582" s="28">
        <v>46112</v>
      </c>
      <c r="AH582" s="53">
        <v>46118</v>
      </c>
      <c r="AI582" s="21">
        <v>4</v>
      </c>
      <c r="AJ582" s="159" t="s">
        <v>1773</v>
      </c>
      <c r="AK582" s="111" t="s">
        <v>1774</v>
      </c>
      <c r="AL582" s="19">
        <f t="shared" si="69"/>
        <v>1</v>
      </c>
      <c r="AM582" s="67">
        <f>IFERROR(NETWORKDAYS(D582,Q582,Hoja1!$A$1:$A$29),"N/A")</f>
        <v>10</v>
      </c>
      <c r="AN582" s="21">
        <f>IFERROR(NETWORKDAYS(D582,AE582,Hoja1!$A$1:$A$29),"N/A")</f>
        <v>17</v>
      </c>
      <c r="AO582" s="78">
        <v>0</v>
      </c>
      <c r="AP582" s="21">
        <f t="shared" si="67"/>
        <v>17</v>
      </c>
      <c r="AQ582" s="21">
        <f>IFERROR(NETWORKDAYS(AF582,AG582,Hoja1!$A$1:$A$29),"N/A")</f>
        <v>5</v>
      </c>
      <c r="AR582" s="78">
        <v>0</v>
      </c>
      <c r="AS582" s="75">
        <f t="shared" si="68"/>
        <v>5</v>
      </c>
      <c r="AT582" s="21">
        <f>IFERROR(NETWORKDAYS(D582,AG582,Hoja1!$A$1:$A$29),"N/A")</f>
        <v>21</v>
      </c>
      <c r="AU582" s="21">
        <f t="shared" si="66"/>
        <v>21</v>
      </c>
      <c r="AV582" s="143" t="s">
        <v>127</v>
      </c>
      <c r="AW582" s="86" t="s">
        <v>1775</v>
      </c>
      <c r="AX582" s="87"/>
      <c r="AY582" s="87"/>
      <c r="AZ582" s="87"/>
      <c r="BA582" s="87"/>
      <c r="BB582" s="87"/>
    </row>
    <row r="583" spans="1:54" ht="15" customHeight="1" x14ac:dyDescent="0.25">
      <c r="A583" s="95">
        <v>16199</v>
      </c>
      <c r="B583" s="27" t="s">
        <v>79</v>
      </c>
      <c r="C583" s="27" t="s">
        <v>79</v>
      </c>
      <c r="D583" s="180">
        <v>46108</v>
      </c>
      <c r="E583" s="180">
        <v>46108</v>
      </c>
      <c r="F583" s="84" t="s">
        <v>62</v>
      </c>
      <c r="G583" s="23" t="s">
        <v>80</v>
      </c>
      <c r="H583" s="179" t="s">
        <v>101</v>
      </c>
      <c r="I583" s="87" t="s">
        <v>92</v>
      </c>
      <c r="J583" s="111" t="s">
        <v>52</v>
      </c>
      <c r="K583" s="87" t="s">
        <v>1401</v>
      </c>
      <c r="L583" s="1">
        <v>1</v>
      </c>
      <c r="M583" s="111" t="s">
        <v>54</v>
      </c>
      <c r="N583" s="33" t="s">
        <v>55</v>
      </c>
      <c r="O583" s="33">
        <v>0</v>
      </c>
      <c r="P583" s="1"/>
      <c r="Q583" s="16" t="s">
        <v>55</v>
      </c>
      <c r="R583" s="16" t="s">
        <v>55</v>
      </c>
      <c r="S583" s="33">
        <v>0</v>
      </c>
      <c r="T583" s="33" t="s">
        <v>55</v>
      </c>
      <c r="U583" s="33" t="s">
        <v>55</v>
      </c>
      <c r="V583" s="33" t="s">
        <v>55</v>
      </c>
      <c r="W583" s="33" t="s">
        <v>55</v>
      </c>
      <c r="X583" s="33" t="s">
        <v>55</v>
      </c>
      <c r="Y583" s="33" t="s">
        <v>55</v>
      </c>
      <c r="Z583" s="33" t="s">
        <v>55</v>
      </c>
      <c r="AA583" s="33">
        <v>1</v>
      </c>
      <c r="AB583" s="33">
        <v>1</v>
      </c>
      <c r="AC583" s="33">
        <v>0</v>
      </c>
      <c r="AD583" s="16">
        <v>46118</v>
      </c>
      <c r="AE583" s="16">
        <v>46118</v>
      </c>
      <c r="AF583" s="16">
        <v>46118</v>
      </c>
      <c r="AG583" s="180">
        <v>46126</v>
      </c>
      <c r="AH583" s="180">
        <v>46127</v>
      </c>
      <c r="AI583" s="33">
        <v>4</v>
      </c>
      <c r="AJ583" s="240" t="s">
        <v>1776</v>
      </c>
      <c r="AK583" s="49" t="s">
        <v>1777</v>
      </c>
      <c r="AL583" s="19" t="str">
        <f t="shared" si="69"/>
        <v>N/A</v>
      </c>
      <c r="AM583" s="67" t="str">
        <f>IFERROR(NETWORKDAYS(D583,Q583,Hoja1!$A$1:$A$29),"N/A")</f>
        <v>N/A</v>
      </c>
      <c r="AN583" s="21">
        <f>IFERROR(NETWORKDAYS(D583,AE583,Hoja1!$A$1:$A$29),"N/A")</f>
        <v>5</v>
      </c>
      <c r="AO583" s="78">
        <v>0</v>
      </c>
      <c r="AP583" s="21">
        <f t="shared" si="67"/>
        <v>5</v>
      </c>
      <c r="AQ583" s="21">
        <f>IFERROR(NETWORKDAYS(AF583,AG583,Hoja1!$A$1:$A$29),"N/A")</f>
        <v>7</v>
      </c>
      <c r="AR583" s="78">
        <v>2</v>
      </c>
      <c r="AS583" s="75">
        <f t="shared" si="68"/>
        <v>5</v>
      </c>
      <c r="AT583" s="21">
        <f>IFERROR(NETWORKDAYS(D583,AG583,Hoja1!$A$1:$A$29),"N/A")</f>
        <v>11</v>
      </c>
      <c r="AU583" s="21">
        <f t="shared" si="66"/>
        <v>9</v>
      </c>
      <c r="AV583" s="143" t="s">
        <v>104</v>
      </c>
      <c r="AW583" s="86" t="s">
        <v>1778</v>
      </c>
      <c r="AX583" s="87"/>
      <c r="AY583" s="87"/>
      <c r="AZ583" s="87"/>
      <c r="BA583" s="87"/>
      <c r="BB583" s="87"/>
    </row>
    <row r="584" spans="1:54" ht="15" customHeight="1" x14ac:dyDescent="0.25">
      <c r="A584" s="95">
        <v>16200</v>
      </c>
      <c r="B584" s="27" t="s">
        <v>79</v>
      </c>
      <c r="C584" s="27" t="s">
        <v>79</v>
      </c>
      <c r="D584" s="180">
        <v>46106</v>
      </c>
      <c r="E584" s="180">
        <v>46108</v>
      </c>
      <c r="F584" s="84" t="s">
        <v>62</v>
      </c>
      <c r="G584" s="23" t="s">
        <v>80</v>
      </c>
      <c r="H584" s="179" t="s">
        <v>101</v>
      </c>
      <c r="I584" s="87" t="s">
        <v>92</v>
      </c>
      <c r="J584" s="111" t="s">
        <v>52</v>
      </c>
      <c r="K584" s="87" t="s">
        <v>1401</v>
      </c>
      <c r="L584" s="1">
        <v>1</v>
      </c>
      <c r="M584" s="111" t="s">
        <v>54</v>
      </c>
      <c r="N584" s="33" t="s">
        <v>55</v>
      </c>
      <c r="O584" s="33">
        <v>0</v>
      </c>
      <c r="P584" s="1"/>
      <c r="Q584" s="21" t="s">
        <v>55</v>
      </c>
      <c r="R584" s="21" t="s">
        <v>55</v>
      </c>
      <c r="S584" s="33">
        <v>0</v>
      </c>
      <c r="T584" s="33" t="s">
        <v>55</v>
      </c>
      <c r="U584" s="33" t="s">
        <v>55</v>
      </c>
      <c r="V584" s="33" t="s">
        <v>55</v>
      </c>
      <c r="W584" s="33" t="s">
        <v>55</v>
      </c>
      <c r="X584" s="33" t="s">
        <v>55</v>
      </c>
      <c r="Y584" s="33" t="s">
        <v>55</v>
      </c>
      <c r="Z584" s="33" t="s">
        <v>55</v>
      </c>
      <c r="AA584" s="33">
        <v>1</v>
      </c>
      <c r="AB584" s="33">
        <v>1</v>
      </c>
      <c r="AC584" s="33">
        <v>0</v>
      </c>
      <c r="AD584" s="28">
        <v>46112</v>
      </c>
      <c r="AE584" s="16">
        <v>46118</v>
      </c>
      <c r="AF584" s="16">
        <v>46118</v>
      </c>
      <c r="AG584" s="180">
        <v>46126</v>
      </c>
      <c r="AH584" s="180">
        <v>46127</v>
      </c>
      <c r="AI584" s="33">
        <v>4</v>
      </c>
      <c r="AJ584" s="240" t="s">
        <v>1779</v>
      </c>
      <c r="AK584" s="49" t="s">
        <v>1780</v>
      </c>
      <c r="AL584" s="19" t="str">
        <f t="shared" si="69"/>
        <v>N/A</v>
      </c>
      <c r="AM584" s="67" t="str">
        <f>IFERROR(NETWORKDAYS(D584,Q584,Hoja1!$A$1:$A$29),"N/A")</f>
        <v>N/A</v>
      </c>
      <c r="AN584" s="21">
        <f>IFERROR(NETWORKDAYS(D584,AE584,Hoja1!$A$1:$A$29),"N/A")</f>
        <v>7</v>
      </c>
      <c r="AO584" s="78">
        <v>2</v>
      </c>
      <c r="AP584" s="21">
        <f t="shared" si="67"/>
        <v>5</v>
      </c>
      <c r="AQ584" s="21">
        <f>IFERROR(NETWORKDAYS(AF584,AG584,Hoja1!$A$1:$A$29),"N/A")</f>
        <v>7</v>
      </c>
      <c r="AR584" s="78">
        <v>2</v>
      </c>
      <c r="AS584" s="75">
        <f t="shared" si="68"/>
        <v>5</v>
      </c>
      <c r="AT584" s="21">
        <f>IFERROR(NETWORKDAYS(D584,AG584,Hoja1!$A$1:$A$29),"N/A")</f>
        <v>13</v>
      </c>
      <c r="AU584" s="21">
        <f t="shared" si="66"/>
        <v>9</v>
      </c>
      <c r="AV584" s="143" t="s">
        <v>104</v>
      </c>
      <c r="AW584" s="141" t="s">
        <v>146</v>
      </c>
      <c r="AX584" s="87"/>
      <c r="AY584" s="87"/>
      <c r="AZ584" s="87"/>
      <c r="BA584" s="87"/>
      <c r="BB584" s="87"/>
    </row>
    <row r="585" spans="1:54" ht="15" customHeight="1" x14ac:dyDescent="0.25">
      <c r="A585" s="57">
        <v>16201</v>
      </c>
      <c r="B585" s="27" t="s">
        <v>79</v>
      </c>
      <c r="C585" s="27" t="s">
        <v>79</v>
      </c>
      <c r="D585" s="180">
        <v>46105</v>
      </c>
      <c r="E585" s="180">
        <v>46108</v>
      </c>
      <c r="F585" s="114" t="s">
        <v>62</v>
      </c>
      <c r="G585" s="114" t="s">
        <v>80</v>
      </c>
      <c r="H585" s="179" t="s">
        <v>1465</v>
      </c>
      <c r="I585" s="87" t="s">
        <v>92</v>
      </c>
      <c r="J585" s="111" t="s">
        <v>52</v>
      </c>
      <c r="K585" s="27" t="s">
        <v>1401</v>
      </c>
      <c r="L585" s="1">
        <v>1</v>
      </c>
      <c r="M585" s="111" t="s">
        <v>54</v>
      </c>
      <c r="N585" s="33" t="s">
        <v>55</v>
      </c>
      <c r="O585" s="33">
        <v>0</v>
      </c>
      <c r="P585" s="1"/>
      <c r="Q585" s="16" t="s">
        <v>55</v>
      </c>
      <c r="R585" s="16" t="s">
        <v>55</v>
      </c>
      <c r="S585" s="33">
        <v>0</v>
      </c>
      <c r="T585" s="33" t="s">
        <v>55</v>
      </c>
      <c r="U585" s="33" t="s">
        <v>55</v>
      </c>
      <c r="V585" s="33" t="s">
        <v>55</v>
      </c>
      <c r="W585" s="33" t="s">
        <v>55</v>
      </c>
      <c r="X585" s="33" t="s">
        <v>55</v>
      </c>
      <c r="Y585" s="33" t="s">
        <v>55</v>
      </c>
      <c r="Z585" s="33" t="s">
        <v>55</v>
      </c>
      <c r="AA585" s="33">
        <v>1</v>
      </c>
      <c r="AB585" s="33">
        <v>1</v>
      </c>
      <c r="AC585" s="33">
        <v>0</v>
      </c>
      <c r="AD585" s="180">
        <v>46111</v>
      </c>
      <c r="AE585" s="53">
        <v>46111</v>
      </c>
      <c r="AF585" s="28">
        <v>46112</v>
      </c>
      <c r="AG585" s="180">
        <v>46127</v>
      </c>
      <c r="AH585" s="180">
        <v>46127</v>
      </c>
      <c r="AI585" s="33">
        <v>4</v>
      </c>
      <c r="AJ585" s="183" t="s">
        <v>1781</v>
      </c>
      <c r="AK585" s="49" t="s">
        <v>1782</v>
      </c>
      <c r="AL585" s="19" t="str">
        <f t="shared" si="69"/>
        <v>N/A</v>
      </c>
      <c r="AM585" s="67" t="str">
        <f>IFERROR(NETWORKDAYS(D585,Q585,Hoja1!$A$1:$A$29),"N/A")</f>
        <v>N/A</v>
      </c>
      <c r="AN585" s="21">
        <f>IFERROR(NETWORKDAYS(D585,AE585,Hoja1!$A$1:$A$29),"N/A")</f>
        <v>5</v>
      </c>
      <c r="AO585" s="78">
        <v>0</v>
      </c>
      <c r="AP585" s="21">
        <f t="shared" si="67"/>
        <v>5</v>
      </c>
      <c r="AQ585" s="21">
        <f>IFERROR(NETWORKDAYS(AF585,AG585,Hoja1!$A$1:$A$29),"N/A")</f>
        <v>10</v>
      </c>
      <c r="AR585" s="78">
        <v>5</v>
      </c>
      <c r="AS585" s="75">
        <f t="shared" si="68"/>
        <v>5</v>
      </c>
      <c r="AT585" s="21">
        <f>IFERROR(NETWORKDAYS(D585,AG585,Hoja1!$A$1:$A$29),"N/A")</f>
        <v>15</v>
      </c>
      <c r="AU585" s="21">
        <f t="shared" si="66"/>
        <v>10</v>
      </c>
      <c r="AV585" s="143" t="s">
        <v>145</v>
      </c>
      <c r="AW585" s="86" t="s">
        <v>1783</v>
      </c>
      <c r="AX585" s="87"/>
      <c r="AY585" s="87"/>
      <c r="AZ585" s="87"/>
      <c r="BA585" s="87"/>
      <c r="BB585" s="87"/>
    </row>
    <row r="586" spans="1:54" ht="15" customHeight="1" x14ac:dyDescent="0.25">
      <c r="A586" s="57">
        <v>16203</v>
      </c>
      <c r="B586" s="27" t="s">
        <v>79</v>
      </c>
      <c r="C586" s="27" t="s">
        <v>79</v>
      </c>
      <c r="D586" s="180">
        <v>46108</v>
      </c>
      <c r="E586" s="180">
        <v>46108</v>
      </c>
      <c r="F586" s="114" t="s">
        <v>62</v>
      </c>
      <c r="G586" s="114" t="s">
        <v>80</v>
      </c>
      <c r="H586" s="179" t="s">
        <v>101</v>
      </c>
      <c r="I586" s="87" t="s">
        <v>92</v>
      </c>
      <c r="J586" s="111" t="s">
        <v>52</v>
      </c>
      <c r="K586" s="27" t="s">
        <v>1401</v>
      </c>
      <c r="L586" s="1">
        <v>1</v>
      </c>
      <c r="M586" s="111" t="s">
        <v>54</v>
      </c>
      <c r="N586" s="33" t="s">
        <v>55</v>
      </c>
      <c r="O586" s="33">
        <v>0</v>
      </c>
      <c r="P586" s="1"/>
      <c r="Q586" s="16" t="s">
        <v>55</v>
      </c>
      <c r="R586" s="16" t="s">
        <v>55</v>
      </c>
      <c r="S586" s="33">
        <v>0</v>
      </c>
      <c r="T586" s="33" t="s">
        <v>55</v>
      </c>
      <c r="U586" s="33" t="s">
        <v>55</v>
      </c>
      <c r="V586" s="33" t="s">
        <v>55</v>
      </c>
      <c r="W586" s="33" t="s">
        <v>55</v>
      </c>
      <c r="X586" s="33" t="s">
        <v>55</v>
      </c>
      <c r="Y586" s="33" t="s">
        <v>55</v>
      </c>
      <c r="Z586" s="33" t="s">
        <v>55</v>
      </c>
      <c r="AA586" s="33">
        <v>1</v>
      </c>
      <c r="AB586" s="33">
        <v>1</v>
      </c>
      <c r="AC586" s="33">
        <v>0</v>
      </c>
      <c r="AD586" s="16">
        <v>46118</v>
      </c>
      <c r="AE586" s="28">
        <v>46119</v>
      </c>
      <c r="AF586" s="28">
        <v>46120</v>
      </c>
      <c r="AG586" s="180">
        <v>46126</v>
      </c>
      <c r="AH586" s="180">
        <v>46127</v>
      </c>
      <c r="AI586" s="33">
        <v>4</v>
      </c>
      <c r="AJ586" s="183" t="s">
        <v>1784</v>
      </c>
      <c r="AK586" s="49" t="s">
        <v>1785</v>
      </c>
      <c r="AL586" s="19" t="str">
        <f t="shared" si="69"/>
        <v>N/A</v>
      </c>
      <c r="AM586" s="67" t="str">
        <f>IFERROR(NETWORKDAYS(D586,Q586,Hoja1!$A$1:$A$29),"N/A")</f>
        <v>N/A</v>
      </c>
      <c r="AN586" s="21">
        <f>IFERROR(NETWORKDAYS(D586,AE586,Hoja1!$A$1:$A$29),"N/A")</f>
        <v>6</v>
      </c>
      <c r="AO586" s="78">
        <v>0</v>
      </c>
      <c r="AP586" s="21">
        <f t="shared" si="67"/>
        <v>6</v>
      </c>
      <c r="AQ586" s="21">
        <f>IFERROR(NETWORKDAYS(AF586,AG586,Hoja1!$A$1:$A$29),"N/A")</f>
        <v>5</v>
      </c>
      <c r="AR586" s="78">
        <v>0</v>
      </c>
      <c r="AS586" s="75">
        <f t="shared" si="68"/>
        <v>5</v>
      </c>
      <c r="AT586" s="21">
        <f>IFERROR(NETWORKDAYS(D586,AG586,Hoja1!$A$1:$A$29),"N/A")</f>
        <v>11</v>
      </c>
      <c r="AU586" s="21">
        <f t="shared" si="66"/>
        <v>11</v>
      </c>
      <c r="AV586" s="143" t="s">
        <v>104</v>
      </c>
      <c r="AW586" s="86" t="s">
        <v>1786</v>
      </c>
      <c r="AX586" s="87"/>
      <c r="AY586" s="87"/>
      <c r="AZ586" s="87"/>
      <c r="BA586" s="87"/>
      <c r="BB586" s="87"/>
    </row>
    <row r="587" spans="1:54" ht="15" customHeight="1" x14ac:dyDescent="0.25">
      <c r="A587" s="95">
        <v>16204</v>
      </c>
      <c r="B587" s="27" t="s">
        <v>79</v>
      </c>
      <c r="C587" s="27" t="s">
        <v>79</v>
      </c>
      <c r="D587" s="16">
        <v>46111</v>
      </c>
      <c r="E587" s="180">
        <v>46108</v>
      </c>
      <c r="F587" s="84" t="s">
        <v>62</v>
      </c>
      <c r="G587" s="84" t="s">
        <v>80</v>
      </c>
      <c r="H587" s="179" t="s">
        <v>101</v>
      </c>
      <c r="I587" s="87" t="s">
        <v>92</v>
      </c>
      <c r="J587" s="111" t="s">
        <v>52</v>
      </c>
      <c r="K587" s="84" t="s">
        <v>1401</v>
      </c>
      <c r="L587" s="33">
        <v>1</v>
      </c>
      <c r="M587" s="111" t="s">
        <v>54</v>
      </c>
      <c r="N587" s="33" t="s">
        <v>55</v>
      </c>
      <c r="O587" s="33">
        <v>0</v>
      </c>
      <c r="P587" s="33"/>
      <c r="Q587" s="53" t="s">
        <v>55</v>
      </c>
      <c r="R587" s="53" t="s">
        <v>55</v>
      </c>
      <c r="S587" s="33">
        <v>0</v>
      </c>
      <c r="T587" s="33" t="s">
        <v>55</v>
      </c>
      <c r="U587" s="33" t="s">
        <v>55</v>
      </c>
      <c r="V587" s="33" t="s">
        <v>55</v>
      </c>
      <c r="W587" s="33" t="s">
        <v>55</v>
      </c>
      <c r="X587" s="33" t="s">
        <v>55</v>
      </c>
      <c r="Y587" s="33" t="s">
        <v>55</v>
      </c>
      <c r="Z587" s="33" t="s">
        <v>55</v>
      </c>
      <c r="AA587" s="33">
        <v>1</v>
      </c>
      <c r="AB587" s="33">
        <v>1</v>
      </c>
      <c r="AC587" s="33">
        <v>0</v>
      </c>
      <c r="AD587" s="28">
        <v>46119</v>
      </c>
      <c r="AE587" s="28">
        <v>46125</v>
      </c>
      <c r="AF587" s="28">
        <v>46126</v>
      </c>
      <c r="AG587" s="53">
        <v>46133</v>
      </c>
      <c r="AH587" s="53">
        <v>46139</v>
      </c>
      <c r="AI587" s="33">
        <v>4</v>
      </c>
      <c r="AJ587" s="144" t="s">
        <v>1787</v>
      </c>
      <c r="AK587" s="35" t="s">
        <v>1788</v>
      </c>
      <c r="AL587" s="19" t="str">
        <f t="shared" si="69"/>
        <v>N/A</v>
      </c>
      <c r="AM587" s="67" t="str">
        <f>IFERROR(NETWORKDAYS(D587,Q587,Hoja1!$A$1:$A$29),"N/A")</f>
        <v>N/A</v>
      </c>
      <c r="AN587" s="21">
        <f>IFERROR(NETWORKDAYS(D587,AE587,Hoja1!$A$1:$A$29),"N/A")</f>
        <v>9</v>
      </c>
      <c r="AO587" s="78">
        <v>3</v>
      </c>
      <c r="AP587" s="21">
        <f t="shared" si="67"/>
        <v>6</v>
      </c>
      <c r="AQ587" s="21">
        <f>IFERROR(NETWORKDAYS(AF587,AG587,Hoja1!$A$1:$A$29),"N/A")</f>
        <v>6</v>
      </c>
      <c r="AR587" s="78">
        <v>1</v>
      </c>
      <c r="AS587" s="75">
        <f t="shared" si="68"/>
        <v>5</v>
      </c>
      <c r="AT587" s="21">
        <f>IFERROR(NETWORKDAYS(D587,AG587,Hoja1!$A$1:$A$29),"N/A")</f>
        <v>15</v>
      </c>
      <c r="AU587" s="21">
        <f t="shared" si="66"/>
        <v>11</v>
      </c>
      <c r="AV587" s="143" t="s">
        <v>104</v>
      </c>
      <c r="AW587" s="86" t="s">
        <v>1789</v>
      </c>
      <c r="AX587" s="87"/>
      <c r="AY587" s="87"/>
      <c r="AZ587" s="87"/>
      <c r="BA587" s="87"/>
      <c r="BB587" s="87"/>
    </row>
    <row r="588" spans="1:54" ht="15" customHeight="1" x14ac:dyDescent="0.25">
      <c r="A588" s="55">
        <v>16213</v>
      </c>
      <c r="B588" s="84" t="s">
        <v>85</v>
      </c>
      <c r="C588" s="84" t="s">
        <v>85</v>
      </c>
      <c r="D588" s="434">
        <v>46111</v>
      </c>
      <c r="E588" s="53">
        <v>46112</v>
      </c>
      <c r="F588" s="143" t="s">
        <v>90</v>
      </c>
      <c r="G588" s="159" t="s">
        <v>1790</v>
      </c>
      <c r="H588" s="111" t="s">
        <v>51</v>
      </c>
      <c r="I588" s="188" t="s">
        <v>516</v>
      </c>
      <c r="J588" s="111" t="s">
        <v>52</v>
      </c>
      <c r="K588" s="111" t="s">
        <v>171</v>
      </c>
      <c r="L588" s="2">
        <v>1</v>
      </c>
      <c r="M588" s="111" t="s">
        <v>54</v>
      </c>
      <c r="N588" s="21" t="s">
        <v>55</v>
      </c>
      <c r="O588" s="21">
        <v>1</v>
      </c>
      <c r="P588" s="21" t="s">
        <v>112</v>
      </c>
      <c r="Q588" s="53">
        <v>46118</v>
      </c>
      <c r="R588" s="53">
        <v>46118</v>
      </c>
      <c r="S588" s="21">
        <v>1</v>
      </c>
      <c r="T588" s="21" t="s">
        <v>55</v>
      </c>
      <c r="U588" s="21" t="s">
        <v>55</v>
      </c>
      <c r="V588" s="21" t="s">
        <v>55</v>
      </c>
      <c r="W588" s="21" t="s">
        <v>55</v>
      </c>
      <c r="X588" s="21" t="s">
        <v>55</v>
      </c>
      <c r="Y588" s="21" t="s">
        <v>55</v>
      </c>
      <c r="Z588" s="21" t="s">
        <v>55</v>
      </c>
      <c r="AA588" s="21">
        <v>1</v>
      </c>
      <c r="AB588" s="21">
        <v>1</v>
      </c>
      <c r="AC588" s="21">
        <v>0</v>
      </c>
      <c r="AD588" s="53">
        <v>46118</v>
      </c>
      <c r="AE588" s="53">
        <v>46118</v>
      </c>
      <c r="AF588" s="53">
        <v>46118</v>
      </c>
      <c r="AG588" s="180">
        <v>46126</v>
      </c>
      <c r="AH588" s="180">
        <v>46127</v>
      </c>
      <c r="AI588" s="21">
        <v>4</v>
      </c>
      <c r="AJ588" s="159" t="s">
        <v>1791</v>
      </c>
      <c r="AK588" s="111" t="s">
        <v>1792</v>
      </c>
      <c r="AL588" s="19">
        <f t="shared" si="69"/>
        <v>1</v>
      </c>
      <c r="AM588" s="67">
        <f>IFERROR(NETWORKDAYS(D588,Q588,Hoja1!$A$1:$A$29),"N/A")</f>
        <v>4</v>
      </c>
      <c r="AN588" s="21">
        <f>IFERROR(NETWORKDAYS(D588,AE588,Hoja1!$A$1:$A$29),"N/A")</f>
        <v>4</v>
      </c>
      <c r="AO588" s="78">
        <v>0</v>
      </c>
      <c r="AP588" s="21">
        <f t="shared" si="67"/>
        <v>4</v>
      </c>
      <c r="AQ588" s="21">
        <f>IFERROR(NETWORKDAYS(AF588,AG588,Hoja1!$A$1:$A$29),"N/A")</f>
        <v>7</v>
      </c>
      <c r="AR588" s="78">
        <v>0</v>
      </c>
      <c r="AS588" s="75">
        <f t="shared" si="68"/>
        <v>7</v>
      </c>
      <c r="AT588" s="21">
        <f>IFERROR(NETWORKDAYS(D588,AG588,Hoja1!$A$1:$A$29),"N/A")</f>
        <v>10</v>
      </c>
      <c r="AU588" s="21">
        <f t="shared" si="66"/>
        <v>10</v>
      </c>
      <c r="AV588" s="143" t="s">
        <v>127</v>
      </c>
      <c r="AW588" s="86" t="s">
        <v>967</v>
      </c>
      <c r="AX588" s="87"/>
      <c r="AY588" s="87"/>
      <c r="AZ588" s="87"/>
      <c r="BA588" s="87"/>
      <c r="BB588" s="87"/>
    </row>
    <row r="589" spans="1:54" ht="15" customHeight="1" x14ac:dyDescent="0.25">
      <c r="A589" s="95">
        <v>16214</v>
      </c>
      <c r="B589" s="48" t="s">
        <v>169</v>
      </c>
      <c r="C589" s="48" t="s">
        <v>169</v>
      </c>
      <c r="D589" s="116">
        <v>46111</v>
      </c>
      <c r="E589" s="116">
        <v>46111</v>
      </c>
      <c r="F589" s="143" t="s">
        <v>62</v>
      </c>
      <c r="G589" s="179" t="s">
        <v>71</v>
      </c>
      <c r="H589" s="179" t="s">
        <v>101</v>
      </c>
      <c r="I589" s="188" t="s">
        <v>174</v>
      </c>
      <c r="J589" s="27" t="s">
        <v>142</v>
      </c>
      <c r="K589" s="111" t="s">
        <v>351</v>
      </c>
      <c r="L589" s="1">
        <v>1</v>
      </c>
      <c r="M589" s="111" t="s">
        <v>54</v>
      </c>
      <c r="N589" s="33" t="s">
        <v>55</v>
      </c>
      <c r="O589" s="33">
        <v>0</v>
      </c>
      <c r="P589" s="1"/>
      <c r="Q589" s="33" t="s">
        <v>55</v>
      </c>
      <c r="R589" s="33" t="s">
        <v>55</v>
      </c>
      <c r="S589" s="33">
        <v>0</v>
      </c>
      <c r="T589" s="33" t="s">
        <v>55</v>
      </c>
      <c r="U589" s="33" t="s">
        <v>55</v>
      </c>
      <c r="V589" s="33" t="s">
        <v>55</v>
      </c>
      <c r="W589" s="33" t="s">
        <v>55</v>
      </c>
      <c r="X589" s="33" t="s">
        <v>55</v>
      </c>
      <c r="Y589" s="33" t="s">
        <v>55</v>
      </c>
      <c r="Z589" s="33" t="s">
        <v>55</v>
      </c>
      <c r="AA589" s="33">
        <v>1</v>
      </c>
      <c r="AB589" s="33">
        <v>1</v>
      </c>
      <c r="AC589" s="33">
        <v>0</v>
      </c>
      <c r="AD589" s="38">
        <v>46119</v>
      </c>
      <c r="AE589" s="38">
        <v>46119</v>
      </c>
      <c r="AF589" s="28">
        <v>46120</v>
      </c>
      <c r="AG589" s="180">
        <v>46126</v>
      </c>
      <c r="AH589" s="180">
        <v>46127</v>
      </c>
      <c r="AI589" s="33">
        <f>MONTH(AH589)</f>
        <v>4</v>
      </c>
      <c r="AJ589" s="144" t="s">
        <v>1793</v>
      </c>
      <c r="AK589" s="114" t="s">
        <v>1794</v>
      </c>
      <c r="AL589" s="19" t="str">
        <f t="shared" si="69"/>
        <v>N/A</v>
      </c>
      <c r="AM589" s="67" t="str">
        <f>IFERROR(NETWORKDAYS(D589,Q589,Hoja1!$A$1:$A$29),"N/A")</f>
        <v>N/A</v>
      </c>
      <c r="AN589" s="21">
        <f>IFERROR(NETWORKDAYS(D589,AE589,Hoja1!$A$1:$A$29),"N/A")</f>
        <v>5</v>
      </c>
      <c r="AO589" s="78">
        <v>0</v>
      </c>
      <c r="AP589" s="21">
        <f t="shared" si="67"/>
        <v>5</v>
      </c>
      <c r="AQ589" s="21">
        <f>IFERROR(NETWORKDAYS(AF589,AG589,Hoja1!$A$1:$A$29),"N/A")</f>
        <v>5</v>
      </c>
      <c r="AR589" s="78">
        <v>0</v>
      </c>
      <c r="AS589" s="75">
        <f t="shared" si="68"/>
        <v>5</v>
      </c>
      <c r="AT589" s="21">
        <f>IFERROR(NETWORKDAYS(D589,AG589,Hoja1!$A$1:$A$29),"N/A")</f>
        <v>10</v>
      </c>
      <c r="AU589" s="21">
        <f t="shared" si="66"/>
        <v>10</v>
      </c>
      <c r="AV589" s="143" t="s">
        <v>104</v>
      </c>
      <c r="AW589" s="86" t="s">
        <v>1795</v>
      </c>
      <c r="AX589" s="87"/>
      <c r="AY589" s="87"/>
      <c r="AZ589" s="87"/>
      <c r="BA589" s="87"/>
      <c r="BB589" s="87"/>
    </row>
    <row r="590" spans="1:54" ht="15" customHeight="1" x14ac:dyDescent="0.25">
      <c r="A590" s="95">
        <v>16217</v>
      </c>
      <c r="B590" s="159" t="s">
        <v>69</v>
      </c>
      <c r="C590" s="188" t="s">
        <v>122</v>
      </c>
      <c r="D590" s="435">
        <v>46106</v>
      </c>
      <c r="E590" s="116">
        <v>46111</v>
      </c>
      <c r="F590" s="143" t="s">
        <v>62</v>
      </c>
      <c r="G590" s="179" t="s">
        <v>71</v>
      </c>
      <c r="H590" s="111" t="s">
        <v>51</v>
      </c>
      <c r="I590" s="27" t="s">
        <v>72</v>
      </c>
      <c r="J590" s="87" t="s">
        <v>73</v>
      </c>
      <c r="K590" s="111" t="s">
        <v>351</v>
      </c>
      <c r="L590" s="33">
        <v>1</v>
      </c>
      <c r="M590" s="111" t="s">
        <v>54</v>
      </c>
      <c r="N590" s="33" t="s">
        <v>55</v>
      </c>
      <c r="O590" s="33">
        <v>3</v>
      </c>
      <c r="P590" s="21" t="s">
        <v>112</v>
      </c>
      <c r="Q590" s="28">
        <v>46108</v>
      </c>
      <c r="R590" s="28">
        <v>46108</v>
      </c>
      <c r="S590" s="33">
        <v>3</v>
      </c>
      <c r="T590" s="33" t="s">
        <v>55</v>
      </c>
      <c r="U590" s="33" t="s">
        <v>55</v>
      </c>
      <c r="V590" s="33" t="s">
        <v>55</v>
      </c>
      <c r="W590" s="33" t="s">
        <v>55</v>
      </c>
      <c r="X590" s="33" t="s">
        <v>55</v>
      </c>
      <c r="Y590" s="33" t="s">
        <v>55</v>
      </c>
      <c r="Z590" s="21" t="s">
        <v>55</v>
      </c>
      <c r="AA590" s="33">
        <v>1</v>
      </c>
      <c r="AB590" s="33">
        <v>1</v>
      </c>
      <c r="AC590" s="33">
        <v>0</v>
      </c>
      <c r="AD590" s="28">
        <v>46119</v>
      </c>
      <c r="AE590" s="28">
        <v>46119</v>
      </c>
      <c r="AF590" s="28">
        <v>46119</v>
      </c>
      <c r="AG590" s="180">
        <v>46126</v>
      </c>
      <c r="AH590" s="180">
        <v>46127</v>
      </c>
      <c r="AI590" s="33">
        <f>MONTH(AH590)</f>
        <v>4</v>
      </c>
      <c r="AJ590" s="144" t="s">
        <v>1796</v>
      </c>
      <c r="AK590" s="114" t="s">
        <v>1797</v>
      </c>
      <c r="AL590" s="19">
        <f t="shared" si="69"/>
        <v>1</v>
      </c>
      <c r="AM590" s="67">
        <f>IFERROR(NETWORKDAYS(D590,Q590,Hoja1!$A$1:$A$29),"N/A")</f>
        <v>3</v>
      </c>
      <c r="AN590" s="21">
        <f>IFERROR(NETWORKDAYS(D590,AE590,Hoja1!$A$1:$A$29),"N/A")</f>
        <v>8</v>
      </c>
      <c r="AO590" s="78">
        <v>0</v>
      </c>
      <c r="AP590" s="21">
        <f t="shared" si="67"/>
        <v>8</v>
      </c>
      <c r="AQ590" s="21">
        <f>IFERROR(NETWORKDAYS(AF590,AG590,Hoja1!$A$1:$A$29),"N/A")</f>
        <v>6</v>
      </c>
      <c r="AR590" s="78">
        <v>1</v>
      </c>
      <c r="AS590" s="75">
        <f t="shared" si="68"/>
        <v>5</v>
      </c>
      <c r="AT590" s="21">
        <f>IFERROR(NETWORKDAYS(D590,AG590,Hoja1!$A$1:$A$29),"N/A")</f>
        <v>13</v>
      </c>
      <c r="AU590" s="21">
        <f t="shared" si="66"/>
        <v>12</v>
      </c>
      <c r="AV590" s="143" t="s">
        <v>77</v>
      </c>
      <c r="AW590" s="86" t="s">
        <v>82</v>
      </c>
      <c r="AX590" s="87"/>
      <c r="AY590" s="87"/>
      <c r="AZ590" s="87"/>
      <c r="BA590" s="87"/>
      <c r="BB590" s="87"/>
    </row>
    <row r="591" spans="1:54" ht="15" customHeight="1" x14ac:dyDescent="0.25">
      <c r="A591" s="55">
        <v>16219</v>
      </c>
      <c r="B591" s="27" t="s">
        <v>79</v>
      </c>
      <c r="C591" s="27" t="s">
        <v>79</v>
      </c>
      <c r="D591" s="53">
        <v>46111</v>
      </c>
      <c r="E591" s="53">
        <v>46111</v>
      </c>
      <c r="F591" s="143" t="s">
        <v>90</v>
      </c>
      <c r="G591" s="159" t="s">
        <v>91</v>
      </c>
      <c r="H591" s="111" t="s">
        <v>51</v>
      </c>
      <c r="I591" s="87" t="s">
        <v>976</v>
      </c>
      <c r="J591" s="111" t="s">
        <v>118</v>
      </c>
      <c r="K591" s="111" t="s">
        <v>171</v>
      </c>
      <c r="L591" s="2">
        <v>1</v>
      </c>
      <c r="M591" s="111" t="s">
        <v>54</v>
      </c>
      <c r="N591" s="21" t="s">
        <v>55</v>
      </c>
      <c r="O591" s="21">
        <v>3</v>
      </c>
      <c r="P591" s="21" t="s">
        <v>112</v>
      </c>
      <c r="Q591" s="53">
        <v>46119</v>
      </c>
      <c r="R591" s="53">
        <v>46119</v>
      </c>
      <c r="S591" s="21">
        <v>3</v>
      </c>
      <c r="T591" s="21" t="s">
        <v>55</v>
      </c>
      <c r="U591" s="21" t="s">
        <v>55</v>
      </c>
      <c r="V591" s="21" t="s">
        <v>55</v>
      </c>
      <c r="W591" s="21" t="s">
        <v>55</v>
      </c>
      <c r="X591" s="21" t="s">
        <v>55</v>
      </c>
      <c r="Y591" s="21" t="s">
        <v>55</v>
      </c>
      <c r="Z591" s="21" t="s">
        <v>55</v>
      </c>
      <c r="AA591" s="21">
        <v>3</v>
      </c>
      <c r="AB591" s="21">
        <v>1</v>
      </c>
      <c r="AC591" s="21">
        <v>0</v>
      </c>
      <c r="AD591" s="53">
        <v>46119</v>
      </c>
      <c r="AE591" s="53">
        <v>46119</v>
      </c>
      <c r="AF591" s="53">
        <v>46119</v>
      </c>
      <c r="AG591" s="53">
        <v>46125</v>
      </c>
      <c r="AH591" s="180">
        <v>46127</v>
      </c>
      <c r="AI591" s="21">
        <v>4</v>
      </c>
      <c r="AJ591" s="159" t="s">
        <v>1798</v>
      </c>
      <c r="AK591" s="111" t="s">
        <v>1799</v>
      </c>
      <c r="AL591" s="19">
        <f t="shared" si="69"/>
        <v>1</v>
      </c>
      <c r="AM591" s="67">
        <f>IFERROR(NETWORKDAYS(D591,Q591,Hoja1!$A$1:$A$29),"N/A")</f>
        <v>5</v>
      </c>
      <c r="AN591" s="21">
        <f>IFERROR(NETWORKDAYS(D591,AE591,Hoja1!$A$1:$A$29),"N/A")</f>
        <v>5</v>
      </c>
      <c r="AO591" s="78">
        <v>0</v>
      </c>
      <c r="AP591" s="21">
        <f t="shared" si="67"/>
        <v>5</v>
      </c>
      <c r="AQ591" s="21">
        <f>IFERROR(NETWORKDAYS(AF591,AG591,Hoja1!$A$1:$A$29),"N/A")</f>
        <v>5</v>
      </c>
      <c r="AR591" s="78">
        <v>0</v>
      </c>
      <c r="AS591" s="75">
        <f t="shared" si="68"/>
        <v>5</v>
      </c>
      <c r="AT591" s="21">
        <f>IFERROR(NETWORKDAYS(D591,AG591,Hoja1!$A$1:$A$29),"N/A")</f>
        <v>9</v>
      </c>
      <c r="AU591" s="21">
        <f t="shared" si="66"/>
        <v>9</v>
      </c>
      <c r="AV591" s="143" t="s">
        <v>127</v>
      </c>
      <c r="AW591" s="86" t="s">
        <v>1800</v>
      </c>
      <c r="AX591" s="87"/>
      <c r="AY591" s="87"/>
      <c r="AZ591" s="87"/>
      <c r="BA591" s="87"/>
      <c r="BB591" s="87"/>
    </row>
    <row r="592" spans="1:54" ht="15" customHeight="1" x14ac:dyDescent="0.25">
      <c r="A592" s="95">
        <v>16220</v>
      </c>
      <c r="B592" s="188" t="s">
        <v>597</v>
      </c>
      <c r="C592" s="188" t="s">
        <v>597</v>
      </c>
      <c r="D592" s="435">
        <v>46120</v>
      </c>
      <c r="E592" s="116">
        <v>46119</v>
      </c>
      <c r="F592" s="143" t="s">
        <v>62</v>
      </c>
      <c r="G592" s="179" t="s">
        <v>71</v>
      </c>
      <c r="H592" s="179" t="s">
        <v>140</v>
      </c>
      <c r="I592" s="188" t="s">
        <v>1801</v>
      </c>
      <c r="J592" s="27" t="s">
        <v>142</v>
      </c>
      <c r="K592" s="111" t="s">
        <v>351</v>
      </c>
      <c r="L592" s="33">
        <v>1</v>
      </c>
      <c r="M592" s="159" t="s">
        <v>247</v>
      </c>
      <c r="N592" s="33" t="s">
        <v>55</v>
      </c>
      <c r="O592" s="33">
        <v>0</v>
      </c>
      <c r="P592" s="33"/>
      <c r="Q592" s="33" t="s">
        <v>55</v>
      </c>
      <c r="R592" s="33" t="s">
        <v>55</v>
      </c>
      <c r="S592" s="33">
        <v>0</v>
      </c>
      <c r="T592" s="33" t="s">
        <v>55</v>
      </c>
      <c r="U592" s="33" t="s">
        <v>55</v>
      </c>
      <c r="V592" s="33" t="s">
        <v>55</v>
      </c>
      <c r="W592" s="33" t="s">
        <v>55</v>
      </c>
      <c r="X592" s="33" t="s">
        <v>55</v>
      </c>
      <c r="Y592" s="33" t="s">
        <v>55</v>
      </c>
      <c r="Z592" s="33" t="s">
        <v>55</v>
      </c>
      <c r="AA592" s="33">
        <v>2</v>
      </c>
      <c r="AB592" s="33">
        <v>2</v>
      </c>
      <c r="AC592" s="33">
        <v>0</v>
      </c>
      <c r="AD592" s="28">
        <v>46139</v>
      </c>
      <c r="AE592" s="180">
        <v>46142</v>
      </c>
      <c r="AF592" s="28" t="s">
        <v>55</v>
      </c>
      <c r="AG592" s="180">
        <v>46142</v>
      </c>
      <c r="AH592" s="180">
        <v>46142</v>
      </c>
      <c r="AI592" s="33">
        <f>MONTH(AH592)</f>
        <v>4</v>
      </c>
      <c r="AJ592" s="144" t="s">
        <v>1802</v>
      </c>
      <c r="AK592" s="114" t="s">
        <v>1803</v>
      </c>
      <c r="AL592" s="19" t="str">
        <f t="shared" si="69"/>
        <v>N/A</v>
      </c>
      <c r="AM592" s="67" t="str">
        <f>IFERROR(NETWORKDAYS(D592,Q592,Hoja1!$A$1:$A$29),"N/A")</f>
        <v>N/A</v>
      </c>
      <c r="AN592" s="21">
        <f>IFERROR(NETWORKDAYS(D592,AE592,Hoja1!$A$1:$A$29),"N/A")</f>
        <v>17</v>
      </c>
      <c r="AO592" s="78">
        <v>0</v>
      </c>
      <c r="AP592" s="21">
        <f t="shared" si="67"/>
        <v>17</v>
      </c>
      <c r="AQ592" s="21" t="str">
        <f>IFERROR(NETWORKDAYS(AF592,AG592,Hoja1!$A$1:$A$29),"N/A")</f>
        <v>N/A</v>
      </c>
      <c r="AR592" s="78">
        <v>0</v>
      </c>
      <c r="AS592" s="21" t="s">
        <v>82</v>
      </c>
      <c r="AT592" s="21">
        <f>IFERROR(NETWORKDAYS(D592,AG592,Hoja1!$A$1:$A$29),"N/A")</f>
        <v>17</v>
      </c>
      <c r="AU592" s="21">
        <f t="shared" si="66"/>
        <v>17</v>
      </c>
      <c r="AV592" s="143" t="s">
        <v>145</v>
      </c>
      <c r="AW592" s="86" t="s">
        <v>610</v>
      </c>
      <c r="AX592" s="87"/>
      <c r="AY592" s="87"/>
      <c r="AZ592" s="87"/>
      <c r="BA592" s="87"/>
      <c r="BB592" s="87"/>
    </row>
    <row r="593" spans="1:54" ht="15" customHeight="1" x14ac:dyDescent="0.25">
      <c r="A593" s="172">
        <v>16222</v>
      </c>
      <c r="B593" s="197" t="s">
        <v>85</v>
      </c>
      <c r="C593" s="197" t="s">
        <v>85</v>
      </c>
      <c r="D593" s="436">
        <v>46112</v>
      </c>
      <c r="E593" s="178">
        <v>46112</v>
      </c>
      <c r="F593" s="187" t="s">
        <v>879</v>
      </c>
      <c r="G593" s="184" t="s">
        <v>1804</v>
      </c>
      <c r="H593" s="177" t="s">
        <v>101</v>
      </c>
      <c r="I593" s="204" t="s">
        <v>516</v>
      </c>
      <c r="J593" s="177" t="s">
        <v>52</v>
      </c>
      <c r="K593" s="184" t="s">
        <v>53</v>
      </c>
      <c r="L593" s="96">
        <v>1</v>
      </c>
      <c r="M593" s="177" t="s">
        <v>54</v>
      </c>
      <c r="N593" s="99" t="s">
        <v>55</v>
      </c>
      <c r="O593" s="99">
        <v>6</v>
      </c>
      <c r="P593" s="66" t="s">
        <v>112</v>
      </c>
      <c r="Q593" s="178">
        <v>46118</v>
      </c>
      <c r="R593" s="178">
        <v>46118</v>
      </c>
      <c r="S593" s="99">
        <v>6</v>
      </c>
      <c r="T593" s="99" t="s">
        <v>55</v>
      </c>
      <c r="U593" s="99" t="s">
        <v>55</v>
      </c>
      <c r="V593" s="99" t="s">
        <v>55</v>
      </c>
      <c r="W593" s="99" t="s">
        <v>55</v>
      </c>
      <c r="X593" s="99" t="s">
        <v>55</v>
      </c>
      <c r="Y593" s="99" t="s">
        <v>55</v>
      </c>
      <c r="Z593" s="66" t="s">
        <v>55</v>
      </c>
      <c r="AA593" s="99">
        <v>1</v>
      </c>
      <c r="AB593" s="99">
        <v>1</v>
      </c>
      <c r="AC593" s="99">
        <v>0</v>
      </c>
      <c r="AD593" s="178">
        <v>46120</v>
      </c>
      <c r="AE593" s="178">
        <v>46120</v>
      </c>
      <c r="AF593" s="178">
        <v>46120</v>
      </c>
      <c r="AG593" s="178">
        <v>46127</v>
      </c>
      <c r="AH593" s="199">
        <v>46127</v>
      </c>
      <c r="AI593" s="66">
        <v>4</v>
      </c>
      <c r="AJ593" s="184" t="s">
        <v>1805</v>
      </c>
      <c r="AK593" s="185" t="s">
        <v>1806</v>
      </c>
      <c r="AL593" s="19">
        <f t="shared" si="69"/>
        <v>1</v>
      </c>
      <c r="AM593" s="67">
        <f>IFERROR(NETWORKDAYS(D593,Q593,Hoja1!$A$1:$A$29),"N/A")</f>
        <v>3</v>
      </c>
      <c r="AN593" s="21">
        <f>IFERROR(NETWORKDAYS(D593,AE593,Hoja1!$A$1:$A$29),"N/A")</f>
        <v>5</v>
      </c>
      <c r="AO593" s="273">
        <v>0</v>
      </c>
      <c r="AP593" s="66">
        <f t="shared" si="67"/>
        <v>5</v>
      </c>
      <c r="AQ593" s="21">
        <f>IFERROR(NETWORKDAYS(AF593,AG593,Hoja1!$A$1:$A$29),"N/A")</f>
        <v>6</v>
      </c>
      <c r="AR593" s="65">
        <v>0</v>
      </c>
      <c r="AS593" s="68">
        <f t="shared" si="68"/>
        <v>6</v>
      </c>
      <c r="AT593" s="21">
        <f>IFERROR(NETWORKDAYS(D593,AG593,Hoja1!$A$1:$A$29),"N/A")</f>
        <v>10</v>
      </c>
      <c r="AU593" s="66">
        <f t="shared" si="66"/>
        <v>10</v>
      </c>
      <c r="AV593" s="176" t="s">
        <v>104</v>
      </c>
      <c r="AW593" s="98" t="s">
        <v>1807</v>
      </c>
      <c r="AX593" s="184"/>
      <c r="AY593" s="184"/>
      <c r="AZ593" s="184"/>
      <c r="BA593" s="184"/>
      <c r="BB593" s="184"/>
    </row>
    <row r="594" spans="1:54" ht="15" customHeight="1" x14ac:dyDescent="0.25">
      <c r="A594" s="55">
        <v>16230</v>
      </c>
      <c r="B594" s="84" t="s">
        <v>85</v>
      </c>
      <c r="C594" s="84" t="s">
        <v>85</v>
      </c>
      <c r="D594" s="421">
        <v>46101</v>
      </c>
      <c r="E594" s="28">
        <v>46113</v>
      </c>
      <c r="F594" s="202" t="s">
        <v>879</v>
      </c>
      <c r="G594" s="48" t="s">
        <v>50</v>
      </c>
      <c r="H594" s="111" t="s">
        <v>51</v>
      </c>
      <c r="I594" s="48" t="s">
        <v>1406</v>
      </c>
      <c r="J594" s="111" t="s">
        <v>52</v>
      </c>
      <c r="K594" s="87" t="s">
        <v>53</v>
      </c>
      <c r="L594" s="3">
        <v>1</v>
      </c>
      <c r="M594" s="111" t="s">
        <v>54</v>
      </c>
      <c r="N594" s="33" t="s">
        <v>55</v>
      </c>
      <c r="O594" s="33">
        <v>1</v>
      </c>
      <c r="P594" s="21" t="s">
        <v>112</v>
      </c>
      <c r="Q594" s="28">
        <v>46106</v>
      </c>
      <c r="R594" s="28">
        <v>46106</v>
      </c>
      <c r="S594" s="33">
        <v>1</v>
      </c>
      <c r="T594" s="33" t="s">
        <v>55</v>
      </c>
      <c r="U594" s="33" t="s">
        <v>55</v>
      </c>
      <c r="V594" s="33" t="s">
        <v>55</v>
      </c>
      <c r="W594" s="33" t="s">
        <v>55</v>
      </c>
      <c r="X594" s="33" t="s">
        <v>55</v>
      </c>
      <c r="Y594" s="33" t="s">
        <v>55</v>
      </c>
      <c r="Z594" s="21" t="s">
        <v>55</v>
      </c>
      <c r="AA594" s="33">
        <v>1</v>
      </c>
      <c r="AB594" s="33">
        <v>1</v>
      </c>
      <c r="AC594" s="33">
        <v>0</v>
      </c>
      <c r="AD594" s="28">
        <v>46112</v>
      </c>
      <c r="AE594" s="28">
        <v>46113</v>
      </c>
      <c r="AF594" s="28">
        <v>46119</v>
      </c>
      <c r="AG594" s="28">
        <v>46127</v>
      </c>
      <c r="AH594" s="180">
        <v>46127</v>
      </c>
      <c r="AI594" s="21">
        <v>4</v>
      </c>
      <c r="AJ594" s="87" t="s">
        <v>1808</v>
      </c>
      <c r="AK594" s="48" t="s">
        <v>1809</v>
      </c>
      <c r="AL594" s="19">
        <f t="shared" si="69"/>
        <v>1</v>
      </c>
      <c r="AM594" s="67">
        <f>IFERROR(NETWORKDAYS(D594,Q594,Hoja1!$A$1:$A$29),"N/A")</f>
        <v>3</v>
      </c>
      <c r="AN594" s="21">
        <f>IFERROR(NETWORKDAYS(D594,AE594,Hoja1!$A$1:$A$29),"N/A")</f>
        <v>8</v>
      </c>
      <c r="AO594" s="78">
        <v>0</v>
      </c>
      <c r="AP594" s="21">
        <f t="shared" si="67"/>
        <v>8</v>
      </c>
      <c r="AQ594" s="21">
        <f>IFERROR(NETWORKDAYS(AF594,AG594,Hoja1!$A$1:$A$29),"N/A")</f>
        <v>7</v>
      </c>
      <c r="AR594" s="78">
        <v>0</v>
      </c>
      <c r="AS594" s="75">
        <f t="shared" si="68"/>
        <v>7</v>
      </c>
      <c r="AT594" s="21">
        <f>IFERROR(NETWORKDAYS(D594,AG594,Hoja1!$A$1:$A$29),"N/A")</f>
        <v>16</v>
      </c>
      <c r="AU594" s="21">
        <f t="shared" si="66"/>
        <v>16</v>
      </c>
      <c r="AV594" s="143" t="s">
        <v>59</v>
      </c>
      <c r="AW594" s="86" t="s">
        <v>1758</v>
      </c>
      <c r="AX594" s="87"/>
      <c r="AY594" s="87"/>
      <c r="AZ594" s="87"/>
      <c r="BA594" s="87"/>
      <c r="BB594" s="87"/>
    </row>
    <row r="595" spans="1:54" ht="15" customHeight="1" x14ac:dyDescent="0.25">
      <c r="A595" s="55">
        <v>16233</v>
      </c>
      <c r="B595" s="27" t="s">
        <v>79</v>
      </c>
      <c r="C595" s="27" t="s">
        <v>79</v>
      </c>
      <c r="D595" s="53">
        <v>46108</v>
      </c>
      <c r="E595" s="53">
        <v>46118</v>
      </c>
      <c r="F595" s="143" t="s">
        <v>90</v>
      </c>
      <c r="G595" s="159" t="s">
        <v>91</v>
      </c>
      <c r="H595" s="111" t="s">
        <v>51</v>
      </c>
      <c r="I595" s="87" t="s">
        <v>92</v>
      </c>
      <c r="J595" s="111" t="s">
        <v>52</v>
      </c>
      <c r="K595" s="111" t="s">
        <v>171</v>
      </c>
      <c r="L595" s="2">
        <v>1</v>
      </c>
      <c r="M595" s="111" t="s">
        <v>54</v>
      </c>
      <c r="N595" s="21" t="s">
        <v>55</v>
      </c>
      <c r="O595" s="21">
        <v>3</v>
      </c>
      <c r="P595" s="21" t="s">
        <v>112</v>
      </c>
      <c r="Q595" s="53">
        <v>46122</v>
      </c>
      <c r="R595" s="53">
        <v>46122</v>
      </c>
      <c r="S595" s="21">
        <v>3</v>
      </c>
      <c r="T595" s="21" t="s">
        <v>55</v>
      </c>
      <c r="U595" s="21" t="s">
        <v>55</v>
      </c>
      <c r="V595" s="21" t="s">
        <v>55</v>
      </c>
      <c r="W595" s="21" t="s">
        <v>55</v>
      </c>
      <c r="X595" s="21" t="s">
        <v>55</v>
      </c>
      <c r="Y595" s="21" t="s">
        <v>55</v>
      </c>
      <c r="Z595" s="21" t="s">
        <v>55</v>
      </c>
      <c r="AA595" s="21">
        <v>3</v>
      </c>
      <c r="AB595" s="21">
        <v>1</v>
      </c>
      <c r="AC595" s="21">
        <v>0</v>
      </c>
      <c r="AD595" s="53">
        <v>46127</v>
      </c>
      <c r="AE595" s="53">
        <v>46127</v>
      </c>
      <c r="AF595" s="53">
        <v>46127</v>
      </c>
      <c r="AG595" s="53">
        <v>46133</v>
      </c>
      <c r="AH595" s="53">
        <v>46139</v>
      </c>
      <c r="AI595" s="21">
        <v>4</v>
      </c>
      <c r="AJ595" s="159" t="s">
        <v>1810</v>
      </c>
      <c r="AK595" s="111" t="s">
        <v>1811</v>
      </c>
      <c r="AL595" s="19">
        <f t="shared" si="69"/>
        <v>1</v>
      </c>
      <c r="AM595" s="67">
        <f>IFERROR(NETWORKDAYS(D595,Q595,Hoja1!$A$1:$A$29),"N/A")</f>
        <v>9</v>
      </c>
      <c r="AN595" s="21">
        <f>IFERROR(NETWORKDAYS(D595,AE595,Hoja1!$A$1:$A$29),"N/A")</f>
        <v>12</v>
      </c>
      <c r="AO595" s="78">
        <v>0</v>
      </c>
      <c r="AP595" s="21">
        <f t="shared" si="67"/>
        <v>12</v>
      </c>
      <c r="AQ595" s="21">
        <f>IFERROR(NETWORKDAYS(AF595,AG595,Hoja1!$A$1:$A$29),"N/A")</f>
        <v>5</v>
      </c>
      <c r="AR595" s="78">
        <v>0</v>
      </c>
      <c r="AS595" s="75">
        <f t="shared" si="68"/>
        <v>5</v>
      </c>
      <c r="AT595" s="21">
        <f>IFERROR(NETWORKDAYS(D595,AG595,Hoja1!$A$1:$A$29),"N/A")</f>
        <v>16</v>
      </c>
      <c r="AU595" s="21">
        <f t="shared" si="66"/>
        <v>16</v>
      </c>
      <c r="AV595" s="143" t="s">
        <v>127</v>
      </c>
      <c r="AW595" s="86" t="s">
        <v>1812</v>
      </c>
      <c r="AX595" s="87"/>
      <c r="AY595" s="87"/>
      <c r="AZ595" s="87"/>
      <c r="BA595" s="87"/>
      <c r="BB595" s="87"/>
    </row>
    <row r="596" spans="1:54" ht="15" customHeight="1" x14ac:dyDescent="0.25">
      <c r="A596" s="55">
        <v>16236</v>
      </c>
      <c r="B596" s="159" t="s">
        <v>69</v>
      </c>
      <c r="C596" s="43" t="s">
        <v>98</v>
      </c>
      <c r="D596" s="421">
        <v>46090</v>
      </c>
      <c r="E596" s="28">
        <v>46118</v>
      </c>
      <c r="F596" s="202" t="s">
        <v>879</v>
      </c>
      <c r="G596" s="48" t="s">
        <v>50</v>
      </c>
      <c r="H596" s="111" t="s">
        <v>51</v>
      </c>
      <c r="I596" s="159" t="s">
        <v>1647</v>
      </c>
      <c r="J596" s="111" t="s">
        <v>52</v>
      </c>
      <c r="K596" s="87" t="s">
        <v>53</v>
      </c>
      <c r="L596" s="3">
        <v>1</v>
      </c>
      <c r="M596" s="111" t="s">
        <v>54</v>
      </c>
      <c r="N596" s="33" t="s">
        <v>55</v>
      </c>
      <c r="O596" s="33">
        <v>2</v>
      </c>
      <c r="P596" s="21" t="s">
        <v>112</v>
      </c>
      <c r="Q596" s="28">
        <v>46094</v>
      </c>
      <c r="R596" s="28">
        <v>46094</v>
      </c>
      <c r="S596" s="33">
        <v>2</v>
      </c>
      <c r="T596" s="33" t="s">
        <v>55</v>
      </c>
      <c r="U596" s="33" t="s">
        <v>55</v>
      </c>
      <c r="V596" s="33" t="s">
        <v>55</v>
      </c>
      <c r="W596" s="33" t="s">
        <v>55</v>
      </c>
      <c r="X596" s="33" t="s">
        <v>55</v>
      </c>
      <c r="Y596" s="33" t="s">
        <v>55</v>
      </c>
      <c r="Z596" s="21" t="s">
        <v>55</v>
      </c>
      <c r="AA596" s="33">
        <v>1</v>
      </c>
      <c r="AB596" s="33">
        <v>1</v>
      </c>
      <c r="AC596" s="33">
        <v>0</v>
      </c>
      <c r="AD596" s="28">
        <v>46119</v>
      </c>
      <c r="AE596" s="28">
        <v>46119</v>
      </c>
      <c r="AF596" s="28">
        <v>46119</v>
      </c>
      <c r="AG596" s="28">
        <v>46139</v>
      </c>
      <c r="AH596" s="53">
        <v>46139</v>
      </c>
      <c r="AI596" s="21">
        <v>4</v>
      </c>
      <c r="AJ596" s="87" t="s">
        <v>1813</v>
      </c>
      <c r="AK596" s="48" t="s">
        <v>1814</v>
      </c>
      <c r="AL596" s="19">
        <f t="shared" si="69"/>
        <v>1</v>
      </c>
      <c r="AM596" s="67">
        <f>IFERROR(NETWORKDAYS(D596,Q596,Hoja1!$A$1:$A$29),"N/A")</f>
        <v>5</v>
      </c>
      <c r="AN596" s="21">
        <f>IFERROR(NETWORKDAYS(D596,AE596,Hoja1!$A$1:$A$29),"N/A")</f>
        <v>19</v>
      </c>
      <c r="AO596" s="78">
        <v>10</v>
      </c>
      <c r="AP596" s="21">
        <f t="shared" si="67"/>
        <v>9</v>
      </c>
      <c r="AQ596" s="21">
        <f>IFERROR(NETWORKDAYS(AF596,AG596,Hoja1!$A$1:$A$29),"N/A")</f>
        <v>15</v>
      </c>
      <c r="AR596" s="78">
        <v>0</v>
      </c>
      <c r="AS596" s="75">
        <f t="shared" si="68"/>
        <v>15</v>
      </c>
      <c r="AT596" s="21">
        <f>IFERROR(NETWORKDAYS(D596,AG596,Hoja1!$A$1:$A$29),"N/A")</f>
        <v>33</v>
      </c>
      <c r="AU596" s="21">
        <f t="shared" si="66"/>
        <v>23</v>
      </c>
      <c r="AV596" s="143" t="s">
        <v>59</v>
      </c>
      <c r="AW596" s="86" t="s">
        <v>1650</v>
      </c>
      <c r="AX596" s="87"/>
      <c r="AY596" s="87"/>
      <c r="AZ596" s="87"/>
      <c r="BA596" s="87"/>
      <c r="BB596" s="87"/>
    </row>
    <row r="597" spans="1:54" ht="15" customHeight="1" x14ac:dyDescent="0.25">
      <c r="A597" s="55">
        <v>16238</v>
      </c>
      <c r="B597" s="159" t="s">
        <v>69</v>
      </c>
      <c r="C597" s="43" t="s">
        <v>98</v>
      </c>
      <c r="D597" s="28">
        <v>46104</v>
      </c>
      <c r="E597" s="28">
        <v>46118</v>
      </c>
      <c r="F597" s="202" t="s">
        <v>879</v>
      </c>
      <c r="G597" s="48" t="s">
        <v>50</v>
      </c>
      <c r="H597" s="111" t="s">
        <v>51</v>
      </c>
      <c r="I597" s="159" t="s">
        <v>885</v>
      </c>
      <c r="J597" s="111" t="s">
        <v>52</v>
      </c>
      <c r="K597" s="87" t="s">
        <v>53</v>
      </c>
      <c r="L597" s="3">
        <v>1</v>
      </c>
      <c r="M597" s="111" t="s">
        <v>54</v>
      </c>
      <c r="N597" s="33" t="s">
        <v>55</v>
      </c>
      <c r="O597" s="33">
        <v>5</v>
      </c>
      <c r="P597" s="21" t="s">
        <v>56</v>
      </c>
      <c r="Q597" s="53">
        <v>46107</v>
      </c>
      <c r="R597" s="53">
        <v>46107</v>
      </c>
      <c r="S597" s="33">
        <v>5</v>
      </c>
      <c r="T597" s="33" t="s">
        <v>55</v>
      </c>
      <c r="U597" s="33" t="s">
        <v>55</v>
      </c>
      <c r="V597" s="33" t="s">
        <v>55</v>
      </c>
      <c r="W597" s="33" t="s">
        <v>55</v>
      </c>
      <c r="X597" s="33" t="s">
        <v>55</v>
      </c>
      <c r="Y597" s="33" t="s">
        <v>55</v>
      </c>
      <c r="Z597" s="21" t="s">
        <v>55</v>
      </c>
      <c r="AA597" s="33">
        <v>3</v>
      </c>
      <c r="AB597" s="33">
        <v>3</v>
      </c>
      <c r="AC597" s="33">
        <v>0</v>
      </c>
      <c r="AD597" s="28">
        <v>46119</v>
      </c>
      <c r="AE597" s="28">
        <v>46119</v>
      </c>
      <c r="AF597" s="28">
        <v>46119</v>
      </c>
      <c r="AG597" s="28">
        <v>46127</v>
      </c>
      <c r="AH597" s="180">
        <v>46127</v>
      </c>
      <c r="AI597" s="21">
        <v>4</v>
      </c>
      <c r="AJ597" s="87" t="s">
        <v>1815</v>
      </c>
      <c r="AK597" s="48" t="s">
        <v>1816</v>
      </c>
      <c r="AL597" s="19">
        <f t="shared" si="69"/>
        <v>1</v>
      </c>
      <c r="AM597" s="67">
        <f>IFERROR(NETWORKDAYS(D597,Q597,Hoja1!$A$1:$A$29),"N/A")</f>
        <v>3</v>
      </c>
      <c r="AN597" s="21">
        <f>IFERROR(NETWORKDAYS(D597,AE597,Hoja1!$A$1:$A$29),"N/A")</f>
        <v>9</v>
      </c>
      <c r="AO597" s="78">
        <v>0</v>
      </c>
      <c r="AP597" s="21">
        <f t="shared" si="67"/>
        <v>9</v>
      </c>
      <c r="AQ597" s="21">
        <f>IFERROR(NETWORKDAYS(AF597,AG597,Hoja1!$A$1:$A$29),"N/A")</f>
        <v>7</v>
      </c>
      <c r="AR597" s="78">
        <v>0</v>
      </c>
      <c r="AS597" s="75">
        <f t="shared" si="68"/>
        <v>7</v>
      </c>
      <c r="AT597" s="21">
        <f>IFERROR(NETWORKDAYS(D597,AG597,Hoja1!$A$1:$A$29),"N/A")</f>
        <v>15</v>
      </c>
      <c r="AU597" s="21">
        <f t="shared" si="66"/>
        <v>15</v>
      </c>
      <c r="AV597" s="143" t="s">
        <v>104</v>
      </c>
      <c r="AW597" s="86" t="s">
        <v>1197</v>
      </c>
      <c r="AX597" s="87"/>
      <c r="AY597" s="87"/>
      <c r="AZ597" s="87"/>
      <c r="BA597" s="87"/>
      <c r="BB597" s="87"/>
    </row>
    <row r="598" spans="1:54" ht="15" customHeight="1" x14ac:dyDescent="0.25">
      <c r="A598" s="55">
        <v>16241</v>
      </c>
      <c r="B598" s="48" t="s">
        <v>169</v>
      </c>
      <c r="C598" s="48" t="s">
        <v>169</v>
      </c>
      <c r="D598" s="435">
        <v>46118</v>
      </c>
      <c r="E598" s="116">
        <v>46118</v>
      </c>
      <c r="F598" s="114" t="s">
        <v>62</v>
      </c>
      <c r="G598" s="179" t="s">
        <v>71</v>
      </c>
      <c r="H598" s="179" t="s">
        <v>101</v>
      </c>
      <c r="I598" s="27" t="s">
        <v>72</v>
      </c>
      <c r="J598" s="87" t="s">
        <v>73</v>
      </c>
      <c r="K598" s="87" t="s">
        <v>1385</v>
      </c>
      <c r="L598" s="33">
        <v>1</v>
      </c>
      <c r="M598" s="111" t="s">
        <v>54</v>
      </c>
      <c r="N598" s="33" t="s">
        <v>55</v>
      </c>
      <c r="O598" s="33">
        <v>0</v>
      </c>
      <c r="P598" s="1"/>
      <c r="Q598" s="33" t="s">
        <v>55</v>
      </c>
      <c r="R598" s="33" t="s">
        <v>55</v>
      </c>
      <c r="S598" s="33">
        <v>0</v>
      </c>
      <c r="T598" s="33" t="s">
        <v>55</v>
      </c>
      <c r="U598" s="33" t="s">
        <v>55</v>
      </c>
      <c r="V598" s="33" t="s">
        <v>55</v>
      </c>
      <c r="W598" s="33" t="s">
        <v>55</v>
      </c>
      <c r="X598" s="33" t="s">
        <v>55</v>
      </c>
      <c r="Y598" s="33" t="s">
        <v>55</v>
      </c>
      <c r="Z598" s="33" t="s">
        <v>55</v>
      </c>
      <c r="AA598" s="33">
        <v>1</v>
      </c>
      <c r="AB598" s="33">
        <v>1</v>
      </c>
      <c r="AC598" s="33">
        <v>0</v>
      </c>
      <c r="AD598" s="16">
        <v>46119</v>
      </c>
      <c r="AE598" s="16">
        <v>46119</v>
      </c>
      <c r="AF598" s="16">
        <v>46120</v>
      </c>
      <c r="AG598" s="180">
        <v>46126</v>
      </c>
      <c r="AH598" s="180">
        <v>46127</v>
      </c>
      <c r="AI598" s="33">
        <v>4</v>
      </c>
      <c r="AJ598" s="183" t="s">
        <v>1817</v>
      </c>
      <c r="AK598" s="49" t="s">
        <v>1818</v>
      </c>
      <c r="AL598" s="19" t="str">
        <f t="shared" si="69"/>
        <v>N/A</v>
      </c>
      <c r="AM598" s="67" t="str">
        <f>IFERROR(NETWORKDAYS(D598,Q598,Hoja1!$A$1:$A$29),"N/A")</f>
        <v>N/A</v>
      </c>
      <c r="AN598" s="21">
        <f>IFERROR(NETWORKDAYS(D598,AE598,Hoja1!$A$1:$A$29),"N/A")</f>
        <v>2</v>
      </c>
      <c r="AO598" s="78">
        <v>0</v>
      </c>
      <c r="AP598" s="21">
        <f t="shared" si="67"/>
        <v>2</v>
      </c>
      <c r="AQ598" s="21">
        <f>IFERROR(NETWORKDAYS(AF598,AG598,Hoja1!$A$1:$A$29),"N/A")</f>
        <v>5</v>
      </c>
      <c r="AR598" s="78">
        <v>0</v>
      </c>
      <c r="AS598" s="75">
        <f t="shared" si="68"/>
        <v>5</v>
      </c>
      <c r="AT598" s="21">
        <f>IFERROR(NETWORKDAYS(D598,AG598,Hoja1!$A$1:$A$29),"N/A")</f>
        <v>7</v>
      </c>
      <c r="AU598" s="21">
        <f t="shared" si="66"/>
        <v>7</v>
      </c>
      <c r="AV598" s="143" t="s">
        <v>104</v>
      </c>
      <c r="AW598" s="86" t="s">
        <v>82</v>
      </c>
      <c r="AX598" s="87"/>
      <c r="AY598" s="87"/>
      <c r="AZ598" s="87"/>
      <c r="BA598" s="87"/>
      <c r="BB598" s="87"/>
    </row>
    <row r="599" spans="1:54" ht="15" customHeight="1" x14ac:dyDescent="0.25">
      <c r="A599" s="95">
        <v>16266</v>
      </c>
      <c r="B599" s="188" t="s">
        <v>597</v>
      </c>
      <c r="C599" s="188" t="s">
        <v>597</v>
      </c>
      <c r="D599" s="116">
        <v>46120</v>
      </c>
      <c r="E599" s="116">
        <v>46119</v>
      </c>
      <c r="F599" s="143" t="s">
        <v>62</v>
      </c>
      <c r="G599" s="179" t="s">
        <v>71</v>
      </c>
      <c r="H599" s="179" t="s">
        <v>140</v>
      </c>
      <c r="I599" s="188" t="s">
        <v>1801</v>
      </c>
      <c r="J599" s="27" t="s">
        <v>142</v>
      </c>
      <c r="K599" s="111" t="s">
        <v>351</v>
      </c>
      <c r="L599" s="33">
        <v>1</v>
      </c>
      <c r="M599" s="159" t="s">
        <v>247</v>
      </c>
      <c r="N599" s="33" t="s">
        <v>55</v>
      </c>
      <c r="O599" s="33">
        <v>0</v>
      </c>
      <c r="P599" s="33"/>
      <c r="Q599" s="33" t="s">
        <v>55</v>
      </c>
      <c r="R599" s="33" t="s">
        <v>55</v>
      </c>
      <c r="S599" s="33">
        <v>0</v>
      </c>
      <c r="T599" s="33" t="s">
        <v>55</v>
      </c>
      <c r="U599" s="33" t="s">
        <v>55</v>
      </c>
      <c r="V599" s="33" t="s">
        <v>55</v>
      </c>
      <c r="W599" s="33" t="s">
        <v>55</v>
      </c>
      <c r="X599" s="33" t="s">
        <v>55</v>
      </c>
      <c r="Y599" s="33" t="s">
        <v>55</v>
      </c>
      <c r="Z599" s="33" t="s">
        <v>55</v>
      </c>
      <c r="AA599" s="33">
        <v>2</v>
      </c>
      <c r="AB599" s="33">
        <v>2</v>
      </c>
      <c r="AC599" s="33">
        <v>0</v>
      </c>
      <c r="AD599" s="28">
        <v>46139</v>
      </c>
      <c r="AE599" s="180">
        <v>46142</v>
      </c>
      <c r="AF599" s="28" t="s">
        <v>55</v>
      </c>
      <c r="AG599" s="180">
        <v>46142</v>
      </c>
      <c r="AH599" s="180">
        <v>46142</v>
      </c>
      <c r="AI599" s="33">
        <f>MONTH(AH599)</f>
        <v>4</v>
      </c>
      <c r="AJ599" s="144" t="s">
        <v>1819</v>
      </c>
      <c r="AK599" s="114" t="s">
        <v>1820</v>
      </c>
      <c r="AL599" s="19" t="str">
        <f t="shared" si="69"/>
        <v>N/A</v>
      </c>
      <c r="AM599" s="67" t="str">
        <f>IFERROR(NETWORKDAYS(D599,Q599,Hoja1!$A$1:$A$29),"N/A")</f>
        <v>N/A</v>
      </c>
      <c r="AN599" s="21">
        <f>IFERROR(NETWORKDAYS(D599,AE599,Hoja1!$A$1:$A$29),"N/A")</f>
        <v>17</v>
      </c>
      <c r="AO599" s="78">
        <v>0</v>
      </c>
      <c r="AP599" s="21">
        <f t="shared" si="67"/>
        <v>17</v>
      </c>
      <c r="AQ599" s="21" t="str">
        <f>IFERROR(NETWORKDAYS(AF599,AG599,Hoja1!$A$1:$A$29),"N/A")</f>
        <v>N/A</v>
      </c>
      <c r="AR599" s="78">
        <v>0</v>
      </c>
      <c r="AS599" s="21" t="s">
        <v>82</v>
      </c>
      <c r="AT599" s="21">
        <f>IFERROR(NETWORKDAYS(D599,AG599,Hoja1!$A$1:$A$29),"N/A")</f>
        <v>17</v>
      </c>
      <c r="AU599" s="21">
        <f t="shared" si="66"/>
        <v>17</v>
      </c>
      <c r="AV599" s="143" t="s">
        <v>145</v>
      </c>
      <c r="AW599" s="86" t="s">
        <v>610</v>
      </c>
      <c r="AX599" s="87"/>
      <c r="AY599" s="87"/>
      <c r="AZ599" s="87"/>
      <c r="BA599" s="87"/>
      <c r="BB599" s="87"/>
    </row>
    <row r="600" spans="1:54" ht="15" customHeight="1" x14ac:dyDescent="0.25">
      <c r="A600" s="55">
        <v>16277</v>
      </c>
      <c r="B600" s="159" t="s">
        <v>69</v>
      </c>
      <c r="C600" s="43" t="s">
        <v>98</v>
      </c>
      <c r="D600" s="434">
        <v>46099</v>
      </c>
      <c r="E600" s="53">
        <v>46120</v>
      </c>
      <c r="F600" s="143" t="s">
        <v>90</v>
      </c>
      <c r="G600" s="159" t="s">
        <v>91</v>
      </c>
      <c r="H600" s="111" t="s">
        <v>51</v>
      </c>
      <c r="I600" s="240" t="s">
        <v>456</v>
      </c>
      <c r="J600" s="111" t="s">
        <v>52</v>
      </c>
      <c r="K600" s="111" t="s">
        <v>111</v>
      </c>
      <c r="L600" s="2">
        <v>1</v>
      </c>
      <c r="M600" s="111" t="s">
        <v>54</v>
      </c>
      <c r="N600" s="21" t="s">
        <v>55</v>
      </c>
      <c r="O600" s="21">
        <v>6</v>
      </c>
      <c r="P600" s="21" t="s">
        <v>112</v>
      </c>
      <c r="Q600" s="16">
        <v>46106</v>
      </c>
      <c r="R600" s="16">
        <v>46106</v>
      </c>
      <c r="S600" s="21">
        <v>6</v>
      </c>
      <c r="T600" s="21" t="s">
        <v>55</v>
      </c>
      <c r="U600" s="21" t="s">
        <v>55</v>
      </c>
      <c r="V600" s="21" t="s">
        <v>55</v>
      </c>
      <c r="W600" s="21" t="s">
        <v>55</v>
      </c>
      <c r="X600" s="21" t="s">
        <v>55</v>
      </c>
      <c r="Y600" s="21" t="s">
        <v>55</v>
      </c>
      <c r="Z600" s="21" t="s">
        <v>55</v>
      </c>
      <c r="AA600" s="21">
        <v>6</v>
      </c>
      <c r="AB600" s="21">
        <v>1</v>
      </c>
      <c r="AC600" s="21">
        <v>0</v>
      </c>
      <c r="AD600" s="53">
        <v>46126</v>
      </c>
      <c r="AE600" s="53">
        <v>46126</v>
      </c>
      <c r="AF600" s="53">
        <v>46126</v>
      </c>
      <c r="AG600" s="53">
        <v>46134</v>
      </c>
      <c r="AH600" s="53">
        <v>46139</v>
      </c>
      <c r="AI600" s="21">
        <v>4</v>
      </c>
      <c r="AJ600" s="159" t="s">
        <v>1821</v>
      </c>
      <c r="AK600" s="111" t="s">
        <v>1822</v>
      </c>
      <c r="AL600" s="19">
        <f t="shared" si="69"/>
        <v>1</v>
      </c>
      <c r="AM600" s="67">
        <f>IFERROR(NETWORKDAYS(D600,Q600,Hoja1!$A$1:$A$29),"N/A")</f>
        <v>5</v>
      </c>
      <c r="AN600" s="21">
        <f>IFERROR(NETWORKDAYS(D600,AE600,Hoja1!$A$1:$A$29),"N/A")</f>
        <v>17</v>
      </c>
      <c r="AO600" s="78">
        <v>0</v>
      </c>
      <c r="AP600" s="21">
        <f t="shared" si="67"/>
        <v>17</v>
      </c>
      <c r="AQ600" s="21">
        <f>IFERROR(NETWORKDAYS(AF600,AG600,Hoja1!$A$1:$A$29),"N/A")</f>
        <v>7</v>
      </c>
      <c r="AR600" s="78">
        <v>0</v>
      </c>
      <c r="AS600" s="75">
        <f t="shared" si="68"/>
        <v>7</v>
      </c>
      <c r="AT600" s="21">
        <f>IFERROR(NETWORKDAYS(D600,AG600,Hoja1!$A$1:$A$29),"N/A")</f>
        <v>23</v>
      </c>
      <c r="AU600" s="21">
        <f t="shared" si="66"/>
        <v>23</v>
      </c>
      <c r="AV600" s="143" t="s">
        <v>127</v>
      </c>
      <c r="AW600" s="86" t="s">
        <v>1823</v>
      </c>
      <c r="AX600" s="87"/>
      <c r="AY600" s="87"/>
      <c r="AZ600" s="87"/>
      <c r="BA600" s="87"/>
      <c r="BB600" s="87"/>
    </row>
    <row r="601" spans="1:54" ht="15" customHeight="1" x14ac:dyDescent="0.25">
      <c r="A601" s="55">
        <v>16278</v>
      </c>
      <c r="B601" s="159" t="s">
        <v>69</v>
      </c>
      <c r="C601" s="43" t="s">
        <v>98</v>
      </c>
      <c r="D601" s="53">
        <v>46099</v>
      </c>
      <c r="E601" s="53">
        <v>46120</v>
      </c>
      <c r="F601" s="143" t="s">
        <v>90</v>
      </c>
      <c r="G601" s="159" t="s">
        <v>91</v>
      </c>
      <c r="H601" s="111" t="s">
        <v>51</v>
      </c>
      <c r="I601" s="240" t="s">
        <v>456</v>
      </c>
      <c r="J601" s="111" t="s">
        <v>52</v>
      </c>
      <c r="K601" s="111" t="s">
        <v>111</v>
      </c>
      <c r="L601" s="2">
        <v>1</v>
      </c>
      <c r="M601" s="111" t="s">
        <v>54</v>
      </c>
      <c r="N601" s="21" t="s">
        <v>55</v>
      </c>
      <c r="O601" s="21">
        <v>5</v>
      </c>
      <c r="P601" s="21" t="s">
        <v>112</v>
      </c>
      <c r="Q601" s="16">
        <v>46106</v>
      </c>
      <c r="R601" s="16">
        <v>46106</v>
      </c>
      <c r="S601" s="21">
        <v>5</v>
      </c>
      <c r="T601" s="21" t="s">
        <v>55</v>
      </c>
      <c r="U601" s="21" t="s">
        <v>55</v>
      </c>
      <c r="V601" s="21" t="s">
        <v>55</v>
      </c>
      <c r="W601" s="21" t="s">
        <v>55</v>
      </c>
      <c r="X601" s="21" t="s">
        <v>55</v>
      </c>
      <c r="Y601" s="21" t="s">
        <v>55</v>
      </c>
      <c r="Z601" s="21" t="s">
        <v>55</v>
      </c>
      <c r="AA601" s="21">
        <v>5</v>
      </c>
      <c r="AB601" s="21">
        <v>1</v>
      </c>
      <c r="AC601" s="21">
        <v>0</v>
      </c>
      <c r="AD601" s="53">
        <v>46126</v>
      </c>
      <c r="AE601" s="53">
        <v>46126</v>
      </c>
      <c r="AF601" s="53">
        <v>46126</v>
      </c>
      <c r="AG601" s="53">
        <v>46133</v>
      </c>
      <c r="AH601" s="53">
        <v>46139</v>
      </c>
      <c r="AI601" s="21">
        <v>4</v>
      </c>
      <c r="AJ601" s="159" t="s">
        <v>1824</v>
      </c>
      <c r="AK601" s="111" t="s">
        <v>1825</v>
      </c>
      <c r="AL601" s="19">
        <f t="shared" si="69"/>
        <v>1</v>
      </c>
      <c r="AM601" s="67">
        <f>IFERROR(NETWORKDAYS(D601,Q601,Hoja1!$A$1:$A$29),"N/A")</f>
        <v>5</v>
      </c>
      <c r="AN601" s="21">
        <f>IFERROR(NETWORKDAYS(D601,AE601,Hoja1!$A$1:$A$29),"N/A")</f>
        <v>17</v>
      </c>
      <c r="AO601" s="78">
        <v>0</v>
      </c>
      <c r="AP601" s="21">
        <f t="shared" si="67"/>
        <v>17</v>
      </c>
      <c r="AQ601" s="21">
        <f>IFERROR(NETWORKDAYS(AF601,AG601,Hoja1!$A$1:$A$29),"N/A")</f>
        <v>6</v>
      </c>
      <c r="AR601" s="78">
        <v>0</v>
      </c>
      <c r="AS601" s="75">
        <f t="shared" si="68"/>
        <v>6</v>
      </c>
      <c r="AT601" s="21">
        <f>IFERROR(NETWORKDAYS(D601,AG601,Hoja1!$A$1:$A$29),"N/A")</f>
        <v>22</v>
      </c>
      <c r="AU601" s="21">
        <f t="shared" si="66"/>
        <v>22</v>
      </c>
      <c r="AV601" s="143" t="s">
        <v>127</v>
      </c>
      <c r="AW601" s="86" t="s">
        <v>1826</v>
      </c>
      <c r="AX601" s="87"/>
      <c r="AY601" s="87"/>
      <c r="AZ601" s="87"/>
      <c r="BA601" s="87"/>
      <c r="BB601" s="87"/>
    </row>
    <row r="602" spans="1:54" ht="15" customHeight="1" x14ac:dyDescent="0.25">
      <c r="A602" s="95">
        <v>16279</v>
      </c>
      <c r="B602" s="159" t="s">
        <v>69</v>
      </c>
      <c r="C602" s="188" t="s">
        <v>202</v>
      </c>
      <c r="D602" s="421">
        <v>46127</v>
      </c>
      <c r="E602" s="116">
        <v>46120</v>
      </c>
      <c r="F602" s="143" t="s">
        <v>62</v>
      </c>
      <c r="G602" s="179" t="s">
        <v>71</v>
      </c>
      <c r="H602" s="179" t="s">
        <v>271</v>
      </c>
      <c r="I602" s="27" t="s">
        <v>96</v>
      </c>
      <c r="J602" s="87" t="s">
        <v>73</v>
      </c>
      <c r="K602" s="111" t="s">
        <v>351</v>
      </c>
      <c r="L602" s="2">
        <v>1</v>
      </c>
      <c r="M602" s="111" t="s">
        <v>54</v>
      </c>
      <c r="N602" s="33" t="s">
        <v>55</v>
      </c>
      <c r="O602" s="33">
        <v>0</v>
      </c>
      <c r="P602" s="21"/>
      <c r="Q602" s="33" t="s">
        <v>55</v>
      </c>
      <c r="R602" s="33" t="s">
        <v>55</v>
      </c>
      <c r="S602" s="33">
        <v>0</v>
      </c>
      <c r="T602" s="33" t="s">
        <v>55</v>
      </c>
      <c r="U602" s="33" t="s">
        <v>55</v>
      </c>
      <c r="V602" s="33" t="s">
        <v>55</v>
      </c>
      <c r="W602" s="33" t="s">
        <v>55</v>
      </c>
      <c r="X602" s="33" t="s">
        <v>55</v>
      </c>
      <c r="Y602" s="33" t="s">
        <v>55</v>
      </c>
      <c r="Z602" s="33" t="s">
        <v>55</v>
      </c>
      <c r="AA602" s="33">
        <v>0</v>
      </c>
      <c r="AB602" s="33">
        <v>0</v>
      </c>
      <c r="AC602" s="33">
        <v>0</v>
      </c>
      <c r="AD602" s="33" t="s">
        <v>55</v>
      </c>
      <c r="AE602" s="28">
        <v>46127</v>
      </c>
      <c r="AF602" s="28">
        <v>46128</v>
      </c>
      <c r="AG602" s="28">
        <v>46135</v>
      </c>
      <c r="AH602" s="53">
        <v>46139</v>
      </c>
      <c r="AI602" s="33">
        <f>MONTH(AH602)</f>
        <v>4</v>
      </c>
      <c r="AJ602" s="144" t="s">
        <v>1200</v>
      </c>
      <c r="AK602" s="114" t="s">
        <v>1827</v>
      </c>
      <c r="AL602" s="19" t="str">
        <f t="shared" si="69"/>
        <v>N/A</v>
      </c>
      <c r="AM602" s="67" t="str">
        <f>IFERROR(NETWORKDAYS(D602,Q602,Hoja1!$A$1:$A$29),"N/A")</f>
        <v>N/A</v>
      </c>
      <c r="AN602" s="21">
        <f>IFERROR(NETWORKDAYS(D602,AE602,Hoja1!$A$1:$A$29),"N/A")</f>
        <v>1</v>
      </c>
      <c r="AO602" s="78">
        <v>0</v>
      </c>
      <c r="AP602" s="19" t="s">
        <v>82</v>
      </c>
      <c r="AQ602" s="21">
        <f>IFERROR(NETWORKDAYS(AF602,AG602,Hoja1!$A$1:$A$29),"N/A")</f>
        <v>6</v>
      </c>
      <c r="AR602" s="78">
        <v>0</v>
      </c>
      <c r="AS602" s="75">
        <f t="shared" si="68"/>
        <v>6</v>
      </c>
      <c r="AT602" s="21">
        <f>IFERROR(NETWORKDAYS(D602,AG602,Hoja1!$A$1:$A$29),"N/A")</f>
        <v>7</v>
      </c>
      <c r="AU602" s="21">
        <f t="shared" si="66"/>
        <v>7</v>
      </c>
      <c r="AV602" s="143" t="s">
        <v>104</v>
      </c>
      <c r="AW602" s="86" t="s">
        <v>82</v>
      </c>
      <c r="AX602" s="87"/>
      <c r="AY602" s="87"/>
      <c r="AZ602" s="87"/>
      <c r="BA602" s="87"/>
      <c r="BB602" s="87"/>
    </row>
    <row r="603" spans="1:54" ht="15" customHeight="1" x14ac:dyDescent="0.25">
      <c r="A603" s="95">
        <v>16282</v>
      </c>
      <c r="B603" s="48" t="s">
        <v>169</v>
      </c>
      <c r="C603" s="48" t="s">
        <v>169</v>
      </c>
      <c r="D603" s="116">
        <v>46125</v>
      </c>
      <c r="E603" s="116">
        <v>46121</v>
      </c>
      <c r="F603" s="114" t="s">
        <v>62</v>
      </c>
      <c r="G603" s="179" t="s">
        <v>71</v>
      </c>
      <c r="H603" s="179" t="s">
        <v>101</v>
      </c>
      <c r="I603" s="240" t="s">
        <v>1828</v>
      </c>
      <c r="J603" s="87" t="s">
        <v>142</v>
      </c>
      <c r="K603" s="87" t="s">
        <v>1385</v>
      </c>
      <c r="L603" s="1">
        <v>1</v>
      </c>
      <c r="M603" s="111" t="s">
        <v>54</v>
      </c>
      <c r="N603" s="33" t="s">
        <v>55</v>
      </c>
      <c r="O603" s="33">
        <v>0</v>
      </c>
      <c r="P603" s="33"/>
      <c r="Q603" s="33" t="s">
        <v>55</v>
      </c>
      <c r="R603" s="33" t="s">
        <v>55</v>
      </c>
      <c r="S603" s="33">
        <v>0</v>
      </c>
      <c r="T603" s="33" t="s">
        <v>55</v>
      </c>
      <c r="U603" s="33" t="s">
        <v>55</v>
      </c>
      <c r="V603" s="33" t="s">
        <v>55</v>
      </c>
      <c r="W603" s="33" t="s">
        <v>55</v>
      </c>
      <c r="X603" s="33" t="s">
        <v>55</v>
      </c>
      <c r="Y603" s="33" t="s">
        <v>55</v>
      </c>
      <c r="Z603" s="33" t="s">
        <v>55</v>
      </c>
      <c r="AA603" s="33">
        <v>4</v>
      </c>
      <c r="AB603" s="33">
        <v>4</v>
      </c>
      <c r="AC603" s="33">
        <v>0</v>
      </c>
      <c r="AD603" s="16">
        <v>46128</v>
      </c>
      <c r="AE603" s="16">
        <v>46132</v>
      </c>
      <c r="AF603" s="16">
        <v>46132</v>
      </c>
      <c r="AG603" s="53">
        <v>46133</v>
      </c>
      <c r="AH603" s="53">
        <v>46139</v>
      </c>
      <c r="AI603" s="33">
        <f>MONTH(AH603)</f>
        <v>4</v>
      </c>
      <c r="AJ603" s="240" t="s">
        <v>1829</v>
      </c>
      <c r="AK603" s="49" t="s">
        <v>1830</v>
      </c>
      <c r="AL603" s="19" t="str">
        <f t="shared" si="69"/>
        <v>N/A</v>
      </c>
      <c r="AM603" s="67" t="str">
        <f>IFERROR(NETWORKDAYS(D603,Q603,Hoja1!$A$1:$A$29),"N/A")</f>
        <v>N/A</v>
      </c>
      <c r="AN603" s="21">
        <f>IFERROR(NETWORKDAYS(D603,AE603,Hoja1!$A$1:$A$29),"N/A")</f>
        <v>6</v>
      </c>
      <c r="AO603" s="78">
        <v>0</v>
      </c>
      <c r="AP603" s="21">
        <f t="shared" si="67"/>
        <v>6</v>
      </c>
      <c r="AQ603" s="21">
        <f>IFERROR(NETWORKDAYS(AF603,AG603,Hoja1!$A$1:$A$29),"N/A")</f>
        <v>2</v>
      </c>
      <c r="AR603" s="78">
        <v>0</v>
      </c>
      <c r="AS603" s="75">
        <f t="shared" si="68"/>
        <v>2</v>
      </c>
      <c r="AT603" s="21">
        <f>IFERROR(NETWORKDAYS(D603,AG603,Hoja1!$A$1:$A$29),"N/A")</f>
        <v>7</v>
      </c>
      <c r="AU603" s="21">
        <f t="shared" si="66"/>
        <v>7</v>
      </c>
      <c r="AV603" s="143" t="s">
        <v>104</v>
      </c>
      <c r="AW603" s="86" t="s">
        <v>756</v>
      </c>
      <c r="AX603" s="87"/>
      <c r="AY603" s="87"/>
      <c r="AZ603" s="87"/>
      <c r="BA603" s="87"/>
      <c r="BB603" s="87"/>
    </row>
    <row r="604" spans="1:54" ht="15" customHeight="1" x14ac:dyDescent="0.25">
      <c r="A604" s="55">
        <v>16293</v>
      </c>
      <c r="B604" s="27" t="s">
        <v>79</v>
      </c>
      <c r="C604" s="27" t="s">
        <v>79</v>
      </c>
      <c r="D604" s="434">
        <v>46118</v>
      </c>
      <c r="E604" s="53">
        <v>46123</v>
      </c>
      <c r="F604" s="143" t="s">
        <v>90</v>
      </c>
      <c r="G604" s="159" t="s">
        <v>91</v>
      </c>
      <c r="H604" s="111" t="s">
        <v>51</v>
      </c>
      <c r="I604" s="87" t="s">
        <v>92</v>
      </c>
      <c r="J604" s="111" t="s">
        <v>52</v>
      </c>
      <c r="K604" s="111" t="s">
        <v>171</v>
      </c>
      <c r="L604" s="2">
        <v>1</v>
      </c>
      <c r="M604" s="111" t="s">
        <v>54</v>
      </c>
      <c r="N604" s="21" t="s">
        <v>55</v>
      </c>
      <c r="O604" s="21">
        <v>3</v>
      </c>
      <c r="P604" s="21" t="s">
        <v>112</v>
      </c>
      <c r="Q604" s="53">
        <v>46123</v>
      </c>
      <c r="R604" s="53">
        <v>46123</v>
      </c>
      <c r="S604" s="21">
        <v>3</v>
      </c>
      <c r="T604" s="21" t="s">
        <v>55</v>
      </c>
      <c r="U604" s="21" t="s">
        <v>55</v>
      </c>
      <c r="V604" s="21" t="s">
        <v>55</v>
      </c>
      <c r="W604" s="21" t="s">
        <v>55</v>
      </c>
      <c r="X604" s="21" t="s">
        <v>55</v>
      </c>
      <c r="Y604" s="21" t="s">
        <v>55</v>
      </c>
      <c r="Z604" s="21" t="s">
        <v>55</v>
      </c>
      <c r="AA604" s="21">
        <v>3</v>
      </c>
      <c r="AB604" s="21">
        <v>1</v>
      </c>
      <c r="AC604" s="21">
        <v>0</v>
      </c>
      <c r="AD604" s="53">
        <v>46127</v>
      </c>
      <c r="AE604" s="53">
        <v>46127</v>
      </c>
      <c r="AF604" s="53">
        <v>46127</v>
      </c>
      <c r="AG604" s="53">
        <v>46133</v>
      </c>
      <c r="AH604" s="53">
        <v>46139</v>
      </c>
      <c r="AI604" s="21">
        <v>4</v>
      </c>
      <c r="AJ604" s="159" t="s">
        <v>1831</v>
      </c>
      <c r="AK604" s="111" t="s">
        <v>1832</v>
      </c>
      <c r="AL604" s="19">
        <f t="shared" si="69"/>
        <v>1</v>
      </c>
      <c r="AM604" s="67">
        <f>IFERROR(NETWORKDAYS(D604,Q604,Hoja1!$A$1:$A$29),"N/A")</f>
        <v>5</v>
      </c>
      <c r="AN604" s="21">
        <f>IFERROR(NETWORKDAYS(D604,AE604,Hoja1!$A$1:$A$29),"N/A")</f>
        <v>8</v>
      </c>
      <c r="AO604" s="78">
        <v>0</v>
      </c>
      <c r="AP604" s="21">
        <f t="shared" si="67"/>
        <v>8</v>
      </c>
      <c r="AQ604" s="21">
        <f>IFERROR(NETWORKDAYS(AF604,AG604,Hoja1!$A$1:$A$29),"N/A")</f>
        <v>5</v>
      </c>
      <c r="AR604" s="78">
        <v>0</v>
      </c>
      <c r="AS604" s="75">
        <f t="shared" si="68"/>
        <v>5</v>
      </c>
      <c r="AT604" s="21">
        <f>IFERROR(NETWORKDAYS(D604,AG604,Hoja1!$A$1:$A$29),"N/A")</f>
        <v>12</v>
      </c>
      <c r="AU604" s="21">
        <f t="shared" si="66"/>
        <v>12</v>
      </c>
      <c r="AV604" s="143" t="s">
        <v>104</v>
      </c>
      <c r="AW604" s="86" t="s">
        <v>1013</v>
      </c>
      <c r="AX604" s="87"/>
      <c r="AY604" s="87"/>
      <c r="AZ604" s="87"/>
      <c r="BA604" s="87"/>
      <c r="BB604" s="87"/>
    </row>
    <row r="605" spans="1:54" ht="15" customHeight="1" x14ac:dyDescent="0.25">
      <c r="A605" s="95">
        <v>16317</v>
      </c>
      <c r="B605" s="159" t="s">
        <v>69</v>
      </c>
      <c r="C605" s="43" t="s">
        <v>98</v>
      </c>
      <c r="D605" s="116">
        <v>46107</v>
      </c>
      <c r="E605" s="116">
        <v>46125</v>
      </c>
      <c r="F605" s="84" t="s">
        <v>62</v>
      </c>
      <c r="G605" s="84" t="s">
        <v>80</v>
      </c>
      <c r="H605" s="111" t="s">
        <v>51</v>
      </c>
      <c r="I605" s="240" t="s">
        <v>885</v>
      </c>
      <c r="J605" s="111" t="s">
        <v>52</v>
      </c>
      <c r="K605" s="84" t="s">
        <v>66</v>
      </c>
      <c r="L605" s="33">
        <v>1</v>
      </c>
      <c r="M605" s="111" t="s">
        <v>54</v>
      </c>
      <c r="N605" s="33" t="s">
        <v>55</v>
      </c>
      <c r="O605" s="33">
        <v>3</v>
      </c>
      <c r="P605" s="21" t="s">
        <v>112</v>
      </c>
      <c r="Q605" s="16">
        <v>46112</v>
      </c>
      <c r="R605" s="16">
        <v>46112</v>
      </c>
      <c r="S605" s="33">
        <v>3</v>
      </c>
      <c r="T605" s="33" t="s">
        <v>55</v>
      </c>
      <c r="U605" s="33" t="s">
        <v>55</v>
      </c>
      <c r="V605" s="33" t="s">
        <v>55</v>
      </c>
      <c r="W605" s="33" t="s">
        <v>55</v>
      </c>
      <c r="X605" s="33" t="s">
        <v>55</v>
      </c>
      <c r="Y605" s="33" t="s">
        <v>55</v>
      </c>
      <c r="Z605" s="21" t="s">
        <v>55</v>
      </c>
      <c r="AA605" s="33">
        <v>1</v>
      </c>
      <c r="AB605" s="33">
        <v>1</v>
      </c>
      <c r="AC605" s="33">
        <v>0</v>
      </c>
      <c r="AD605" s="53">
        <v>46127</v>
      </c>
      <c r="AE605" s="53">
        <v>46127</v>
      </c>
      <c r="AF605" s="53">
        <v>46127</v>
      </c>
      <c r="AG605" s="16">
        <v>46134</v>
      </c>
      <c r="AH605" s="53">
        <v>46139</v>
      </c>
      <c r="AI605" s="33">
        <v>4</v>
      </c>
      <c r="AJ605" s="144" t="s">
        <v>1833</v>
      </c>
      <c r="AK605" s="35" t="s">
        <v>1834</v>
      </c>
      <c r="AL605" s="19">
        <f t="shared" si="69"/>
        <v>1</v>
      </c>
      <c r="AM605" s="67">
        <f>IFERROR(NETWORKDAYS(D605,Q605,Hoja1!$A$1:$A$29),"N/A")</f>
        <v>4</v>
      </c>
      <c r="AN605" s="21">
        <f>IFERROR(NETWORKDAYS(D605,AE605,Hoja1!$A$1:$A$29),"N/A")</f>
        <v>13</v>
      </c>
      <c r="AO605" s="78">
        <v>0</v>
      </c>
      <c r="AP605" s="21">
        <f t="shared" si="67"/>
        <v>13</v>
      </c>
      <c r="AQ605" s="21">
        <f>IFERROR(NETWORKDAYS(AF605,AG605,Hoja1!$A$1:$A$29),"N/A")</f>
        <v>6</v>
      </c>
      <c r="AR605" s="78">
        <v>1</v>
      </c>
      <c r="AS605" s="75">
        <f t="shared" si="68"/>
        <v>5</v>
      </c>
      <c r="AT605" s="21">
        <f>IFERROR(NETWORKDAYS(D605,AG605,Hoja1!$A$1:$A$29),"N/A")</f>
        <v>18</v>
      </c>
      <c r="AU605" s="21">
        <f t="shared" si="66"/>
        <v>17</v>
      </c>
      <c r="AV605" s="143" t="s">
        <v>59</v>
      </c>
      <c r="AW605" s="86" t="s">
        <v>901</v>
      </c>
      <c r="AX605" s="87"/>
      <c r="AY605" s="87"/>
      <c r="AZ605" s="87"/>
      <c r="BA605" s="87"/>
      <c r="BB605" s="87"/>
    </row>
    <row r="606" spans="1:54" ht="15" customHeight="1" x14ac:dyDescent="0.25">
      <c r="A606" s="55">
        <v>16322</v>
      </c>
      <c r="B606" s="27" t="s">
        <v>79</v>
      </c>
      <c r="C606" s="27" t="s">
        <v>79</v>
      </c>
      <c r="D606" s="434">
        <v>46088</v>
      </c>
      <c r="E606" s="53">
        <v>46126</v>
      </c>
      <c r="F606" s="143" t="s">
        <v>90</v>
      </c>
      <c r="G606" s="159" t="s">
        <v>91</v>
      </c>
      <c r="H606" s="111" t="s">
        <v>51</v>
      </c>
      <c r="I606" s="27" t="s">
        <v>72</v>
      </c>
      <c r="J606" s="87" t="s">
        <v>73</v>
      </c>
      <c r="K606" s="111" t="s">
        <v>171</v>
      </c>
      <c r="L606" s="2">
        <v>1</v>
      </c>
      <c r="M606" s="111" t="s">
        <v>54</v>
      </c>
      <c r="N606" s="21" t="s">
        <v>55</v>
      </c>
      <c r="O606" s="21">
        <v>4</v>
      </c>
      <c r="P606" s="21" t="s">
        <v>112</v>
      </c>
      <c r="Q606" s="16">
        <v>46099</v>
      </c>
      <c r="R606" s="16">
        <v>46099</v>
      </c>
      <c r="S606" s="21">
        <v>4</v>
      </c>
      <c r="T606" s="21" t="s">
        <v>55</v>
      </c>
      <c r="U606" s="21" t="s">
        <v>55</v>
      </c>
      <c r="V606" s="21" t="s">
        <v>55</v>
      </c>
      <c r="W606" s="21" t="s">
        <v>55</v>
      </c>
      <c r="X606" s="21" t="s">
        <v>55</v>
      </c>
      <c r="Y606" s="21" t="s">
        <v>55</v>
      </c>
      <c r="Z606" s="21" t="s">
        <v>55</v>
      </c>
      <c r="AA606" s="21">
        <v>4</v>
      </c>
      <c r="AB606" s="21">
        <v>1</v>
      </c>
      <c r="AC606" s="21">
        <v>0</v>
      </c>
      <c r="AD606" s="53">
        <v>46119</v>
      </c>
      <c r="AE606" s="53">
        <v>46119</v>
      </c>
      <c r="AF606" s="53">
        <v>46120</v>
      </c>
      <c r="AG606" s="53">
        <v>46127</v>
      </c>
      <c r="AH606" s="180">
        <v>46127</v>
      </c>
      <c r="AI606" s="21">
        <v>4</v>
      </c>
      <c r="AJ606" s="159" t="s">
        <v>1835</v>
      </c>
      <c r="AK606" s="111" t="s">
        <v>1836</v>
      </c>
      <c r="AL606" s="19">
        <f t="shared" si="69"/>
        <v>1</v>
      </c>
      <c r="AM606" s="67">
        <f>IFERROR(NETWORKDAYS(D606,Q606,Hoja1!$A$1:$A$29),"N/A")</f>
        <v>8</v>
      </c>
      <c r="AN606" s="21">
        <f>IFERROR(NETWORKDAYS(D606,AE606,Hoja1!$A$1:$A$29),"N/A")</f>
        <v>19</v>
      </c>
      <c r="AO606" s="78">
        <v>2</v>
      </c>
      <c r="AP606" s="21">
        <f t="shared" si="67"/>
        <v>17</v>
      </c>
      <c r="AQ606" s="21">
        <f>IFERROR(NETWORKDAYS(AF606,AG606,Hoja1!$A$1:$A$29),"N/A")</f>
        <v>6</v>
      </c>
      <c r="AR606" s="78">
        <v>0</v>
      </c>
      <c r="AS606" s="75">
        <f t="shared" si="68"/>
        <v>6</v>
      </c>
      <c r="AT606" s="21">
        <f>IFERROR(NETWORKDAYS(D606,AG606,Hoja1!$A$1:$A$29),"N/A")</f>
        <v>25</v>
      </c>
      <c r="AU606" s="21">
        <f t="shared" si="66"/>
        <v>23</v>
      </c>
      <c r="AV606" s="143" t="s">
        <v>77</v>
      </c>
      <c r="AW606" s="86" t="s">
        <v>82</v>
      </c>
      <c r="AX606" s="87"/>
      <c r="AY606" s="87"/>
      <c r="AZ606" s="87"/>
      <c r="BA606" s="87"/>
      <c r="BB606" s="87"/>
    </row>
    <row r="607" spans="1:54" ht="15" customHeight="1" x14ac:dyDescent="0.25">
      <c r="A607" s="55">
        <v>16324</v>
      </c>
      <c r="B607" s="48" t="s">
        <v>169</v>
      </c>
      <c r="C607" s="48" t="s">
        <v>169</v>
      </c>
      <c r="D607" s="53">
        <v>46126</v>
      </c>
      <c r="E607" s="53">
        <v>46126</v>
      </c>
      <c r="F607" s="143" t="s">
        <v>99</v>
      </c>
      <c r="G607" s="152" t="s">
        <v>100</v>
      </c>
      <c r="H607" s="179" t="s">
        <v>101</v>
      </c>
      <c r="I607" s="152" t="s">
        <v>1837</v>
      </c>
      <c r="J607" s="111" t="s">
        <v>105</v>
      </c>
      <c r="K607" s="111" t="s">
        <v>129</v>
      </c>
      <c r="L607" s="2">
        <v>1</v>
      </c>
      <c r="M607" s="111" t="s">
        <v>54</v>
      </c>
      <c r="N607" s="21" t="s">
        <v>55</v>
      </c>
      <c r="O607" s="21">
        <v>0</v>
      </c>
      <c r="P607" s="21"/>
      <c r="Q607" s="21" t="s">
        <v>55</v>
      </c>
      <c r="R607" s="21" t="s">
        <v>55</v>
      </c>
      <c r="S607" s="21">
        <v>0</v>
      </c>
      <c r="T607" s="21" t="s">
        <v>55</v>
      </c>
      <c r="U607" s="21" t="s">
        <v>55</v>
      </c>
      <c r="V607" s="21" t="s">
        <v>55</v>
      </c>
      <c r="W607" s="21" t="s">
        <v>55</v>
      </c>
      <c r="X607" s="21" t="s">
        <v>55</v>
      </c>
      <c r="Y607" s="21" t="s">
        <v>55</v>
      </c>
      <c r="Z607" s="21" t="s">
        <v>55</v>
      </c>
      <c r="AA607" s="21">
        <v>1</v>
      </c>
      <c r="AB607" s="21">
        <v>1</v>
      </c>
      <c r="AC607" s="21">
        <v>0</v>
      </c>
      <c r="AD607" s="16">
        <v>46132</v>
      </c>
      <c r="AE607" s="16">
        <v>46132</v>
      </c>
      <c r="AF607" s="16">
        <v>46128</v>
      </c>
      <c r="AG607" s="53">
        <v>46136</v>
      </c>
      <c r="AH607" s="53">
        <v>46139</v>
      </c>
      <c r="AI607" s="21">
        <v>4</v>
      </c>
      <c r="AJ607" s="152" t="s">
        <v>1838</v>
      </c>
      <c r="AK607" s="111" t="s">
        <v>1839</v>
      </c>
      <c r="AL607" s="19" t="str">
        <f t="shared" si="69"/>
        <v>N/A</v>
      </c>
      <c r="AM607" s="67" t="str">
        <f>IFERROR(NETWORKDAYS(D607,Q607,Hoja1!$A$1:$A$29),"N/A")</f>
        <v>N/A</v>
      </c>
      <c r="AN607" s="21">
        <f>IFERROR(NETWORKDAYS(D607,AE607,Hoja1!$A$1:$A$29),"N/A")</f>
        <v>5</v>
      </c>
      <c r="AO607" s="78">
        <v>0</v>
      </c>
      <c r="AP607" s="21">
        <f t="shared" si="67"/>
        <v>5</v>
      </c>
      <c r="AQ607" s="21">
        <f>IFERROR(NETWORKDAYS(AF607,AG607,Hoja1!$A$1:$A$29),"N/A")</f>
        <v>7</v>
      </c>
      <c r="AR607" s="78">
        <v>2</v>
      </c>
      <c r="AS607" s="75">
        <f t="shared" si="68"/>
        <v>5</v>
      </c>
      <c r="AT607" s="21">
        <f>IFERROR(NETWORKDAYS(D607,AG607,Hoja1!$A$1:$A$29),"N/A")</f>
        <v>9</v>
      </c>
      <c r="AU607" s="21">
        <f t="shared" si="66"/>
        <v>7</v>
      </c>
      <c r="AV607" s="143" t="s">
        <v>104</v>
      </c>
      <c r="AW607" s="86" t="s">
        <v>1840</v>
      </c>
      <c r="AX607" s="87"/>
      <c r="AY607" s="87"/>
      <c r="AZ607" s="87"/>
      <c r="BA607" s="87"/>
      <c r="BB607" s="87"/>
    </row>
    <row r="608" spans="1:54" ht="15" customHeight="1" x14ac:dyDescent="0.25">
      <c r="A608" s="95">
        <v>16342</v>
      </c>
      <c r="B608" s="159" t="s">
        <v>69</v>
      </c>
      <c r="C608" s="43" t="s">
        <v>98</v>
      </c>
      <c r="D608" s="421">
        <v>46128</v>
      </c>
      <c r="E608" s="28">
        <v>46132</v>
      </c>
      <c r="F608" s="84" t="s">
        <v>163</v>
      </c>
      <c r="G608" s="84" t="s">
        <v>688</v>
      </c>
      <c r="H608" s="179" t="s">
        <v>1465</v>
      </c>
      <c r="I608" s="240" t="s">
        <v>456</v>
      </c>
      <c r="J608" s="111" t="s">
        <v>52</v>
      </c>
      <c r="K608" s="87" t="s">
        <v>165</v>
      </c>
      <c r="L608" s="33">
        <v>1</v>
      </c>
      <c r="M608" s="159" t="s">
        <v>247</v>
      </c>
      <c r="N608" s="33" t="s">
        <v>55</v>
      </c>
      <c r="O608" s="33">
        <v>0</v>
      </c>
      <c r="P608" s="33"/>
      <c r="Q608" s="21" t="s">
        <v>55</v>
      </c>
      <c r="R608" s="21" t="s">
        <v>55</v>
      </c>
      <c r="S608" s="33">
        <v>0</v>
      </c>
      <c r="T608" s="33" t="s">
        <v>55</v>
      </c>
      <c r="U608" s="33" t="s">
        <v>55</v>
      </c>
      <c r="V608" s="33" t="s">
        <v>55</v>
      </c>
      <c r="W608" s="33" t="s">
        <v>55</v>
      </c>
      <c r="X608" s="33" t="s">
        <v>55</v>
      </c>
      <c r="Y608" s="33" t="s">
        <v>55</v>
      </c>
      <c r="Z608" s="33" t="s">
        <v>55</v>
      </c>
      <c r="AA608" s="33">
        <v>1</v>
      </c>
      <c r="AB608" s="33">
        <v>1</v>
      </c>
      <c r="AC608" s="33">
        <v>0</v>
      </c>
      <c r="AD608" s="28">
        <v>46133</v>
      </c>
      <c r="AE608" s="28">
        <v>46133</v>
      </c>
      <c r="AF608" s="28" t="s">
        <v>55</v>
      </c>
      <c r="AG608" s="53">
        <v>46133</v>
      </c>
      <c r="AH608" s="140">
        <v>46143</v>
      </c>
      <c r="AI608" s="33">
        <v>4</v>
      </c>
      <c r="AJ608" s="144" t="s">
        <v>1841</v>
      </c>
      <c r="AK608" s="35" t="s">
        <v>1842</v>
      </c>
      <c r="AL608" s="19" t="str">
        <f t="shared" si="69"/>
        <v>N/A</v>
      </c>
      <c r="AM608" s="67" t="str">
        <f>IFERROR(NETWORKDAYS(D608,Q608,Hoja1!$A$1:$A$29),"N/A")</f>
        <v>N/A</v>
      </c>
      <c r="AN608" s="21">
        <f>IFERROR(NETWORKDAYS(D608,AE608,Hoja1!$A$1:$A$29),"N/A")</f>
        <v>4</v>
      </c>
      <c r="AO608" s="78">
        <v>0</v>
      </c>
      <c r="AP608" s="21">
        <f t="shared" si="67"/>
        <v>4</v>
      </c>
      <c r="AQ608" s="21" t="str">
        <f>IFERROR(NETWORKDAYS(AF608,AG608,Hoja1!$A$1:$A$29),"N/A")</f>
        <v>N/A</v>
      </c>
      <c r="AR608" s="78">
        <v>0</v>
      </c>
      <c r="AS608" s="21" t="s">
        <v>82</v>
      </c>
      <c r="AT608" s="21">
        <f>IFERROR(NETWORKDAYS(D608,AG608,Hoja1!$A$1:$A$29),"N/A")</f>
        <v>4</v>
      </c>
      <c r="AU608" s="21">
        <f t="shared" si="66"/>
        <v>4</v>
      </c>
      <c r="AV608" s="143" t="s">
        <v>145</v>
      </c>
      <c r="AW608" s="86" t="s">
        <v>180</v>
      </c>
      <c r="AX608" s="87"/>
      <c r="AY608" s="87"/>
      <c r="AZ608" s="87"/>
      <c r="BA608" s="87"/>
      <c r="BB608" s="87"/>
    </row>
    <row r="609" spans="1:54" ht="15" customHeight="1" x14ac:dyDescent="0.25">
      <c r="A609" s="95" t="s">
        <v>1843</v>
      </c>
      <c r="B609" s="216" t="s">
        <v>85</v>
      </c>
      <c r="C609" s="216" t="s">
        <v>85</v>
      </c>
      <c r="D609" s="28">
        <v>46125</v>
      </c>
      <c r="E609" s="196">
        <v>46125</v>
      </c>
      <c r="F609" s="233" t="s">
        <v>62</v>
      </c>
      <c r="G609" s="218" t="s">
        <v>71</v>
      </c>
      <c r="H609" s="179" t="s">
        <v>1465</v>
      </c>
      <c r="I609" s="219" t="s">
        <v>1844</v>
      </c>
      <c r="J609" s="111" t="s">
        <v>52</v>
      </c>
      <c r="K609" s="217" t="s">
        <v>351</v>
      </c>
      <c r="L609" s="167">
        <v>1</v>
      </c>
      <c r="M609" s="159" t="s">
        <v>247</v>
      </c>
      <c r="N609" s="168" t="s">
        <v>55</v>
      </c>
      <c r="O609" s="168">
        <v>0</v>
      </c>
      <c r="P609" s="164"/>
      <c r="Q609" s="168" t="s">
        <v>55</v>
      </c>
      <c r="R609" s="168" t="s">
        <v>55</v>
      </c>
      <c r="S609" s="168">
        <v>0</v>
      </c>
      <c r="T609" s="168" t="s">
        <v>55</v>
      </c>
      <c r="U609" s="168" t="s">
        <v>55</v>
      </c>
      <c r="V609" s="168" t="s">
        <v>55</v>
      </c>
      <c r="W609" s="168" t="s">
        <v>55</v>
      </c>
      <c r="X609" s="168" t="s">
        <v>55</v>
      </c>
      <c r="Y609" s="168" t="s">
        <v>55</v>
      </c>
      <c r="Z609" s="168" t="s">
        <v>55</v>
      </c>
      <c r="AA609" s="168">
        <v>1</v>
      </c>
      <c r="AB609" s="168">
        <v>1</v>
      </c>
      <c r="AC609" s="168">
        <v>0</v>
      </c>
      <c r="AD609" s="196">
        <v>46134</v>
      </c>
      <c r="AE609" s="196">
        <v>46134</v>
      </c>
      <c r="AF609" s="28" t="s">
        <v>55</v>
      </c>
      <c r="AG609" s="196">
        <v>46134</v>
      </c>
      <c r="AH609" s="196">
        <v>46134</v>
      </c>
      <c r="AI609" s="168">
        <f t="shared" ref="AI609:AI618" si="70">MONTH(AH609)</f>
        <v>4</v>
      </c>
      <c r="AJ609" s="253" t="s">
        <v>1845</v>
      </c>
      <c r="AK609" s="215" t="s">
        <v>1846</v>
      </c>
      <c r="AL609" s="19" t="str">
        <f t="shared" si="69"/>
        <v>N/A</v>
      </c>
      <c r="AM609" s="67" t="str">
        <f>IFERROR(NETWORKDAYS(D609,Q609,Hoja1!$A$1:$A$29),"N/A")</f>
        <v>N/A</v>
      </c>
      <c r="AN609" s="21">
        <f>IFERROR(NETWORKDAYS(D609,AE609,Hoja1!$A$1:$A$29),"N/A")</f>
        <v>8</v>
      </c>
      <c r="AO609" s="78">
        <v>0</v>
      </c>
      <c r="AP609" s="21">
        <f t="shared" si="67"/>
        <v>8</v>
      </c>
      <c r="AQ609" s="21" t="str">
        <f>IFERROR(NETWORKDAYS(AF609,AG609,Hoja1!$A$1:$A$29),"N/A")</f>
        <v>N/A</v>
      </c>
      <c r="AR609" s="78">
        <v>0</v>
      </c>
      <c r="AS609" s="21" t="s">
        <v>82</v>
      </c>
      <c r="AT609" s="21">
        <f>IFERROR(NETWORKDAYS(D609,AG609,Hoja1!$A$1:$A$29),"N/A")</f>
        <v>8</v>
      </c>
      <c r="AU609" s="21">
        <f t="shared" si="66"/>
        <v>8</v>
      </c>
      <c r="AV609" s="143" t="s">
        <v>145</v>
      </c>
      <c r="AW609" s="86" t="s">
        <v>480</v>
      </c>
      <c r="AX609" s="87"/>
      <c r="AY609" s="87"/>
      <c r="AZ609" s="87"/>
      <c r="BA609" s="87"/>
      <c r="BB609" s="87"/>
    </row>
    <row r="610" spans="1:54" ht="15" customHeight="1" x14ac:dyDescent="0.25">
      <c r="A610" s="95" t="s">
        <v>1843</v>
      </c>
      <c r="B610" s="216" t="s">
        <v>85</v>
      </c>
      <c r="C610" s="216" t="s">
        <v>85</v>
      </c>
      <c r="D610" s="421">
        <v>46125</v>
      </c>
      <c r="E610" s="196">
        <v>46125</v>
      </c>
      <c r="F610" s="233" t="s">
        <v>62</v>
      </c>
      <c r="G610" s="218" t="s">
        <v>71</v>
      </c>
      <c r="H610" s="179" t="s">
        <v>1465</v>
      </c>
      <c r="I610" s="219" t="s">
        <v>1844</v>
      </c>
      <c r="J610" s="111" t="s">
        <v>52</v>
      </c>
      <c r="K610" s="217" t="s">
        <v>351</v>
      </c>
      <c r="L610" s="167">
        <v>1</v>
      </c>
      <c r="M610" s="159" t="s">
        <v>247</v>
      </c>
      <c r="N610" s="168" t="s">
        <v>55</v>
      </c>
      <c r="O610" s="168">
        <v>0</v>
      </c>
      <c r="P610" s="164"/>
      <c r="Q610" s="168" t="s">
        <v>55</v>
      </c>
      <c r="R610" s="168" t="s">
        <v>55</v>
      </c>
      <c r="S610" s="168">
        <v>0</v>
      </c>
      <c r="T610" s="168" t="s">
        <v>55</v>
      </c>
      <c r="U610" s="168" t="s">
        <v>55</v>
      </c>
      <c r="V610" s="168" t="s">
        <v>55</v>
      </c>
      <c r="W610" s="168" t="s">
        <v>55</v>
      </c>
      <c r="X610" s="168" t="s">
        <v>55</v>
      </c>
      <c r="Y610" s="168" t="s">
        <v>55</v>
      </c>
      <c r="Z610" s="168" t="s">
        <v>55</v>
      </c>
      <c r="AA610" s="168">
        <v>1</v>
      </c>
      <c r="AB610" s="168">
        <v>1</v>
      </c>
      <c r="AC610" s="168">
        <v>0</v>
      </c>
      <c r="AD610" s="196">
        <v>46134</v>
      </c>
      <c r="AE610" s="196">
        <v>46134</v>
      </c>
      <c r="AF610" s="28" t="s">
        <v>55</v>
      </c>
      <c r="AG610" s="196">
        <v>46134</v>
      </c>
      <c r="AH610" s="196">
        <v>46134</v>
      </c>
      <c r="AI610" s="168">
        <f t="shared" si="70"/>
        <v>4</v>
      </c>
      <c r="AJ610" s="253" t="s">
        <v>1847</v>
      </c>
      <c r="AK610" s="215" t="s">
        <v>1846</v>
      </c>
      <c r="AL610" s="19" t="str">
        <f t="shared" si="69"/>
        <v>N/A</v>
      </c>
      <c r="AM610" s="67" t="str">
        <f>IFERROR(NETWORKDAYS(D610,Q610,Hoja1!$A$1:$A$29),"N/A")</f>
        <v>N/A</v>
      </c>
      <c r="AN610" s="21">
        <f>IFERROR(NETWORKDAYS(D610,AE610,Hoja1!$A$1:$A$29),"N/A")</f>
        <v>8</v>
      </c>
      <c r="AO610" s="78">
        <v>0</v>
      </c>
      <c r="AP610" s="21">
        <f t="shared" si="67"/>
        <v>8</v>
      </c>
      <c r="AQ610" s="21" t="str">
        <f>IFERROR(NETWORKDAYS(AF610,AG610,Hoja1!$A$1:$A$29),"N/A")</f>
        <v>N/A</v>
      </c>
      <c r="AR610" s="78">
        <v>0</v>
      </c>
      <c r="AS610" s="21" t="s">
        <v>82</v>
      </c>
      <c r="AT610" s="21">
        <f>IFERROR(NETWORKDAYS(D610,AG610,Hoja1!$A$1:$A$29),"N/A")</f>
        <v>8</v>
      </c>
      <c r="AU610" s="21">
        <f t="shared" ref="AU610:AU641" si="71">AT610-AO610-AR610</f>
        <v>8</v>
      </c>
      <c r="AV610" s="143" t="s">
        <v>145</v>
      </c>
      <c r="AW610" s="86" t="s">
        <v>480</v>
      </c>
      <c r="AX610" s="87"/>
      <c r="AY610" s="87"/>
      <c r="AZ610" s="87"/>
      <c r="BA610" s="87"/>
      <c r="BB610" s="87"/>
    </row>
    <row r="611" spans="1:54" ht="15" customHeight="1" x14ac:dyDescent="0.25">
      <c r="A611" s="95" t="s">
        <v>1843</v>
      </c>
      <c r="B611" s="216" t="s">
        <v>85</v>
      </c>
      <c r="C611" s="216" t="s">
        <v>85</v>
      </c>
      <c r="D611" s="28">
        <v>46125</v>
      </c>
      <c r="E611" s="196">
        <v>46125</v>
      </c>
      <c r="F611" s="233" t="s">
        <v>62</v>
      </c>
      <c r="G611" s="218" t="s">
        <v>71</v>
      </c>
      <c r="H611" s="179" t="s">
        <v>1465</v>
      </c>
      <c r="I611" s="219" t="s">
        <v>1844</v>
      </c>
      <c r="J611" s="111" t="s">
        <v>52</v>
      </c>
      <c r="K611" s="217" t="s">
        <v>351</v>
      </c>
      <c r="L611" s="167">
        <v>1</v>
      </c>
      <c r="M611" s="159" t="s">
        <v>247</v>
      </c>
      <c r="N611" s="168" t="s">
        <v>55</v>
      </c>
      <c r="O611" s="168">
        <v>0</v>
      </c>
      <c r="P611" s="164"/>
      <c r="Q611" s="168" t="s">
        <v>55</v>
      </c>
      <c r="R611" s="168" t="s">
        <v>55</v>
      </c>
      <c r="S611" s="168">
        <v>0</v>
      </c>
      <c r="T611" s="168" t="s">
        <v>55</v>
      </c>
      <c r="U611" s="168" t="s">
        <v>55</v>
      </c>
      <c r="V611" s="168" t="s">
        <v>55</v>
      </c>
      <c r="W611" s="168" t="s">
        <v>55</v>
      </c>
      <c r="X611" s="168" t="s">
        <v>55</v>
      </c>
      <c r="Y611" s="168" t="s">
        <v>55</v>
      </c>
      <c r="Z611" s="168" t="s">
        <v>55</v>
      </c>
      <c r="AA611" s="168">
        <v>1</v>
      </c>
      <c r="AB611" s="168">
        <v>1</v>
      </c>
      <c r="AC611" s="168">
        <v>0</v>
      </c>
      <c r="AD611" s="196">
        <v>46134</v>
      </c>
      <c r="AE611" s="196">
        <v>46134</v>
      </c>
      <c r="AF611" s="28" t="s">
        <v>55</v>
      </c>
      <c r="AG611" s="196">
        <v>46134</v>
      </c>
      <c r="AH611" s="196">
        <v>46134</v>
      </c>
      <c r="AI611" s="168">
        <f t="shared" si="70"/>
        <v>4</v>
      </c>
      <c r="AJ611" s="253" t="s">
        <v>659</v>
      </c>
      <c r="AK611" s="215" t="s">
        <v>1846</v>
      </c>
      <c r="AL611" s="19" t="str">
        <f t="shared" si="69"/>
        <v>N/A</v>
      </c>
      <c r="AM611" s="67" t="str">
        <f>IFERROR(NETWORKDAYS(D611,Q611,Hoja1!$A$1:$A$29),"N/A")</f>
        <v>N/A</v>
      </c>
      <c r="AN611" s="21">
        <f>IFERROR(NETWORKDAYS(D611,AE611,Hoja1!$A$1:$A$29),"N/A")</f>
        <v>8</v>
      </c>
      <c r="AO611" s="78">
        <v>0</v>
      </c>
      <c r="AP611" s="21">
        <f t="shared" si="67"/>
        <v>8</v>
      </c>
      <c r="AQ611" s="21" t="str">
        <f>IFERROR(NETWORKDAYS(AF611,AG611,Hoja1!$A$1:$A$29),"N/A")</f>
        <v>N/A</v>
      </c>
      <c r="AR611" s="78">
        <v>0</v>
      </c>
      <c r="AS611" s="21" t="s">
        <v>82</v>
      </c>
      <c r="AT611" s="21">
        <f>IFERROR(NETWORKDAYS(D611,AG611,Hoja1!$A$1:$A$29),"N/A")</f>
        <v>8</v>
      </c>
      <c r="AU611" s="21">
        <f t="shared" si="71"/>
        <v>8</v>
      </c>
      <c r="AV611" s="143" t="s">
        <v>145</v>
      </c>
      <c r="AW611" s="86" t="s">
        <v>480</v>
      </c>
      <c r="AX611" s="87"/>
      <c r="AY611" s="87"/>
      <c r="AZ611" s="87"/>
      <c r="BA611" s="87"/>
      <c r="BB611" s="87"/>
    </row>
    <row r="612" spans="1:54" ht="15" customHeight="1" x14ac:dyDescent="0.25">
      <c r="A612" s="95" t="s">
        <v>1843</v>
      </c>
      <c r="B612" s="216" t="s">
        <v>85</v>
      </c>
      <c r="C612" s="216" t="s">
        <v>85</v>
      </c>
      <c r="D612" s="421">
        <v>46125</v>
      </c>
      <c r="E612" s="196">
        <v>46125</v>
      </c>
      <c r="F612" s="233" t="s">
        <v>62</v>
      </c>
      <c r="G612" s="218" t="s">
        <v>71</v>
      </c>
      <c r="H612" s="179" t="s">
        <v>1465</v>
      </c>
      <c r="I612" s="219" t="s">
        <v>1844</v>
      </c>
      <c r="J612" s="111" t="s">
        <v>52</v>
      </c>
      <c r="K612" s="217" t="s">
        <v>351</v>
      </c>
      <c r="L612" s="167">
        <v>1</v>
      </c>
      <c r="M612" s="159" t="s">
        <v>247</v>
      </c>
      <c r="N612" s="168" t="s">
        <v>55</v>
      </c>
      <c r="O612" s="168">
        <v>0</v>
      </c>
      <c r="P612" s="164"/>
      <c r="Q612" s="168" t="s">
        <v>55</v>
      </c>
      <c r="R612" s="168" t="s">
        <v>55</v>
      </c>
      <c r="S612" s="168">
        <v>0</v>
      </c>
      <c r="T612" s="168" t="s">
        <v>55</v>
      </c>
      <c r="U612" s="168" t="s">
        <v>55</v>
      </c>
      <c r="V612" s="168" t="s">
        <v>55</v>
      </c>
      <c r="W612" s="168" t="s">
        <v>55</v>
      </c>
      <c r="X612" s="168" t="s">
        <v>55</v>
      </c>
      <c r="Y612" s="168" t="s">
        <v>55</v>
      </c>
      <c r="Z612" s="168" t="s">
        <v>55</v>
      </c>
      <c r="AA612" s="168">
        <v>1</v>
      </c>
      <c r="AB612" s="168">
        <v>1</v>
      </c>
      <c r="AC612" s="168">
        <v>0</v>
      </c>
      <c r="AD612" s="196">
        <v>46134</v>
      </c>
      <c r="AE612" s="196">
        <v>46134</v>
      </c>
      <c r="AF612" s="28" t="s">
        <v>55</v>
      </c>
      <c r="AG612" s="196">
        <v>46134</v>
      </c>
      <c r="AH612" s="196">
        <v>46134</v>
      </c>
      <c r="AI612" s="168">
        <f t="shared" si="70"/>
        <v>4</v>
      </c>
      <c r="AJ612" s="253" t="s">
        <v>1848</v>
      </c>
      <c r="AK612" s="215" t="s">
        <v>1846</v>
      </c>
      <c r="AL612" s="19" t="str">
        <f t="shared" si="69"/>
        <v>N/A</v>
      </c>
      <c r="AM612" s="67" t="str">
        <f>IFERROR(NETWORKDAYS(D612,Q612,Hoja1!$A$1:$A$29),"N/A")</f>
        <v>N/A</v>
      </c>
      <c r="AN612" s="21">
        <f>IFERROR(NETWORKDAYS(D612,AE612,Hoja1!$A$1:$A$29),"N/A")</f>
        <v>8</v>
      </c>
      <c r="AO612" s="78">
        <v>0</v>
      </c>
      <c r="AP612" s="21">
        <f t="shared" si="67"/>
        <v>8</v>
      </c>
      <c r="AQ612" s="21" t="str">
        <f>IFERROR(NETWORKDAYS(AF612,AG612,Hoja1!$A$1:$A$29),"N/A")</f>
        <v>N/A</v>
      </c>
      <c r="AR612" s="78">
        <v>0</v>
      </c>
      <c r="AS612" s="21" t="s">
        <v>82</v>
      </c>
      <c r="AT612" s="21">
        <f>IFERROR(NETWORKDAYS(D612,AG612,Hoja1!$A$1:$A$29),"N/A")</f>
        <v>8</v>
      </c>
      <c r="AU612" s="21">
        <f t="shared" si="71"/>
        <v>8</v>
      </c>
      <c r="AV612" s="143" t="s">
        <v>145</v>
      </c>
      <c r="AW612" s="86" t="s">
        <v>480</v>
      </c>
      <c r="AX612" s="87"/>
      <c r="AY612" s="87"/>
      <c r="AZ612" s="87"/>
      <c r="BA612" s="87"/>
      <c r="BB612" s="87"/>
    </row>
    <row r="613" spans="1:54" ht="15" customHeight="1" x14ac:dyDescent="0.25">
      <c r="A613" s="95" t="s">
        <v>1843</v>
      </c>
      <c r="B613" s="216" t="s">
        <v>85</v>
      </c>
      <c r="C613" s="216" t="s">
        <v>85</v>
      </c>
      <c r="D613" s="28">
        <v>46125</v>
      </c>
      <c r="E613" s="196">
        <v>46125</v>
      </c>
      <c r="F613" s="233" t="s">
        <v>62</v>
      </c>
      <c r="G613" s="218" t="s">
        <v>71</v>
      </c>
      <c r="H613" s="179" t="s">
        <v>1465</v>
      </c>
      <c r="I613" s="219" t="s">
        <v>1844</v>
      </c>
      <c r="J613" s="111" t="s">
        <v>52</v>
      </c>
      <c r="K613" s="217" t="s">
        <v>351</v>
      </c>
      <c r="L613" s="167">
        <v>1</v>
      </c>
      <c r="M613" s="159" t="s">
        <v>247</v>
      </c>
      <c r="N613" s="168" t="s">
        <v>55</v>
      </c>
      <c r="O613" s="168">
        <v>0</v>
      </c>
      <c r="P613" s="164"/>
      <c r="Q613" s="168" t="s">
        <v>55</v>
      </c>
      <c r="R613" s="168" t="s">
        <v>55</v>
      </c>
      <c r="S613" s="168">
        <v>0</v>
      </c>
      <c r="T613" s="168" t="s">
        <v>55</v>
      </c>
      <c r="U613" s="168" t="s">
        <v>55</v>
      </c>
      <c r="V613" s="168" t="s">
        <v>55</v>
      </c>
      <c r="W613" s="168" t="s">
        <v>55</v>
      </c>
      <c r="X613" s="168" t="s">
        <v>55</v>
      </c>
      <c r="Y613" s="168" t="s">
        <v>55</v>
      </c>
      <c r="Z613" s="168" t="s">
        <v>55</v>
      </c>
      <c r="AA613" s="168">
        <v>1</v>
      </c>
      <c r="AB613" s="168">
        <v>1</v>
      </c>
      <c r="AC613" s="168">
        <v>0</v>
      </c>
      <c r="AD613" s="196">
        <v>46134</v>
      </c>
      <c r="AE613" s="196">
        <v>46134</v>
      </c>
      <c r="AF613" s="28" t="s">
        <v>55</v>
      </c>
      <c r="AG613" s="196">
        <v>46134</v>
      </c>
      <c r="AH613" s="196">
        <v>46134</v>
      </c>
      <c r="AI613" s="168">
        <f t="shared" si="70"/>
        <v>4</v>
      </c>
      <c r="AJ613" s="253" t="s">
        <v>1849</v>
      </c>
      <c r="AK613" s="215" t="s">
        <v>1846</v>
      </c>
      <c r="AL613" s="19" t="str">
        <f t="shared" si="69"/>
        <v>N/A</v>
      </c>
      <c r="AM613" s="67" t="str">
        <f>IFERROR(NETWORKDAYS(D613,Q613,Hoja1!$A$1:$A$29),"N/A")</f>
        <v>N/A</v>
      </c>
      <c r="AN613" s="21">
        <f>IFERROR(NETWORKDAYS(D613,AE613,Hoja1!$A$1:$A$29),"N/A")</f>
        <v>8</v>
      </c>
      <c r="AO613" s="78">
        <v>0</v>
      </c>
      <c r="AP613" s="21">
        <f t="shared" si="67"/>
        <v>8</v>
      </c>
      <c r="AQ613" s="21" t="str">
        <f>IFERROR(NETWORKDAYS(AF613,AG613,Hoja1!$A$1:$A$29),"N/A")</f>
        <v>N/A</v>
      </c>
      <c r="AR613" s="78">
        <v>0</v>
      </c>
      <c r="AS613" s="21" t="s">
        <v>82</v>
      </c>
      <c r="AT613" s="21">
        <f>IFERROR(NETWORKDAYS(D613,AG613,Hoja1!$A$1:$A$29),"N/A")</f>
        <v>8</v>
      </c>
      <c r="AU613" s="21">
        <f t="shared" si="71"/>
        <v>8</v>
      </c>
      <c r="AV613" s="143" t="s">
        <v>145</v>
      </c>
      <c r="AW613" s="86" t="s">
        <v>480</v>
      </c>
      <c r="AX613" s="87"/>
      <c r="AY613" s="87"/>
      <c r="AZ613" s="87"/>
      <c r="BA613" s="87"/>
      <c r="BB613" s="87"/>
    </row>
    <row r="614" spans="1:54" ht="15" customHeight="1" x14ac:dyDescent="0.25">
      <c r="A614" s="95" t="s">
        <v>1843</v>
      </c>
      <c r="B614" s="216" t="s">
        <v>85</v>
      </c>
      <c r="C614" s="216" t="s">
        <v>85</v>
      </c>
      <c r="D614" s="421">
        <v>46125</v>
      </c>
      <c r="E614" s="196">
        <v>46125</v>
      </c>
      <c r="F614" s="233" t="s">
        <v>62</v>
      </c>
      <c r="G614" s="218" t="s">
        <v>71</v>
      </c>
      <c r="H614" s="179" t="s">
        <v>1465</v>
      </c>
      <c r="I614" s="219" t="s">
        <v>1844</v>
      </c>
      <c r="J614" s="111" t="s">
        <v>52</v>
      </c>
      <c r="K614" s="217" t="s">
        <v>351</v>
      </c>
      <c r="L614" s="167">
        <v>1</v>
      </c>
      <c r="M614" s="159" t="s">
        <v>247</v>
      </c>
      <c r="N614" s="168" t="s">
        <v>55</v>
      </c>
      <c r="O614" s="168">
        <v>0</v>
      </c>
      <c r="P614" s="164"/>
      <c r="Q614" s="168" t="s">
        <v>55</v>
      </c>
      <c r="R614" s="168" t="s">
        <v>55</v>
      </c>
      <c r="S614" s="168">
        <v>0</v>
      </c>
      <c r="T614" s="168" t="s">
        <v>55</v>
      </c>
      <c r="U614" s="168" t="s">
        <v>55</v>
      </c>
      <c r="V614" s="168" t="s">
        <v>55</v>
      </c>
      <c r="W614" s="168" t="s">
        <v>55</v>
      </c>
      <c r="X614" s="168" t="s">
        <v>55</v>
      </c>
      <c r="Y614" s="168" t="s">
        <v>55</v>
      </c>
      <c r="Z614" s="168" t="s">
        <v>55</v>
      </c>
      <c r="AA614" s="168">
        <v>1</v>
      </c>
      <c r="AB614" s="168">
        <v>1</v>
      </c>
      <c r="AC614" s="168">
        <v>0</v>
      </c>
      <c r="AD614" s="196">
        <v>46134</v>
      </c>
      <c r="AE614" s="196">
        <v>46134</v>
      </c>
      <c r="AF614" s="28" t="s">
        <v>55</v>
      </c>
      <c r="AG614" s="196">
        <v>46134</v>
      </c>
      <c r="AH614" s="196">
        <v>46134</v>
      </c>
      <c r="AI614" s="168">
        <f t="shared" si="70"/>
        <v>4</v>
      </c>
      <c r="AJ614" s="253" t="s">
        <v>1850</v>
      </c>
      <c r="AK614" s="215" t="s">
        <v>1846</v>
      </c>
      <c r="AL614" s="19" t="str">
        <f t="shared" si="69"/>
        <v>N/A</v>
      </c>
      <c r="AM614" s="67" t="str">
        <f>IFERROR(NETWORKDAYS(D614,Q614,Hoja1!$A$1:$A$29),"N/A")</f>
        <v>N/A</v>
      </c>
      <c r="AN614" s="21">
        <f>IFERROR(NETWORKDAYS(D614,AE614,Hoja1!$A$1:$A$29),"N/A")</f>
        <v>8</v>
      </c>
      <c r="AO614" s="78">
        <v>0</v>
      </c>
      <c r="AP614" s="21">
        <f t="shared" si="67"/>
        <v>8</v>
      </c>
      <c r="AQ614" s="21" t="str">
        <f>IFERROR(NETWORKDAYS(AF614,AG614,Hoja1!$A$1:$A$29),"N/A")</f>
        <v>N/A</v>
      </c>
      <c r="AR614" s="78">
        <v>0</v>
      </c>
      <c r="AS614" s="21" t="s">
        <v>82</v>
      </c>
      <c r="AT614" s="21">
        <f>IFERROR(NETWORKDAYS(D614,AG614,Hoja1!$A$1:$A$29),"N/A")</f>
        <v>8</v>
      </c>
      <c r="AU614" s="21">
        <f t="shared" si="71"/>
        <v>8</v>
      </c>
      <c r="AV614" s="143" t="s">
        <v>145</v>
      </c>
      <c r="AW614" s="86" t="s">
        <v>480</v>
      </c>
      <c r="AX614" s="87"/>
      <c r="AY614" s="87"/>
      <c r="AZ614" s="87"/>
      <c r="BA614" s="87"/>
      <c r="BB614" s="87"/>
    </row>
    <row r="615" spans="1:54" ht="15" customHeight="1" x14ac:dyDescent="0.25">
      <c r="A615" s="95" t="s">
        <v>1843</v>
      </c>
      <c r="B615" s="216" t="s">
        <v>85</v>
      </c>
      <c r="C615" s="216" t="s">
        <v>85</v>
      </c>
      <c r="D615" s="28">
        <v>46125</v>
      </c>
      <c r="E615" s="196">
        <v>46125</v>
      </c>
      <c r="F615" s="233" t="s">
        <v>62</v>
      </c>
      <c r="G615" s="218" t="s">
        <v>71</v>
      </c>
      <c r="H615" s="179" t="s">
        <v>1465</v>
      </c>
      <c r="I615" s="219" t="s">
        <v>1844</v>
      </c>
      <c r="J615" s="111" t="s">
        <v>52</v>
      </c>
      <c r="K615" s="217" t="s">
        <v>351</v>
      </c>
      <c r="L615" s="167">
        <v>1</v>
      </c>
      <c r="M615" s="159" t="s">
        <v>247</v>
      </c>
      <c r="N615" s="168" t="s">
        <v>55</v>
      </c>
      <c r="O615" s="168">
        <v>0</v>
      </c>
      <c r="P615" s="164"/>
      <c r="Q615" s="168" t="s">
        <v>55</v>
      </c>
      <c r="R615" s="168" t="s">
        <v>55</v>
      </c>
      <c r="S615" s="168">
        <v>0</v>
      </c>
      <c r="T615" s="168" t="s">
        <v>55</v>
      </c>
      <c r="U615" s="168" t="s">
        <v>55</v>
      </c>
      <c r="V615" s="168" t="s">
        <v>55</v>
      </c>
      <c r="W615" s="168" t="s">
        <v>55</v>
      </c>
      <c r="X615" s="168" t="s">
        <v>55</v>
      </c>
      <c r="Y615" s="168" t="s">
        <v>55</v>
      </c>
      <c r="Z615" s="168" t="s">
        <v>55</v>
      </c>
      <c r="AA615" s="168">
        <v>1</v>
      </c>
      <c r="AB615" s="168">
        <v>1</v>
      </c>
      <c r="AC615" s="168">
        <v>0</v>
      </c>
      <c r="AD615" s="196">
        <v>46134</v>
      </c>
      <c r="AE615" s="196">
        <v>46134</v>
      </c>
      <c r="AF615" s="28" t="s">
        <v>55</v>
      </c>
      <c r="AG615" s="196">
        <v>46134</v>
      </c>
      <c r="AH615" s="196">
        <v>46134</v>
      </c>
      <c r="AI615" s="168">
        <f t="shared" si="70"/>
        <v>4</v>
      </c>
      <c r="AJ615" s="253" t="s">
        <v>1851</v>
      </c>
      <c r="AK615" s="215" t="s">
        <v>1846</v>
      </c>
      <c r="AL615" s="19" t="str">
        <f t="shared" si="69"/>
        <v>N/A</v>
      </c>
      <c r="AM615" s="67" t="str">
        <f>IFERROR(NETWORKDAYS(D615,Q615,Hoja1!$A$1:$A$29),"N/A")</f>
        <v>N/A</v>
      </c>
      <c r="AN615" s="21">
        <f>IFERROR(NETWORKDAYS(D615,AE615,Hoja1!$A$1:$A$29),"N/A")</f>
        <v>8</v>
      </c>
      <c r="AO615" s="78">
        <v>0</v>
      </c>
      <c r="AP615" s="21">
        <f t="shared" si="67"/>
        <v>8</v>
      </c>
      <c r="AQ615" s="21" t="str">
        <f>IFERROR(NETWORKDAYS(AF615,AG615,Hoja1!$A$1:$A$29),"N/A")</f>
        <v>N/A</v>
      </c>
      <c r="AR615" s="78">
        <v>0</v>
      </c>
      <c r="AS615" s="21" t="s">
        <v>82</v>
      </c>
      <c r="AT615" s="21">
        <f>IFERROR(NETWORKDAYS(D615,AG615,Hoja1!$A$1:$A$29),"N/A")</f>
        <v>8</v>
      </c>
      <c r="AU615" s="21">
        <f t="shared" si="71"/>
        <v>8</v>
      </c>
      <c r="AV615" s="143" t="s">
        <v>145</v>
      </c>
      <c r="AW615" s="86" t="s">
        <v>480</v>
      </c>
      <c r="AX615" s="87"/>
      <c r="AY615" s="87"/>
      <c r="AZ615" s="87"/>
      <c r="BA615" s="87"/>
      <c r="BB615" s="87"/>
    </row>
    <row r="616" spans="1:54" ht="15" customHeight="1" x14ac:dyDescent="0.25">
      <c r="A616" s="95" t="s">
        <v>1843</v>
      </c>
      <c r="B616" s="216" t="s">
        <v>85</v>
      </c>
      <c r="C616" s="216" t="s">
        <v>85</v>
      </c>
      <c r="D616" s="421">
        <v>46125</v>
      </c>
      <c r="E616" s="196">
        <v>46125</v>
      </c>
      <c r="F616" s="233" t="s">
        <v>62</v>
      </c>
      <c r="G616" s="218" t="s">
        <v>71</v>
      </c>
      <c r="H616" s="179" t="s">
        <v>1465</v>
      </c>
      <c r="I616" s="219" t="s">
        <v>1844</v>
      </c>
      <c r="J616" s="111" t="s">
        <v>52</v>
      </c>
      <c r="K616" s="217" t="s">
        <v>351</v>
      </c>
      <c r="L616" s="167">
        <v>1</v>
      </c>
      <c r="M616" s="159" t="s">
        <v>247</v>
      </c>
      <c r="N616" s="168" t="s">
        <v>55</v>
      </c>
      <c r="O616" s="168">
        <v>0</v>
      </c>
      <c r="P616" s="164"/>
      <c r="Q616" s="168" t="s">
        <v>55</v>
      </c>
      <c r="R616" s="168" t="s">
        <v>55</v>
      </c>
      <c r="S616" s="168">
        <v>0</v>
      </c>
      <c r="T616" s="168" t="s">
        <v>55</v>
      </c>
      <c r="U616" s="168" t="s">
        <v>55</v>
      </c>
      <c r="V616" s="168" t="s">
        <v>55</v>
      </c>
      <c r="W616" s="168" t="s">
        <v>55</v>
      </c>
      <c r="X616" s="168" t="s">
        <v>55</v>
      </c>
      <c r="Y616" s="168" t="s">
        <v>55</v>
      </c>
      <c r="Z616" s="168" t="s">
        <v>55</v>
      </c>
      <c r="AA616" s="168">
        <v>1</v>
      </c>
      <c r="AB616" s="168">
        <v>1</v>
      </c>
      <c r="AC616" s="168">
        <v>0</v>
      </c>
      <c r="AD616" s="196">
        <v>46134</v>
      </c>
      <c r="AE616" s="196">
        <v>46134</v>
      </c>
      <c r="AF616" s="28" t="s">
        <v>55</v>
      </c>
      <c r="AG616" s="196">
        <v>46134</v>
      </c>
      <c r="AH616" s="196">
        <v>46134</v>
      </c>
      <c r="AI616" s="168">
        <f t="shared" si="70"/>
        <v>4</v>
      </c>
      <c r="AJ616" s="253" t="s">
        <v>1852</v>
      </c>
      <c r="AK616" s="215" t="s">
        <v>1846</v>
      </c>
      <c r="AL616" s="19" t="str">
        <f t="shared" si="69"/>
        <v>N/A</v>
      </c>
      <c r="AM616" s="67" t="str">
        <f>IFERROR(NETWORKDAYS(D616,Q616,Hoja1!$A$1:$A$29),"N/A")</f>
        <v>N/A</v>
      </c>
      <c r="AN616" s="21">
        <f>IFERROR(NETWORKDAYS(D616,AE616,Hoja1!$A$1:$A$29),"N/A")</f>
        <v>8</v>
      </c>
      <c r="AO616" s="78">
        <v>0</v>
      </c>
      <c r="AP616" s="21">
        <f t="shared" si="67"/>
        <v>8</v>
      </c>
      <c r="AQ616" s="21" t="str">
        <f>IFERROR(NETWORKDAYS(AF616,AG616,Hoja1!$A$1:$A$29),"N/A")</f>
        <v>N/A</v>
      </c>
      <c r="AR616" s="78">
        <v>0</v>
      </c>
      <c r="AS616" s="21" t="s">
        <v>82</v>
      </c>
      <c r="AT616" s="21">
        <f>IFERROR(NETWORKDAYS(D616,AG616,Hoja1!$A$1:$A$29),"N/A")</f>
        <v>8</v>
      </c>
      <c r="AU616" s="21">
        <f t="shared" si="71"/>
        <v>8</v>
      </c>
      <c r="AV616" s="143" t="s">
        <v>145</v>
      </c>
      <c r="AW616" s="86" t="s">
        <v>480</v>
      </c>
      <c r="AX616" s="87"/>
      <c r="AY616" s="87"/>
      <c r="AZ616" s="87"/>
      <c r="BA616" s="87"/>
      <c r="BB616" s="87"/>
    </row>
    <row r="617" spans="1:54" ht="15" customHeight="1" x14ac:dyDescent="0.25">
      <c r="A617" s="95" t="s">
        <v>1843</v>
      </c>
      <c r="B617" s="216" t="s">
        <v>85</v>
      </c>
      <c r="C617" s="216" t="s">
        <v>85</v>
      </c>
      <c r="D617" s="28">
        <v>46125</v>
      </c>
      <c r="E617" s="196">
        <v>46125</v>
      </c>
      <c r="F617" s="233" t="s">
        <v>62</v>
      </c>
      <c r="G617" s="218" t="s">
        <v>71</v>
      </c>
      <c r="H617" s="179" t="s">
        <v>1465</v>
      </c>
      <c r="I617" s="219" t="s">
        <v>1844</v>
      </c>
      <c r="J617" s="111" t="s">
        <v>52</v>
      </c>
      <c r="K617" s="217" t="s">
        <v>351</v>
      </c>
      <c r="L617" s="167">
        <v>1</v>
      </c>
      <c r="M617" s="159" t="s">
        <v>247</v>
      </c>
      <c r="N617" s="168" t="s">
        <v>55</v>
      </c>
      <c r="O617" s="168">
        <v>0</v>
      </c>
      <c r="P617" s="164"/>
      <c r="Q617" s="168" t="s">
        <v>55</v>
      </c>
      <c r="R617" s="168" t="s">
        <v>55</v>
      </c>
      <c r="S617" s="168">
        <v>0</v>
      </c>
      <c r="T617" s="168" t="s">
        <v>55</v>
      </c>
      <c r="U617" s="168" t="s">
        <v>55</v>
      </c>
      <c r="V617" s="168" t="s">
        <v>55</v>
      </c>
      <c r="W617" s="168" t="s">
        <v>55</v>
      </c>
      <c r="X617" s="168" t="s">
        <v>55</v>
      </c>
      <c r="Y617" s="168" t="s">
        <v>55</v>
      </c>
      <c r="Z617" s="168" t="s">
        <v>55</v>
      </c>
      <c r="AA617" s="168">
        <v>1</v>
      </c>
      <c r="AB617" s="168">
        <v>1</v>
      </c>
      <c r="AC617" s="168">
        <v>0</v>
      </c>
      <c r="AD617" s="196">
        <v>46134</v>
      </c>
      <c r="AE617" s="196">
        <v>46134</v>
      </c>
      <c r="AF617" s="28" t="s">
        <v>55</v>
      </c>
      <c r="AG617" s="196">
        <v>46134</v>
      </c>
      <c r="AH617" s="196">
        <v>46134</v>
      </c>
      <c r="AI617" s="168">
        <f t="shared" si="70"/>
        <v>4</v>
      </c>
      <c r="AJ617" s="253" t="s">
        <v>1853</v>
      </c>
      <c r="AK617" s="215" t="s">
        <v>1846</v>
      </c>
      <c r="AL617" s="19" t="str">
        <f t="shared" si="69"/>
        <v>N/A</v>
      </c>
      <c r="AM617" s="67" t="str">
        <f>IFERROR(NETWORKDAYS(D617,Q617,Hoja1!$A$1:$A$29),"N/A")</f>
        <v>N/A</v>
      </c>
      <c r="AN617" s="21">
        <f>IFERROR(NETWORKDAYS(D617,AE617,Hoja1!$A$1:$A$29),"N/A")</f>
        <v>8</v>
      </c>
      <c r="AO617" s="78">
        <v>0</v>
      </c>
      <c r="AP617" s="21">
        <f t="shared" si="67"/>
        <v>8</v>
      </c>
      <c r="AQ617" s="21" t="str">
        <f>IFERROR(NETWORKDAYS(AF617,AG617,Hoja1!$A$1:$A$29),"N/A")</f>
        <v>N/A</v>
      </c>
      <c r="AR617" s="78">
        <v>0</v>
      </c>
      <c r="AS617" s="21" t="s">
        <v>82</v>
      </c>
      <c r="AT617" s="21">
        <f>IFERROR(NETWORKDAYS(D617,AG617,Hoja1!$A$1:$A$29),"N/A")</f>
        <v>8</v>
      </c>
      <c r="AU617" s="21">
        <f t="shared" si="71"/>
        <v>8</v>
      </c>
      <c r="AV617" s="143" t="s">
        <v>145</v>
      </c>
      <c r="AW617" s="86" t="s">
        <v>480</v>
      </c>
      <c r="AX617" s="87"/>
      <c r="AY617" s="87"/>
      <c r="AZ617" s="87"/>
      <c r="BA617" s="87"/>
      <c r="BB617" s="87"/>
    </row>
    <row r="618" spans="1:54" ht="15" customHeight="1" x14ac:dyDescent="0.25">
      <c r="A618" s="95" t="s">
        <v>1843</v>
      </c>
      <c r="B618" s="216" t="s">
        <v>85</v>
      </c>
      <c r="C618" s="216" t="s">
        <v>85</v>
      </c>
      <c r="D618" s="421">
        <v>46125</v>
      </c>
      <c r="E618" s="196">
        <v>46125</v>
      </c>
      <c r="F618" s="233" t="s">
        <v>62</v>
      </c>
      <c r="G618" s="218" t="s">
        <v>71</v>
      </c>
      <c r="H618" s="179" t="s">
        <v>1465</v>
      </c>
      <c r="I618" s="219" t="s">
        <v>1844</v>
      </c>
      <c r="J618" s="111" t="s">
        <v>52</v>
      </c>
      <c r="K618" s="217" t="s">
        <v>351</v>
      </c>
      <c r="L618" s="167">
        <v>1</v>
      </c>
      <c r="M618" s="159" t="s">
        <v>247</v>
      </c>
      <c r="N618" s="168" t="s">
        <v>55</v>
      </c>
      <c r="O618" s="168">
        <v>0</v>
      </c>
      <c r="P618" s="164"/>
      <c r="Q618" s="168" t="s">
        <v>55</v>
      </c>
      <c r="R618" s="168" t="s">
        <v>55</v>
      </c>
      <c r="S618" s="168">
        <v>0</v>
      </c>
      <c r="T618" s="168" t="s">
        <v>55</v>
      </c>
      <c r="U618" s="168" t="s">
        <v>55</v>
      </c>
      <c r="V618" s="168" t="s">
        <v>55</v>
      </c>
      <c r="W618" s="168" t="s">
        <v>55</v>
      </c>
      <c r="X618" s="168" t="s">
        <v>55</v>
      </c>
      <c r="Y618" s="168" t="s">
        <v>55</v>
      </c>
      <c r="Z618" s="168" t="s">
        <v>55</v>
      </c>
      <c r="AA618" s="168">
        <v>1</v>
      </c>
      <c r="AB618" s="168">
        <v>1</v>
      </c>
      <c r="AC618" s="168">
        <v>0</v>
      </c>
      <c r="AD618" s="196">
        <v>46134</v>
      </c>
      <c r="AE618" s="196">
        <v>46134</v>
      </c>
      <c r="AF618" s="28" t="s">
        <v>55</v>
      </c>
      <c r="AG618" s="196">
        <v>46134</v>
      </c>
      <c r="AH618" s="196">
        <v>46134</v>
      </c>
      <c r="AI618" s="168">
        <f t="shared" si="70"/>
        <v>4</v>
      </c>
      <c r="AJ618" s="253" t="s">
        <v>1854</v>
      </c>
      <c r="AK618" s="215" t="s">
        <v>1846</v>
      </c>
      <c r="AL618" s="19" t="str">
        <f t="shared" si="69"/>
        <v>N/A</v>
      </c>
      <c r="AM618" s="67" t="str">
        <f>IFERROR(NETWORKDAYS(D618,Q618,Hoja1!$A$1:$A$29),"N/A")</f>
        <v>N/A</v>
      </c>
      <c r="AN618" s="21">
        <f>IFERROR(NETWORKDAYS(D618,AE618,Hoja1!$A$1:$A$29),"N/A")</f>
        <v>8</v>
      </c>
      <c r="AO618" s="78">
        <v>0</v>
      </c>
      <c r="AP618" s="21">
        <f t="shared" si="67"/>
        <v>8</v>
      </c>
      <c r="AQ618" s="21" t="str">
        <f>IFERROR(NETWORKDAYS(AF618,AG618,Hoja1!$A$1:$A$29),"N/A")</f>
        <v>N/A</v>
      </c>
      <c r="AR618" s="78">
        <v>0</v>
      </c>
      <c r="AS618" s="21" t="s">
        <v>82</v>
      </c>
      <c r="AT618" s="21">
        <f>IFERROR(NETWORKDAYS(D618,AG618,Hoja1!$A$1:$A$29),"N/A")</f>
        <v>8</v>
      </c>
      <c r="AU618" s="21">
        <f t="shared" si="71"/>
        <v>8</v>
      </c>
      <c r="AV618" s="143" t="s">
        <v>145</v>
      </c>
      <c r="AW618" s="86" t="s">
        <v>480</v>
      </c>
      <c r="AX618" s="87"/>
      <c r="AY618" s="87"/>
      <c r="AZ618" s="87"/>
      <c r="BA618" s="87"/>
      <c r="BB618" s="87"/>
    </row>
    <row r="619" spans="1:54" ht="15" customHeight="1" x14ac:dyDescent="0.25">
      <c r="A619" s="95" t="s">
        <v>1843</v>
      </c>
      <c r="B619" s="216" t="s">
        <v>85</v>
      </c>
      <c r="C619" s="216" t="s">
        <v>85</v>
      </c>
      <c r="D619" s="28">
        <v>46122</v>
      </c>
      <c r="E619" s="196">
        <v>46122</v>
      </c>
      <c r="F619" s="233" t="s">
        <v>99</v>
      </c>
      <c r="G619" s="114" t="s">
        <v>135</v>
      </c>
      <c r="H619" s="179" t="s">
        <v>1465</v>
      </c>
      <c r="I619" s="219" t="s">
        <v>1855</v>
      </c>
      <c r="J619" s="111" t="s">
        <v>52</v>
      </c>
      <c r="K619" s="217" t="s">
        <v>129</v>
      </c>
      <c r="L619" s="167">
        <v>1</v>
      </c>
      <c r="M619" s="159" t="s">
        <v>247</v>
      </c>
      <c r="N619" s="168" t="s">
        <v>55</v>
      </c>
      <c r="O619" s="168">
        <v>0</v>
      </c>
      <c r="P619" s="164"/>
      <c r="Q619" s="168" t="s">
        <v>55</v>
      </c>
      <c r="R619" s="168" t="s">
        <v>55</v>
      </c>
      <c r="S619" s="168">
        <v>0</v>
      </c>
      <c r="T619" s="168" t="s">
        <v>55</v>
      </c>
      <c r="U619" s="168" t="s">
        <v>55</v>
      </c>
      <c r="V619" s="168" t="s">
        <v>55</v>
      </c>
      <c r="W619" s="168" t="s">
        <v>55</v>
      </c>
      <c r="X619" s="168" t="s">
        <v>55</v>
      </c>
      <c r="Y619" s="168" t="s">
        <v>55</v>
      </c>
      <c r="Z619" s="168" t="s">
        <v>55</v>
      </c>
      <c r="AA619" s="168">
        <v>1</v>
      </c>
      <c r="AB619" s="168">
        <v>1</v>
      </c>
      <c r="AC619" s="168">
        <v>0</v>
      </c>
      <c r="AD619" s="196">
        <v>46132</v>
      </c>
      <c r="AE619" s="196">
        <v>46132</v>
      </c>
      <c r="AF619" s="28" t="s">
        <v>55</v>
      </c>
      <c r="AG619" s="196">
        <v>46132</v>
      </c>
      <c r="AH619" s="196">
        <v>46132</v>
      </c>
      <c r="AI619" s="168">
        <v>4</v>
      </c>
      <c r="AJ619" s="236" t="s">
        <v>1856</v>
      </c>
      <c r="AK619" s="49" t="s">
        <v>1857</v>
      </c>
      <c r="AL619" s="19" t="str">
        <f t="shared" si="69"/>
        <v>N/A</v>
      </c>
      <c r="AM619" s="67" t="str">
        <f>IFERROR(NETWORKDAYS(D619,Q619,Hoja1!$A$1:$A$29),"N/A")</f>
        <v>N/A</v>
      </c>
      <c r="AN619" s="21">
        <f>IFERROR(NETWORKDAYS(D619,AE619,Hoja1!$A$1:$A$29),"N/A")</f>
        <v>7</v>
      </c>
      <c r="AO619" s="78">
        <v>0</v>
      </c>
      <c r="AP619" s="21">
        <f t="shared" si="67"/>
        <v>7</v>
      </c>
      <c r="AQ619" s="21" t="str">
        <f>IFERROR(NETWORKDAYS(AF619,AG619,Hoja1!$A$1:$A$29),"N/A")</f>
        <v>N/A</v>
      </c>
      <c r="AR619" s="78">
        <v>0</v>
      </c>
      <c r="AS619" s="21" t="s">
        <v>82</v>
      </c>
      <c r="AT619" s="21">
        <f>IFERROR(NETWORKDAYS(D619,AG619,Hoja1!$A$1:$A$29),"N/A")</f>
        <v>7</v>
      </c>
      <c r="AU619" s="21">
        <f t="shared" si="71"/>
        <v>7</v>
      </c>
      <c r="AV619" s="143" t="s">
        <v>145</v>
      </c>
      <c r="AW619" s="86" t="s">
        <v>480</v>
      </c>
      <c r="AX619" s="87"/>
      <c r="AY619" s="87"/>
      <c r="AZ619" s="87"/>
      <c r="BA619" s="87"/>
      <c r="BB619" s="87"/>
    </row>
    <row r="620" spans="1:54" ht="15" customHeight="1" x14ac:dyDescent="0.25">
      <c r="A620" s="95" t="s">
        <v>1843</v>
      </c>
      <c r="B620" s="216" t="s">
        <v>85</v>
      </c>
      <c r="C620" s="216" t="s">
        <v>85</v>
      </c>
      <c r="D620" s="421">
        <v>46122</v>
      </c>
      <c r="E620" s="196">
        <v>46122</v>
      </c>
      <c r="F620" s="233" t="s">
        <v>99</v>
      </c>
      <c r="G620" s="114" t="s">
        <v>100</v>
      </c>
      <c r="H620" s="179" t="s">
        <v>1465</v>
      </c>
      <c r="I620" s="219" t="s">
        <v>1855</v>
      </c>
      <c r="J620" s="111" t="s">
        <v>52</v>
      </c>
      <c r="K620" s="217" t="s">
        <v>129</v>
      </c>
      <c r="L620" s="167">
        <v>1</v>
      </c>
      <c r="M620" s="159" t="s">
        <v>247</v>
      </c>
      <c r="N620" s="168" t="s">
        <v>55</v>
      </c>
      <c r="O620" s="168">
        <v>0</v>
      </c>
      <c r="P620" s="164"/>
      <c r="Q620" s="168" t="s">
        <v>55</v>
      </c>
      <c r="R620" s="168" t="s">
        <v>55</v>
      </c>
      <c r="S620" s="168">
        <v>0</v>
      </c>
      <c r="T620" s="168" t="s">
        <v>55</v>
      </c>
      <c r="U620" s="168" t="s">
        <v>55</v>
      </c>
      <c r="V620" s="168" t="s">
        <v>55</v>
      </c>
      <c r="W620" s="168" t="s">
        <v>55</v>
      </c>
      <c r="X620" s="168" t="s">
        <v>55</v>
      </c>
      <c r="Y620" s="168" t="s">
        <v>55</v>
      </c>
      <c r="Z620" s="168" t="s">
        <v>55</v>
      </c>
      <c r="AA620" s="168">
        <v>1</v>
      </c>
      <c r="AB620" s="168">
        <v>1</v>
      </c>
      <c r="AC620" s="168">
        <v>0</v>
      </c>
      <c r="AD620" s="196">
        <v>46132</v>
      </c>
      <c r="AE620" s="196">
        <v>46132</v>
      </c>
      <c r="AF620" s="28" t="s">
        <v>55</v>
      </c>
      <c r="AG620" s="196">
        <v>46132</v>
      </c>
      <c r="AH620" s="196">
        <v>46132</v>
      </c>
      <c r="AI620" s="168">
        <v>4</v>
      </c>
      <c r="AJ620" s="236" t="s">
        <v>1858</v>
      </c>
      <c r="AK620" s="49" t="s">
        <v>1859</v>
      </c>
      <c r="AL620" s="19" t="str">
        <f t="shared" si="69"/>
        <v>N/A</v>
      </c>
      <c r="AM620" s="67" t="str">
        <f>IFERROR(NETWORKDAYS(D620,Q620,Hoja1!$A$1:$A$29),"N/A")</f>
        <v>N/A</v>
      </c>
      <c r="AN620" s="21">
        <f>IFERROR(NETWORKDAYS(D620,AE620,Hoja1!$A$1:$A$29),"N/A")</f>
        <v>7</v>
      </c>
      <c r="AO620" s="78">
        <v>0</v>
      </c>
      <c r="AP620" s="21">
        <f t="shared" si="67"/>
        <v>7</v>
      </c>
      <c r="AQ620" s="21" t="str">
        <f>IFERROR(NETWORKDAYS(AF620,AG620,Hoja1!$A$1:$A$29),"N/A")</f>
        <v>N/A</v>
      </c>
      <c r="AR620" s="78">
        <v>0</v>
      </c>
      <c r="AS620" s="21" t="s">
        <v>82</v>
      </c>
      <c r="AT620" s="21">
        <f>IFERROR(NETWORKDAYS(D620,AG620,Hoja1!$A$1:$A$29),"N/A")</f>
        <v>7</v>
      </c>
      <c r="AU620" s="21">
        <f t="shared" si="71"/>
        <v>7</v>
      </c>
      <c r="AV620" s="143" t="s">
        <v>145</v>
      </c>
      <c r="AW620" s="86" t="s">
        <v>480</v>
      </c>
      <c r="AX620" s="87"/>
      <c r="AY620" s="87"/>
      <c r="AZ620" s="87"/>
      <c r="BA620" s="87"/>
      <c r="BB620" s="87"/>
    </row>
    <row r="621" spans="1:54" ht="15" customHeight="1" x14ac:dyDescent="0.25">
      <c r="A621" s="95" t="s">
        <v>1843</v>
      </c>
      <c r="B621" s="216" t="s">
        <v>85</v>
      </c>
      <c r="C621" s="216" t="s">
        <v>85</v>
      </c>
      <c r="D621" s="28">
        <v>46122</v>
      </c>
      <c r="E621" s="196">
        <v>46122</v>
      </c>
      <c r="F621" s="233" t="s">
        <v>99</v>
      </c>
      <c r="G621" s="114" t="s">
        <v>100</v>
      </c>
      <c r="H621" s="179" t="s">
        <v>1465</v>
      </c>
      <c r="I621" s="27" t="s">
        <v>1860</v>
      </c>
      <c r="J621" s="111" t="s">
        <v>52</v>
      </c>
      <c r="K621" s="217" t="s">
        <v>129</v>
      </c>
      <c r="L621" s="167">
        <v>1</v>
      </c>
      <c r="M621" s="159" t="s">
        <v>247</v>
      </c>
      <c r="N621" s="168" t="s">
        <v>55</v>
      </c>
      <c r="O621" s="168">
        <v>0</v>
      </c>
      <c r="P621" s="164"/>
      <c r="Q621" s="168" t="s">
        <v>55</v>
      </c>
      <c r="R621" s="168" t="s">
        <v>55</v>
      </c>
      <c r="S621" s="168">
        <v>0</v>
      </c>
      <c r="T621" s="168" t="s">
        <v>55</v>
      </c>
      <c r="U621" s="168" t="s">
        <v>55</v>
      </c>
      <c r="V621" s="168" t="s">
        <v>55</v>
      </c>
      <c r="W621" s="168" t="s">
        <v>55</v>
      </c>
      <c r="X621" s="168" t="s">
        <v>55</v>
      </c>
      <c r="Y621" s="168" t="s">
        <v>55</v>
      </c>
      <c r="Z621" s="168" t="s">
        <v>55</v>
      </c>
      <c r="AA621" s="168">
        <v>1</v>
      </c>
      <c r="AB621" s="168">
        <v>1</v>
      </c>
      <c r="AC621" s="168">
        <v>0</v>
      </c>
      <c r="AD621" s="196">
        <v>46132</v>
      </c>
      <c r="AE621" s="196">
        <v>46132</v>
      </c>
      <c r="AF621" s="28" t="s">
        <v>55</v>
      </c>
      <c r="AG621" s="196">
        <v>46132</v>
      </c>
      <c r="AH621" s="196">
        <v>46132</v>
      </c>
      <c r="AI621" s="168">
        <v>4</v>
      </c>
      <c r="AJ621" s="108" t="s">
        <v>1861</v>
      </c>
      <c r="AK621" s="49" t="s">
        <v>1862</v>
      </c>
      <c r="AL621" s="19" t="str">
        <f t="shared" si="69"/>
        <v>N/A</v>
      </c>
      <c r="AM621" s="67" t="str">
        <f>IFERROR(NETWORKDAYS(D621,Q621,Hoja1!$A$1:$A$29),"N/A")</f>
        <v>N/A</v>
      </c>
      <c r="AN621" s="21">
        <f>IFERROR(NETWORKDAYS(D621,AE621,Hoja1!$A$1:$A$29),"N/A")</f>
        <v>7</v>
      </c>
      <c r="AO621" s="78">
        <v>0</v>
      </c>
      <c r="AP621" s="21">
        <f t="shared" si="67"/>
        <v>7</v>
      </c>
      <c r="AQ621" s="21" t="str">
        <f>IFERROR(NETWORKDAYS(AF621,AG621,Hoja1!$A$1:$A$29),"N/A")</f>
        <v>N/A</v>
      </c>
      <c r="AR621" s="78">
        <v>0</v>
      </c>
      <c r="AS621" s="21" t="s">
        <v>82</v>
      </c>
      <c r="AT621" s="21">
        <f>IFERROR(NETWORKDAYS(D621,AG621,Hoja1!$A$1:$A$29),"N/A")</f>
        <v>7</v>
      </c>
      <c r="AU621" s="21">
        <f t="shared" si="71"/>
        <v>7</v>
      </c>
      <c r="AV621" s="143" t="s">
        <v>145</v>
      </c>
      <c r="AW621" s="86" t="s">
        <v>480</v>
      </c>
      <c r="AX621" s="87"/>
      <c r="AY621" s="87"/>
      <c r="AZ621" s="87"/>
      <c r="BA621" s="87"/>
      <c r="BB621" s="87"/>
    </row>
    <row r="622" spans="1:54" ht="15" customHeight="1" x14ac:dyDescent="0.25">
      <c r="A622" s="95" t="s">
        <v>1843</v>
      </c>
      <c r="B622" s="29" t="s">
        <v>85</v>
      </c>
      <c r="C622" s="29" t="s">
        <v>85</v>
      </c>
      <c r="D622" s="424">
        <v>46125</v>
      </c>
      <c r="E622" s="38">
        <v>46125</v>
      </c>
      <c r="F622" s="202" t="s">
        <v>879</v>
      </c>
      <c r="G622" s="48" t="s">
        <v>50</v>
      </c>
      <c r="H622" s="179" t="s">
        <v>1465</v>
      </c>
      <c r="I622" s="242" t="s">
        <v>1844</v>
      </c>
      <c r="J622" s="111" t="s">
        <v>52</v>
      </c>
      <c r="K622" s="48" t="s">
        <v>106</v>
      </c>
      <c r="L622" s="18">
        <v>1</v>
      </c>
      <c r="M622" s="159" t="s">
        <v>247</v>
      </c>
      <c r="N622" s="36" t="s">
        <v>55</v>
      </c>
      <c r="O622" s="36">
        <v>0</v>
      </c>
      <c r="P622" s="164"/>
      <c r="Q622" s="36" t="s">
        <v>55</v>
      </c>
      <c r="R622" s="36" t="s">
        <v>55</v>
      </c>
      <c r="S622" s="36">
        <v>0</v>
      </c>
      <c r="T622" s="36" t="s">
        <v>55</v>
      </c>
      <c r="U622" s="36" t="s">
        <v>55</v>
      </c>
      <c r="V622" s="36" t="s">
        <v>55</v>
      </c>
      <c r="W622" s="36" t="s">
        <v>55</v>
      </c>
      <c r="X622" s="36" t="s">
        <v>55</v>
      </c>
      <c r="Y622" s="36" t="s">
        <v>55</v>
      </c>
      <c r="Z622" s="36" t="s">
        <v>55</v>
      </c>
      <c r="AA622" s="36">
        <v>1</v>
      </c>
      <c r="AB622" s="36">
        <v>1</v>
      </c>
      <c r="AC622" s="168">
        <v>0</v>
      </c>
      <c r="AD622" s="38">
        <v>46134</v>
      </c>
      <c r="AE622" s="38">
        <v>46134</v>
      </c>
      <c r="AF622" s="28" t="s">
        <v>55</v>
      </c>
      <c r="AG622" s="38">
        <v>46134</v>
      </c>
      <c r="AH622" s="38">
        <v>46134</v>
      </c>
      <c r="AI622" s="33">
        <v>4</v>
      </c>
      <c r="AJ622" s="29" t="s">
        <v>1863</v>
      </c>
      <c r="AK622" s="18" t="s">
        <v>1864</v>
      </c>
      <c r="AL622" s="19" t="str">
        <f t="shared" si="69"/>
        <v>N/A</v>
      </c>
      <c r="AM622" s="67" t="str">
        <f>IFERROR(NETWORKDAYS(D622,Q622,Hoja1!$A$1:$A$29),"N/A")</f>
        <v>N/A</v>
      </c>
      <c r="AN622" s="21">
        <f>IFERROR(NETWORKDAYS(D622,AE622,Hoja1!$A$1:$A$29),"N/A")</f>
        <v>8</v>
      </c>
      <c r="AO622" s="78">
        <v>0</v>
      </c>
      <c r="AP622" s="21">
        <f t="shared" si="67"/>
        <v>8</v>
      </c>
      <c r="AQ622" s="21" t="str">
        <f>IFERROR(NETWORKDAYS(AF622,AG622,Hoja1!$A$1:$A$29),"N/A")</f>
        <v>N/A</v>
      </c>
      <c r="AR622" s="78">
        <v>0</v>
      </c>
      <c r="AS622" s="21" t="s">
        <v>82</v>
      </c>
      <c r="AT622" s="21">
        <f>IFERROR(NETWORKDAYS(D622,AG622,Hoja1!$A$1:$A$29),"N/A")</f>
        <v>8</v>
      </c>
      <c r="AU622" s="21">
        <f t="shared" si="71"/>
        <v>8</v>
      </c>
      <c r="AV622" s="143" t="s">
        <v>145</v>
      </c>
      <c r="AW622" s="86" t="s">
        <v>480</v>
      </c>
      <c r="AX622" s="87"/>
      <c r="AY622" s="87"/>
      <c r="AZ622" s="87"/>
      <c r="BA622" s="87"/>
      <c r="BB622" s="87"/>
    </row>
    <row r="623" spans="1:54" ht="15" customHeight="1" x14ac:dyDescent="0.25">
      <c r="A623" s="95" t="s">
        <v>1843</v>
      </c>
      <c r="B623" s="29" t="s">
        <v>85</v>
      </c>
      <c r="C623" s="29" t="s">
        <v>85</v>
      </c>
      <c r="D623" s="38">
        <v>46125</v>
      </c>
      <c r="E623" s="38">
        <v>46125</v>
      </c>
      <c r="F623" s="202" t="s">
        <v>879</v>
      </c>
      <c r="G623" s="48" t="s">
        <v>50</v>
      </c>
      <c r="H623" s="179" t="s">
        <v>1465</v>
      </c>
      <c r="I623" s="242" t="s">
        <v>1844</v>
      </c>
      <c r="J623" s="111" t="s">
        <v>52</v>
      </c>
      <c r="K623" s="48" t="s">
        <v>106</v>
      </c>
      <c r="L623" s="18">
        <v>1</v>
      </c>
      <c r="M623" s="159" t="s">
        <v>247</v>
      </c>
      <c r="N623" s="168" t="s">
        <v>55</v>
      </c>
      <c r="O623" s="36">
        <v>0</v>
      </c>
      <c r="P623" s="164"/>
      <c r="Q623" s="36" t="s">
        <v>55</v>
      </c>
      <c r="R623" s="36" t="s">
        <v>55</v>
      </c>
      <c r="S623" s="36">
        <v>0</v>
      </c>
      <c r="T623" s="36" t="s">
        <v>55</v>
      </c>
      <c r="U623" s="36" t="s">
        <v>55</v>
      </c>
      <c r="V623" s="36" t="s">
        <v>55</v>
      </c>
      <c r="W623" s="36" t="s">
        <v>55</v>
      </c>
      <c r="X623" s="36" t="s">
        <v>55</v>
      </c>
      <c r="Y623" s="36" t="s">
        <v>55</v>
      </c>
      <c r="Z623" s="36" t="s">
        <v>55</v>
      </c>
      <c r="AA623" s="36">
        <v>1</v>
      </c>
      <c r="AB623" s="36">
        <v>1</v>
      </c>
      <c r="AC623" s="168">
        <v>0</v>
      </c>
      <c r="AD623" s="38">
        <v>46134</v>
      </c>
      <c r="AE623" s="38">
        <v>46134</v>
      </c>
      <c r="AF623" s="28" t="s">
        <v>55</v>
      </c>
      <c r="AG623" s="38">
        <v>46134</v>
      </c>
      <c r="AH623" s="38">
        <v>46134</v>
      </c>
      <c r="AI623" s="33">
        <v>4</v>
      </c>
      <c r="AJ623" s="29" t="s">
        <v>1865</v>
      </c>
      <c r="AK623" s="18" t="s">
        <v>1864</v>
      </c>
      <c r="AL623" s="19" t="str">
        <f t="shared" si="69"/>
        <v>N/A</v>
      </c>
      <c r="AM623" s="67" t="str">
        <f>IFERROR(NETWORKDAYS(D623,Q623,Hoja1!$A$1:$A$29),"N/A")</f>
        <v>N/A</v>
      </c>
      <c r="AN623" s="21">
        <f>IFERROR(NETWORKDAYS(D623,AE623,Hoja1!$A$1:$A$29),"N/A")</f>
        <v>8</v>
      </c>
      <c r="AO623" s="78">
        <v>0</v>
      </c>
      <c r="AP623" s="21">
        <f t="shared" si="67"/>
        <v>8</v>
      </c>
      <c r="AQ623" s="21" t="str">
        <f>IFERROR(NETWORKDAYS(AF623,AG623,Hoja1!$A$1:$A$29),"N/A")</f>
        <v>N/A</v>
      </c>
      <c r="AR623" s="78">
        <v>0</v>
      </c>
      <c r="AS623" s="21" t="s">
        <v>82</v>
      </c>
      <c r="AT623" s="21">
        <f>IFERROR(NETWORKDAYS(D623,AG623,Hoja1!$A$1:$A$29),"N/A")</f>
        <v>8</v>
      </c>
      <c r="AU623" s="21">
        <f t="shared" si="71"/>
        <v>8</v>
      </c>
      <c r="AV623" s="143" t="s">
        <v>145</v>
      </c>
      <c r="AW623" s="86" t="s">
        <v>480</v>
      </c>
      <c r="AX623" s="87"/>
      <c r="AY623" s="87"/>
      <c r="AZ623" s="87"/>
      <c r="BA623" s="87"/>
      <c r="BB623" s="87"/>
    </row>
    <row r="624" spans="1:54" ht="15" customHeight="1" x14ac:dyDescent="0.25">
      <c r="A624" s="95" t="s">
        <v>1843</v>
      </c>
      <c r="B624" s="29" t="s">
        <v>85</v>
      </c>
      <c r="C624" s="29" t="s">
        <v>85</v>
      </c>
      <c r="D624" s="424">
        <v>46125</v>
      </c>
      <c r="E624" s="38">
        <v>46125</v>
      </c>
      <c r="F624" s="202" t="s">
        <v>879</v>
      </c>
      <c r="G624" s="48" t="s">
        <v>50</v>
      </c>
      <c r="H624" s="179" t="s">
        <v>1465</v>
      </c>
      <c r="I624" s="242" t="s">
        <v>1844</v>
      </c>
      <c r="J624" s="111" t="s">
        <v>52</v>
      </c>
      <c r="K624" s="48" t="s">
        <v>106</v>
      </c>
      <c r="L624" s="18">
        <v>1</v>
      </c>
      <c r="M624" s="159" t="s">
        <v>247</v>
      </c>
      <c r="N624" s="168" t="s">
        <v>55</v>
      </c>
      <c r="O624" s="36">
        <v>0</v>
      </c>
      <c r="P624" s="164"/>
      <c r="Q624" s="36" t="s">
        <v>55</v>
      </c>
      <c r="R624" s="36" t="s">
        <v>55</v>
      </c>
      <c r="S624" s="36">
        <v>0</v>
      </c>
      <c r="T624" s="36" t="s">
        <v>55</v>
      </c>
      <c r="U624" s="36" t="s">
        <v>55</v>
      </c>
      <c r="V624" s="36" t="s">
        <v>55</v>
      </c>
      <c r="W624" s="36" t="s">
        <v>55</v>
      </c>
      <c r="X624" s="36" t="s">
        <v>55</v>
      </c>
      <c r="Y624" s="36" t="s">
        <v>55</v>
      </c>
      <c r="Z624" s="36" t="s">
        <v>55</v>
      </c>
      <c r="AA624" s="36">
        <v>1</v>
      </c>
      <c r="AB624" s="36">
        <v>1</v>
      </c>
      <c r="AC624" s="168">
        <v>0</v>
      </c>
      <c r="AD624" s="38">
        <v>46134</v>
      </c>
      <c r="AE624" s="38">
        <v>46134</v>
      </c>
      <c r="AF624" s="28" t="s">
        <v>55</v>
      </c>
      <c r="AG624" s="38">
        <v>46134</v>
      </c>
      <c r="AH624" s="38">
        <v>46134</v>
      </c>
      <c r="AI624" s="33">
        <v>4</v>
      </c>
      <c r="AJ624" s="29" t="s">
        <v>1866</v>
      </c>
      <c r="AK624" s="18" t="s">
        <v>1864</v>
      </c>
      <c r="AL624" s="19" t="str">
        <f t="shared" si="69"/>
        <v>N/A</v>
      </c>
      <c r="AM624" s="67" t="str">
        <f>IFERROR(NETWORKDAYS(D624,Q624,Hoja1!$A$1:$A$29),"N/A")</f>
        <v>N/A</v>
      </c>
      <c r="AN624" s="21">
        <f>IFERROR(NETWORKDAYS(D624,AE624,Hoja1!$A$1:$A$29),"N/A")</f>
        <v>8</v>
      </c>
      <c r="AO624" s="78">
        <v>0</v>
      </c>
      <c r="AP624" s="21">
        <f t="shared" si="67"/>
        <v>8</v>
      </c>
      <c r="AQ624" s="21" t="str">
        <f>IFERROR(NETWORKDAYS(AF624,AG624,Hoja1!$A$1:$A$29),"N/A")</f>
        <v>N/A</v>
      </c>
      <c r="AR624" s="78">
        <v>0</v>
      </c>
      <c r="AS624" s="21" t="s">
        <v>82</v>
      </c>
      <c r="AT624" s="21">
        <f>IFERROR(NETWORKDAYS(D624,AG624,Hoja1!$A$1:$A$29),"N/A")</f>
        <v>8</v>
      </c>
      <c r="AU624" s="21">
        <f t="shared" si="71"/>
        <v>8</v>
      </c>
      <c r="AV624" s="143" t="s">
        <v>145</v>
      </c>
      <c r="AW624" s="86" t="s">
        <v>480</v>
      </c>
      <c r="AX624" s="87"/>
      <c r="AY624" s="87"/>
      <c r="AZ624" s="87"/>
      <c r="BA624" s="87"/>
      <c r="BB624" s="87"/>
    </row>
    <row r="625" spans="1:54" ht="15" customHeight="1" x14ac:dyDescent="0.25">
      <c r="A625" s="95" t="s">
        <v>1843</v>
      </c>
      <c r="B625" s="29" t="s">
        <v>85</v>
      </c>
      <c r="C625" s="29" t="s">
        <v>85</v>
      </c>
      <c r="D625" s="38">
        <v>46125</v>
      </c>
      <c r="E625" s="38">
        <v>46125</v>
      </c>
      <c r="F625" s="202" t="s">
        <v>879</v>
      </c>
      <c r="G625" s="48" t="s">
        <v>50</v>
      </c>
      <c r="H625" s="179" t="s">
        <v>1465</v>
      </c>
      <c r="I625" s="242" t="s">
        <v>1844</v>
      </c>
      <c r="J625" s="111" t="s">
        <v>52</v>
      </c>
      <c r="K625" s="48" t="s">
        <v>106</v>
      </c>
      <c r="L625" s="18">
        <v>1</v>
      </c>
      <c r="M625" s="159" t="s">
        <v>247</v>
      </c>
      <c r="N625" s="168" t="s">
        <v>55</v>
      </c>
      <c r="O625" s="36">
        <v>0</v>
      </c>
      <c r="P625" s="164"/>
      <c r="Q625" s="36" t="s">
        <v>55</v>
      </c>
      <c r="R625" s="36" t="s">
        <v>55</v>
      </c>
      <c r="S625" s="36">
        <v>0</v>
      </c>
      <c r="T625" s="36" t="s">
        <v>55</v>
      </c>
      <c r="U625" s="36" t="s">
        <v>55</v>
      </c>
      <c r="V625" s="36" t="s">
        <v>55</v>
      </c>
      <c r="W625" s="36" t="s">
        <v>55</v>
      </c>
      <c r="X625" s="36" t="s">
        <v>55</v>
      </c>
      <c r="Y625" s="36" t="s">
        <v>55</v>
      </c>
      <c r="Z625" s="36" t="s">
        <v>55</v>
      </c>
      <c r="AA625" s="36">
        <v>1</v>
      </c>
      <c r="AB625" s="36">
        <v>1</v>
      </c>
      <c r="AC625" s="168">
        <v>0</v>
      </c>
      <c r="AD625" s="38">
        <v>46134</v>
      </c>
      <c r="AE625" s="38">
        <v>46134</v>
      </c>
      <c r="AF625" s="28" t="s">
        <v>55</v>
      </c>
      <c r="AG625" s="38">
        <v>46134</v>
      </c>
      <c r="AH625" s="38">
        <v>46134</v>
      </c>
      <c r="AI625" s="33">
        <v>4</v>
      </c>
      <c r="AJ625" s="29" t="s">
        <v>1867</v>
      </c>
      <c r="AK625" s="18" t="s">
        <v>1864</v>
      </c>
      <c r="AL625" s="19" t="str">
        <f t="shared" si="69"/>
        <v>N/A</v>
      </c>
      <c r="AM625" s="67" t="str">
        <f>IFERROR(NETWORKDAYS(D625,Q625,Hoja1!$A$1:$A$29),"N/A")</f>
        <v>N/A</v>
      </c>
      <c r="AN625" s="21">
        <f>IFERROR(NETWORKDAYS(D625,AE625,Hoja1!$A$1:$A$29),"N/A")</f>
        <v>8</v>
      </c>
      <c r="AO625" s="78">
        <v>0</v>
      </c>
      <c r="AP625" s="21">
        <f t="shared" si="67"/>
        <v>8</v>
      </c>
      <c r="AQ625" s="21" t="str">
        <f>IFERROR(NETWORKDAYS(AF625,AG625,Hoja1!$A$1:$A$29),"N/A")</f>
        <v>N/A</v>
      </c>
      <c r="AR625" s="78">
        <v>0</v>
      </c>
      <c r="AS625" s="21" t="s">
        <v>82</v>
      </c>
      <c r="AT625" s="21">
        <f>IFERROR(NETWORKDAYS(D625,AG625,Hoja1!$A$1:$A$29),"N/A")</f>
        <v>8</v>
      </c>
      <c r="AU625" s="21">
        <f t="shared" si="71"/>
        <v>8</v>
      </c>
      <c r="AV625" s="143" t="s">
        <v>145</v>
      </c>
      <c r="AW625" s="86" t="s">
        <v>480</v>
      </c>
      <c r="AX625" s="87"/>
      <c r="AY625" s="87"/>
      <c r="AZ625" s="87"/>
      <c r="BA625" s="87"/>
      <c r="BB625" s="87"/>
    </row>
    <row r="626" spans="1:54" ht="15" customHeight="1" x14ac:dyDescent="0.25">
      <c r="A626" s="95" t="s">
        <v>1843</v>
      </c>
      <c r="B626" s="29" t="s">
        <v>85</v>
      </c>
      <c r="C626" s="29" t="s">
        <v>85</v>
      </c>
      <c r="D626" s="424">
        <v>46125</v>
      </c>
      <c r="E626" s="38">
        <v>46125</v>
      </c>
      <c r="F626" s="202" t="s">
        <v>879</v>
      </c>
      <c r="G626" s="48" t="s">
        <v>50</v>
      </c>
      <c r="H626" s="179" t="s">
        <v>1465</v>
      </c>
      <c r="I626" s="242" t="s">
        <v>1844</v>
      </c>
      <c r="J626" s="111" t="s">
        <v>52</v>
      </c>
      <c r="K626" s="48" t="s">
        <v>106</v>
      </c>
      <c r="L626" s="18">
        <v>1</v>
      </c>
      <c r="M626" s="159" t="s">
        <v>247</v>
      </c>
      <c r="N626" s="168" t="s">
        <v>55</v>
      </c>
      <c r="O626" s="36">
        <v>0</v>
      </c>
      <c r="P626" s="164"/>
      <c r="Q626" s="36" t="s">
        <v>55</v>
      </c>
      <c r="R626" s="36" t="s">
        <v>55</v>
      </c>
      <c r="S626" s="36">
        <v>0</v>
      </c>
      <c r="T626" s="36" t="s">
        <v>55</v>
      </c>
      <c r="U626" s="36" t="s">
        <v>55</v>
      </c>
      <c r="V626" s="36" t="s">
        <v>55</v>
      </c>
      <c r="W626" s="36" t="s">
        <v>55</v>
      </c>
      <c r="X626" s="36" t="s">
        <v>55</v>
      </c>
      <c r="Y626" s="36" t="s">
        <v>55</v>
      </c>
      <c r="Z626" s="36" t="s">
        <v>55</v>
      </c>
      <c r="AA626" s="36">
        <v>1</v>
      </c>
      <c r="AB626" s="36">
        <v>1</v>
      </c>
      <c r="AC626" s="168">
        <v>0</v>
      </c>
      <c r="AD626" s="38">
        <v>46134</v>
      </c>
      <c r="AE626" s="38">
        <v>46134</v>
      </c>
      <c r="AF626" s="28" t="s">
        <v>55</v>
      </c>
      <c r="AG626" s="38">
        <v>46134</v>
      </c>
      <c r="AH626" s="38">
        <v>46134</v>
      </c>
      <c r="AI626" s="33">
        <v>4</v>
      </c>
      <c r="AJ626" s="29" t="s">
        <v>1868</v>
      </c>
      <c r="AK626" s="18" t="s">
        <v>1864</v>
      </c>
      <c r="AL626" s="19" t="str">
        <f t="shared" si="69"/>
        <v>N/A</v>
      </c>
      <c r="AM626" s="67" t="str">
        <f>IFERROR(NETWORKDAYS(D626,Q626,Hoja1!$A$1:$A$29),"N/A")</f>
        <v>N/A</v>
      </c>
      <c r="AN626" s="21">
        <f>IFERROR(NETWORKDAYS(D626,AE626,Hoja1!$A$1:$A$29),"N/A")</f>
        <v>8</v>
      </c>
      <c r="AO626" s="78">
        <v>0</v>
      </c>
      <c r="AP626" s="21">
        <f t="shared" si="67"/>
        <v>8</v>
      </c>
      <c r="AQ626" s="21" t="str">
        <f>IFERROR(NETWORKDAYS(AF626,AG626,Hoja1!$A$1:$A$29),"N/A")</f>
        <v>N/A</v>
      </c>
      <c r="AR626" s="78">
        <v>0</v>
      </c>
      <c r="AS626" s="21" t="s">
        <v>82</v>
      </c>
      <c r="AT626" s="21">
        <f>IFERROR(NETWORKDAYS(D626,AG626,Hoja1!$A$1:$A$29),"N/A")</f>
        <v>8</v>
      </c>
      <c r="AU626" s="21">
        <f t="shared" si="71"/>
        <v>8</v>
      </c>
      <c r="AV626" s="143" t="s">
        <v>145</v>
      </c>
      <c r="AW626" s="86" t="s">
        <v>480</v>
      </c>
      <c r="AX626" s="87"/>
      <c r="AY626" s="87"/>
      <c r="AZ626" s="87"/>
      <c r="BA626" s="87"/>
      <c r="BB626" s="87"/>
    </row>
    <row r="627" spans="1:54" ht="15" customHeight="1" x14ac:dyDescent="0.25">
      <c r="A627" s="95" t="s">
        <v>1843</v>
      </c>
      <c r="B627" s="29" t="s">
        <v>85</v>
      </c>
      <c r="C627" s="29" t="s">
        <v>85</v>
      </c>
      <c r="D627" s="38">
        <v>46125</v>
      </c>
      <c r="E627" s="38">
        <v>46125</v>
      </c>
      <c r="F627" s="202" t="s">
        <v>879</v>
      </c>
      <c r="G627" s="48" t="s">
        <v>50</v>
      </c>
      <c r="H627" s="179" t="s">
        <v>1465</v>
      </c>
      <c r="I627" s="242" t="s">
        <v>1844</v>
      </c>
      <c r="J627" s="111" t="s">
        <v>52</v>
      </c>
      <c r="K627" s="48" t="s">
        <v>106</v>
      </c>
      <c r="L627" s="18">
        <v>1</v>
      </c>
      <c r="M627" s="159" t="s">
        <v>247</v>
      </c>
      <c r="N627" s="168" t="s">
        <v>55</v>
      </c>
      <c r="O627" s="36">
        <v>0</v>
      </c>
      <c r="P627" s="164"/>
      <c r="Q627" s="36" t="s">
        <v>55</v>
      </c>
      <c r="R627" s="36" t="s">
        <v>55</v>
      </c>
      <c r="S627" s="36">
        <v>0</v>
      </c>
      <c r="T627" s="36" t="s">
        <v>55</v>
      </c>
      <c r="U627" s="36" t="s">
        <v>55</v>
      </c>
      <c r="V627" s="36" t="s">
        <v>55</v>
      </c>
      <c r="W627" s="36" t="s">
        <v>55</v>
      </c>
      <c r="X627" s="36" t="s">
        <v>55</v>
      </c>
      <c r="Y627" s="36" t="s">
        <v>55</v>
      </c>
      <c r="Z627" s="36" t="s">
        <v>55</v>
      </c>
      <c r="AA627" s="36">
        <v>1</v>
      </c>
      <c r="AB627" s="36">
        <v>1</v>
      </c>
      <c r="AC627" s="168">
        <v>0</v>
      </c>
      <c r="AD627" s="38">
        <v>46134</v>
      </c>
      <c r="AE627" s="38">
        <v>46134</v>
      </c>
      <c r="AF627" s="28" t="s">
        <v>55</v>
      </c>
      <c r="AG627" s="38">
        <v>46134</v>
      </c>
      <c r="AH627" s="38">
        <v>46134</v>
      </c>
      <c r="AI627" s="33">
        <v>4</v>
      </c>
      <c r="AJ627" s="29" t="s">
        <v>1869</v>
      </c>
      <c r="AK627" s="18" t="s">
        <v>1864</v>
      </c>
      <c r="AL627" s="19" t="str">
        <f t="shared" si="69"/>
        <v>N/A</v>
      </c>
      <c r="AM627" s="67" t="str">
        <f>IFERROR(NETWORKDAYS(D627,Q627,Hoja1!$A$1:$A$29),"N/A")</f>
        <v>N/A</v>
      </c>
      <c r="AN627" s="21">
        <f>IFERROR(NETWORKDAYS(D627,AE627,Hoja1!$A$1:$A$29),"N/A")</f>
        <v>8</v>
      </c>
      <c r="AO627" s="78">
        <v>0</v>
      </c>
      <c r="AP627" s="21">
        <f t="shared" si="67"/>
        <v>8</v>
      </c>
      <c r="AQ627" s="21" t="str">
        <f>IFERROR(NETWORKDAYS(AF627,AG627,Hoja1!$A$1:$A$29),"N/A")</f>
        <v>N/A</v>
      </c>
      <c r="AR627" s="78">
        <v>0</v>
      </c>
      <c r="AS627" s="21" t="s">
        <v>82</v>
      </c>
      <c r="AT627" s="21">
        <f>IFERROR(NETWORKDAYS(D627,AG627,Hoja1!$A$1:$A$29),"N/A")</f>
        <v>8</v>
      </c>
      <c r="AU627" s="21">
        <f t="shared" si="71"/>
        <v>8</v>
      </c>
      <c r="AV627" s="143" t="s">
        <v>145</v>
      </c>
      <c r="AW627" s="86" t="s">
        <v>480</v>
      </c>
      <c r="AX627" s="87"/>
      <c r="AY627" s="87"/>
      <c r="AZ627" s="87"/>
      <c r="BA627" s="87"/>
      <c r="BB627" s="87"/>
    </row>
    <row r="628" spans="1:54" ht="15" customHeight="1" x14ac:dyDescent="0.25">
      <c r="A628" s="95" t="s">
        <v>1843</v>
      </c>
      <c r="B628" s="29" t="s">
        <v>85</v>
      </c>
      <c r="C628" s="29" t="s">
        <v>85</v>
      </c>
      <c r="D628" s="424">
        <v>46125</v>
      </c>
      <c r="E628" s="38">
        <v>46125</v>
      </c>
      <c r="F628" s="202" t="s">
        <v>879</v>
      </c>
      <c r="G628" s="48" t="s">
        <v>50</v>
      </c>
      <c r="H628" s="179" t="s">
        <v>1465</v>
      </c>
      <c r="I628" s="242" t="s">
        <v>1844</v>
      </c>
      <c r="J628" s="111" t="s">
        <v>52</v>
      </c>
      <c r="K628" s="48" t="s">
        <v>106</v>
      </c>
      <c r="L628" s="18">
        <v>1</v>
      </c>
      <c r="M628" s="159" t="s">
        <v>247</v>
      </c>
      <c r="N628" s="168" t="s">
        <v>55</v>
      </c>
      <c r="O628" s="36">
        <v>0</v>
      </c>
      <c r="P628" s="164"/>
      <c r="Q628" s="36" t="s">
        <v>55</v>
      </c>
      <c r="R628" s="36" t="s">
        <v>55</v>
      </c>
      <c r="S628" s="36">
        <v>0</v>
      </c>
      <c r="T628" s="36" t="s">
        <v>55</v>
      </c>
      <c r="U628" s="36" t="s">
        <v>55</v>
      </c>
      <c r="V628" s="36" t="s">
        <v>55</v>
      </c>
      <c r="W628" s="36" t="s">
        <v>55</v>
      </c>
      <c r="X628" s="36" t="s">
        <v>55</v>
      </c>
      <c r="Y628" s="36" t="s">
        <v>55</v>
      </c>
      <c r="Z628" s="36" t="s">
        <v>55</v>
      </c>
      <c r="AA628" s="36">
        <v>1</v>
      </c>
      <c r="AB628" s="36">
        <v>1</v>
      </c>
      <c r="AC628" s="168">
        <v>0</v>
      </c>
      <c r="AD628" s="38">
        <v>46134</v>
      </c>
      <c r="AE628" s="38">
        <v>46134</v>
      </c>
      <c r="AF628" s="28" t="s">
        <v>55</v>
      </c>
      <c r="AG628" s="38">
        <v>46134</v>
      </c>
      <c r="AH628" s="38">
        <v>46134</v>
      </c>
      <c r="AI628" s="33">
        <v>4</v>
      </c>
      <c r="AJ628" s="29" t="s">
        <v>1870</v>
      </c>
      <c r="AK628" s="18" t="s">
        <v>1864</v>
      </c>
      <c r="AL628" s="19" t="str">
        <f t="shared" si="69"/>
        <v>N/A</v>
      </c>
      <c r="AM628" s="67" t="str">
        <f>IFERROR(NETWORKDAYS(D628,Q628,Hoja1!$A$1:$A$29),"N/A")</f>
        <v>N/A</v>
      </c>
      <c r="AN628" s="21">
        <f>IFERROR(NETWORKDAYS(D628,AE628,Hoja1!$A$1:$A$29),"N/A")</f>
        <v>8</v>
      </c>
      <c r="AO628" s="78">
        <v>0</v>
      </c>
      <c r="AP628" s="21">
        <f t="shared" si="67"/>
        <v>8</v>
      </c>
      <c r="AQ628" s="21" t="str">
        <f>IFERROR(NETWORKDAYS(AF628,AG628,Hoja1!$A$1:$A$29),"N/A")</f>
        <v>N/A</v>
      </c>
      <c r="AR628" s="78">
        <v>0</v>
      </c>
      <c r="AS628" s="21" t="s">
        <v>82</v>
      </c>
      <c r="AT628" s="21">
        <f>IFERROR(NETWORKDAYS(D628,AG628,Hoja1!$A$1:$A$29),"N/A")</f>
        <v>8</v>
      </c>
      <c r="AU628" s="21">
        <f t="shared" si="71"/>
        <v>8</v>
      </c>
      <c r="AV628" s="143" t="s">
        <v>145</v>
      </c>
      <c r="AW628" s="86" t="s">
        <v>480</v>
      </c>
      <c r="AX628" s="87"/>
      <c r="AY628" s="87"/>
      <c r="AZ628" s="87"/>
      <c r="BA628" s="87"/>
      <c r="BB628" s="87"/>
    </row>
    <row r="629" spans="1:54" ht="15" customHeight="1" x14ac:dyDescent="0.25">
      <c r="A629" s="95" t="s">
        <v>1843</v>
      </c>
      <c r="B629" s="29" t="s">
        <v>85</v>
      </c>
      <c r="C629" s="29" t="s">
        <v>85</v>
      </c>
      <c r="D629" s="38">
        <v>46125</v>
      </c>
      <c r="E629" s="38">
        <v>46125</v>
      </c>
      <c r="F629" s="202" t="s">
        <v>879</v>
      </c>
      <c r="G629" s="48" t="s">
        <v>50</v>
      </c>
      <c r="H629" s="179" t="s">
        <v>1465</v>
      </c>
      <c r="I629" s="242" t="s">
        <v>1844</v>
      </c>
      <c r="J629" s="111" t="s">
        <v>52</v>
      </c>
      <c r="K629" s="48" t="s">
        <v>106</v>
      </c>
      <c r="L629" s="18">
        <v>1</v>
      </c>
      <c r="M629" s="159" t="s">
        <v>247</v>
      </c>
      <c r="N629" s="168" t="s">
        <v>55</v>
      </c>
      <c r="O629" s="36">
        <v>0</v>
      </c>
      <c r="P629" s="164"/>
      <c r="Q629" s="36" t="s">
        <v>55</v>
      </c>
      <c r="R629" s="36" t="s">
        <v>55</v>
      </c>
      <c r="S629" s="36">
        <v>0</v>
      </c>
      <c r="T629" s="36" t="s">
        <v>55</v>
      </c>
      <c r="U629" s="36" t="s">
        <v>55</v>
      </c>
      <c r="V629" s="36" t="s">
        <v>55</v>
      </c>
      <c r="W629" s="36" t="s">
        <v>55</v>
      </c>
      <c r="X629" s="36" t="s">
        <v>55</v>
      </c>
      <c r="Y629" s="36" t="s">
        <v>55</v>
      </c>
      <c r="Z629" s="36" t="s">
        <v>55</v>
      </c>
      <c r="AA629" s="36">
        <v>1</v>
      </c>
      <c r="AB629" s="36">
        <v>1</v>
      </c>
      <c r="AC629" s="168">
        <v>0</v>
      </c>
      <c r="AD629" s="38">
        <v>46134</v>
      </c>
      <c r="AE629" s="38">
        <v>46134</v>
      </c>
      <c r="AF629" s="28" t="s">
        <v>55</v>
      </c>
      <c r="AG629" s="38">
        <v>46134</v>
      </c>
      <c r="AH629" s="38">
        <v>46134</v>
      </c>
      <c r="AI629" s="33">
        <v>4</v>
      </c>
      <c r="AJ629" s="29" t="s">
        <v>1871</v>
      </c>
      <c r="AK629" s="18" t="s">
        <v>1864</v>
      </c>
      <c r="AL629" s="19" t="str">
        <f t="shared" si="69"/>
        <v>N/A</v>
      </c>
      <c r="AM629" s="67" t="str">
        <f>IFERROR(NETWORKDAYS(D629,Q629,Hoja1!$A$1:$A$29),"N/A")</f>
        <v>N/A</v>
      </c>
      <c r="AN629" s="21">
        <f>IFERROR(NETWORKDAYS(D629,AE629,Hoja1!$A$1:$A$29),"N/A")</f>
        <v>8</v>
      </c>
      <c r="AO629" s="78">
        <v>0</v>
      </c>
      <c r="AP629" s="21">
        <f t="shared" si="67"/>
        <v>8</v>
      </c>
      <c r="AQ629" s="21" t="str">
        <f>IFERROR(NETWORKDAYS(AF629,AG629,Hoja1!$A$1:$A$29),"N/A")</f>
        <v>N/A</v>
      </c>
      <c r="AR629" s="78">
        <v>0</v>
      </c>
      <c r="AS629" s="21" t="s">
        <v>82</v>
      </c>
      <c r="AT629" s="21">
        <f>IFERROR(NETWORKDAYS(D629,AG629,Hoja1!$A$1:$A$29),"N/A")</f>
        <v>8</v>
      </c>
      <c r="AU629" s="21">
        <f t="shared" si="71"/>
        <v>8</v>
      </c>
      <c r="AV629" s="143" t="s">
        <v>145</v>
      </c>
      <c r="AW629" s="86" t="s">
        <v>480</v>
      </c>
      <c r="AX629" s="87"/>
      <c r="AY629" s="87"/>
      <c r="AZ629" s="87"/>
      <c r="BA629" s="87"/>
      <c r="BB629" s="87"/>
    </row>
    <row r="630" spans="1:54" ht="15" customHeight="1" x14ac:dyDescent="0.25">
      <c r="A630" s="95" t="s">
        <v>1843</v>
      </c>
      <c r="B630" s="254" t="s">
        <v>85</v>
      </c>
      <c r="C630" s="29" t="s">
        <v>85</v>
      </c>
      <c r="D630" s="424">
        <v>46125</v>
      </c>
      <c r="E630" s="38">
        <v>46125</v>
      </c>
      <c r="F630" s="255" t="s">
        <v>90</v>
      </c>
      <c r="G630" s="255" t="s">
        <v>91</v>
      </c>
      <c r="H630" s="179" t="s">
        <v>1465</v>
      </c>
      <c r="I630" s="256" t="s">
        <v>1844</v>
      </c>
      <c r="J630" s="217" t="s">
        <v>52</v>
      </c>
      <c r="K630" s="255" t="s">
        <v>111</v>
      </c>
      <c r="L630" s="150">
        <v>1</v>
      </c>
      <c r="M630" s="159" t="s">
        <v>247</v>
      </c>
      <c r="N630" s="168" t="s">
        <v>55</v>
      </c>
      <c r="O630" s="257">
        <v>0</v>
      </c>
      <c r="P630" s="164"/>
      <c r="Q630" s="257" t="s">
        <v>55</v>
      </c>
      <c r="R630" s="257" t="s">
        <v>55</v>
      </c>
      <c r="S630" s="257">
        <v>0</v>
      </c>
      <c r="T630" s="257" t="s">
        <v>55</v>
      </c>
      <c r="U630" s="257" t="s">
        <v>55</v>
      </c>
      <c r="V630" s="257" t="s">
        <v>55</v>
      </c>
      <c r="W630" s="257" t="s">
        <v>55</v>
      </c>
      <c r="X630" s="257" t="s">
        <v>55</v>
      </c>
      <c r="Y630" s="257" t="s">
        <v>55</v>
      </c>
      <c r="Z630" s="257" t="s">
        <v>55</v>
      </c>
      <c r="AA630" s="257">
        <v>1</v>
      </c>
      <c r="AB630" s="257">
        <v>1</v>
      </c>
      <c r="AC630" s="168">
        <v>0</v>
      </c>
      <c r="AD630" s="258">
        <v>46139</v>
      </c>
      <c r="AE630" s="258">
        <v>46139</v>
      </c>
      <c r="AF630" s="196" t="s">
        <v>55</v>
      </c>
      <c r="AG630" s="258">
        <v>46139</v>
      </c>
      <c r="AH630" s="258">
        <v>46139</v>
      </c>
      <c r="AI630" s="168">
        <v>4</v>
      </c>
      <c r="AJ630" s="254" t="s">
        <v>1872</v>
      </c>
      <c r="AK630" s="150" t="s">
        <v>1864</v>
      </c>
      <c r="AL630" s="19" t="str">
        <f t="shared" si="69"/>
        <v>N/A</v>
      </c>
      <c r="AM630" s="67" t="str">
        <f>IFERROR(NETWORKDAYS(D630,Q630,Hoja1!$A$1:$A$29),"N/A")</f>
        <v>N/A</v>
      </c>
      <c r="AN630" s="21">
        <f>IFERROR(NETWORKDAYS(D630,AE630,Hoja1!$A$1:$A$29),"N/A")</f>
        <v>11</v>
      </c>
      <c r="AO630" s="78">
        <v>0</v>
      </c>
      <c r="AP630" s="21">
        <f t="shared" si="67"/>
        <v>11</v>
      </c>
      <c r="AQ630" s="21" t="str">
        <f>IFERROR(NETWORKDAYS(AF630,AG630,Hoja1!$A$1:$A$29),"N/A")</f>
        <v>N/A</v>
      </c>
      <c r="AR630" s="78">
        <v>0</v>
      </c>
      <c r="AS630" s="21" t="s">
        <v>82</v>
      </c>
      <c r="AT630" s="21">
        <f>IFERROR(NETWORKDAYS(D630,AG630,Hoja1!$A$1:$A$29),"N/A")</f>
        <v>11</v>
      </c>
      <c r="AU630" s="21">
        <f t="shared" si="71"/>
        <v>11</v>
      </c>
      <c r="AV630" s="143" t="s">
        <v>145</v>
      </c>
      <c r="AW630" s="86" t="s">
        <v>480</v>
      </c>
      <c r="AX630" s="156"/>
      <c r="AY630" s="156"/>
      <c r="AZ630" s="156"/>
      <c r="BA630" s="156"/>
      <c r="BB630" s="87"/>
    </row>
    <row r="631" spans="1:54" ht="15" customHeight="1" x14ac:dyDescent="0.25">
      <c r="A631" s="95" t="s">
        <v>1843</v>
      </c>
      <c r="B631" s="254" t="s">
        <v>85</v>
      </c>
      <c r="C631" s="29" t="s">
        <v>85</v>
      </c>
      <c r="D631" s="38">
        <v>46125</v>
      </c>
      <c r="E631" s="38">
        <v>46125</v>
      </c>
      <c r="F631" s="255" t="s">
        <v>90</v>
      </c>
      <c r="G631" s="255" t="s">
        <v>91</v>
      </c>
      <c r="H631" s="179" t="s">
        <v>1465</v>
      </c>
      <c r="I631" s="256" t="s">
        <v>1844</v>
      </c>
      <c r="J631" s="217" t="s">
        <v>52</v>
      </c>
      <c r="K631" s="255" t="s">
        <v>111</v>
      </c>
      <c r="L631" s="150">
        <v>1</v>
      </c>
      <c r="M631" s="159" t="s">
        <v>247</v>
      </c>
      <c r="N631" s="168" t="s">
        <v>55</v>
      </c>
      <c r="O631" s="257">
        <v>0</v>
      </c>
      <c r="P631" s="164"/>
      <c r="Q631" s="257" t="s">
        <v>55</v>
      </c>
      <c r="R631" s="257" t="s">
        <v>55</v>
      </c>
      <c r="S631" s="257">
        <v>0</v>
      </c>
      <c r="T631" s="257" t="s">
        <v>55</v>
      </c>
      <c r="U631" s="257" t="s">
        <v>55</v>
      </c>
      <c r="V631" s="257" t="s">
        <v>55</v>
      </c>
      <c r="W631" s="257" t="s">
        <v>55</v>
      </c>
      <c r="X631" s="257" t="s">
        <v>55</v>
      </c>
      <c r="Y631" s="257" t="s">
        <v>55</v>
      </c>
      <c r="Z631" s="257" t="s">
        <v>55</v>
      </c>
      <c r="AA631" s="257">
        <v>1</v>
      </c>
      <c r="AB631" s="257">
        <v>1</v>
      </c>
      <c r="AC631" s="168">
        <v>0</v>
      </c>
      <c r="AD631" s="258">
        <v>46139</v>
      </c>
      <c r="AE631" s="258">
        <v>46139</v>
      </c>
      <c r="AF631" s="196" t="s">
        <v>55</v>
      </c>
      <c r="AG631" s="258">
        <v>46139</v>
      </c>
      <c r="AH631" s="258">
        <v>46139</v>
      </c>
      <c r="AI631" s="168">
        <v>4</v>
      </c>
      <c r="AJ631" s="254" t="s">
        <v>1873</v>
      </c>
      <c r="AK631" s="150" t="s">
        <v>1864</v>
      </c>
      <c r="AL631" s="19" t="str">
        <f t="shared" si="69"/>
        <v>N/A</v>
      </c>
      <c r="AM631" s="67" t="str">
        <f>IFERROR(NETWORKDAYS(D631,Q631,Hoja1!$A$1:$A$29),"N/A")</f>
        <v>N/A</v>
      </c>
      <c r="AN631" s="21">
        <f>IFERROR(NETWORKDAYS(D631,AE631,Hoja1!$A$1:$A$29),"N/A")</f>
        <v>11</v>
      </c>
      <c r="AO631" s="78">
        <v>0</v>
      </c>
      <c r="AP631" s="21">
        <f t="shared" si="67"/>
        <v>11</v>
      </c>
      <c r="AQ631" s="21" t="str">
        <f>IFERROR(NETWORKDAYS(AF631,AG631,Hoja1!$A$1:$A$29),"N/A")</f>
        <v>N/A</v>
      </c>
      <c r="AR631" s="78">
        <v>0</v>
      </c>
      <c r="AS631" s="21" t="s">
        <v>82</v>
      </c>
      <c r="AT631" s="21">
        <f>IFERROR(NETWORKDAYS(D631,AG631,Hoja1!$A$1:$A$29),"N/A")</f>
        <v>11</v>
      </c>
      <c r="AU631" s="21">
        <f t="shared" si="71"/>
        <v>11</v>
      </c>
      <c r="AV631" s="143" t="s">
        <v>145</v>
      </c>
      <c r="AW631" s="86" t="s">
        <v>480</v>
      </c>
      <c r="AX631" s="156"/>
      <c r="AY631" s="156"/>
      <c r="AZ631" s="156"/>
      <c r="BA631" s="156"/>
      <c r="BB631" s="87"/>
    </row>
    <row r="632" spans="1:54" ht="15" customHeight="1" x14ac:dyDescent="0.25">
      <c r="A632" s="95" t="s">
        <v>1843</v>
      </c>
      <c r="B632" s="254" t="s">
        <v>85</v>
      </c>
      <c r="C632" s="29" t="s">
        <v>85</v>
      </c>
      <c r="D632" s="424">
        <v>46125</v>
      </c>
      <c r="E632" s="38">
        <v>46125</v>
      </c>
      <c r="F632" s="255" t="s">
        <v>90</v>
      </c>
      <c r="G632" s="255" t="s">
        <v>91</v>
      </c>
      <c r="H632" s="179" t="s">
        <v>1465</v>
      </c>
      <c r="I632" s="256" t="s">
        <v>1844</v>
      </c>
      <c r="J632" s="217" t="s">
        <v>52</v>
      </c>
      <c r="K632" s="255" t="s">
        <v>111</v>
      </c>
      <c r="L632" s="150">
        <v>1</v>
      </c>
      <c r="M632" s="159" t="s">
        <v>247</v>
      </c>
      <c r="N632" s="168" t="s">
        <v>55</v>
      </c>
      <c r="O632" s="257">
        <v>0</v>
      </c>
      <c r="P632" s="164"/>
      <c r="Q632" s="257" t="s">
        <v>55</v>
      </c>
      <c r="R632" s="257" t="s">
        <v>55</v>
      </c>
      <c r="S632" s="257">
        <v>0</v>
      </c>
      <c r="T632" s="257" t="s">
        <v>55</v>
      </c>
      <c r="U632" s="257" t="s">
        <v>55</v>
      </c>
      <c r="V632" s="257" t="s">
        <v>55</v>
      </c>
      <c r="W632" s="257" t="s">
        <v>55</v>
      </c>
      <c r="X632" s="257" t="s">
        <v>55</v>
      </c>
      <c r="Y632" s="257" t="s">
        <v>55</v>
      </c>
      <c r="Z632" s="257" t="s">
        <v>55</v>
      </c>
      <c r="AA632" s="257">
        <v>1</v>
      </c>
      <c r="AB632" s="257">
        <v>1</v>
      </c>
      <c r="AC632" s="168">
        <v>0</v>
      </c>
      <c r="AD632" s="258">
        <v>46139</v>
      </c>
      <c r="AE632" s="258">
        <v>46139</v>
      </c>
      <c r="AF632" s="196" t="s">
        <v>55</v>
      </c>
      <c r="AG632" s="258">
        <v>46139</v>
      </c>
      <c r="AH632" s="258">
        <v>46139</v>
      </c>
      <c r="AI632" s="168">
        <v>4</v>
      </c>
      <c r="AJ632" s="254" t="s">
        <v>1874</v>
      </c>
      <c r="AK632" s="150" t="s">
        <v>1864</v>
      </c>
      <c r="AL632" s="19" t="str">
        <f t="shared" si="69"/>
        <v>N/A</v>
      </c>
      <c r="AM632" s="67" t="str">
        <f>IFERROR(NETWORKDAYS(D632,Q632,Hoja1!$A$1:$A$29),"N/A")</f>
        <v>N/A</v>
      </c>
      <c r="AN632" s="21">
        <f>IFERROR(NETWORKDAYS(D632,AE632,Hoja1!$A$1:$A$29),"N/A")</f>
        <v>11</v>
      </c>
      <c r="AO632" s="78">
        <v>0</v>
      </c>
      <c r="AP632" s="21">
        <f t="shared" si="67"/>
        <v>11</v>
      </c>
      <c r="AQ632" s="21" t="str">
        <f>IFERROR(NETWORKDAYS(AF632,AG632,Hoja1!$A$1:$A$29),"N/A")</f>
        <v>N/A</v>
      </c>
      <c r="AR632" s="78">
        <v>0</v>
      </c>
      <c r="AS632" s="21" t="s">
        <v>82</v>
      </c>
      <c r="AT632" s="21">
        <f>IFERROR(NETWORKDAYS(D632,AG632,Hoja1!$A$1:$A$29),"N/A")</f>
        <v>11</v>
      </c>
      <c r="AU632" s="21">
        <f t="shared" si="71"/>
        <v>11</v>
      </c>
      <c r="AV632" s="143" t="s">
        <v>145</v>
      </c>
      <c r="AW632" s="86" t="s">
        <v>480</v>
      </c>
      <c r="AX632" s="156"/>
      <c r="AY632" s="156"/>
      <c r="AZ632" s="156"/>
      <c r="BA632" s="156"/>
      <c r="BB632" s="87"/>
    </row>
    <row r="633" spans="1:54" ht="15" customHeight="1" x14ac:dyDescent="0.25">
      <c r="A633" s="95" t="s">
        <v>1843</v>
      </c>
      <c r="B633" s="254" t="s">
        <v>85</v>
      </c>
      <c r="C633" s="29" t="s">
        <v>85</v>
      </c>
      <c r="D633" s="38">
        <v>46125</v>
      </c>
      <c r="E633" s="38">
        <v>46125</v>
      </c>
      <c r="F633" s="255" t="s">
        <v>90</v>
      </c>
      <c r="G633" s="255" t="s">
        <v>91</v>
      </c>
      <c r="H633" s="179" t="s">
        <v>1465</v>
      </c>
      <c r="I633" s="256" t="s">
        <v>1844</v>
      </c>
      <c r="J633" s="217" t="s">
        <v>52</v>
      </c>
      <c r="K633" s="255" t="s">
        <v>111</v>
      </c>
      <c r="L633" s="150">
        <v>1</v>
      </c>
      <c r="M633" s="159" t="s">
        <v>247</v>
      </c>
      <c r="N633" s="168" t="s">
        <v>55</v>
      </c>
      <c r="O633" s="257">
        <v>0</v>
      </c>
      <c r="P633" s="164"/>
      <c r="Q633" s="257" t="s">
        <v>55</v>
      </c>
      <c r="R633" s="257" t="s">
        <v>55</v>
      </c>
      <c r="S633" s="257">
        <v>0</v>
      </c>
      <c r="T633" s="257" t="s">
        <v>55</v>
      </c>
      <c r="U633" s="257" t="s">
        <v>55</v>
      </c>
      <c r="V633" s="257" t="s">
        <v>55</v>
      </c>
      <c r="W633" s="257" t="s">
        <v>55</v>
      </c>
      <c r="X633" s="257" t="s">
        <v>55</v>
      </c>
      <c r="Y633" s="257" t="s">
        <v>55</v>
      </c>
      <c r="Z633" s="257" t="s">
        <v>55</v>
      </c>
      <c r="AA633" s="257">
        <v>1</v>
      </c>
      <c r="AB633" s="257">
        <v>1</v>
      </c>
      <c r="AC633" s="168">
        <v>0</v>
      </c>
      <c r="AD633" s="258">
        <v>46139</v>
      </c>
      <c r="AE633" s="258">
        <v>46139</v>
      </c>
      <c r="AF633" s="196" t="s">
        <v>55</v>
      </c>
      <c r="AG633" s="258">
        <v>46139</v>
      </c>
      <c r="AH633" s="258">
        <v>46139</v>
      </c>
      <c r="AI633" s="168">
        <v>4</v>
      </c>
      <c r="AJ633" s="254" t="s">
        <v>1875</v>
      </c>
      <c r="AK633" s="150" t="s">
        <v>1864</v>
      </c>
      <c r="AL633" s="19" t="str">
        <f t="shared" si="69"/>
        <v>N/A</v>
      </c>
      <c r="AM633" s="67" t="str">
        <f>IFERROR(NETWORKDAYS(D633,Q633,Hoja1!$A$1:$A$29),"N/A")</f>
        <v>N/A</v>
      </c>
      <c r="AN633" s="21">
        <f>IFERROR(NETWORKDAYS(D633,AE633,Hoja1!$A$1:$A$29),"N/A")</f>
        <v>11</v>
      </c>
      <c r="AO633" s="78">
        <v>0</v>
      </c>
      <c r="AP633" s="21">
        <f t="shared" si="67"/>
        <v>11</v>
      </c>
      <c r="AQ633" s="21" t="str">
        <f>IFERROR(NETWORKDAYS(AF633,AG633,Hoja1!$A$1:$A$29),"N/A")</f>
        <v>N/A</v>
      </c>
      <c r="AR633" s="78">
        <v>0</v>
      </c>
      <c r="AS633" s="21" t="s">
        <v>82</v>
      </c>
      <c r="AT633" s="21">
        <f>IFERROR(NETWORKDAYS(D633,AG633,Hoja1!$A$1:$A$29),"N/A")</f>
        <v>11</v>
      </c>
      <c r="AU633" s="21">
        <f t="shared" si="71"/>
        <v>11</v>
      </c>
      <c r="AV633" s="143" t="s">
        <v>145</v>
      </c>
      <c r="AW633" s="86" t="s">
        <v>480</v>
      </c>
      <c r="AX633" s="156"/>
      <c r="AY633" s="156"/>
      <c r="AZ633" s="156"/>
      <c r="BA633" s="156"/>
      <c r="BB633" s="87"/>
    </row>
    <row r="634" spans="1:54" ht="15" customHeight="1" x14ac:dyDescent="0.25">
      <c r="A634" s="95" t="s">
        <v>1843</v>
      </c>
      <c r="B634" s="254" t="s">
        <v>85</v>
      </c>
      <c r="C634" s="29" t="s">
        <v>85</v>
      </c>
      <c r="D634" s="424">
        <v>46125</v>
      </c>
      <c r="E634" s="38">
        <v>46125</v>
      </c>
      <c r="F634" s="255" t="s">
        <v>90</v>
      </c>
      <c r="G634" s="255" t="s">
        <v>91</v>
      </c>
      <c r="H634" s="179" t="s">
        <v>1465</v>
      </c>
      <c r="I634" s="256" t="s">
        <v>1844</v>
      </c>
      <c r="J634" s="217" t="s">
        <v>52</v>
      </c>
      <c r="K634" s="255" t="s">
        <v>111</v>
      </c>
      <c r="L634" s="150">
        <v>1</v>
      </c>
      <c r="M634" s="159" t="s">
        <v>247</v>
      </c>
      <c r="N634" s="168" t="s">
        <v>55</v>
      </c>
      <c r="O634" s="257">
        <v>0</v>
      </c>
      <c r="P634" s="164"/>
      <c r="Q634" s="257" t="s">
        <v>55</v>
      </c>
      <c r="R634" s="257" t="s">
        <v>55</v>
      </c>
      <c r="S634" s="257">
        <v>0</v>
      </c>
      <c r="T634" s="257" t="s">
        <v>55</v>
      </c>
      <c r="U634" s="257" t="s">
        <v>55</v>
      </c>
      <c r="V634" s="257" t="s">
        <v>55</v>
      </c>
      <c r="W634" s="257" t="s">
        <v>55</v>
      </c>
      <c r="X634" s="257" t="s">
        <v>55</v>
      </c>
      <c r="Y634" s="257" t="s">
        <v>55</v>
      </c>
      <c r="Z634" s="257" t="s">
        <v>55</v>
      </c>
      <c r="AA634" s="257">
        <v>1</v>
      </c>
      <c r="AB634" s="257">
        <v>1</v>
      </c>
      <c r="AC634" s="168">
        <v>0</v>
      </c>
      <c r="AD634" s="258">
        <v>46139</v>
      </c>
      <c r="AE634" s="258">
        <v>46139</v>
      </c>
      <c r="AF634" s="196" t="s">
        <v>55</v>
      </c>
      <c r="AG634" s="258">
        <v>46139</v>
      </c>
      <c r="AH634" s="258">
        <v>46139</v>
      </c>
      <c r="AI634" s="168">
        <v>4</v>
      </c>
      <c r="AJ634" s="254" t="s">
        <v>1876</v>
      </c>
      <c r="AK634" s="150" t="s">
        <v>1864</v>
      </c>
      <c r="AL634" s="19" t="str">
        <f t="shared" si="69"/>
        <v>N/A</v>
      </c>
      <c r="AM634" s="67" t="str">
        <f>IFERROR(NETWORKDAYS(D634,Q634,Hoja1!$A$1:$A$29),"N/A")</f>
        <v>N/A</v>
      </c>
      <c r="AN634" s="21">
        <f>IFERROR(NETWORKDAYS(D634,AE634,Hoja1!$A$1:$A$29),"N/A")</f>
        <v>11</v>
      </c>
      <c r="AO634" s="78">
        <v>0</v>
      </c>
      <c r="AP634" s="21">
        <f t="shared" si="67"/>
        <v>11</v>
      </c>
      <c r="AQ634" s="21" t="str">
        <f>IFERROR(NETWORKDAYS(AF634,AG634,Hoja1!$A$1:$A$29),"N/A")</f>
        <v>N/A</v>
      </c>
      <c r="AR634" s="78">
        <v>0</v>
      </c>
      <c r="AS634" s="21" t="s">
        <v>82</v>
      </c>
      <c r="AT634" s="21">
        <f>IFERROR(NETWORKDAYS(D634,AG634,Hoja1!$A$1:$A$29),"N/A")</f>
        <v>11</v>
      </c>
      <c r="AU634" s="21">
        <f t="shared" si="71"/>
        <v>11</v>
      </c>
      <c r="AV634" s="143" t="s">
        <v>145</v>
      </c>
      <c r="AW634" s="86" t="s">
        <v>480</v>
      </c>
      <c r="AX634" s="156"/>
      <c r="AY634" s="156"/>
      <c r="AZ634" s="156"/>
      <c r="BA634" s="156"/>
      <c r="BB634" s="87"/>
    </row>
    <row r="635" spans="1:54" ht="15" customHeight="1" x14ac:dyDescent="0.25">
      <c r="A635" s="95" t="s">
        <v>1843</v>
      </c>
      <c r="B635" s="254" t="s">
        <v>85</v>
      </c>
      <c r="C635" s="29" t="s">
        <v>85</v>
      </c>
      <c r="D635" s="38">
        <v>46125</v>
      </c>
      <c r="E635" s="38">
        <v>46125</v>
      </c>
      <c r="F635" s="255" t="s">
        <v>90</v>
      </c>
      <c r="G635" s="255" t="s">
        <v>91</v>
      </c>
      <c r="H635" s="179" t="s">
        <v>1465</v>
      </c>
      <c r="I635" s="256" t="s">
        <v>1844</v>
      </c>
      <c r="J635" s="217" t="s">
        <v>52</v>
      </c>
      <c r="K635" s="255" t="s">
        <v>111</v>
      </c>
      <c r="L635" s="150">
        <v>1</v>
      </c>
      <c r="M635" s="159" t="s">
        <v>247</v>
      </c>
      <c r="N635" s="168" t="s">
        <v>55</v>
      </c>
      <c r="O635" s="257">
        <v>0</v>
      </c>
      <c r="P635" s="164"/>
      <c r="Q635" s="257" t="s">
        <v>55</v>
      </c>
      <c r="R635" s="257" t="s">
        <v>55</v>
      </c>
      <c r="S635" s="257">
        <v>0</v>
      </c>
      <c r="T635" s="257" t="s">
        <v>55</v>
      </c>
      <c r="U635" s="257" t="s">
        <v>55</v>
      </c>
      <c r="V635" s="257" t="s">
        <v>55</v>
      </c>
      <c r="W635" s="257" t="s">
        <v>55</v>
      </c>
      <c r="X635" s="257" t="s">
        <v>55</v>
      </c>
      <c r="Y635" s="257" t="s">
        <v>55</v>
      </c>
      <c r="Z635" s="257" t="s">
        <v>55</v>
      </c>
      <c r="AA635" s="257">
        <v>1</v>
      </c>
      <c r="AB635" s="257">
        <v>1</v>
      </c>
      <c r="AC635" s="168">
        <v>0</v>
      </c>
      <c r="AD635" s="258">
        <v>46139</v>
      </c>
      <c r="AE635" s="258">
        <v>46139</v>
      </c>
      <c r="AF635" s="196" t="s">
        <v>55</v>
      </c>
      <c r="AG635" s="258">
        <v>46139</v>
      </c>
      <c r="AH635" s="258">
        <v>46139</v>
      </c>
      <c r="AI635" s="168">
        <v>4</v>
      </c>
      <c r="AJ635" s="254" t="s">
        <v>1877</v>
      </c>
      <c r="AK635" s="150" t="s">
        <v>1864</v>
      </c>
      <c r="AL635" s="19" t="str">
        <f t="shared" si="69"/>
        <v>N/A</v>
      </c>
      <c r="AM635" s="67" t="str">
        <f>IFERROR(NETWORKDAYS(D635,Q635,Hoja1!$A$1:$A$29),"N/A")</f>
        <v>N/A</v>
      </c>
      <c r="AN635" s="21">
        <f>IFERROR(NETWORKDAYS(D635,AE635,Hoja1!$A$1:$A$29),"N/A")</f>
        <v>11</v>
      </c>
      <c r="AO635" s="78">
        <v>0</v>
      </c>
      <c r="AP635" s="21">
        <f t="shared" si="67"/>
        <v>11</v>
      </c>
      <c r="AQ635" s="21" t="str">
        <f>IFERROR(NETWORKDAYS(AF635,AG635,Hoja1!$A$1:$A$29),"N/A")</f>
        <v>N/A</v>
      </c>
      <c r="AR635" s="78">
        <v>0</v>
      </c>
      <c r="AS635" s="21" t="s">
        <v>82</v>
      </c>
      <c r="AT635" s="21">
        <f>IFERROR(NETWORKDAYS(D635,AG635,Hoja1!$A$1:$A$29),"N/A")</f>
        <v>11</v>
      </c>
      <c r="AU635" s="21">
        <f t="shared" si="71"/>
        <v>11</v>
      </c>
      <c r="AV635" s="143" t="s">
        <v>145</v>
      </c>
      <c r="AW635" s="86" t="s">
        <v>480</v>
      </c>
      <c r="AX635" s="156"/>
      <c r="AY635" s="156"/>
      <c r="AZ635" s="156"/>
      <c r="BA635" s="156"/>
      <c r="BB635" s="87"/>
    </row>
    <row r="636" spans="1:54" ht="15" customHeight="1" x14ac:dyDescent="0.25">
      <c r="A636" s="95" t="s">
        <v>1843</v>
      </c>
      <c r="B636" s="254" t="s">
        <v>85</v>
      </c>
      <c r="C636" s="29" t="s">
        <v>85</v>
      </c>
      <c r="D636" s="424">
        <v>46125</v>
      </c>
      <c r="E636" s="38">
        <v>46125</v>
      </c>
      <c r="F636" s="255" t="s">
        <v>90</v>
      </c>
      <c r="G636" s="255" t="s">
        <v>91</v>
      </c>
      <c r="H636" s="179" t="s">
        <v>1465</v>
      </c>
      <c r="I636" s="256" t="s">
        <v>1844</v>
      </c>
      <c r="J636" s="217" t="s">
        <v>52</v>
      </c>
      <c r="K636" s="255" t="s">
        <v>111</v>
      </c>
      <c r="L636" s="150">
        <v>1</v>
      </c>
      <c r="M636" s="159" t="s">
        <v>247</v>
      </c>
      <c r="N636" s="168" t="s">
        <v>55</v>
      </c>
      <c r="O636" s="257">
        <v>0</v>
      </c>
      <c r="P636" s="164"/>
      <c r="Q636" s="257" t="s">
        <v>55</v>
      </c>
      <c r="R636" s="257" t="s">
        <v>55</v>
      </c>
      <c r="S636" s="257">
        <v>0</v>
      </c>
      <c r="T636" s="257" t="s">
        <v>55</v>
      </c>
      <c r="U636" s="257" t="s">
        <v>55</v>
      </c>
      <c r="V636" s="257" t="s">
        <v>55</v>
      </c>
      <c r="W636" s="257" t="s">
        <v>55</v>
      </c>
      <c r="X636" s="257" t="s">
        <v>55</v>
      </c>
      <c r="Y636" s="257" t="s">
        <v>55</v>
      </c>
      <c r="Z636" s="257" t="s">
        <v>55</v>
      </c>
      <c r="AA636" s="257">
        <v>1</v>
      </c>
      <c r="AB636" s="257">
        <v>1</v>
      </c>
      <c r="AC636" s="168">
        <v>0</v>
      </c>
      <c r="AD636" s="258">
        <v>46139</v>
      </c>
      <c r="AE636" s="258">
        <v>46139</v>
      </c>
      <c r="AF636" s="196" t="s">
        <v>55</v>
      </c>
      <c r="AG636" s="258">
        <v>46139</v>
      </c>
      <c r="AH636" s="258">
        <v>46139</v>
      </c>
      <c r="AI636" s="168">
        <v>4</v>
      </c>
      <c r="AJ636" s="254" t="s">
        <v>1878</v>
      </c>
      <c r="AK636" s="150" t="s">
        <v>1864</v>
      </c>
      <c r="AL636" s="19" t="str">
        <f t="shared" si="69"/>
        <v>N/A</v>
      </c>
      <c r="AM636" s="67" t="str">
        <f>IFERROR(NETWORKDAYS(D636,Q636,Hoja1!$A$1:$A$29),"N/A")</f>
        <v>N/A</v>
      </c>
      <c r="AN636" s="21">
        <f>IFERROR(NETWORKDAYS(D636,AE636,Hoja1!$A$1:$A$29),"N/A")</f>
        <v>11</v>
      </c>
      <c r="AO636" s="78">
        <v>0</v>
      </c>
      <c r="AP636" s="21">
        <f t="shared" si="67"/>
        <v>11</v>
      </c>
      <c r="AQ636" s="21" t="str">
        <f>IFERROR(NETWORKDAYS(AF636,AG636,Hoja1!$A$1:$A$29),"N/A")</f>
        <v>N/A</v>
      </c>
      <c r="AR636" s="78">
        <v>0</v>
      </c>
      <c r="AS636" s="21" t="s">
        <v>82</v>
      </c>
      <c r="AT636" s="21">
        <f>IFERROR(NETWORKDAYS(D636,AG636,Hoja1!$A$1:$A$29),"N/A")</f>
        <v>11</v>
      </c>
      <c r="AU636" s="21">
        <f t="shared" si="71"/>
        <v>11</v>
      </c>
      <c r="AV636" s="143" t="s">
        <v>145</v>
      </c>
      <c r="AW636" s="86" t="s">
        <v>480</v>
      </c>
      <c r="AX636" s="156"/>
      <c r="AY636" s="156"/>
      <c r="AZ636" s="156"/>
      <c r="BA636" s="156"/>
      <c r="BB636" s="87"/>
    </row>
    <row r="637" spans="1:54" ht="15" customHeight="1" x14ac:dyDescent="0.25">
      <c r="A637" s="95" t="s">
        <v>1843</v>
      </c>
      <c r="B637" s="254" t="s">
        <v>85</v>
      </c>
      <c r="C637" s="29" t="s">
        <v>85</v>
      </c>
      <c r="D637" s="38">
        <v>46125</v>
      </c>
      <c r="E637" s="38">
        <v>46125</v>
      </c>
      <c r="F637" s="255" t="s">
        <v>90</v>
      </c>
      <c r="G637" s="255" t="s">
        <v>91</v>
      </c>
      <c r="H637" s="179" t="s">
        <v>1465</v>
      </c>
      <c r="I637" s="256" t="s">
        <v>1844</v>
      </c>
      <c r="J637" s="217" t="s">
        <v>52</v>
      </c>
      <c r="K637" s="255" t="s">
        <v>111</v>
      </c>
      <c r="L637" s="150">
        <v>1</v>
      </c>
      <c r="M637" s="159" t="s">
        <v>247</v>
      </c>
      <c r="N637" s="168" t="s">
        <v>55</v>
      </c>
      <c r="O637" s="257">
        <v>0</v>
      </c>
      <c r="P637" s="164"/>
      <c r="Q637" s="257" t="s">
        <v>55</v>
      </c>
      <c r="R637" s="257" t="s">
        <v>55</v>
      </c>
      <c r="S637" s="257">
        <v>0</v>
      </c>
      <c r="T637" s="257" t="s">
        <v>55</v>
      </c>
      <c r="U637" s="257" t="s">
        <v>55</v>
      </c>
      <c r="V637" s="257" t="s">
        <v>55</v>
      </c>
      <c r="W637" s="257" t="s">
        <v>55</v>
      </c>
      <c r="X637" s="257" t="s">
        <v>55</v>
      </c>
      <c r="Y637" s="257" t="s">
        <v>55</v>
      </c>
      <c r="Z637" s="257" t="s">
        <v>55</v>
      </c>
      <c r="AA637" s="257">
        <v>1</v>
      </c>
      <c r="AB637" s="257">
        <v>1</v>
      </c>
      <c r="AC637" s="168">
        <v>0</v>
      </c>
      <c r="AD637" s="258">
        <v>46139</v>
      </c>
      <c r="AE637" s="258">
        <v>46139</v>
      </c>
      <c r="AF637" s="196" t="s">
        <v>55</v>
      </c>
      <c r="AG637" s="258">
        <v>46139</v>
      </c>
      <c r="AH637" s="258">
        <v>46139</v>
      </c>
      <c r="AI637" s="168">
        <v>4</v>
      </c>
      <c r="AJ637" s="254" t="s">
        <v>1879</v>
      </c>
      <c r="AK637" s="150" t="s">
        <v>1864</v>
      </c>
      <c r="AL637" s="19" t="str">
        <f t="shared" si="69"/>
        <v>N/A</v>
      </c>
      <c r="AM637" s="67" t="str">
        <f>IFERROR(NETWORKDAYS(D637,Q637,Hoja1!$A$1:$A$29),"N/A")</f>
        <v>N/A</v>
      </c>
      <c r="AN637" s="21">
        <f>IFERROR(NETWORKDAYS(D637,AE637,Hoja1!$A$1:$A$29),"N/A")</f>
        <v>11</v>
      </c>
      <c r="AO637" s="78">
        <v>0</v>
      </c>
      <c r="AP637" s="21">
        <f t="shared" ref="AP637:AP641" si="72">AN637-AO637</f>
        <v>11</v>
      </c>
      <c r="AQ637" s="21" t="str">
        <f>IFERROR(NETWORKDAYS(AF637,AG637,Hoja1!$A$1:$A$29),"N/A")</f>
        <v>N/A</v>
      </c>
      <c r="AR637" s="78">
        <v>0</v>
      </c>
      <c r="AS637" s="21" t="s">
        <v>82</v>
      </c>
      <c r="AT637" s="21">
        <f>IFERROR(NETWORKDAYS(D637,AG637,Hoja1!$A$1:$A$29),"N/A")</f>
        <v>11</v>
      </c>
      <c r="AU637" s="21">
        <f t="shared" si="71"/>
        <v>11</v>
      </c>
      <c r="AV637" s="143" t="s">
        <v>145</v>
      </c>
      <c r="AW637" s="86" t="s">
        <v>480</v>
      </c>
      <c r="AX637" s="156"/>
      <c r="AY637" s="156"/>
      <c r="AZ637" s="156"/>
      <c r="BA637" s="156"/>
      <c r="BB637" s="87"/>
    </row>
    <row r="638" spans="1:54" ht="15" customHeight="1" x14ac:dyDescent="0.25">
      <c r="A638" s="95" t="s">
        <v>1843</v>
      </c>
      <c r="B638" s="254" t="s">
        <v>85</v>
      </c>
      <c r="C638" s="29" t="s">
        <v>85</v>
      </c>
      <c r="D638" s="424">
        <v>46125</v>
      </c>
      <c r="E638" s="38">
        <v>46125</v>
      </c>
      <c r="F638" s="255" t="s">
        <v>90</v>
      </c>
      <c r="G638" s="255" t="s">
        <v>91</v>
      </c>
      <c r="H638" s="179" t="s">
        <v>1465</v>
      </c>
      <c r="I638" s="256" t="s">
        <v>1844</v>
      </c>
      <c r="J638" s="217" t="s">
        <v>52</v>
      </c>
      <c r="K638" s="255" t="s">
        <v>111</v>
      </c>
      <c r="L638" s="150">
        <v>1</v>
      </c>
      <c r="M638" s="159" t="s">
        <v>247</v>
      </c>
      <c r="N638" s="168" t="s">
        <v>55</v>
      </c>
      <c r="O638" s="257">
        <v>0</v>
      </c>
      <c r="P638" s="164"/>
      <c r="Q638" s="257" t="s">
        <v>55</v>
      </c>
      <c r="R638" s="257" t="s">
        <v>55</v>
      </c>
      <c r="S638" s="257">
        <v>0</v>
      </c>
      <c r="T638" s="257" t="s">
        <v>55</v>
      </c>
      <c r="U638" s="257" t="s">
        <v>55</v>
      </c>
      <c r="V638" s="257" t="s">
        <v>55</v>
      </c>
      <c r="W638" s="257" t="s">
        <v>55</v>
      </c>
      <c r="X638" s="257" t="s">
        <v>55</v>
      </c>
      <c r="Y638" s="257" t="s">
        <v>55</v>
      </c>
      <c r="Z638" s="257" t="s">
        <v>55</v>
      </c>
      <c r="AA638" s="257">
        <v>1</v>
      </c>
      <c r="AB638" s="257">
        <v>1</v>
      </c>
      <c r="AC638" s="168">
        <v>0</v>
      </c>
      <c r="AD638" s="258">
        <v>46139</v>
      </c>
      <c r="AE638" s="258">
        <v>46139</v>
      </c>
      <c r="AF638" s="196" t="s">
        <v>55</v>
      </c>
      <c r="AG638" s="258">
        <v>46139</v>
      </c>
      <c r="AH638" s="258">
        <v>46139</v>
      </c>
      <c r="AI638" s="168">
        <v>4</v>
      </c>
      <c r="AJ638" s="254" t="s">
        <v>1880</v>
      </c>
      <c r="AK638" s="150" t="s">
        <v>1864</v>
      </c>
      <c r="AL638" s="19" t="str">
        <f t="shared" si="69"/>
        <v>N/A</v>
      </c>
      <c r="AM638" s="67" t="str">
        <f>IFERROR(NETWORKDAYS(D638,Q638,Hoja1!$A$1:$A$29),"N/A")</f>
        <v>N/A</v>
      </c>
      <c r="AN638" s="21">
        <f>IFERROR(NETWORKDAYS(D638,AE638,Hoja1!$A$1:$A$29),"N/A")</f>
        <v>11</v>
      </c>
      <c r="AO638" s="78">
        <v>0</v>
      </c>
      <c r="AP638" s="21">
        <f t="shared" si="72"/>
        <v>11</v>
      </c>
      <c r="AQ638" s="21" t="str">
        <f>IFERROR(NETWORKDAYS(AF638,AG638,Hoja1!$A$1:$A$29),"N/A")</f>
        <v>N/A</v>
      </c>
      <c r="AR638" s="78">
        <v>0</v>
      </c>
      <c r="AS638" s="21" t="s">
        <v>82</v>
      </c>
      <c r="AT638" s="21">
        <f>IFERROR(NETWORKDAYS(D638,AG638,Hoja1!$A$1:$A$29),"N/A")</f>
        <v>11</v>
      </c>
      <c r="AU638" s="21">
        <f t="shared" si="71"/>
        <v>11</v>
      </c>
      <c r="AV638" s="143" t="s">
        <v>145</v>
      </c>
      <c r="AW638" s="86" t="s">
        <v>480</v>
      </c>
      <c r="AX638" s="156"/>
      <c r="AY638" s="156"/>
      <c r="AZ638" s="156"/>
      <c r="BA638" s="156"/>
      <c r="BB638" s="87"/>
    </row>
    <row r="639" spans="1:54" ht="15" customHeight="1" x14ac:dyDescent="0.25">
      <c r="A639" s="95" t="s">
        <v>1843</v>
      </c>
      <c r="B639" s="254" t="s">
        <v>85</v>
      </c>
      <c r="C639" s="29" t="s">
        <v>85</v>
      </c>
      <c r="D639" s="38">
        <v>46125</v>
      </c>
      <c r="E639" s="38">
        <v>46125</v>
      </c>
      <c r="F639" s="255" t="s">
        <v>90</v>
      </c>
      <c r="G639" s="255" t="s">
        <v>91</v>
      </c>
      <c r="H639" s="179" t="s">
        <v>1465</v>
      </c>
      <c r="I639" s="256" t="s">
        <v>1844</v>
      </c>
      <c r="J639" s="217" t="s">
        <v>52</v>
      </c>
      <c r="K639" s="255" t="s">
        <v>111</v>
      </c>
      <c r="L639" s="150">
        <v>1</v>
      </c>
      <c r="M639" s="159" t="s">
        <v>247</v>
      </c>
      <c r="N639" s="168" t="s">
        <v>55</v>
      </c>
      <c r="O639" s="257">
        <v>0</v>
      </c>
      <c r="P639" s="164"/>
      <c r="Q639" s="257" t="s">
        <v>55</v>
      </c>
      <c r="R639" s="257" t="s">
        <v>55</v>
      </c>
      <c r="S639" s="257">
        <v>0</v>
      </c>
      <c r="T639" s="257" t="s">
        <v>55</v>
      </c>
      <c r="U639" s="257" t="s">
        <v>55</v>
      </c>
      <c r="V639" s="257" t="s">
        <v>55</v>
      </c>
      <c r="W639" s="257" t="s">
        <v>55</v>
      </c>
      <c r="X639" s="257" t="s">
        <v>55</v>
      </c>
      <c r="Y639" s="257" t="s">
        <v>55</v>
      </c>
      <c r="Z639" s="257" t="s">
        <v>55</v>
      </c>
      <c r="AA639" s="257">
        <v>1</v>
      </c>
      <c r="AB639" s="257">
        <v>1</v>
      </c>
      <c r="AC639" s="168">
        <v>0</v>
      </c>
      <c r="AD639" s="258">
        <v>46139</v>
      </c>
      <c r="AE639" s="258">
        <v>46139</v>
      </c>
      <c r="AF639" s="196" t="s">
        <v>55</v>
      </c>
      <c r="AG639" s="258">
        <v>46139</v>
      </c>
      <c r="AH639" s="258">
        <v>46139</v>
      </c>
      <c r="AI639" s="168">
        <v>4</v>
      </c>
      <c r="AJ639" s="254" t="s">
        <v>1881</v>
      </c>
      <c r="AK639" s="150" t="s">
        <v>1864</v>
      </c>
      <c r="AL639" s="19" t="str">
        <f t="shared" si="69"/>
        <v>N/A</v>
      </c>
      <c r="AM639" s="67" t="str">
        <f>IFERROR(NETWORKDAYS(D639,Q639,Hoja1!$A$1:$A$29),"N/A")</f>
        <v>N/A</v>
      </c>
      <c r="AN639" s="21">
        <f>IFERROR(NETWORKDAYS(D639,AE639,Hoja1!$A$1:$A$29),"N/A")</f>
        <v>11</v>
      </c>
      <c r="AO639" s="78">
        <v>0</v>
      </c>
      <c r="AP639" s="21">
        <f t="shared" si="72"/>
        <v>11</v>
      </c>
      <c r="AQ639" s="21" t="str">
        <f>IFERROR(NETWORKDAYS(AF639,AG639,Hoja1!$A$1:$A$29),"N/A")</f>
        <v>N/A</v>
      </c>
      <c r="AR639" s="78">
        <v>0</v>
      </c>
      <c r="AS639" s="21" t="s">
        <v>82</v>
      </c>
      <c r="AT639" s="21">
        <f>IFERROR(NETWORKDAYS(D639,AG639,Hoja1!$A$1:$A$29),"N/A")</f>
        <v>11</v>
      </c>
      <c r="AU639" s="21">
        <f t="shared" si="71"/>
        <v>11</v>
      </c>
      <c r="AV639" s="143" t="s">
        <v>145</v>
      </c>
      <c r="AW639" s="86" t="s">
        <v>480</v>
      </c>
      <c r="AX639" s="156"/>
      <c r="AY639" s="156"/>
      <c r="AZ639" s="156"/>
      <c r="BA639" s="156"/>
      <c r="BB639" s="87"/>
    </row>
    <row r="640" spans="1:54" ht="15" customHeight="1" x14ac:dyDescent="0.25">
      <c r="A640" s="203" t="s">
        <v>1843</v>
      </c>
      <c r="B640" s="280" t="s">
        <v>85</v>
      </c>
      <c r="C640" s="245" t="s">
        <v>85</v>
      </c>
      <c r="D640" s="437">
        <v>46125</v>
      </c>
      <c r="E640" s="229">
        <v>46125</v>
      </c>
      <c r="F640" s="281" t="s">
        <v>90</v>
      </c>
      <c r="G640" s="281" t="s">
        <v>91</v>
      </c>
      <c r="H640" s="190" t="s">
        <v>1465</v>
      </c>
      <c r="I640" s="282" t="s">
        <v>1844</v>
      </c>
      <c r="J640" s="212" t="s">
        <v>52</v>
      </c>
      <c r="K640" s="281" t="s">
        <v>111</v>
      </c>
      <c r="L640" s="283">
        <v>1</v>
      </c>
      <c r="M640" s="200" t="s">
        <v>247</v>
      </c>
      <c r="N640" s="213" t="s">
        <v>55</v>
      </c>
      <c r="O640" s="284">
        <v>0</v>
      </c>
      <c r="P640" s="214"/>
      <c r="Q640" s="284" t="s">
        <v>55</v>
      </c>
      <c r="R640" s="284" t="s">
        <v>55</v>
      </c>
      <c r="S640" s="284">
        <v>0</v>
      </c>
      <c r="T640" s="284" t="s">
        <v>55</v>
      </c>
      <c r="U640" s="284" t="s">
        <v>55</v>
      </c>
      <c r="V640" s="284" t="s">
        <v>55</v>
      </c>
      <c r="W640" s="284" t="s">
        <v>55</v>
      </c>
      <c r="X640" s="284" t="s">
        <v>55</v>
      </c>
      <c r="Y640" s="284" t="s">
        <v>55</v>
      </c>
      <c r="Z640" s="284" t="s">
        <v>55</v>
      </c>
      <c r="AA640" s="284">
        <v>1</v>
      </c>
      <c r="AB640" s="284">
        <v>1</v>
      </c>
      <c r="AC640" s="213">
        <v>0</v>
      </c>
      <c r="AD640" s="285">
        <v>46139</v>
      </c>
      <c r="AE640" s="285">
        <v>46139</v>
      </c>
      <c r="AF640" s="211" t="s">
        <v>55</v>
      </c>
      <c r="AG640" s="285">
        <v>46139</v>
      </c>
      <c r="AH640" s="285">
        <v>46139</v>
      </c>
      <c r="AI640" s="213">
        <v>4</v>
      </c>
      <c r="AJ640" s="280" t="s">
        <v>1882</v>
      </c>
      <c r="AK640" s="283" t="s">
        <v>1864</v>
      </c>
      <c r="AL640" s="19" t="str">
        <f t="shared" si="69"/>
        <v>N/A</v>
      </c>
      <c r="AM640" s="67" t="str">
        <f>IFERROR(NETWORKDAYS(D640,Q640,Hoja1!$A$1:$A$29),"N/A")</f>
        <v>N/A</v>
      </c>
      <c r="AN640" s="21">
        <f>IFERROR(NETWORKDAYS(D640,AE640,Hoja1!$A$1:$A$29),"N/A")</f>
        <v>11</v>
      </c>
      <c r="AO640" s="273">
        <v>0</v>
      </c>
      <c r="AP640" s="66">
        <f t="shared" si="72"/>
        <v>11</v>
      </c>
      <c r="AQ640" s="21" t="str">
        <f>IFERROR(NETWORKDAYS(AF640,AG640,Hoja1!$A$1:$A$29),"N/A")</f>
        <v>N/A</v>
      </c>
      <c r="AR640" s="65">
        <v>0</v>
      </c>
      <c r="AS640" s="66" t="s">
        <v>82</v>
      </c>
      <c r="AT640" s="21">
        <f>IFERROR(NETWORKDAYS(D640,AG640,Hoja1!$A$1:$A$29),"N/A")</f>
        <v>11</v>
      </c>
      <c r="AU640" s="66">
        <f t="shared" si="71"/>
        <v>11</v>
      </c>
      <c r="AV640" s="176" t="s">
        <v>145</v>
      </c>
      <c r="AW640" s="98" t="s">
        <v>480</v>
      </c>
      <c r="AX640" s="259"/>
      <c r="AY640" s="259"/>
      <c r="AZ640" s="259"/>
      <c r="BA640" s="259"/>
      <c r="BB640" s="184"/>
    </row>
    <row r="641" spans="1:54" ht="15" customHeight="1" x14ac:dyDescent="0.25">
      <c r="A641" s="95" t="s">
        <v>1843</v>
      </c>
      <c r="B641" s="254" t="s">
        <v>85</v>
      </c>
      <c r="C641" s="29" t="s">
        <v>85</v>
      </c>
      <c r="D641" s="38">
        <v>46125</v>
      </c>
      <c r="E641" s="38">
        <v>46125</v>
      </c>
      <c r="F641" s="255" t="s">
        <v>90</v>
      </c>
      <c r="G641" s="255" t="s">
        <v>647</v>
      </c>
      <c r="H641" s="179" t="s">
        <v>1465</v>
      </c>
      <c r="I641" s="256" t="s">
        <v>1844</v>
      </c>
      <c r="J641" s="217" t="s">
        <v>52</v>
      </c>
      <c r="K641" s="255" t="s">
        <v>111</v>
      </c>
      <c r="L641" s="150">
        <v>1</v>
      </c>
      <c r="M641" s="159" t="s">
        <v>247</v>
      </c>
      <c r="N641" s="168" t="s">
        <v>55</v>
      </c>
      <c r="O641" s="257">
        <v>0</v>
      </c>
      <c r="P641" s="164"/>
      <c r="Q641" s="257" t="s">
        <v>55</v>
      </c>
      <c r="R641" s="257" t="s">
        <v>55</v>
      </c>
      <c r="S641" s="257">
        <v>0</v>
      </c>
      <c r="T641" s="257" t="s">
        <v>55</v>
      </c>
      <c r="U641" s="257" t="s">
        <v>55</v>
      </c>
      <c r="V641" s="257" t="s">
        <v>55</v>
      </c>
      <c r="W641" s="257" t="s">
        <v>55</v>
      </c>
      <c r="X641" s="257" t="s">
        <v>55</v>
      </c>
      <c r="Y641" s="257" t="s">
        <v>55</v>
      </c>
      <c r="Z641" s="257" t="s">
        <v>55</v>
      </c>
      <c r="AA641" s="257">
        <v>1</v>
      </c>
      <c r="AB641" s="257">
        <v>1</v>
      </c>
      <c r="AC641" s="168">
        <v>0</v>
      </c>
      <c r="AD641" s="258">
        <v>46139</v>
      </c>
      <c r="AE641" s="258">
        <v>46139</v>
      </c>
      <c r="AF641" s="196" t="s">
        <v>55</v>
      </c>
      <c r="AG641" s="258">
        <v>46139</v>
      </c>
      <c r="AH641" s="258">
        <v>46139</v>
      </c>
      <c r="AI641" s="168">
        <v>4</v>
      </c>
      <c r="AJ641" s="254" t="s">
        <v>1883</v>
      </c>
      <c r="AK641" s="150" t="s">
        <v>1864</v>
      </c>
      <c r="AL641" s="19" t="str">
        <f t="shared" si="69"/>
        <v>N/A</v>
      </c>
      <c r="AM641" s="67" t="str">
        <f>IFERROR(NETWORKDAYS(D641,Q641,Hoja1!$A$1:$A$29),"N/A")</f>
        <v>N/A</v>
      </c>
      <c r="AN641" s="21">
        <f>IFERROR(NETWORKDAYS(D641,AE641,Hoja1!$A$1:$A$29),"N/A")</f>
        <v>11</v>
      </c>
      <c r="AO641" s="78">
        <v>0</v>
      </c>
      <c r="AP641" s="21">
        <f t="shared" si="72"/>
        <v>11</v>
      </c>
      <c r="AQ641" s="21" t="str">
        <f>IFERROR(NETWORKDAYS(AF641,AG641,Hoja1!$A$1:$A$29),"N/A")</f>
        <v>N/A</v>
      </c>
      <c r="AR641" s="78">
        <v>0</v>
      </c>
      <c r="AS641" s="21" t="s">
        <v>82</v>
      </c>
      <c r="AT641" s="21">
        <f>IFERROR(NETWORKDAYS(D641,AG641,Hoja1!$A$1:$A$29),"N/A")</f>
        <v>11</v>
      </c>
      <c r="AU641" s="21">
        <f t="shared" si="71"/>
        <v>11</v>
      </c>
      <c r="AV641" s="143" t="s">
        <v>145</v>
      </c>
      <c r="AW641" s="86" t="s">
        <v>480</v>
      </c>
      <c r="AX641" s="156"/>
      <c r="AY641" s="156"/>
      <c r="AZ641" s="156"/>
      <c r="BA641" s="156"/>
      <c r="BB641" s="87"/>
    </row>
    <row r="642" spans="1:54" ht="15" customHeight="1" x14ac:dyDescent="0.25">
      <c r="D642" s="5"/>
    </row>
  </sheetData>
  <autoFilter ref="A1:BB641" xr:uid="{9AA3DE48-7845-4973-863D-6243C0D520AF}"/>
  <sortState xmlns:xlrd2="http://schemas.microsoft.com/office/spreadsheetml/2017/richdata2" ref="A2:AS108">
    <sortCondition ref="A3:A108"/>
  </sortState>
  <phoneticPr fontId="2" type="noConversion"/>
  <conditionalFormatting sqref="A44 A71:A74">
    <cfRule type="duplicateValues" dxfId="33" priority="113"/>
  </conditionalFormatting>
  <conditionalFormatting sqref="A44">
    <cfRule type="duplicateValues" dxfId="32" priority="110"/>
  </conditionalFormatting>
  <conditionalFormatting sqref="A202:A233 A175:A183 A109:A133">
    <cfRule type="duplicateValues" dxfId="31" priority="14"/>
  </conditionalFormatting>
  <conditionalFormatting sqref="A343:A380 A259:A325">
    <cfRule type="duplicateValues" dxfId="30" priority="9"/>
  </conditionalFormatting>
  <conditionalFormatting sqref="A343:A409 A259:A326 A443:A444">
    <cfRule type="duplicateValues" dxfId="29" priority="11"/>
  </conditionalFormatting>
  <conditionalFormatting sqref="A346:A354 A304:A310 A259:A274 A443:A444">
    <cfRule type="duplicateValues" dxfId="28" priority="10"/>
  </conditionalFormatting>
  <conditionalFormatting sqref="A381:A382">
    <cfRule type="duplicateValues" dxfId="27" priority="7"/>
  </conditionalFormatting>
  <conditionalFormatting sqref="A409">
    <cfRule type="duplicateValues" dxfId="26" priority="6"/>
  </conditionalFormatting>
  <conditionalFormatting sqref="A443:A444">
    <cfRule type="duplicateValues" dxfId="25" priority="5"/>
  </conditionalFormatting>
  <conditionalFormatting sqref="A445:A474">
    <cfRule type="duplicateValues" dxfId="24" priority="2"/>
  </conditionalFormatting>
  <conditionalFormatting sqref="A445:A580">
    <cfRule type="duplicateValues" dxfId="23" priority="3"/>
  </conditionalFormatting>
  <conditionalFormatting sqref="A475:A507">
    <cfRule type="duplicateValues" dxfId="22" priority="1"/>
  </conditionalFormatting>
  <conditionalFormatting sqref="A642:A1048576 A2">
    <cfRule type="duplicateValues" dxfId="21" priority="115"/>
  </conditionalFormatting>
  <conditionalFormatting sqref="AX114:AX117">
    <cfRule type="duplicateValues" dxfId="20" priority="13"/>
  </conditionalFormatting>
  <conditionalFormatting sqref="AX266 AX260:AX262">
    <cfRule type="duplicateValues" dxfId="19" priority="8"/>
  </conditionalFormatting>
  <conditionalFormatting sqref="AX531">
    <cfRule type="duplicateValues" dxfId="18" priority="4"/>
  </conditionalFormatting>
  <conditionalFormatting sqref="AZ112">
    <cfRule type="duplicateValues" dxfId="17" priority="12"/>
  </conditionalFormatting>
  <pageMargins left="0.75" right="0.75" top="1" bottom="1" header="0.5" footer="0.5"/>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4B906C2-0FA2-4360-B1C4-ABD7A0993B78}">
          <x14:formula1>
            <xm:f>Hoja1!$D$1:$D$16</xm:f>
          </x14:formula1>
          <xm:sqref>AV2:AV108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56341-B626-48DA-8355-6585827BFC16}">
  <dimension ref="A1:D29"/>
  <sheetViews>
    <sheetView zoomScaleNormal="100" workbookViewId="0">
      <selection activeCell="M11" sqref="M11"/>
    </sheetView>
  </sheetViews>
  <sheetFormatPr baseColWidth="10" defaultColWidth="11.42578125" defaultRowHeight="15" x14ac:dyDescent="0.25"/>
  <cols>
    <col min="1" max="1" width="11.42578125" style="63"/>
    <col min="4" max="4" width="27.42578125" customWidth="1"/>
  </cols>
  <sheetData>
    <row r="1" spans="1:4" x14ac:dyDescent="0.25">
      <c r="A1" s="63">
        <v>45778</v>
      </c>
      <c r="D1" s="64" t="s">
        <v>77</v>
      </c>
    </row>
    <row r="2" spans="1:4" x14ac:dyDescent="0.25">
      <c r="A2" s="63">
        <v>45810</v>
      </c>
      <c r="D2" s="64" t="s">
        <v>127</v>
      </c>
    </row>
    <row r="3" spans="1:4" x14ac:dyDescent="0.25">
      <c r="A3" s="63">
        <v>45831</v>
      </c>
      <c r="D3" s="64" t="s">
        <v>413</v>
      </c>
    </row>
    <row r="4" spans="1:4" x14ac:dyDescent="0.25">
      <c r="A4" s="63">
        <v>45838</v>
      </c>
      <c r="D4" s="64" t="s">
        <v>59</v>
      </c>
    </row>
    <row r="5" spans="1:4" x14ac:dyDescent="0.25">
      <c r="A5" s="63">
        <v>45876</v>
      </c>
      <c r="D5" s="64" t="s">
        <v>414</v>
      </c>
    </row>
    <row r="6" spans="1:4" x14ac:dyDescent="0.25">
      <c r="A6" s="63">
        <v>45887</v>
      </c>
      <c r="D6" s="64" t="s">
        <v>415</v>
      </c>
    </row>
    <row r="7" spans="1:4" x14ac:dyDescent="0.25">
      <c r="A7" s="63">
        <v>45943</v>
      </c>
      <c r="D7" s="64" t="s">
        <v>416</v>
      </c>
    </row>
    <row r="8" spans="1:4" x14ac:dyDescent="0.25">
      <c r="A8" s="63">
        <v>45964</v>
      </c>
      <c r="D8" s="64" t="s">
        <v>417</v>
      </c>
    </row>
    <row r="9" spans="1:4" x14ac:dyDescent="0.25">
      <c r="A9" s="63">
        <v>45978</v>
      </c>
      <c r="D9" s="64" t="s">
        <v>418</v>
      </c>
    </row>
    <row r="10" spans="1:4" x14ac:dyDescent="0.25">
      <c r="A10" s="63">
        <v>45999</v>
      </c>
      <c r="D10" s="64" t="s">
        <v>419</v>
      </c>
    </row>
    <row r="11" spans="1:4" x14ac:dyDescent="0.25">
      <c r="A11" s="63">
        <v>46016</v>
      </c>
      <c r="D11" s="64" t="s">
        <v>131</v>
      </c>
    </row>
    <row r="12" spans="1:4" x14ac:dyDescent="0.25">
      <c r="A12" s="63">
        <v>46023</v>
      </c>
      <c r="D12" s="64" t="s">
        <v>145</v>
      </c>
    </row>
    <row r="13" spans="1:4" x14ac:dyDescent="0.25">
      <c r="A13" s="63">
        <v>46034</v>
      </c>
      <c r="D13" s="64" t="s">
        <v>420</v>
      </c>
    </row>
    <row r="14" spans="1:4" x14ac:dyDescent="0.25">
      <c r="A14" s="63">
        <v>46104</v>
      </c>
      <c r="D14" s="64" t="s">
        <v>265</v>
      </c>
    </row>
    <row r="15" spans="1:4" x14ac:dyDescent="0.25">
      <c r="A15" s="63">
        <v>46114</v>
      </c>
      <c r="D15" s="64" t="s">
        <v>104</v>
      </c>
    </row>
    <row r="16" spans="1:4" x14ac:dyDescent="0.25">
      <c r="A16" s="63">
        <v>46115</v>
      </c>
      <c r="D16" s="64" t="s">
        <v>421</v>
      </c>
    </row>
    <row r="17" spans="1:1" x14ac:dyDescent="0.25">
      <c r="A17" s="63">
        <v>46143</v>
      </c>
    </row>
    <row r="18" spans="1:1" x14ac:dyDescent="0.25">
      <c r="A18" s="63">
        <v>46160</v>
      </c>
    </row>
    <row r="19" spans="1:1" x14ac:dyDescent="0.25">
      <c r="A19" s="63">
        <v>46181</v>
      </c>
    </row>
    <row r="20" spans="1:1" x14ac:dyDescent="0.25">
      <c r="A20" s="63">
        <v>46188</v>
      </c>
    </row>
    <row r="21" spans="1:1" x14ac:dyDescent="0.25">
      <c r="A21" s="63">
        <v>46202</v>
      </c>
    </row>
    <row r="22" spans="1:1" x14ac:dyDescent="0.25">
      <c r="A22" s="63">
        <v>46223</v>
      </c>
    </row>
    <row r="23" spans="1:1" x14ac:dyDescent="0.25">
      <c r="A23" s="63">
        <v>46241</v>
      </c>
    </row>
    <row r="24" spans="1:1" x14ac:dyDescent="0.25">
      <c r="A24" s="63">
        <v>46251</v>
      </c>
    </row>
    <row r="25" spans="1:1" x14ac:dyDescent="0.25">
      <c r="A25" s="63">
        <v>46307</v>
      </c>
    </row>
    <row r="26" spans="1:1" x14ac:dyDescent="0.25">
      <c r="A26" s="63">
        <v>46328</v>
      </c>
    </row>
    <row r="27" spans="1:1" x14ac:dyDescent="0.25">
      <c r="A27" s="63">
        <v>46342</v>
      </c>
    </row>
    <row r="28" spans="1:1" x14ac:dyDescent="0.25">
      <c r="A28" s="63">
        <v>46364</v>
      </c>
    </row>
    <row r="29" spans="1:1" x14ac:dyDescent="0.25">
      <c r="A29" s="63">
        <v>46381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01BB4-0AE5-4159-A5D8-33F6B0895381}">
  <dimension ref="A1:AY642"/>
  <sheetViews>
    <sheetView showGridLines="0" tabSelected="1" topLeftCell="AG1" zoomScale="60" zoomScaleNormal="60" workbookViewId="0">
      <selection activeCell="F10" sqref="F10"/>
    </sheetView>
  </sheetViews>
  <sheetFormatPr baseColWidth="10" defaultColWidth="9.140625" defaultRowHeight="15" customHeight="1" x14ac:dyDescent="0.25"/>
  <cols>
    <col min="1" max="1" width="30.7109375" style="442" bestFit="1" customWidth="1"/>
    <col min="2" max="2" width="15.28515625" customWidth="1"/>
    <col min="3" max="3" width="17.7109375" customWidth="1"/>
    <col min="4" max="4" width="20.85546875" style="443" customWidth="1"/>
    <col min="5" max="5" width="36.85546875" style="444" bestFit="1" customWidth="1"/>
    <col min="6" max="6" width="15.7109375" style="8" customWidth="1"/>
    <col min="7" max="7" width="24.28515625" style="445" customWidth="1"/>
    <col min="8" max="8" width="21.28515625" style="446" customWidth="1"/>
    <col min="9" max="9" width="13" style="6" customWidth="1"/>
    <col min="10" max="10" width="15.140625" style="6" customWidth="1"/>
    <col min="11" max="11" width="23.140625" style="445" customWidth="1"/>
    <col min="12" max="12" width="21.140625" style="8" customWidth="1"/>
    <col min="13" max="13" width="25" style="10" customWidth="1"/>
    <col min="14" max="14" width="27.28515625" style="10" customWidth="1"/>
    <col min="15" max="15" width="25.7109375" style="10" customWidth="1"/>
    <col min="16" max="16" width="20.28515625" style="10" customWidth="1"/>
    <col min="17" max="17" width="22.42578125" style="10" customWidth="1"/>
    <col min="18" max="18" width="27.28515625" style="10" customWidth="1"/>
    <col min="19" max="19" width="18.85546875" style="445" customWidth="1"/>
    <col min="20" max="20" width="18.140625" style="445" customWidth="1"/>
    <col min="21" max="21" width="15.85546875" style="447" customWidth="1"/>
    <col min="22" max="22" width="20.85546875" style="8" customWidth="1"/>
    <col min="23" max="25" width="20.85546875" style="6" customWidth="1"/>
    <col min="26" max="26" width="13.7109375" style="6" customWidth="1"/>
    <col min="27" max="27" width="11.28515625" style="6" customWidth="1"/>
    <col min="28" max="28" width="43.5703125" style="448" bestFit="1" customWidth="1"/>
    <col min="29" max="29" width="65.28515625" style="443" customWidth="1"/>
    <col min="30" max="30" width="35.28515625" style="449" bestFit="1" customWidth="1"/>
    <col min="31" max="31" width="26.28515625" style="450" customWidth="1"/>
    <col min="32" max="32" width="24" style="451" customWidth="1"/>
    <col min="33" max="33" width="18.7109375" style="452" customWidth="1"/>
    <col min="34" max="34" width="12.28515625" style="451" customWidth="1"/>
    <col min="35" max="35" width="16" style="451" customWidth="1"/>
    <col min="36" max="36" width="15.5703125" style="452" customWidth="1"/>
    <col min="37" max="37" width="16.5703125" style="451" customWidth="1"/>
    <col min="38" max="38" width="19.42578125" style="451" customWidth="1"/>
    <col min="39" max="39" width="17" style="451" customWidth="1"/>
    <col min="40" max="40" width="21.5703125" style="453" bestFit="1" customWidth="1"/>
    <col min="41" max="43" width="22" style="453" bestFit="1" customWidth="1"/>
    <col min="44" max="44" width="22" style="444" bestFit="1" customWidth="1"/>
    <col min="45" max="45" width="92.5703125" style="444" bestFit="1" customWidth="1"/>
    <col min="46" max="46" width="136.28515625" style="444" bestFit="1" customWidth="1"/>
    <col min="47" max="47" width="24" style="444" bestFit="1" customWidth="1"/>
    <col min="48" max="48" width="63.85546875" style="444" bestFit="1" customWidth="1"/>
    <col min="49" max="49" width="167.85546875" style="454" customWidth="1"/>
    <col min="50" max="16209" width="9.140625" style="9"/>
    <col min="16210" max="16210" width="10.85546875" style="9" bestFit="1" customWidth="1"/>
    <col min="16211" max="16384" width="9.140625" style="9"/>
  </cols>
  <sheetData>
    <row r="1" spans="1:51" ht="40.5" customHeight="1" x14ac:dyDescent="0.25">
      <c r="A1" s="331" t="s">
        <v>0</v>
      </c>
      <c r="B1" s="269" t="s">
        <v>3</v>
      </c>
      <c r="C1" s="13" t="s">
        <v>4</v>
      </c>
      <c r="D1" s="333" t="s">
        <v>11</v>
      </c>
      <c r="E1" s="334" t="s">
        <v>12</v>
      </c>
      <c r="F1" s="11" t="s">
        <v>13</v>
      </c>
      <c r="G1" s="335" t="s">
        <v>14</v>
      </c>
      <c r="H1" s="336" t="s">
        <v>15</v>
      </c>
      <c r="I1" s="267" t="s">
        <v>16</v>
      </c>
      <c r="J1" s="13" t="s">
        <v>17</v>
      </c>
      <c r="K1" s="339" t="s">
        <v>18</v>
      </c>
      <c r="L1" s="11" t="s">
        <v>19</v>
      </c>
      <c r="M1" s="261" t="s">
        <v>20</v>
      </c>
      <c r="N1" s="261" t="s">
        <v>21</v>
      </c>
      <c r="O1" s="261" t="s">
        <v>22</v>
      </c>
      <c r="P1" s="261" t="s">
        <v>23</v>
      </c>
      <c r="Q1" s="261" t="s">
        <v>24</v>
      </c>
      <c r="R1" s="261" t="s">
        <v>25</v>
      </c>
      <c r="S1" s="333" t="s">
        <v>26</v>
      </c>
      <c r="T1" s="333" t="s">
        <v>27</v>
      </c>
      <c r="U1" s="333" t="s">
        <v>28</v>
      </c>
      <c r="V1" s="11" t="s">
        <v>29</v>
      </c>
      <c r="W1" s="269" t="s">
        <v>30</v>
      </c>
      <c r="X1" s="275" t="s">
        <v>31</v>
      </c>
      <c r="Y1" s="275" t="s">
        <v>32</v>
      </c>
      <c r="Z1" s="13" t="s">
        <v>33</v>
      </c>
      <c r="AA1" s="13" t="s">
        <v>34</v>
      </c>
      <c r="AB1" s="338" t="s">
        <v>35</v>
      </c>
      <c r="AC1" s="336" t="s">
        <v>36</v>
      </c>
      <c r="AD1" s="335" t="s">
        <v>37</v>
      </c>
      <c r="AE1" s="341" t="s">
        <v>38</v>
      </c>
      <c r="AF1" s="342" t="s">
        <v>39</v>
      </c>
      <c r="AG1" s="343" t="s">
        <v>40</v>
      </c>
      <c r="AH1" s="343" t="s">
        <v>41</v>
      </c>
      <c r="AI1" s="344" t="s">
        <v>42</v>
      </c>
      <c r="AJ1" s="343" t="s">
        <v>43</v>
      </c>
      <c r="AK1" s="343" t="s">
        <v>44</v>
      </c>
      <c r="AL1" s="343" t="s">
        <v>45</v>
      </c>
      <c r="AM1" s="343" t="s">
        <v>46</v>
      </c>
      <c r="AN1" s="336" t="s">
        <v>440</v>
      </c>
      <c r="AO1" s="336" t="s">
        <v>441</v>
      </c>
      <c r="AP1" s="336" t="s">
        <v>442</v>
      </c>
      <c r="AQ1" s="336" t="s">
        <v>443</v>
      </c>
      <c r="AR1" s="336" t="s">
        <v>444</v>
      </c>
      <c r="AS1" s="336" t="s">
        <v>1884</v>
      </c>
      <c r="AT1" s="336" t="s">
        <v>1991</v>
      </c>
      <c r="AU1" s="336" t="s">
        <v>2223</v>
      </c>
      <c r="AV1" s="345" t="s">
        <v>2227</v>
      </c>
      <c r="AW1" s="336" t="s">
        <v>2596</v>
      </c>
    </row>
    <row r="2" spans="1:51" s="4" customFormat="1" x14ac:dyDescent="0.25">
      <c r="A2" s="293">
        <v>14104</v>
      </c>
      <c r="B2" s="37">
        <v>45909</v>
      </c>
      <c r="C2" s="37">
        <v>45797</v>
      </c>
      <c r="D2" s="18">
        <v>1</v>
      </c>
      <c r="E2" s="22" t="s">
        <v>54</v>
      </c>
      <c r="F2" s="18" t="s">
        <v>55</v>
      </c>
      <c r="G2" s="18">
        <v>18</v>
      </c>
      <c r="H2" s="36" t="s">
        <v>56</v>
      </c>
      <c r="I2" s="37">
        <v>46027</v>
      </c>
      <c r="J2" s="37">
        <v>46027</v>
      </c>
      <c r="K2" s="18">
        <v>15</v>
      </c>
      <c r="L2" s="18" t="s">
        <v>55</v>
      </c>
      <c r="M2" s="18" t="s">
        <v>55</v>
      </c>
      <c r="N2" s="18" t="s">
        <v>55</v>
      </c>
      <c r="O2" s="18" t="s">
        <v>55</v>
      </c>
      <c r="P2" s="18" t="s">
        <v>55</v>
      </c>
      <c r="Q2" s="18" t="s">
        <v>55</v>
      </c>
      <c r="R2" s="18" t="s">
        <v>55</v>
      </c>
      <c r="S2" s="18">
        <v>5</v>
      </c>
      <c r="T2" s="18">
        <v>5</v>
      </c>
      <c r="U2" s="18">
        <v>0</v>
      </c>
      <c r="V2" s="38">
        <v>46031</v>
      </c>
      <c r="W2" s="38">
        <v>46037</v>
      </c>
      <c r="X2" s="38">
        <v>46037</v>
      </c>
      <c r="Y2" s="38">
        <v>46048</v>
      </c>
      <c r="Z2" s="38">
        <v>46048</v>
      </c>
      <c r="AA2" s="3">
        <f t="shared" ref="AA2:AA65" si="0">MONTH(Z2)</f>
        <v>1</v>
      </c>
      <c r="AB2" s="35" t="s">
        <v>57</v>
      </c>
      <c r="AC2" s="45" t="s">
        <v>58</v>
      </c>
      <c r="AD2" s="19">
        <f t="shared" ref="AD2:AD65" si="1">IFERROR(K2/G2,"N/A")</f>
        <v>0.83333333333333337</v>
      </c>
      <c r="AE2" s="67">
        <f>IFERROR(NETWORKDAYS(B2,I2,Hoja1!$A$1:$A$29),"N/A")</f>
        <v>79</v>
      </c>
      <c r="AF2" s="21">
        <f>IFERROR(NETWORKDAYS(B2,W2,Hoja1!$A$1:$A$29),"N/A")</f>
        <v>86</v>
      </c>
      <c r="AG2" s="78">
        <v>10</v>
      </c>
      <c r="AH2" s="21">
        <f t="shared" ref="AH2:AH61" si="2">AF2-AG2</f>
        <v>76</v>
      </c>
      <c r="AI2" s="21">
        <f>IFERROR(NETWORKDAYS(X2,Y2,Hoja1!$A$1:$A$29),"N/A")</f>
        <v>8</v>
      </c>
      <c r="AJ2" s="74">
        <v>3</v>
      </c>
      <c r="AK2" s="75">
        <f>AI2-AJ2</f>
        <v>5</v>
      </c>
      <c r="AL2" s="21">
        <f>IFERROR(NETWORKDAYS(B2,Y2,Hoja1!$A$1:$A$29),"N/A")</f>
        <v>93</v>
      </c>
      <c r="AM2" s="21">
        <f t="shared" ref="AM2:AM65" si="3">AL2-AG2-AJ2</f>
        <v>80</v>
      </c>
      <c r="AN2" s="35" t="s">
        <v>1376</v>
      </c>
      <c r="AO2" s="35"/>
      <c r="AP2" s="35"/>
      <c r="AQ2" s="35"/>
      <c r="AR2" s="35"/>
      <c r="AS2" s="45" t="s">
        <v>1885</v>
      </c>
      <c r="AT2" s="45" t="s">
        <v>1992</v>
      </c>
      <c r="AU2" s="35" t="s">
        <v>2209</v>
      </c>
      <c r="AV2" s="309" t="s">
        <v>2229</v>
      </c>
      <c r="AW2" s="403" t="s">
        <v>2597</v>
      </c>
      <c r="AY2" s="413"/>
    </row>
    <row r="3" spans="1:51" ht="15" customHeight="1" x14ac:dyDescent="0.25">
      <c r="A3" s="294">
        <v>14454</v>
      </c>
      <c r="B3" s="15">
        <v>45953</v>
      </c>
      <c r="C3" s="16">
        <v>45847</v>
      </c>
      <c r="D3" s="17">
        <v>1</v>
      </c>
      <c r="E3" s="22" t="s">
        <v>54</v>
      </c>
      <c r="F3" s="16" t="s">
        <v>55</v>
      </c>
      <c r="G3" s="1">
        <v>6</v>
      </c>
      <c r="H3" s="1" t="s">
        <v>56</v>
      </c>
      <c r="I3" s="16">
        <v>45968</v>
      </c>
      <c r="J3" s="16">
        <v>45968</v>
      </c>
      <c r="K3" s="1">
        <v>6</v>
      </c>
      <c r="L3" s="16" t="s">
        <v>55</v>
      </c>
      <c r="M3" s="18" t="s">
        <v>55</v>
      </c>
      <c r="N3" s="18" t="s">
        <v>55</v>
      </c>
      <c r="O3" s="18" t="s">
        <v>55</v>
      </c>
      <c r="P3" s="18" t="s">
        <v>55</v>
      </c>
      <c r="Q3" s="18" t="s">
        <v>55</v>
      </c>
      <c r="R3" s="18" t="s">
        <v>55</v>
      </c>
      <c r="S3" s="1">
        <v>6</v>
      </c>
      <c r="T3" s="1">
        <v>3</v>
      </c>
      <c r="U3" s="1">
        <v>0</v>
      </c>
      <c r="V3" s="16">
        <v>46010</v>
      </c>
      <c r="W3" s="16">
        <v>46036</v>
      </c>
      <c r="X3" s="16">
        <v>46036</v>
      </c>
      <c r="Y3" s="16">
        <v>46042</v>
      </c>
      <c r="Z3" s="16">
        <v>46044</v>
      </c>
      <c r="AA3" s="3">
        <f t="shared" si="0"/>
        <v>1</v>
      </c>
      <c r="AB3" s="27" t="s">
        <v>67</v>
      </c>
      <c r="AC3" s="49" t="s">
        <v>427</v>
      </c>
      <c r="AD3" s="19">
        <f t="shared" si="1"/>
        <v>1</v>
      </c>
      <c r="AE3" s="67">
        <f>IFERROR(NETWORKDAYS(B3,I3,Hoja1!$A$1:$A$29),"N/A")</f>
        <v>11</v>
      </c>
      <c r="AF3" s="21">
        <f>IFERROR(NETWORKDAYS(B3,W3,Hoja1!$A$1:$A$29),"N/A")</f>
        <v>54</v>
      </c>
      <c r="AG3" s="78">
        <v>30</v>
      </c>
      <c r="AH3" s="21">
        <f t="shared" si="2"/>
        <v>24</v>
      </c>
      <c r="AI3" s="21">
        <f>IFERROR(NETWORKDAYS(X3,Y3,Hoja1!$A$1:$A$29),"N/A")</f>
        <v>5</v>
      </c>
      <c r="AJ3" s="74">
        <v>0</v>
      </c>
      <c r="AK3" s="75">
        <f t="shared" ref="AK3:AK53" si="4">AI3-AJ3</f>
        <v>5</v>
      </c>
      <c r="AL3" s="21">
        <f>IFERROR(NETWORKDAYS(B3,Y3,Hoja1!$A$1:$A$29),"N/A")</f>
        <v>58</v>
      </c>
      <c r="AM3" s="21">
        <f t="shared" si="3"/>
        <v>28</v>
      </c>
      <c r="AN3" s="27" t="s">
        <v>445</v>
      </c>
      <c r="AO3" s="27" t="s">
        <v>445</v>
      </c>
      <c r="AP3" s="27"/>
      <c r="AQ3" s="27"/>
      <c r="AR3" s="27"/>
      <c r="AS3" s="27" t="s">
        <v>1886</v>
      </c>
      <c r="AT3" s="27" t="s">
        <v>1993</v>
      </c>
      <c r="AU3" s="27" t="s">
        <v>2210</v>
      </c>
      <c r="AV3" s="310" t="s">
        <v>2230</v>
      </c>
      <c r="AW3" s="403" t="s">
        <v>2598</v>
      </c>
      <c r="AY3" s="414"/>
    </row>
    <row r="4" spans="1:51" ht="15" customHeight="1" x14ac:dyDescent="0.25">
      <c r="A4" s="295">
        <v>14619</v>
      </c>
      <c r="B4" s="30">
        <v>45972</v>
      </c>
      <c r="C4" s="30">
        <v>45873</v>
      </c>
      <c r="D4" s="3">
        <v>1</v>
      </c>
      <c r="E4" s="40" t="s">
        <v>54</v>
      </c>
      <c r="F4" s="30" t="s">
        <v>55</v>
      </c>
      <c r="G4" s="3">
        <v>10</v>
      </c>
      <c r="H4" s="33" t="s">
        <v>56</v>
      </c>
      <c r="I4" s="30">
        <v>45996</v>
      </c>
      <c r="J4" s="30">
        <v>46006</v>
      </c>
      <c r="K4" s="3">
        <v>10</v>
      </c>
      <c r="L4" s="37" t="s">
        <v>55</v>
      </c>
      <c r="M4" s="18" t="s">
        <v>55</v>
      </c>
      <c r="N4" s="18" t="s">
        <v>55</v>
      </c>
      <c r="O4" s="18" t="s">
        <v>55</v>
      </c>
      <c r="P4" s="18" t="s">
        <v>55</v>
      </c>
      <c r="Q4" s="18" t="s">
        <v>55</v>
      </c>
      <c r="R4" s="18" t="s">
        <v>55</v>
      </c>
      <c r="S4" s="3">
        <v>2</v>
      </c>
      <c r="T4" s="3">
        <v>2</v>
      </c>
      <c r="U4" s="3">
        <v>0</v>
      </c>
      <c r="V4" s="28">
        <v>46030</v>
      </c>
      <c r="W4" s="28">
        <v>46030</v>
      </c>
      <c r="X4" s="28">
        <v>46031</v>
      </c>
      <c r="Y4" s="28">
        <v>46043</v>
      </c>
      <c r="Z4" s="28">
        <v>46044</v>
      </c>
      <c r="AA4" s="3">
        <f t="shared" si="0"/>
        <v>1</v>
      </c>
      <c r="AB4" s="45" t="s">
        <v>75</v>
      </c>
      <c r="AC4" s="45" t="s">
        <v>76</v>
      </c>
      <c r="AD4" s="19">
        <f t="shared" si="1"/>
        <v>1</v>
      </c>
      <c r="AE4" s="67">
        <f>IFERROR(NETWORKDAYS(B4,I4,Hoja1!$A$1:$A$29),"N/A")</f>
        <v>18</v>
      </c>
      <c r="AF4" s="21">
        <f>IFERROR(NETWORKDAYS(B4,W4,Hoja1!$A$1:$A$29),"N/A")</f>
        <v>39</v>
      </c>
      <c r="AG4" s="78">
        <v>12</v>
      </c>
      <c r="AH4" s="21">
        <f t="shared" si="2"/>
        <v>27</v>
      </c>
      <c r="AI4" s="21">
        <f>IFERROR(NETWORKDAYS(X4,Y4,Hoja1!$A$1:$A$29),"N/A")</f>
        <v>8</v>
      </c>
      <c r="AJ4" s="74">
        <v>3</v>
      </c>
      <c r="AK4" s="75">
        <f t="shared" si="4"/>
        <v>5</v>
      </c>
      <c r="AL4" s="21">
        <f>IFERROR(NETWORKDAYS(B4,Y4,Hoja1!$A$1:$A$29),"N/A")</f>
        <v>47</v>
      </c>
      <c r="AM4" s="21">
        <f t="shared" si="3"/>
        <v>32</v>
      </c>
      <c r="AN4" s="46" t="s">
        <v>453</v>
      </c>
      <c r="AO4" s="46" t="s">
        <v>453</v>
      </c>
      <c r="AP4" s="45"/>
      <c r="AQ4" s="45"/>
      <c r="AR4" s="45"/>
      <c r="AS4" s="45" t="s">
        <v>1887</v>
      </c>
      <c r="AT4" s="45" t="s">
        <v>1994</v>
      </c>
      <c r="AU4" s="45" t="s">
        <v>2211</v>
      </c>
      <c r="AV4" s="309" t="s">
        <v>2231</v>
      </c>
      <c r="AW4" s="403" t="s">
        <v>2599</v>
      </c>
      <c r="AY4" s="415"/>
    </row>
    <row r="5" spans="1:51" ht="15" customHeight="1" x14ac:dyDescent="0.25">
      <c r="A5" s="294">
        <v>14738</v>
      </c>
      <c r="B5" s="15">
        <v>45986</v>
      </c>
      <c r="C5" s="16">
        <v>45987</v>
      </c>
      <c r="D5" s="17">
        <v>1</v>
      </c>
      <c r="E5" s="22" t="s">
        <v>54</v>
      </c>
      <c r="F5" s="16" t="s">
        <v>55</v>
      </c>
      <c r="G5" s="1">
        <v>22</v>
      </c>
      <c r="H5" s="16" t="s">
        <v>56</v>
      </c>
      <c r="I5" s="16">
        <v>45987</v>
      </c>
      <c r="J5" s="16">
        <v>45987</v>
      </c>
      <c r="K5" s="1">
        <v>22</v>
      </c>
      <c r="L5" s="16" t="s">
        <v>55</v>
      </c>
      <c r="M5" s="18" t="s">
        <v>55</v>
      </c>
      <c r="N5" s="18" t="s">
        <v>55</v>
      </c>
      <c r="O5" s="18" t="s">
        <v>55</v>
      </c>
      <c r="P5" s="18" t="s">
        <v>55</v>
      </c>
      <c r="Q5" s="18" t="s">
        <v>55</v>
      </c>
      <c r="R5" s="18" t="s">
        <v>55</v>
      </c>
      <c r="S5" s="1">
        <v>5</v>
      </c>
      <c r="T5" s="1">
        <v>5</v>
      </c>
      <c r="U5" s="1">
        <v>0</v>
      </c>
      <c r="V5" s="16">
        <v>46009</v>
      </c>
      <c r="W5" s="16">
        <v>46010</v>
      </c>
      <c r="X5" s="16">
        <v>46010</v>
      </c>
      <c r="Y5" s="16">
        <v>46024</v>
      </c>
      <c r="Z5" s="16">
        <v>46027</v>
      </c>
      <c r="AA5" s="3">
        <f t="shared" si="0"/>
        <v>1</v>
      </c>
      <c r="AB5" s="20" t="s">
        <v>81</v>
      </c>
      <c r="AC5" s="27" t="s">
        <v>428</v>
      </c>
      <c r="AD5" s="19">
        <f t="shared" si="1"/>
        <v>1</v>
      </c>
      <c r="AE5" s="67">
        <f>IFERROR(NETWORKDAYS(B5,I5,Hoja1!$A$1:$A$29),"N/A")</f>
        <v>2</v>
      </c>
      <c r="AF5" s="21">
        <f>IFERROR(NETWORKDAYS(B5,W5,Hoja1!$A$1:$A$29),"N/A")</f>
        <v>18</v>
      </c>
      <c r="AG5" s="78">
        <v>3</v>
      </c>
      <c r="AH5" s="21">
        <f t="shared" si="2"/>
        <v>15</v>
      </c>
      <c r="AI5" s="21">
        <f>IFERROR(NETWORKDAYS(X5,Y5,Hoja1!$A$1:$A$29),"N/A")</f>
        <v>9</v>
      </c>
      <c r="AJ5" s="74">
        <v>3</v>
      </c>
      <c r="AK5" s="75">
        <f t="shared" si="4"/>
        <v>6</v>
      </c>
      <c r="AL5" s="21">
        <f>IFERROR(NETWORKDAYS(B5,Y5,Hoja1!$A$1:$A$29),"N/A")</f>
        <v>26</v>
      </c>
      <c r="AM5" s="21">
        <f t="shared" si="3"/>
        <v>20</v>
      </c>
      <c r="AN5" s="27"/>
      <c r="AO5" s="27"/>
      <c r="AP5" s="27"/>
      <c r="AQ5" s="27"/>
      <c r="AR5" s="27"/>
      <c r="AS5" s="27" t="s">
        <v>1888</v>
      </c>
      <c r="AT5" s="27" t="s">
        <v>1994</v>
      </c>
      <c r="AU5" s="27" t="s">
        <v>2210</v>
      </c>
      <c r="AV5" s="310" t="s">
        <v>2232</v>
      </c>
      <c r="AW5" s="403" t="s">
        <v>2600</v>
      </c>
      <c r="AY5" s="414"/>
    </row>
    <row r="6" spans="1:51" ht="15" customHeight="1" x14ac:dyDescent="0.25">
      <c r="A6" s="295">
        <v>14746</v>
      </c>
      <c r="B6" s="30">
        <v>45891</v>
      </c>
      <c r="C6" s="42">
        <v>45891</v>
      </c>
      <c r="D6" s="3">
        <v>1</v>
      </c>
      <c r="E6" s="40" t="s">
        <v>54</v>
      </c>
      <c r="F6" s="30" t="s">
        <v>55</v>
      </c>
      <c r="G6" s="3">
        <v>8</v>
      </c>
      <c r="H6" s="33" t="s">
        <v>56</v>
      </c>
      <c r="I6" s="30">
        <v>45894</v>
      </c>
      <c r="J6" s="30">
        <v>45919</v>
      </c>
      <c r="K6" s="3">
        <v>8</v>
      </c>
      <c r="L6" s="37" t="s">
        <v>55</v>
      </c>
      <c r="M6" s="18" t="s">
        <v>55</v>
      </c>
      <c r="N6" s="18" t="s">
        <v>55</v>
      </c>
      <c r="O6" s="18" t="s">
        <v>55</v>
      </c>
      <c r="P6" s="18" t="s">
        <v>55</v>
      </c>
      <c r="Q6" s="18" t="s">
        <v>55</v>
      </c>
      <c r="R6" s="18" t="s">
        <v>55</v>
      </c>
      <c r="S6" s="3">
        <v>1</v>
      </c>
      <c r="T6" s="3">
        <v>1</v>
      </c>
      <c r="U6" s="3">
        <v>0</v>
      </c>
      <c r="V6" s="28">
        <v>45919</v>
      </c>
      <c r="W6" s="28">
        <v>46001</v>
      </c>
      <c r="X6" s="28">
        <v>46001</v>
      </c>
      <c r="Y6" s="28">
        <v>46042</v>
      </c>
      <c r="Z6" s="28">
        <v>46044</v>
      </c>
      <c r="AA6" s="3">
        <f t="shared" si="0"/>
        <v>1</v>
      </c>
      <c r="AB6" s="45" t="s">
        <v>83</v>
      </c>
      <c r="AC6" s="45" t="s">
        <v>84</v>
      </c>
      <c r="AD6" s="19">
        <f t="shared" si="1"/>
        <v>1</v>
      </c>
      <c r="AE6" s="67">
        <f>IFERROR(NETWORKDAYS(B6,I6,Hoja1!$A$1:$A$29),"N/A")</f>
        <v>2</v>
      </c>
      <c r="AF6" s="21">
        <f>IFERROR(NETWORKDAYS(B6,W6,Hoja1!$A$1:$A$29),"N/A")</f>
        <v>75</v>
      </c>
      <c r="AG6" s="78">
        <v>60</v>
      </c>
      <c r="AH6" s="21">
        <f t="shared" si="2"/>
        <v>15</v>
      </c>
      <c r="AI6" s="21">
        <f>IFERROR(NETWORKDAYS(X6,Y6,Hoja1!$A$1:$A$29),"N/A")</f>
        <v>27</v>
      </c>
      <c r="AJ6" s="74">
        <v>22</v>
      </c>
      <c r="AK6" s="75">
        <f t="shared" si="4"/>
        <v>5</v>
      </c>
      <c r="AL6" s="21">
        <f>IFERROR(NETWORKDAYS(B6,Y6,Hoja1!$A$1:$A$29),"N/A")</f>
        <v>101</v>
      </c>
      <c r="AM6" s="21">
        <f t="shared" si="3"/>
        <v>19</v>
      </c>
      <c r="AN6" s="45"/>
      <c r="AO6" s="45"/>
      <c r="AP6" s="45"/>
      <c r="AQ6" s="45"/>
      <c r="AR6" s="45"/>
      <c r="AS6" s="45" t="s">
        <v>1888</v>
      </c>
      <c r="AT6" s="45" t="s">
        <v>1994</v>
      </c>
      <c r="AU6" s="45" t="s">
        <v>2211</v>
      </c>
      <c r="AV6" s="309" t="s">
        <v>2231</v>
      </c>
      <c r="AW6" s="403" t="s">
        <v>2601</v>
      </c>
      <c r="AY6" s="415"/>
    </row>
    <row r="7" spans="1:51" ht="15" customHeight="1" x14ac:dyDescent="0.25">
      <c r="A7" s="295">
        <v>14875</v>
      </c>
      <c r="B7" s="30">
        <v>45939</v>
      </c>
      <c r="C7" s="30">
        <v>45911</v>
      </c>
      <c r="D7" s="3">
        <v>1</v>
      </c>
      <c r="E7" s="32" t="s">
        <v>54</v>
      </c>
      <c r="F7" s="28" t="s">
        <v>55</v>
      </c>
      <c r="G7" s="33">
        <v>19</v>
      </c>
      <c r="H7" s="33" t="s">
        <v>56</v>
      </c>
      <c r="I7" s="28">
        <v>46013</v>
      </c>
      <c r="J7" s="28">
        <v>46013</v>
      </c>
      <c r="K7" s="33">
        <v>19</v>
      </c>
      <c r="L7" s="28" t="s">
        <v>55</v>
      </c>
      <c r="M7" s="18" t="s">
        <v>55</v>
      </c>
      <c r="N7" s="18" t="s">
        <v>55</v>
      </c>
      <c r="O7" s="18" t="s">
        <v>55</v>
      </c>
      <c r="P7" s="18" t="s">
        <v>55</v>
      </c>
      <c r="Q7" s="18" t="s">
        <v>55</v>
      </c>
      <c r="R7" s="18" t="s">
        <v>55</v>
      </c>
      <c r="S7" s="33">
        <v>5</v>
      </c>
      <c r="T7" s="33">
        <v>1</v>
      </c>
      <c r="U7" s="33">
        <v>0</v>
      </c>
      <c r="V7" s="28">
        <v>46031</v>
      </c>
      <c r="W7" s="28">
        <v>46035</v>
      </c>
      <c r="X7" s="28">
        <v>46035</v>
      </c>
      <c r="Y7" s="28">
        <v>46043</v>
      </c>
      <c r="Z7" s="28">
        <v>46044</v>
      </c>
      <c r="AA7" s="3">
        <f t="shared" si="0"/>
        <v>1</v>
      </c>
      <c r="AB7" s="45" t="s">
        <v>87</v>
      </c>
      <c r="AC7" s="45" t="s">
        <v>88</v>
      </c>
      <c r="AD7" s="19">
        <f t="shared" si="1"/>
        <v>1</v>
      </c>
      <c r="AE7" s="67">
        <f>IFERROR(NETWORKDAYS(B7,I7,Hoja1!$A$1:$A$29),"N/A")</f>
        <v>49</v>
      </c>
      <c r="AF7" s="21">
        <f>IFERROR(NETWORKDAYS(B7,W7,Hoja1!$A$1:$A$29),"N/A")</f>
        <v>62</v>
      </c>
      <c r="AG7" s="78">
        <v>30</v>
      </c>
      <c r="AH7" s="21">
        <f t="shared" si="2"/>
        <v>32</v>
      </c>
      <c r="AI7" s="21">
        <f>IFERROR(NETWORKDAYS(X7,Y7,Hoja1!$A$1:$A$29),"N/A")</f>
        <v>7</v>
      </c>
      <c r="AJ7" s="74">
        <v>2</v>
      </c>
      <c r="AK7" s="75">
        <f t="shared" si="4"/>
        <v>5</v>
      </c>
      <c r="AL7" s="21">
        <f>IFERROR(NETWORKDAYS(B7,Y7,Hoja1!$A$1:$A$29),"N/A")</f>
        <v>68</v>
      </c>
      <c r="AM7" s="21">
        <f t="shared" si="3"/>
        <v>36</v>
      </c>
      <c r="AN7" s="35" t="s">
        <v>445</v>
      </c>
      <c r="AO7" s="46" t="s">
        <v>453</v>
      </c>
      <c r="AP7" s="45" t="s">
        <v>446</v>
      </c>
      <c r="AQ7" s="45"/>
      <c r="AR7" s="45"/>
      <c r="AS7" s="45" t="s">
        <v>1889</v>
      </c>
      <c r="AT7" s="45" t="s">
        <v>1994</v>
      </c>
      <c r="AU7" s="45" t="s">
        <v>2212</v>
      </c>
      <c r="AV7" s="309" t="s">
        <v>2233</v>
      </c>
      <c r="AW7" s="403" t="s">
        <v>2602</v>
      </c>
      <c r="AY7" s="414"/>
    </row>
    <row r="8" spans="1:51" ht="15" customHeight="1" x14ac:dyDescent="0.25">
      <c r="A8" s="295">
        <v>14883</v>
      </c>
      <c r="B8" s="30">
        <v>45986</v>
      </c>
      <c r="C8" s="24">
        <v>45979</v>
      </c>
      <c r="D8" s="3">
        <v>1</v>
      </c>
      <c r="E8" s="40" t="s">
        <v>54</v>
      </c>
      <c r="F8" s="3" t="s">
        <v>55</v>
      </c>
      <c r="G8" s="3">
        <v>4</v>
      </c>
      <c r="H8" s="33" t="s">
        <v>56</v>
      </c>
      <c r="I8" s="30">
        <v>45994</v>
      </c>
      <c r="J8" s="30">
        <v>45994</v>
      </c>
      <c r="K8" s="3">
        <v>4</v>
      </c>
      <c r="L8" s="18" t="s">
        <v>55</v>
      </c>
      <c r="M8" s="18" t="s">
        <v>55</v>
      </c>
      <c r="N8" s="18" t="s">
        <v>55</v>
      </c>
      <c r="O8" s="18" t="s">
        <v>55</v>
      </c>
      <c r="P8" s="18" t="s">
        <v>55</v>
      </c>
      <c r="Q8" s="18" t="s">
        <v>55</v>
      </c>
      <c r="R8" s="18" t="s">
        <v>55</v>
      </c>
      <c r="S8" s="3">
        <v>4</v>
      </c>
      <c r="T8" s="3">
        <v>1</v>
      </c>
      <c r="U8" s="3">
        <v>0</v>
      </c>
      <c r="V8" s="28">
        <v>46009</v>
      </c>
      <c r="W8" s="28">
        <v>46009</v>
      </c>
      <c r="X8" s="28">
        <v>46009</v>
      </c>
      <c r="Y8" s="28">
        <v>46031</v>
      </c>
      <c r="Z8" s="28">
        <v>46035</v>
      </c>
      <c r="AA8" s="3">
        <f t="shared" si="0"/>
        <v>1</v>
      </c>
      <c r="AB8" s="45" t="s">
        <v>94</v>
      </c>
      <c r="AC8" s="49" t="s">
        <v>422</v>
      </c>
      <c r="AD8" s="19">
        <f t="shared" si="1"/>
        <v>1</v>
      </c>
      <c r="AE8" s="67">
        <f>IFERROR(NETWORKDAYS(B8,I8,Hoja1!$A$1:$A$29),"N/A")</f>
        <v>7</v>
      </c>
      <c r="AF8" s="21">
        <f>IFERROR(NETWORKDAYS(B8,W8,Hoja1!$A$1:$A$29),"N/A")</f>
        <v>17</v>
      </c>
      <c r="AG8" s="78">
        <v>2</v>
      </c>
      <c r="AH8" s="21">
        <f t="shared" si="2"/>
        <v>15</v>
      </c>
      <c r="AI8" s="21">
        <f>IFERROR(NETWORKDAYS(X8,Y8,Hoja1!$A$1:$A$29),"N/A")</f>
        <v>15</v>
      </c>
      <c r="AJ8" s="78">
        <v>10</v>
      </c>
      <c r="AK8" s="75">
        <f t="shared" si="4"/>
        <v>5</v>
      </c>
      <c r="AL8" s="21">
        <f>IFERROR(NETWORKDAYS(B8,Y8,Hoja1!$A$1:$A$29),"N/A")</f>
        <v>31</v>
      </c>
      <c r="AM8" s="21">
        <f t="shared" si="3"/>
        <v>19</v>
      </c>
      <c r="AN8" s="45"/>
      <c r="AO8" s="45"/>
      <c r="AP8" s="45"/>
      <c r="AQ8" s="45"/>
      <c r="AR8" s="45"/>
      <c r="AS8" s="45" t="s">
        <v>1890</v>
      </c>
      <c r="AT8" s="45" t="s">
        <v>1995</v>
      </c>
      <c r="AU8" s="45" t="s">
        <v>2213</v>
      </c>
      <c r="AV8" s="309" t="s">
        <v>2234</v>
      </c>
      <c r="AW8" s="403" t="s">
        <v>2603</v>
      </c>
      <c r="AY8" s="415"/>
    </row>
    <row r="9" spans="1:51" ht="15" customHeight="1" x14ac:dyDescent="0.25">
      <c r="A9" s="295">
        <v>14926</v>
      </c>
      <c r="B9" s="30">
        <v>45994</v>
      </c>
      <c r="C9" s="30">
        <v>45918</v>
      </c>
      <c r="D9" s="3">
        <v>1</v>
      </c>
      <c r="E9" s="40" t="s">
        <v>54</v>
      </c>
      <c r="F9" s="30" t="s">
        <v>55</v>
      </c>
      <c r="G9" s="3">
        <v>9</v>
      </c>
      <c r="H9" s="33" t="s">
        <v>56</v>
      </c>
      <c r="I9" s="30">
        <v>45996</v>
      </c>
      <c r="J9" s="30">
        <v>46007</v>
      </c>
      <c r="K9" s="3">
        <v>9</v>
      </c>
      <c r="L9" s="37" t="s">
        <v>55</v>
      </c>
      <c r="M9" s="18" t="s">
        <v>55</v>
      </c>
      <c r="N9" s="18" t="s">
        <v>55</v>
      </c>
      <c r="O9" s="18" t="s">
        <v>55</v>
      </c>
      <c r="P9" s="18" t="s">
        <v>55</v>
      </c>
      <c r="Q9" s="18" t="s">
        <v>55</v>
      </c>
      <c r="R9" s="18" t="s">
        <v>55</v>
      </c>
      <c r="S9" s="3">
        <v>3</v>
      </c>
      <c r="T9" s="3">
        <v>2</v>
      </c>
      <c r="U9" s="3">
        <v>0</v>
      </c>
      <c r="V9" s="28">
        <v>46013</v>
      </c>
      <c r="W9" s="28">
        <v>46013</v>
      </c>
      <c r="X9" s="28">
        <v>46013</v>
      </c>
      <c r="Y9" s="28">
        <v>46024</v>
      </c>
      <c r="Z9" s="28">
        <v>46027</v>
      </c>
      <c r="AA9" s="3">
        <f t="shared" si="0"/>
        <v>1</v>
      </c>
      <c r="AB9" s="45" t="s">
        <v>97</v>
      </c>
      <c r="AC9" s="45" t="s">
        <v>429</v>
      </c>
      <c r="AD9" s="19">
        <f t="shared" si="1"/>
        <v>1</v>
      </c>
      <c r="AE9" s="67">
        <f>IFERROR(NETWORKDAYS(B9,I9,Hoja1!$A$1:$A$29),"N/A")</f>
        <v>3</v>
      </c>
      <c r="AF9" s="21">
        <f>IFERROR(NETWORKDAYS(B9,W9,Hoja1!$A$1:$A$29),"N/A")</f>
        <v>13</v>
      </c>
      <c r="AG9" s="78">
        <v>0</v>
      </c>
      <c r="AH9" s="21">
        <f t="shared" si="2"/>
        <v>13</v>
      </c>
      <c r="AI9" s="21">
        <f>IFERROR(NETWORKDAYS(X9,Y9,Hoja1!$A$1:$A$29),"N/A")</f>
        <v>8</v>
      </c>
      <c r="AJ9" s="74">
        <v>3</v>
      </c>
      <c r="AK9" s="75">
        <f t="shared" si="4"/>
        <v>5</v>
      </c>
      <c r="AL9" s="21">
        <f>IFERROR(NETWORKDAYS(B9,Y9,Hoja1!$A$1:$A$29),"N/A")</f>
        <v>20</v>
      </c>
      <c r="AM9" s="21">
        <f t="shared" si="3"/>
        <v>17</v>
      </c>
      <c r="AN9" s="46" t="s">
        <v>453</v>
      </c>
      <c r="AO9" s="46" t="s">
        <v>453</v>
      </c>
      <c r="AP9" s="45"/>
      <c r="AQ9" s="45"/>
      <c r="AR9" s="45"/>
      <c r="AS9" s="45" t="s">
        <v>1891</v>
      </c>
      <c r="AT9" s="45" t="s">
        <v>1996</v>
      </c>
      <c r="AU9" s="45" t="s">
        <v>2211</v>
      </c>
      <c r="AV9" s="309" t="s">
        <v>2231</v>
      </c>
      <c r="AW9" s="403" t="s">
        <v>2604</v>
      </c>
      <c r="AY9" s="414"/>
    </row>
    <row r="10" spans="1:51" ht="15" customHeight="1" x14ac:dyDescent="0.25">
      <c r="A10" s="295">
        <v>14967</v>
      </c>
      <c r="B10" s="44">
        <v>45958</v>
      </c>
      <c r="C10" s="44">
        <v>45979</v>
      </c>
      <c r="D10" s="2">
        <v>1</v>
      </c>
      <c r="E10" s="43" t="s">
        <v>54</v>
      </c>
      <c r="F10" s="2" t="s">
        <v>55</v>
      </c>
      <c r="G10" s="2">
        <v>1</v>
      </c>
      <c r="H10" s="21"/>
      <c r="I10" s="2" t="s">
        <v>55</v>
      </c>
      <c r="J10" s="2" t="s">
        <v>55</v>
      </c>
      <c r="K10" s="2">
        <v>1</v>
      </c>
      <c r="L10" s="2" t="s">
        <v>55</v>
      </c>
      <c r="M10" s="18" t="s">
        <v>55</v>
      </c>
      <c r="N10" s="18" t="s">
        <v>55</v>
      </c>
      <c r="O10" s="18" t="s">
        <v>55</v>
      </c>
      <c r="P10" s="18" t="s">
        <v>55</v>
      </c>
      <c r="Q10" s="18" t="s">
        <v>55</v>
      </c>
      <c r="R10" s="18" t="s">
        <v>55</v>
      </c>
      <c r="S10" s="2">
        <v>3</v>
      </c>
      <c r="T10" s="2">
        <v>3</v>
      </c>
      <c r="U10" s="2">
        <v>0</v>
      </c>
      <c r="V10" s="53">
        <v>45986</v>
      </c>
      <c r="W10" s="53">
        <v>46003</v>
      </c>
      <c r="X10" s="53">
        <v>46006</v>
      </c>
      <c r="Y10" s="53">
        <v>46024</v>
      </c>
      <c r="Z10" s="53">
        <v>46027</v>
      </c>
      <c r="AA10" s="3">
        <f t="shared" si="0"/>
        <v>1</v>
      </c>
      <c r="AB10" s="46" t="s">
        <v>103</v>
      </c>
      <c r="AC10" s="46" t="s">
        <v>436</v>
      </c>
      <c r="AD10" s="19">
        <f t="shared" si="1"/>
        <v>1</v>
      </c>
      <c r="AE10" s="67" t="str">
        <f>IFERROR(NETWORKDAYS(B10,I10,Hoja1!$A$1:$A$29),"N/A")</f>
        <v>N/A</v>
      </c>
      <c r="AF10" s="21">
        <f>IFERROR(NETWORKDAYS(B10,W10,Hoja1!$A$1:$A$29),"N/A")</f>
        <v>31</v>
      </c>
      <c r="AG10" s="272">
        <v>0</v>
      </c>
      <c r="AH10" s="21">
        <f t="shared" si="2"/>
        <v>31</v>
      </c>
      <c r="AI10" s="21">
        <f>IFERROR(NETWORKDAYS(X10,Y10,Hoja1!$A$1:$A$29),"N/A")</f>
        <v>13</v>
      </c>
      <c r="AJ10" s="78">
        <v>8</v>
      </c>
      <c r="AK10" s="75">
        <f t="shared" si="4"/>
        <v>5</v>
      </c>
      <c r="AL10" s="21">
        <f>IFERROR(NETWORKDAYS(B10,Y10,Hoja1!$A$1:$A$29),"N/A")</f>
        <v>44</v>
      </c>
      <c r="AM10" s="21">
        <f t="shared" si="3"/>
        <v>36</v>
      </c>
      <c r="AN10" s="46" t="s">
        <v>453</v>
      </c>
      <c r="AO10" s="46"/>
      <c r="AP10" s="46"/>
      <c r="AQ10" s="46"/>
      <c r="AR10" s="46"/>
      <c r="AS10" s="46" t="s">
        <v>1892</v>
      </c>
      <c r="AT10" s="46" t="s">
        <v>1997</v>
      </c>
      <c r="AU10" s="46" t="s">
        <v>2214</v>
      </c>
      <c r="AV10" s="311" t="s">
        <v>2235</v>
      </c>
      <c r="AW10" s="403" t="s">
        <v>2605</v>
      </c>
      <c r="AY10" s="415"/>
    </row>
    <row r="11" spans="1:51" ht="15" customHeight="1" x14ac:dyDescent="0.25">
      <c r="A11" s="293">
        <v>14987</v>
      </c>
      <c r="B11" s="37">
        <v>45957</v>
      </c>
      <c r="C11" s="37">
        <v>45931</v>
      </c>
      <c r="D11" s="18">
        <v>1</v>
      </c>
      <c r="E11" s="22" t="s">
        <v>54</v>
      </c>
      <c r="F11" s="18" t="s">
        <v>55</v>
      </c>
      <c r="G11" s="18">
        <v>14</v>
      </c>
      <c r="H11" s="36" t="s">
        <v>56</v>
      </c>
      <c r="I11" s="37">
        <v>45959</v>
      </c>
      <c r="J11" s="37">
        <v>45959</v>
      </c>
      <c r="K11" s="18">
        <v>14</v>
      </c>
      <c r="L11" s="18" t="s">
        <v>55</v>
      </c>
      <c r="M11" s="18" t="s">
        <v>55</v>
      </c>
      <c r="N11" s="18" t="s">
        <v>55</v>
      </c>
      <c r="O11" s="18" t="s">
        <v>55</v>
      </c>
      <c r="P11" s="18" t="s">
        <v>55</v>
      </c>
      <c r="Q11" s="18" t="s">
        <v>55</v>
      </c>
      <c r="R11" s="18" t="s">
        <v>55</v>
      </c>
      <c r="S11" s="18">
        <v>4</v>
      </c>
      <c r="T11" s="18">
        <v>4</v>
      </c>
      <c r="U11" s="18">
        <v>0</v>
      </c>
      <c r="V11" s="38">
        <v>45995</v>
      </c>
      <c r="W11" s="38">
        <v>46003</v>
      </c>
      <c r="X11" s="38">
        <v>46003</v>
      </c>
      <c r="Y11" s="38">
        <v>46013</v>
      </c>
      <c r="Z11" s="53">
        <v>46027</v>
      </c>
      <c r="AA11" s="3">
        <f t="shared" si="0"/>
        <v>1</v>
      </c>
      <c r="AB11" s="35" t="s">
        <v>107</v>
      </c>
      <c r="AC11" s="45" t="s">
        <v>439</v>
      </c>
      <c r="AD11" s="19">
        <f t="shared" si="1"/>
        <v>1</v>
      </c>
      <c r="AE11" s="67">
        <f>IFERROR(NETWORKDAYS(B11,I11,Hoja1!$A$1:$A$29),"N/A")</f>
        <v>3</v>
      </c>
      <c r="AF11" s="21">
        <f>IFERROR(NETWORKDAYS(B11,W11,Hoja1!$A$1:$A$29),"N/A")</f>
        <v>32</v>
      </c>
      <c r="AG11" s="78">
        <v>19</v>
      </c>
      <c r="AH11" s="21">
        <f t="shared" si="2"/>
        <v>13</v>
      </c>
      <c r="AI11" s="21">
        <f>IFERROR(NETWORKDAYS(X11,Y11,Hoja1!$A$1:$A$29),"N/A")</f>
        <v>7</v>
      </c>
      <c r="AJ11" s="74">
        <v>2</v>
      </c>
      <c r="AK11" s="75">
        <f t="shared" si="4"/>
        <v>5</v>
      </c>
      <c r="AL11" s="21">
        <f>IFERROR(NETWORKDAYS(B11,Y11,Hoja1!$A$1:$A$29),"N/A")</f>
        <v>38</v>
      </c>
      <c r="AM11" s="21">
        <f t="shared" si="3"/>
        <v>17</v>
      </c>
      <c r="AN11" s="46" t="s">
        <v>453</v>
      </c>
      <c r="AO11" s="46" t="s">
        <v>453</v>
      </c>
      <c r="AP11" s="35"/>
      <c r="AQ11" s="35"/>
      <c r="AR11" s="35"/>
      <c r="AS11" s="45" t="s">
        <v>1893</v>
      </c>
      <c r="AT11" s="45" t="s">
        <v>1998</v>
      </c>
      <c r="AU11" s="35" t="s">
        <v>2215</v>
      </c>
      <c r="AV11" s="309" t="s">
        <v>2236</v>
      </c>
      <c r="AW11" s="403" t="s">
        <v>2606</v>
      </c>
      <c r="AY11" s="414"/>
    </row>
    <row r="12" spans="1:51" ht="15" customHeight="1" x14ac:dyDescent="0.25">
      <c r="A12" s="295">
        <v>15009</v>
      </c>
      <c r="B12" s="30">
        <v>45966</v>
      </c>
      <c r="C12" s="24">
        <v>45933</v>
      </c>
      <c r="D12" s="3">
        <v>1</v>
      </c>
      <c r="E12" s="40" t="s">
        <v>54</v>
      </c>
      <c r="F12" s="3" t="s">
        <v>55</v>
      </c>
      <c r="G12" s="3">
        <v>5</v>
      </c>
      <c r="H12" s="33" t="s">
        <v>56</v>
      </c>
      <c r="I12" s="30">
        <v>45997</v>
      </c>
      <c r="J12" s="30">
        <v>45997</v>
      </c>
      <c r="K12" s="3">
        <v>5</v>
      </c>
      <c r="L12" s="18" t="s">
        <v>55</v>
      </c>
      <c r="M12" s="18" t="s">
        <v>55</v>
      </c>
      <c r="N12" s="18" t="s">
        <v>55</v>
      </c>
      <c r="O12" s="18" t="s">
        <v>55</v>
      </c>
      <c r="P12" s="18" t="s">
        <v>55</v>
      </c>
      <c r="Q12" s="18" t="s">
        <v>55</v>
      </c>
      <c r="R12" s="18" t="s">
        <v>55</v>
      </c>
      <c r="S12" s="3">
        <v>5</v>
      </c>
      <c r="T12" s="3">
        <v>1</v>
      </c>
      <c r="U12" s="3">
        <v>0</v>
      </c>
      <c r="V12" s="28">
        <v>46027</v>
      </c>
      <c r="W12" s="28">
        <v>46027</v>
      </c>
      <c r="X12" s="28">
        <v>46027</v>
      </c>
      <c r="Y12" s="28">
        <v>46045</v>
      </c>
      <c r="Z12" s="28">
        <v>46048</v>
      </c>
      <c r="AA12" s="3">
        <f t="shared" si="0"/>
        <v>1</v>
      </c>
      <c r="AB12" s="45" t="s">
        <v>109</v>
      </c>
      <c r="AC12" s="49" t="s">
        <v>423</v>
      </c>
      <c r="AD12" s="19">
        <f t="shared" si="1"/>
        <v>1</v>
      </c>
      <c r="AE12" s="67">
        <f>IFERROR(NETWORKDAYS(B12,I12,Hoja1!$A$1:$A$29),"N/A")</f>
        <v>22</v>
      </c>
      <c r="AF12" s="21">
        <f>IFERROR(NETWORKDAYS(B12,W12,Hoja1!$A$1:$A$29),"N/A")</f>
        <v>40</v>
      </c>
      <c r="AG12" s="78">
        <v>11</v>
      </c>
      <c r="AH12" s="21">
        <f t="shared" si="2"/>
        <v>29</v>
      </c>
      <c r="AI12" s="21">
        <f>IFERROR(NETWORKDAYS(X12,Y12,Hoja1!$A$1:$A$29),"N/A")</f>
        <v>14</v>
      </c>
      <c r="AJ12" s="74">
        <v>9</v>
      </c>
      <c r="AK12" s="75">
        <f t="shared" si="4"/>
        <v>5</v>
      </c>
      <c r="AL12" s="21">
        <f>IFERROR(NETWORKDAYS(B12,Y12,Hoja1!$A$1:$A$29),"N/A")</f>
        <v>53</v>
      </c>
      <c r="AM12" s="21">
        <f t="shared" si="3"/>
        <v>33</v>
      </c>
      <c r="AN12" s="46" t="s">
        <v>453</v>
      </c>
      <c r="AO12" s="45"/>
      <c r="AP12" s="45"/>
      <c r="AQ12" s="45"/>
      <c r="AR12" s="45"/>
      <c r="AS12" s="45" t="s">
        <v>1894</v>
      </c>
      <c r="AT12" s="45" t="s">
        <v>1994</v>
      </c>
      <c r="AU12" s="45" t="s">
        <v>2213</v>
      </c>
      <c r="AV12" s="309" t="s">
        <v>2237</v>
      </c>
      <c r="AW12" s="403" t="s">
        <v>2607</v>
      </c>
      <c r="AY12" s="415"/>
    </row>
    <row r="13" spans="1:51" ht="15" customHeight="1" x14ac:dyDescent="0.25">
      <c r="A13" s="295">
        <v>15014</v>
      </c>
      <c r="B13" s="24">
        <v>45936</v>
      </c>
      <c r="C13" s="24">
        <v>45936</v>
      </c>
      <c r="D13" s="3">
        <v>1</v>
      </c>
      <c r="E13" s="40" t="s">
        <v>54</v>
      </c>
      <c r="F13" s="3" t="s">
        <v>55</v>
      </c>
      <c r="G13" s="3">
        <v>3</v>
      </c>
      <c r="H13" s="33" t="s">
        <v>112</v>
      </c>
      <c r="I13" s="30">
        <v>45989</v>
      </c>
      <c r="J13" s="30">
        <v>45989</v>
      </c>
      <c r="K13" s="3">
        <v>3</v>
      </c>
      <c r="L13" s="18" t="s">
        <v>55</v>
      </c>
      <c r="M13" s="18" t="s">
        <v>55</v>
      </c>
      <c r="N13" s="18" t="s">
        <v>55</v>
      </c>
      <c r="O13" s="18" t="s">
        <v>55</v>
      </c>
      <c r="P13" s="18" t="s">
        <v>55</v>
      </c>
      <c r="Q13" s="18" t="s">
        <v>55</v>
      </c>
      <c r="R13" s="18" t="s">
        <v>55</v>
      </c>
      <c r="S13" s="3">
        <v>4</v>
      </c>
      <c r="T13" s="3">
        <v>1</v>
      </c>
      <c r="U13" s="3">
        <v>0</v>
      </c>
      <c r="V13" s="28">
        <v>45985</v>
      </c>
      <c r="W13" s="28">
        <v>45985</v>
      </c>
      <c r="X13" s="28">
        <v>46013</v>
      </c>
      <c r="Y13" s="28">
        <v>46024</v>
      </c>
      <c r="Z13" s="28">
        <v>46027</v>
      </c>
      <c r="AA13" s="3">
        <f t="shared" si="0"/>
        <v>1</v>
      </c>
      <c r="AB13" s="45" t="s">
        <v>113</v>
      </c>
      <c r="AC13" s="49" t="s">
        <v>114</v>
      </c>
      <c r="AD13" s="19">
        <f t="shared" si="1"/>
        <v>1</v>
      </c>
      <c r="AE13" s="67">
        <f>IFERROR(NETWORKDAYS(B13,I13,Hoja1!$A$1:$A$29),"N/A")</f>
        <v>37</v>
      </c>
      <c r="AF13" s="21">
        <f>IFERROR(NETWORKDAYS(B13,W13,Hoja1!$A$1:$A$29),"N/A")</f>
        <v>33</v>
      </c>
      <c r="AG13" s="78">
        <v>0</v>
      </c>
      <c r="AH13" s="21">
        <f t="shared" si="2"/>
        <v>33</v>
      </c>
      <c r="AI13" s="21">
        <f>IFERROR(NETWORKDAYS(X13,Y13,Hoja1!$A$1:$A$29),"N/A")</f>
        <v>8</v>
      </c>
      <c r="AJ13" s="74">
        <v>2</v>
      </c>
      <c r="AK13" s="75">
        <f t="shared" si="4"/>
        <v>6</v>
      </c>
      <c r="AL13" s="21">
        <f>IFERROR(NETWORKDAYS(B13,Y13,Hoja1!$A$1:$A$29),"N/A")</f>
        <v>59</v>
      </c>
      <c r="AM13" s="21">
        <f t="shared" si="3"/>
        <v>57</v>
      </c>
      <c r="AN13" s="45"/>
      <c r="AO13" s="45"/>
      <c r="AP13" s="45"/>
      <c r="AQ13" s="45"/>
      <c r="AR13" s="45"/>
      <c r="AS13" s="45" t="s">
        <v>1895</v>
      </c>
      <c r="AT13" s="45" t="s">
        <v>1996</v>
      </c>
      <c r="AU13" s="45" t="s">
        <v>2216</v>
      </c>
      <c r="AV13" s="309" t="s">
        <v>2237</v>
      </c>
      <c r="AW13" s="403" t="s">
        <v>2608</v>
      </c>
      <c r="AY13" s="414"/>
    </row>
    <row r="14" spans="1:51" ht="15" customHeight="1" x14ac:dyDescent="0.25">
      <c r="A14" s="294">
        <v>15053</v>
      </c>
      <c r="B14" s="15">
        <v>45966</v>
      </c>
      <c r="C14" s="16">
        <v>45944</v>
      </c>
      <c r="D14" s="17">
        <v>1</v>
      </c>
      <c r="E14" s="22" t="s">
        <v>54</v>
      </c>
      <c r="F14" s="16" t="s">
        <v>55</v>
      </c>
      <c r="G14" s="1">
        <v>3</v>
      </c>
      <c r="H14" s="1" t="s">
        <v>56</v>
      </c>
      <c r="I14" s="16">
        <v>45968</v>
      </c>
      <c r="J14" s="16">
        <v>45980</v>
      </c>
      <c r="K14" s="1">
        <v>3</v>
      </c>
      <c r="L14" s="16" t="s">
        <v>55</v>
      </c>
      <c r="M14" s="16">
        <v>45968</v>
      </c>
      <c r="N14" s="16">
        <v>45979</v>
      </c>
      <c r="O14" s="16" t="s">
        <v>55</v>
      </c>
      <c r="P14" s="16" t="s">
        <v>55</v>
      </c>
      <c r="Q14" s="16" t="s">
        <v>55</v>
      </c>
      <c r="R14" s="16" t="s">
        <v>55</v>
      </c>
      <c r="S14" s="1">
        <v>1</v>
      </c>
      <c r="T14" s="1">
        <v>1</v>
      </c>
      <c r="U14" s="1">
        <v>0</v>
      </c>
      <c r="V14" s="16">
        <v>45994</v>
      </c>
      <c r="W14" s="16">
        <v>46008</v>
      </c>
      <c r="X14" s="16">
        <v>46009</v>
      </c>
      <c r="Y14" s="16">
        <v>46027</v>
      </c>
      <c r="Z14" s="16">
        <v>46027</v>
      </c>
      <c r="AA14" s="3">
        <f t="shared" si="0"/>
        <v>1</v>
      </c>
      <c r="AB14" s="27" t="s">
        <v>119</v>
      </c>
      <c r="AC14" s="49" t="s">
        <v>120</v>
      </c>
      <c r="AD14" s="19">
        <f t="shared" si="1"/>
        <v>1</v>
      </c>
      <c r="AE14" s="67">
        <f>IFERROR(NETWORKDAYS(B14,I14,Hoja1!$A$1:$A$29),"N/A")</f>
        <v>3</v>
      </c>
      <c r="AF14" s="21">
        <f>IFERROR(NETWORKDAYS(B14,W14,Hoja1!$A$1:$A$29),"N/A")</f>
        <v>29</v>
      </c>
      <c r="AG14" s="78">
        <v>6</v>
      </c>
      <c r="AH14" s="21">
        <f t="shared" si="2"/>
        <v>23</v>
      </c>
      <c r="AI14" s="21">
        <f>IFERROR(NETWORKDAYS(X14,Y14,Hoja1!$A$1:$A$29),"N/A")</f>
        <v>11</v>
      </c>
      <c r="AJ14" s="74">
        <v>5</v>
      </c>
      <c r="AK14" s="75">
        <f t="shared" si="4"/>
        <v>6</v>
      </c>
      <c r="AL14" s="21">
        <f>IFERROR(NETWORKDAYS(B14,Y14,Hoja1!$A$1:$A$29),"N/A")</f>
        <v>40</v>
      </c>
      <c r="AM14" s="21">
        <f t="shared" si="3"/>
        <v>29</v>
      </c>
      <c r="AN14" s="27"/>
      <c r="AO14" s="27"/>
      <c r="AP14" s="27"/>
      <c r="AQ14" s="27"/>
      <c r="AR14" s="27"/>
      <c r="AS14" s="27" t="s">
        <v>1896</v>
      </c>
      <c r="AT14" s="27" t="s">
        <v>1999</v>
      </c>
      <c r="AU14" s="27" t="s">
        <v>2210</v>
      </c>
      <c r="AV14" s="310" t="s">
        <v>2238</v>
      </c>
      <c r="AW14" s="403" t="s">
        <v>2609</v>
      </c>
      <c r="AY14" s="415"/>
    </row>
    <row r="15" spans="1:51" ht="15" customHeight="1" x14ac:dyDescent="0.25">
      <c r="A15" s="294">
        <v>15059</v>
      </c>
      <c r="B15" s="15">
        <v>45946</v>
      </c>
      <c r="C15" s="16">
        <v>45946</v>
      </c>
      <c r="D15" s="17">
        <v>1</v>
      </c>
      <c r="E15" s="22" t="s">
        <v>54</v>
      </c>
      <c r="F15" s="16" t="s">
        <v>55</v>
      </c>
      <c r="G15" s="1">
        <v>5</v>
      </c>
      <c r="H15" s="1" t="s">
        <v>56</v>
      </c>
      <c r="I15" s="16">
        <v>46017</v>
      </c>
      <c r="J15" s="16">
        <v>45971</v>
      </c>
      <c r="K15" s="1">
        <v>5</v>
      </c>
      <c r="L15" s="16" t="s">
        <v>55</v>
      </c>
      <c r="M15" s="18" t="s">
        <v>55</v>
      </c>
      <c r="N15" s="18" t="s">
        <v>55</v>
      </c>
      <c r="O15" s="18" t="s">
        <v>55</v>
      </c>
      <c r="P15" s="18" t="s">
        <v>55</v>
      </c>
      <c r="Q15" s="18" t="s">
        <v>55</v>
      </c>
      <c r="R15" s="18" t="s">
        <v>55</v>
      </c>
      <c r="S15" s="1">
        <v>1</v>
      </c>
      <c r="T15" s="1">
        <v>1</v>
      </c>
      <c r="U15" s="1">
        <v>0</v>
      </c>
      <c r="V15" s="16">
        <v>46027</v>
      </c>
      <c r="W15" s="16">
        <v>46036</v>
      </c>
      <c r="X15" s="16">
        <v>46036</v>
      </c>
      <c r="Y15" s="16">
        <v>46042</v>
      </c>
      <c r="Z15" s="16">
        <v>46044</v>
      </c>
      <c r="AA15" s="3">
        <f t="shared" si="0"/>
        <v>1</v>
      </c>
      <c r="AB15" s="27" t="s">
        <v>123</v>
      </c>
      <c r="AC15" s="49" t="s">
        <v>430</v>
      </c>
      <c r="AD15" s="19">
        <f t="shared" si="1"/>
        <v>1</v>
      </c>
      <c r="AE15" s="67">
        <f>IFERROR(NETWORKDAYS(B15,I15,Hoja1!$A$1:$A$29),"N/A")</f>
        <v>48</v>
      </c>
      <c r="AF15" s="21">
        <f>IFERROR(NETWORKDAYS(B15,W15,Hoja1!$A$1:$A$29),"N/A")</f>
        <v>59</v>
      </c>
      <c r="AG15" s="78">
        <f>23+13</f>
        <v>36</v>
      </c>
      <c r="AH15" s="21">
        <f t="shared" si="2"/>
        <v>23</v>
      </c>
      <c r="AI15" s="21">
        <f>IFERROR(NETWORKDAYS(X15,Y15,Hoja1!$A$1:$A$29),"N/A")</f>
        <v>5</v>
      </c>
      <c r="AJ15" s="74">
        <v>0</v>
      </c>
      <c r="AK15" s="75">
        <f t="shared" si="4"/>
        <v>5</v>
      </c>
      <c r="AL15" s="21">
        <f>IFERROR(NETWORKDAYS(B15,Y15,Hoja1!$A$1:$A$29),"N/A")</f>
        <v>63</v>
      </c>
      <c r="AM15" s="21">
        <f t="shared" si="3"/>
        <v>27</v>
      </c>
      <c r="AN15" s="27"/>
      <c r="AO15" s="27"/>
      <c r="AP15" s="27"/>
      <c r="AQ15" s="27"/>
      <c r="AR15" s="27"/>
      <c r="AS15" s="27" t="s">
        <v>1897</v>
      </c>
      <c r="AT15" s="27" t="s">
        <v>1994</v>
      </c>
      <c r="AU15" s="27" t="s">
        <v>2210</v>
      </c>
      <c r="AV15" s="310" t="s">
        <v>2232</v>
      </c>
      <c r="AW15" s="403" t="s">
        <v>2610</v>
      </c>
      <c r="AY15" s="414"/>
    </row>
    <row r="16" spans="1:51" ht="15" customHeight="1" x14ac:dyDescent="0.25">
      <c r="A16" s="295">
        <v>15068</v>
      </c>
      <c r="B16" s="44">
        <v>45945</v>
      </c>
      <c r="C16" s="44">
        <v>45945</v>
      </c>
      <c r="D16" s="2">
        <v>1</v>
      </c>
      <c r="E16" s="43" t="s">
        <v>54</v>
      </c>
      <c r="F16" s="2" t="s">
        <v>55</v>
      </c>
      <c r="G16" s="2">
        <v>6</v>
      </c>
      <c r="H16" s="21" t="s">
        <v>56</v>
      </c>
      <c r="I16" s="44">
        <v>45993</v>
      </c>
      <c r="J16" s="44">
        <v>45993</v>
      </c>
      <c r="K16" s="2">
        <v>6</v>
      </c>
      <c r="L16" s="2" t="s">
        <v>55</v>
      </c>
      <c r="M16" s="18" t="s">
        <v>55</v>
      </c>
      <c r="N16" s="18" t="s">
        <v>55</v>
      </c>
      <c r="O16" s="18" t="s">
        <v>55</v>
      </c>
      <c r="P16" s="18" t="s">
        <v>55</v>
      </c>
      <c r="Q16" s="18" t="s">
        <v>55</v>
      </c>
      <c r="R16" s="18" t="s">
        <v>55</v>
      </c>
      <c r="S16" s="2">
        <v>1</v>
      </c>
      <c r="T16" s="2">
        <v>1</v>
      </c>
      <c r="U16" s="2">
        <v>0</v>
      </c>
      <c r="V16" s="53">
        <v>46013</v>
      </c>
      <c r="W16" s="53">
        <v>46013</v>
      </c>
      <c r="X16" s="53">
        <v>46013</v>
      </c>
      <c r="Y16" s="53">
        <v>46038</v>
      </c>
      <c r="Z16" s="53">
        <v>46044</v>
      </c>
      <c r="AA16" s="3">
        <f t="shared" si="0"/>
        <v>1</v>
      </c>
      <c r="AB16" s="46" t="s">
        <v>125</v>
      </c>
      <c r="AC16" s="46" t="s">
        <v>126</v>
      </c>
      <c r="AD16" s="19">
        <f t="shared" si="1"/>
        <v>1</v>
      </c>
      <c r="AE16" s="67">
        <f>IFERROR(NETWORKDAYS(B16,I16,Hoja1!$A$1:$A$29),"N/A")</f>
        <v>33</v>
      </c>
      <c r="AF16" s="21">
        <f>IFERROR(NETWORKDAYS(B16,W16,Hoja1!$A$1:$A$29),"N/A")</f>
        <v>46</v>
      </c>
      <c r="AG16" s="78">
        <v>8</v>
      </c>
      <c r="AH16" s="21">
        <f t="shared" si="2"/>
        <v>38</v>
      </c>
      <c r="AI16" s="21">
        <f>IFERROR(NETWORKDAYS(X16,Y16,Hoja1!$A$1:$A$29),"N/A")</f>
        <v>17</v>
      </c>
      <c r="AJ16" s="78">
        <v>12</v>
      </c>
      <c r="AK16" s="75">
        <f t="shared" si="4"/>
        <v>5</v>
      </c>
      <c r="AL16" s="21">
        <f>IFERROR(NETWORKDAYS(B16,Y16,Hoja1!$A$1:$A$29),"N/A")</f>
        <v>62</v>
      </c>
      <c r="AM16" s="21">
        <f t="shared" si="3"/>
        <v>42</v>
      </c>
      <c r="AN16" s="46"/>
      <c r="AO16" s="46"/>
      <c r="AP16" s="46"/>
      <c r="AQ16" s="46"/>
      <c r="AR16" s="46"/>
      <c r="AS16" s="46" t="s">
        <v>1898</v>
      </c>
      <c r="AT16" s="46" t="s">
        <v>1994</v>
      </c>
      <c r="AU16" s="46" t="s">
        <v>2214</v>
      </c>
      <c r="AV16" s="311" t="s">
        <v>2239</v>
      </c>
      <c r="AW16" s="403" t="s">
        <v>2611</v>
      </c>
      <c r="AY16" s="415"/>
    </row>
    <row r="17" spans="1:51" ht="15" customHeight="1" x14ac:dyDescent="0.25">
      <c r="A17" s="295">
        <v>15074</v>
      </c>
      <c r="B17" s="44">
        <v>45946</v>
      </c>
      <c r="C17" s="44">
        <v>45946</v>
      </c>
      <c r="D17" s="2">
        <v>1</v>
      </c>
      <c r="E17" s="43" t="s">
        <v>54</v>
      </c>
      <c r="F17" s="2" t="s">
        <v>55</v>
      </c>
      <c r="G17" s="2">
        <v>12</v>
      </c>
      <c r="H17" s="21" t="s">
        <v>56</v>
      </c>
      <c r="I17" s="44">
        <v>46007</v>
      </c>
      <c r="J17" s="44">
        <v>46007</v>
      </c>
      <c r="K17" s="2">
        <v>12</v>
      </c>
      <c r="L17" s="2" t="s">
        <v>55</v>
      </c>
      <c r="M17" s="18" t="s">
        <v>55</v>
      </c>
      <c r="N17" s="18" t="s">
        <v>55</v>
      </c>
      <c r="O17" s="18" t="s">
        <v>55</v>
      </c>
      <c r="P17" s="18" t="s">
        <v>55</v>
      </c>
      <c r="Q17" s="18" t="s">
        <v>55</v>
      </c>
      <c r="R17" s="18" t="s">
        <v>55</v>
      </c>
      <c r="S17" s="2">
        <v>2</v>
      </c>
      <c r="T17" s="2">
        <v>1</v>
      </c>
      <c r="U17" s="2">
        <v>0</v>
      </c>
      <c r="V17" s="53">
        <v>46027</v>
      </c>
      <c r="W17" s="53">
        <v>46027</v>
      </c>
      <c r="X17" s="53">
        <v>46027</v>
      </c>
      <c r="Y17" s="53">
        <v>46031</v>
      </c>
      <c r="Z17" s="53">
        <v>46035</v>
      </c>
      <c r="AA17" s="3">
        <f t="shared" si="0"/>
        <v>1</v>
      </c>
      <c r="AB17" s="46" t="s">
        <v>130</v>
      </c>
      <c r="AC17" s="46" t="s">
        <v>437</v>
      </c>
      <c r="AD17" s="19">
        <f t="shared" si="1"/>
        <v>1</v>
      </c>
      <c r="AE17" s="67">
        <f>IFERROR(NETWORKDAYS(B17,I17,Hoja1!$A$1:$A$29),"N/A")</f>
        <v>41</v>
      </c>
      <c r="AF17" s="21">
        <f>IFERROR(NETWORKDAYS(B17,W17,Hoja1!$A$1:$A$29),"N/A")</f>
        <v>53</v>
      </c>
      <c r="AG17" s="78">
        <v>11</v>
      </c>
      <c r="AH17" s="21">
        <f t="shared" si="2"/>
        <v>42</v>
      </c>
      <c r="AI17" s="21">
        <f>IFERROR(NETWORKDAYS(X17,Y17,Hoja1!$A$1:$A$29),"N/A")</f>
        <v>5</v>
      </c>
      <c r="AJ17" s="74">
        <v>0</v>
      </c>
      <c r="AK17" s="75">
        <f t="shared" si="4"/>
        <v>5</v>
      </c>
      <c r="AL17" s="21">
        <f>IFERROR(NETWORKDAYS(B17,Y17,Hoja1!$A$1:$A$29),"N/A")</f>
        <v>57</v>
      </c>
      <c r="AM17" s="21">
        <f t="shared" si="3"/>
        <v>46</v>
      </c>
      <c r="AN17" s="46"/>
      <c r="AO17" s="46"/>
      <c r="AP17" s="46"/>
      <c r="AQ17" s="46"/>
      <c r="AR17" s="46"/>
      <c r="AS17" s="46" t="s">
        <v>1899</v>
      </c>
      <c r="AT17" s="46" t="s">
        <v>1995</v>
      </c>
      <c r="AU17" s="46" t="s">
        <v>2217</v>
      </c>
      <c r="AV17" s="311" t="s">
        <v>2240</v>
      </c>
      <c r="AW17" s="403" t="s">
        <v>2612</v>
      </c>
      <c r="AY17" s="414"/>
    </row>
    <row r="18" spans="1:51" ht="15" customHeight="1" x14ac:dyDescent="0.25">
      <c r="A18" s="294">
        <v>15077</v>
      </c>
      <c r="B18" s="15">
        <v>45946</v>
      </c>
      <c r="C18" s="16">
        <v>45946</v>
      </c>
      <c r="D18" s="17">
        <v>1</v>
      </c>
      <c r="E18" s="22" t="s">
        <v>54</v>
      </c>
      <c r="F18" s="16" t="s">
        <v>55</v>
      </c>
      <c r="G18" s="1">
        <v>6</v>
      </c>
      <c r="H18" s="1" t="s">
        <v>56</v>
      </c>
      <c r="I18" s="28">
        <v>45966</v>
      </c>
      <c r="J18" s="28">
        <v>45971</v>
      </c>
      <c r="K18" s="1">
        <v>6</v>
      </c>
      <c r="L18" s="28" t="s">
        <v>55</v>
      </c>
      <c r="M18" s="18" t="s">
        <v>55</v>
      </c>
      <c r="N18" s="18" t="s">
        <v>55</v>
      </c>
      <c r="O18" s="18" t="s">
        <v>55</v>
      </c>
      <c r="P18" s="18" t="s">
        <v>55</v>
      </c>
      <c r="Q18" s="18" t="s">
        <v>55</v>
      </c>
      <c r="R18" s="18" t="s">
        <v>55</v>
      </c>
      <c r="S18" s="1">
        <v>2</v>
      </c>
      <c r="T18" s="1">
        <v>1</v>
      </c>
      <c r="U18" s="1">
        <v>0</v>
      </c>
      <c r="V18" s="16">
        <v>46031</v>
      </c>
      <c r="W18" s="16">
        <v>46035</v>
      </c>
      <c r="X18" s="16">
        <v>46035</v>
      </c>
      <c r="Y18" s="16">
        <v>46044</v>
      </c>
      <c r="Z18" s="16">
        <v>46045</v>
      </c>
      <c r="AA18" s="3">
        <f t="shared" si="0"/>
        <v>1</v>
      </c>
      <c r="AB18" s="27" t="s">
        <v>133</v>
      </c>
      <c r="AC18" s="49" t="s">
        <v>134</v>
      </c>
      <c r="AD18" s="19">
        <f t="shared" si="1"/>
        <v>1</v>
      </c>
      <c r="AE18" s="67">
        <f>IFERROR(NETWORKDAYS(B18,I18,Hoja1!$A$1:$A$29),"N/A")</f>
        <v>14</v>
      </c>
      <c r="AF18" s="21">
        <f>IFERROR(NETWORKDAYS(B18,W18,Hoja1!$A$1:$A$29),"N/A")</f>
        <v>58</v>
      </c>
      <c r="AG18" s="78">
        <v>36</v>
      </c>
      <c r="AH18" s="21">
        <f t="shared" si="2"/>
        <v>22</v>
      </c>
      <c r="AI18" s="21">
        <f>IFERROR(NETWORKDAYS(X18,Y18,Hoja1!$A$1:$A$29),"N/A")</f>
        <v>8</v>
      </c>
      <c r="AJ18" s="74">
        <v>3</v>
      </c>
      <c r="AK18" s="75">
        <f t="shared" si="4"/>
        <v>5</v>
      </c>
      <c r="AL18" s="21">
        <f>IFERROR(NETWORKDAYS(B18,Y18,Hoja1!$A$1:$A$29),"N/A")</f>
        <v>65</v>
      </c>
      <c r="AM18" s="21">
        <f t="shared" si="3"/>
        <v>26</v>
      </c>
      <c r="AN18" s="27"/>
      <c r="AO18" s="27"/>
      <c r="AP18" s="27"/>
      <c r="AQ18" s="27"/>
      <c r="AR18" s="27"/>
      <c r="AS18" s="27" t="s">
        <v>1897</v>
      </c>
      <c r="AT18" s="27" t="s">
        <v>1994</v>
      </c>
      <c r="AU18" s="27" t="s">
        <v>2210</v>
      </c>
      <c r="AV18" s="310" t="s">
        <v>2232</v>
      </c>
      <c r="AW18" s="403" t="s">
        <v>2613</v>
      </c>
      <c r="AY18" s="415"/>
    </row>
    <row r="19" spans="1:51" ht="15" customHeight="1" x14ac:dyDescent="0.25">
      <c r="A19" s="295">
        <v>15095</v>
      </c>
      <c r="B19" s="44">
        <v>45951</v>
      </c>
      <c r="C19" s="44">
        <v>45951</v>
      </c>
      <c r="D19" s="2">
        <v>1</v>
      </c>
      <c r="E19" s="43" t="s">
        <v>54</v>
      </c>
      <c r="F19" s="2" t="s">
        <v>55</v>
      </c>
      <c r="G19" s="2">
        <v>7</v>
      </c>
      <c r="H19" s="21" t="s">
        <v>56</v>
      </c>
      <c r="I19" s="44">
        <v>46000</v>
      </c>
      <c r="J19" s="44">
        <v>46000</v>
      </c>
      <c r="K19" s="2">
        <v>7</v>
      </c>
      <c r="L19" s="2" t="s">
        <v>55</v>
      </c>
      <c r="M19" s="18" t="s">
        <v>55</v>
      </c>
      <c r="N19" s="18" t="s">
        <v>55</v>
      </c>
      <c r="O19" s="18" t="s">
        <v>55</v>
      </c>
      <c r="P19" s="18" t="s">
        <v>55</v>
      </c>
      <c r="Q19" s="18" t="s">
        <v>55</v>
      </c>
      <c r="R19" s="18" t="s">
        <v>55</v>
      </c>
      <c r="S19" s="2">
        <v>1</v>
      </c>
      <c r="T19" s="2">
        <v>1</v>
      </c>
      <c r="U19" s="2">
        <v>0</v>
      </c>
      <c r="V19" s="53">
        <v>46009</v>
      </c>
      <c r="W19" s="53">
        <v>46009</v>
      </c>
      <c r="X19" s="53">
        <v>46009</v>
      </c>
      <c r="Y19" s="53">
        <v>46022</v>
      </c>
      <c r="Z19" s="53">
        <v>46027</v>
      </c>
      <c r="AA19" s="3">
        <f t="shared" si="0"/>
        <v>1</v>
      </c>
      <c r="AB19" s="46" t="s">
        <v>136</v>
      </c>
      <c r="AC19" s="46" t="s">
        <v>438</v>
      </c>
      <c r="AD19" s="19">
        <f t="shared" si="1"/>
        <v>1</v>
      </c>
      <c r="AE19" s="67">
        <f>IFERROR(NETWORKDAYS(B19,I19,Hoja1!$A$1:$A$29),"N/A")</f>
        <v>33</v>
      </c>
      <c r="AF19" s="21">
        <f>IFERROR(NETWORKDAYS(B19,W19,Hoja1!$A$1:$A$29),"N/A")</f>
        <v>40</v>
      </c>
      <c r="AG19" s="78">
        <v>20</v>
      </c>
      <c r="AH19" s="21">
        <f t="shared" si="2"/>
        <v>20</v>
      </c>
      <c r="AI19" s="21">
        <f>IFERROR(NETWORKDAYS(X19,Y19,Hoja1!$A$1:$A$29),"N/A")</f>
        <v>9</v>
      </c>
      <c r="AJ19" s="78">
        <v>4</v>
      </c>
      <c r="AK19" s="75">
        <f t="shared" si="4"/>
        <v>5</v>
      </c>
      <c r="AL19" s="21">
        <f>IFERROR(NETWORKDAYS(B19,Y19,Hoja1!$A$1:$A$29),"N/A")</f>
        <v>48</v>
      </c>
      <c r="AM19" s="21">
        <f t="shared" si="3"/>
        <v>24</v>
      </c>
      <c r="AN19" s="46"/>
      <c r="AO19" s="46"/>
      <c r="AP19" s="46"/>
      <c r="AQ19" s="46"/>
      <c r="AR19" s="46"/>
      <c r="AS19" s="46" t="s">
        <v>1900</v>
      </c>
      <c r="AT19" s="46" t="s">
        <v>1994</v>
      </c>
      <c r="AU19" s="46" t="s">
        <v>2214</v>
      </c>
      <c r="AV19" s="311" t="s">
        <v>2239</v>
      </c>
      <c r="AW19" s="403" t="s">
        <v>2614</v>
      </c>
      <c r="AY19" s="414"/>
    </row>
    <row r="20" spans="1:51" ht="15" customHeight="1" x14ac:dyDescent="0.25">
      <c r="A20" s="295">
        <v>15106</v>
      </c>
      <c r="B20" s="44">
        <v>45973</v>
      </c>
      <c r="C20" s="44">
        <v>45953</v>
      </c>
      <c r="D20" s="2">
        <v>1</v>
      </c>
      <c r="E20" s="43" t="s">
        <v>54</v>
      </c>
      <c r="F20" s="2" t="s">
        <v>55</v>
      </c>
      <c r="G20" s="2">
        <v>3</v>
      </c>
      <c r="H20" s="21" t="s">
        <v>112</v>
      </c>
      <c r="I20" s="44">
        <v>45986</v>
      </c>
      <c r="J20" s="44">
        <v>45986</v>
      </c>
      <c r="K20" s="2">
        <v>3</v>
      </c>
      <c r="L20" s="2" t="s">
        <v>55</v>
      </c>
      <c r="M20" s="18" t="s">
        <v>55</v>
      </c>
      <c r="N20" s="18" t="s">
        <v>55</v>
      </c>
      <c r="O20" s="18" t="s">
        <v>55</v>
      </c>
      <c r="P20" s="18" t="s">
        <v>55</v>
      </c>
      <c r="Q20" s="18" t="s">
        <v>55</v>
      </c>
      <c r="R20" s="18" t="s">
        <v>55</v>
      </c>
      <c r="S20" s="2">
        <v>2</v>
      </c>
      <c r="T20" s="2">
        <v>2</v>
      </c>
      <c r="U20" s="2">
        <v>0</v>
      </c>
      <c r="V20" s="53">
        <v>46003</v>
      </c>
      <c r="W20" s="53">
        <v>46003</v>
      </c>
      <c r="X20" s="53">
        <v>46003</v>
      </c>
      <c r="Y20" s="53">
        <v>46010</v>
      </c>
      <c r="Z20" s="53">
        <v>46027</v>
      </c>
      <c r="AA20" s="3">
        <f t="shared" si="0"/>
        <v>1</v>
      </c>
      <c r="AB20" s="46" t="s">
        <v>137</v>
      </c>
      <c r="AC20" s="46" t="s">
        <v>138</v>
      </c>
      <c r="AD20" s="19">
        <f t="shared" si="1"/>
        <v>1</v>
      </c>
      <c r="AE20" s="67">
        <f>IFERROR(NETWORKDAYS(B20,I20,Hoja1!$A$1:$A$29),"N/A")</f>
        <v>9</v>
      </c>
      <c r="AF20" s="21">
        <f>IFERROR(NETWORKDAYS(B20,W20,Hoja1!$A$1:$A$29),"N/A")</f>
        <v>21</v>
      </c>
      <c r="AG20" s="78">
        <v>4</v>
      </c>
      <c r="AH20" s="21">
        <f t="shared" si="2"/>
        <v>17</v>
      </c>
      <c r="AI20" s="21">
        <f>IFERROR(NETWORKDAYS(X20,Y20,Hoja1!$A$1:$A$29),"N/A")</f>
        <v>6</v>
      </c>
      <c r="AJ20" s="78">
        <v>2</v>
      </c>
      <c r="AK20" s="75">
        <f t="shared" si="4"/>
        <v>4</v>
      </c>
      <c r="AL20" s="21">
        <f>IFERROR(NETWORKDAYS(B20,Y20,Hoja1!$A$1:$A$29),"N/A")</f>
        <v>26</v>
      </c>
      <c r="AM20" s="21">
        <f t="shared" si="3"/>
        <v>20</v>
      </c>
      <c r="AN20" s="27" t="s">
        <v>445</v>
      </c>
      <c r="AO20" s="46"/>
      <c r="AP20" s="46"/>
      <c r="AQ20" s="46"/>
      <c r="AR20" s="46"/>
      <c r="AS20" s="46" t="s">
        <v>1901</v>
      </c>
      <c r="AT20" s="46" t="s">
        <v>1995</v>
      </c>
      <c r="AU20" s="46" t="s">
        <v>2217</v>
      </c>
      <c r="AV20" s="311" t="s">
        <v>2241</v>
      </c>
      <c r="AW20" s="403" t="s">
        <v>2615</v>
      </c>
      <c r="AY20" s="415"/>
    </row>
    <row r="21" spans="1:51" ht="15" customHeight="1" x14ac:dyDescent="0.25">
      <c r="A21" s="294">
        <v>15144</v>
      </c>
      <c r="B21" s="15">
        <v>45967</v>
      </c>
      <c r="C21" s="16">
        <v>45961</v>
      </c>
      <c r="D21" s="17">
        <v>1</v>
      </c>
      <c r="E21" s="22" t="s">
        <v>54</v>
      </c>
      <c r="F21" s="16" t="s">
        <v>55</v>
      </c>
      <c r="G21" s="1">
        <v>0</v>
      </c>
      <c r="H21" s="1"/>
      <c r="I21" s="16" t="s">
        <v>55</v>
      </c>
      <c r="J21" s="16" t="s">
        <v>55</v>
      </c>
      <c r="K21" s="1">
        <v>0</v>
      </c>
      <c r="L21" s="16" t="s">
        <v>55</v>
      </c>
      <c r="M21" s="16">
        <v>45968</v>
      </c>
      <c r="N21" s="16">
        <v>45980</v>
      </c>
      <c r="O21" s="16" t="s">
        <v>55</v>
      </c>
      <c r="P21" s="16" t="s">
        <v>55</v>
      </c>
      <c r="Q21" s="16" t="s">
        <v>55</v>
      </c>
      <c r="R21" s="16" t="s">
        <v>55</v>
      </c>
      <c r="S21" s="1">
        <v>3</v>
      </c>
      <c r="T21" s="1">
        <v>3</v>
      </c>
      <c r="U21" s="1">
        <v>0</v>
      </c>
      <c r="V21" s="16">
        <v>46013</v>
      </c>
      <c r="W21" s="16">
        <v>46027</v>
      </c>
      <c r="X21" s="16">
        <v>46028</v>
      </c>
      <c r="Y21" s="16">
        <v>46045</v>
      </c>
      <c r="Z21" s="16">
        <v>46045</v>
      </c>
      <c r="AA21" s="3">
        <f t="shared" si="0"/>
        <v>1</v>
      </c>
      <c r="AB21" s="27" t="s">
        <v>143</v>
      </c>
      <c r="AC21" s="49" t="s">
        <v>144</v>
      </c>
      <c r="AD21" s="19" t="str">
        <f t="shared" si="1"/>
        <v>N/A</v>
      </c>
      <c r="AE21" s="67" t="str">
        <f>IFERROR(NETWORKDAYS(B21,I21,Hoja1!$A$1:$A$29),"N/A")</f>
        <v>N/A</v>
      </c>
      <c r="AF21" s="21">
        <f>IFERROR(NETWORKDAYS(B21,W21,Hoja1!$A$1:$A$29),"N/A")</f>
        <v>39</v>
      </c>
      <c r="AG21" s="78">
        <v>16</v>
      </c>
      <c r="AH21" s="21">
        <f t="shared" si="2"/>
        <v>23</v>
      </c>
      <c r="AI21" s="21">
        <f>IFERROR(NETWORKDAYS(X21,Y21,Hoja1!$A$1:$A$29),"N/A")</f>
        <v>13</v>
      </c>
      <c r="AJ21" s="74">
        <v>8</v>
      </c>
      <c r="AK21" s="75">
        <f t="shared" si="4"/>
        <v>5</v>
      </c>
      <c r="AL21" s="21">
        <f>IFERROR(NETWORKDAYS(B21,Y21,Hoja1!$A$1:$A$29),"N/A")</f>
        <v>52</v>
      </c>
      <c r="AM21" s="21">
        <f t="shared" si="3"/>
        <v>28</v>
      </c>
      <c r="AN21" s="27"/>
      <c r="AO21" s="27"/>
      <c r="AP21" s="27"/>
      <c r="AQ21" s="27"/>
      <c r="AR21" s="27"/>
      <c r="AS21" s="27" t="s">
        <v>1897</v>
      </c>
      <c r="AT21" s="27" t="s">
        <v>2000</v>
      </c>
      <c r="AU21" s="27" t="s">
        <v>2210</v>
      </c>
      <c r="AV21" s="310" t="s">
        <v>2242</v>
      </c>
      <c r="AW21" s="403" t="s">
        <v>2616</v>
      </c>
      <c r="AY21" s="414"/>
    </row>
    <row r="22" spans="1:51" ht="15" customHeight="1" x14ac:dyDescent="0.25">
      <c r="A22" s="295">
        <v>15147</v>
      </c>
      <c r="B22" s="30">
        <v>45957</v>
      </c>
      <c r="C22" s="30">
        <v>45957</v>
      </c>
      <c r="D22" s="3">
        <v>1</v>
      </c>
      <c r="E22" s="32" t="s">
        <v>54</v>
      </c>
      <c r="F22" s="28" t="s">
        <v>55</v>
      </c>
      <c r="G22" s="33">
        <v>0</v>
      </c>
      <c r="H22" s="33"/>
      <c r="I22" s="28" t="s">
        <v>55</v>
      </c>
      <c r="J22" s="28" t="s">
        <v>55</v>
      </c>
      <c r="K22" s="33">
        <v>0</v>
      </c>
      <c r="L22" s="28" t="s">
        <v>55</v>
      </c>
      <c r="M22" s="28">
        <v>45958</v>
      </c>
      <c r="N22" s="28">
        <v>45968</v>
      </c>
      <c r="O22" s="28" t="s">
        <v>55</v>
      </c>
      <c r="P22" s="28" t="s">
        <v>55</v>
      </c>
      <c r="Q22" s="28" t="s">
        <v>55</v>
      </c>
      <c r="R22" s="28">
        <v>46010</v>
      </c>
      <c r="S22" s="33">
        <v>2</v>
      </c>
      <c r="T22" s="33">
        <v>2</v>
      </c>
      <c r="U22" s="33">
        <v>0</v>
      </c>
      <c r="V22" s="28">
        <v>46017</v>
      </c>
      <c r="W22" s="28">
        <v>46024</v>
      </c>
      <c r="X22" s="28">
        <v>46027</v>
      </c>
      <c r="Y22" s="28">
        <v>46031</v>
      </c>
      <c r="Z22" s="28">
        <v>46035</v>
      </c>
      <c r="AA22" s="3">
        <f t="shared" si="0"/>
        <v>1</v>
      </c>
      <c r="AB22" s="45" t="s">
        <v>148</v>
      </c>
      <c r="AC22" s="45" t="s">
        <v>149</v>
      </c>
      <c r="AD22" s="19" t="str">
        <f t="shared" si="1"/>
        <v>N/A</v>
      </c>
      <c r="AE22" s="67" t="str">
        <f>IFERROR(NETWORKDAYS(B22,I22,Hoja1!$A$1:$A$29),"N/A")</f>
        <v>N/A</v>
      </c>
      <c r="AF22" s="21">
        <f>IFERROR(NETWORKDAYS(B22,W22,Hoja1!$A$1:$A$29),"N/A")</f>
        <v>45</v>
      </c>
      <c r="AG22" s="78">
        <v>22</v>
      </c>
      <c r="AH22" s="21">
        <f t="shared" si="2"/>
        <v>23</v>
      </c>
      <c r="AI22" s="21">
        <f>IFERROR(NETWORKDAYS(X22,Y22,Hoja1!$A$1:$A$29),"N/A")</f>
        <v>5</v>
      </c>
      <c r="AJ22" s="74">
        <v>0</v>
      </c>
      <c r="AK22" s="75">
        <f t="shared" si="4"/>
        <v>5</v>
      </c>
      <c r="AL22" s="21">
        <f>IFERROR(NETWORKDAYS(B22,Y22,Hoja1!$A$1:$A$29),"N/A")</f>
        <v>50</v>
      </c>
      <c r="AM22" s="21">
        <f t="shared" si="3"/>
        <v>28</v>
      </c>
      <c r="AN22" s="45"/>
      <c r="AO22" s="45"/>
      <c r="AP22" s="45"/>
      <c r="AQ22" s="45"/>
      <c r="AR22" s="45"/>
      <c r="AS22" s="45" t="s">
        <v>1889</v>
      </c>
      <c r="AT22" s="45" t="s">
        <v>2001</v>
      </c>
      <c r="AU22" s="45" t="s">
        <v>2212</v>
      </c>
      <c r="AV22" s="309" t="s">
        <v>2243</v>
      </c>
      <c r="AW22" s="403" t="s">
        <v>2617</v>
      </c>
      <c r="AY22" s="415"/>
    </row>
    <row r="23" spans="1:51" ht="15" customHeight="1" x14ac:dyDescent="0.25">
      <c r="A23" s="295">
        <v>15153</v>
      </c>
      <c r="B23" s="30">
        <v>45936</v>
      </c>
      <c r="C23" s="30">
        <v>46019</v>
      </c>
      <c r="D23" s="3">
        <v>1</v>
      </c>
      <c r="E23" s="40" t="s">
        <v>54</v>
      </c>
      <c r="F23" s="30" t="s">
        <v>55</v>
      </c>
      <c r="G23" s="3">
        <v>4</v>
      </c>
      <c r="H23" s="33" t="s">
        <v>112</v>
      </c>
      <c r="I23" s="30">
        <v>45939</v>
      </c>
      <c r="J23" s="30">
        <v>45994</v>
      </c>
      <c r="K23" s="3">
        <v>4</v>
      </c>
      <c r="L23" s="37" t="s">
        <v>55</v>
      </c>
      <c r="M23" s="18" t="s">
        <v>55</v>
      </c>
      <c r="N23" s="18" t="s">
        <v>55</v>
      </c>
      <c r="O23" s="18" t="s">
        <v>55</v>
      </c>
      <c r="P23" s="18" t="s">
        <v>55</v>
      </c>
      <c r="Q23" s="18" t="s">
        <v>55</v>
      </c>
      <c r="R23" s="18" t="s">
        <v>55</v>
      </c>
      <c r="S23" s="3">
        <v>3</v>
      </c>
      <c r="T23" s="3">
        <v>3</v>
      </c>
      <c r="U23" s="3">
        <v>0</v>
      </c>
      <c r="V23" s="28">
        <v>46001</v>
      </c>
      <c r="W23" s="28">
        <v>46007</v>
      </c>
      <c r="X23" s="28">
        <v>46013</v>
      </c>
      <c r="Y23" s="28">
        <v>46024</v>
      </c>
      <c r="Z23" s="28">
        <v>46027</v>
      </c>
      <c r="AA23" s="3">
        <f t="shared" si="0"/>
        <v>1</v>
      </c>
      <c r="AB23" s="45" t="s">
        <v>153</v>
      </c>
      <c r="AC23" s="45" t="s">
        <v>154</v>
      </c>
      <c r="AD23" s="19">
        <f t="shared" si="1"/>
        <v>1</v>
      </c>
      <c r="AE23" s="67">
        <f>IFERROR(NETWORKDAYS(B23,I23,Hoja1!$A$1:$A$29),"N/A")</f>
        <v>4</v>
      </c>
      <c r="AF23" s="21">
        <f>IFERROR(NETWORKDAYS(B23,W23,Hoja1!$A$1:$A$29),"N/A")</f>
        <v>48</v>
      </c>
      <c r="AG23" s="78">
        <v>33</v>
      </c>
      <c r="AH23" s="21">
        <f t="shared" si="2"/>
        <v>15</v>
      </c>
      <c r="AI23" s="21">
        <f>IFERROR(NETWORKDAYS(X23,Y23,Hoja1!$A$1:$A$29),"N/A")</f>
        <v>8</v>
      </c>
      <c r="AJ23" s="74">
        <v>3</v>
      </c>
      <c r="AK23" s="75">
        <f t="shared" si="4"/>
        <v>5</v>
      </c>
      <c r="AL23" s="21">
        <f>IFERROR(NETWORKDAYS(B23,Y23,Hoja1!$A$1:$A$29),"N/A")</f>
        <v>59</v>
      </c>
      <c r="AM23" s="21">
        <f t="shared" si="3"/>
        <v>23</v>
      </c>
      <c r="AN23" s="45"/>
      <c r="AO23" s="45"/>
      <c r="AP23" s="45"/>
      <c r="AQ23" s="45"/>
      <c r="AR23" s="45"/>
      <c r="AS23" s="45" t="s">
        <v>1902</v>
      </c>
      <c r="AT23" s="45" t="s">
        <v>2002</v>
      </c>
      <c r="AU23" s="45" t="s">
        <v>2211</v>
      </c>
      <c r="AV23" s="309" t="s">
        <v>2244</v>
      </c>
      <c r="AW23" s="403" t="s">
        <v>2618</v>
      </c>
      <c r="AY23" s="414"/>
    </row>
    <row r="24" spans="1:51" ht="15" customHeight="1" x14ac:dyDescent="0.25">
      <c r="A24" s="295">
        <v>15166</v>
      </c>
      <c r="B24" s="30">
        <v>45960</v>
      </c>
      <c r="C24" s="42">
        <v>45960</v>
      </c>
      <c r="D24" s="3">
        <v>1</v>
      </c>
      <c r="E24" s="40" t="s">
        <v>54</v>
      </c>
      <c r="F24" s="30" t="s">
        <v>55</v>
      </c>
      <c r="G24" s="3">
        <v>2</v>
      </c>
      <c r="H24" s="33" t="s">
        <v>112</v>
      </c>
      <c r="I24" s="30">
        <v>45972</v>
      </c>
      <c r="J24" s="30">
        <v>45981</v>
      </c>
      <c r="K24" s="3">
        <v>2</v>
      </c>
      <c r="L24" s="37" t="s">
        <v>55</v>
      </c>
      <c r="M24" s="18" t="s">
        <v>55</v>
      </c>
      <c r="N24" s="18" t="s">
        <v>55</v>
      </c>
      <c r="O24" s="18" t="s">
        <v>55</v>
      </c>
      <c r="P24" s="18" t="s">
        <v>55</v>
      </c>
      <c r="Q24" s="18" t="s">
        <v>55</v>
      </c>
      <c r="R24" s="18" t="s">
        <v>55</v>
      </c>
      <c r="S24" s="3">
        <v>1</v>
      </c>
      <c r="T24" s="3">
        <v>1</v>
      </c>
      <c r="U24" s="3">
        <v>0</v>
      </c>
      <c r="V24" s="28">
        <v>45988</v>
      </c>
      <c r="W24" s="28">
        <v>45992</v>
      </c>
      <c r="X24" s="28">
        <v>46007</v>
      </c>
      <c r="Y24" s="28">
        <v>46041</v>
      </c>
      <c r="Z24" s="28">
        <v>46044</v>
      </c>
      <c r="AA24" s="3">
        <f t="shared" si="0"/>
        <v>1</v>
      </c>
      <c r="AB24" s="45" t="s">
        <v>156</v>
      </c>
      <c r="AC24" s="45" t="s">
        <v>157</v>
      </c>
      <c r="AD24" s="19">
        <f t="shared" si="1"/>
        <v>1</v>
      </c>
      <c r="AE24" s="67">
        <f>IFERROR(NETWORKDAYS(B24,I24,Hoja1!$A$1:$A$29),"N/A")</f>
        <v>8</v>
      </c>
      <c r="AF24" s="21">
        <f>IFERROR(NETWORKDAYS(B24,W24,Hoja1!$A$1:$A$29),"N/A")</f>
        <v>21</v>
      </c>
      <c r="AG24" s="78">
        <v>6</v>
      </c>
      <c r="AH24" s="21">
        <f t="shared" si="2"/>
        <v>15</v>
      </c>
      <c r="AI24" s="21">
        <f>IFERROR(NETWORKDAYS(X24,Y24,Hoja1!$A$1:$A$29),"N/A")</f>
        <v>22</v>
      </c>
      <c r="AJ24" s="74">
        <v>17</v>
      </c>
      <c r="AK24" s="75">
        <f t="shared" si="4"/>
        <v>5</v>
      </c>
      <c r="AL24" s="21">
        <f>IFERROR(NETWORKDAYS(B24,Y24,Hoja1!$A$1:$A$29),"N/A")</f>
        <v>52</v>
      </c>
      <c r="AM24" s="21">
        <f t="shared" si="3"/>
        <v>29</v>
      </c>
      <c r="AN24" s="45"/>
      <c r="AO24" s="45"/>
      <c r="AP24" s="45"/>
      <c r="AQ24" s="45"/>
      <c r="AR24" s="45"/>
      <c r="AS24" s="45" t="s">
        <v>1891</v>
      </c>
      <c r="AT24" s="45" t="s">
        <v>1996</v>
      </c>
      <c r="AU24" s="45" t="s">
        <v>2211</v>
      </c>
      <c r="AV24" s="309" t="s">
        <v>2231</v>
      </c>
      <c r="AW24" s="403" t="s">
        <v>2619</v>
      </c>
      <c r="AY24" s="415"/>
    </row>
    <row r="25" spans="1:51" ht="15" customHeight="1" x14ac:dyDescent="0.25">
      <c r="A25" s="294">
        <v>15183</v>
      </c>
      <c r="B25" s="15">
        <v>45965</v>
      </c>
      <c r="C25" s="16">
        <v>45965</v>
      </c>
      <c r="D25" s="17">
        <v>1</v>
      </c>
      <c r="E25" s="27" t="s">
        <v>54</v>
      </c>
      <c r="F25" s="16" t="s">
        <v>55</v>
      </c>
      <c r="G25" s="1">
        <v>7</v>
      </c>
      <c r="H25" s="1" t="s">
        <v>56</v>
      </c>
      <c r="I25" s="16">
        <v>45968</v>
      </c>
      <c r="J25" s="16">
        <v>45974</v>
      </c>
      <c r="K25" s="1">
        <v>7</v>
      </c>
      <c r="L25" s="16" t="s">
        <v>55</v>
      </c>
      <c r="M25" s="18" t="s">
        <v>55</v>
      </c>
      <c r="N25" s="18" t="s">
        <v>55</v>
      </c>
      <c r="O25" s="18" t="s">
        <v>55</v>
      </c>
      <c r="P25" s="18" t="s">
        <v>55</v>
      </c>
      <c r="Q25" s="18" t="s">
        <v>55</v>
      </c>
      <c r="R25" s="18" t="s">
        <v>55</v>
      </c>
      <c r="S25" s="1">
        <v>2</v>
      </c>
      <c r="T25" s="1">
        <v>2</v>
      </c>
      <c r="U25" s="1">
        <v>0</v>
      </c>
      <c r="V25" s="16">
        <v>46007</v>
      </c>
      <c r="W25" s="16">
        <v>46008</v>
      </c>
      <c r="X25" s="16">
        <v>46009</v>
      </c>
      <c r="Y25" s="16">
        <v>46045</v>
      </c>
      <c r="Z25" s="16">
        <v>46045</v>
      </c>
      <c r="AA25" s="3">
        <f t="shared" si="0"/>
        <v>1</v>
      </c>
      <c r="AB25" s="27" t="s">
        <v>158</v>
      </c>
      <c r="AC25" s="27" t="s">
        <v>159</v>
      </c>
      <c r="AD25" s="19">
        <f t="shared" si="1"/>
        <v>1</v>
      </c>
      <c r="AE25" s="67">
        <f>IFERROR(NETWORKDAYS(B25,I25,Hoja1!$A$1:$A$29),"N/A")</f>
        <v>4</v>
      </c>
      <c r="AF25" s="21">
        <f>IFERROR(NETWORKDAYS(B25,W25,Hoja1!$A$1:$A$29),"N/A")</f>
        <v>30</v>
      </c>
      <c r="AG25" s="78">
        <v>14</v>
      </c>
      <c r="AH25" s="21">
        <f t="shared" si="2"/>
        <v>16</v>
      </c>
      <c r="AI25" s="21">
        <f>IFERROR(NETWORKDAYS(X25,Y25,Hoja1!$A$1:$A$29),"N/A")</f>
        <v>24</v>
      </c>
      <c r="AJ25" s="74">
        <v>19</v>
      </c>
      <c r="AK25" s="75">
        <f t="shared" si="4"/>
        <v>5</v>
      </c>
      <c r="AL25" s="21">
        <f>IFERROR(NETWORKDAYS(B25,Y25,Hoja1!$A$1:$A$29),"N/A")</f>
        <v>54</v>
      </c>
      <c r="AM25" s="21">
        <f t="shared" si="3"/>
        <v>21</v>
      </c>
      <c r="AN25" s="27"/>
      <c r="AO25" s="27"/>
      <c r="AP25" s="27"/>
      <c r="AQ25" s="27"/>
      <c r="AR25" s="27"/>
      <c r="AS25" s="27" t="s">
        <v>1903</v>
      </c>
      <c r="AT25" s="27" t="s">
        <v>2003</v>
      </c>
      <c r="AU25" s="27" t="s">
        <v>2210</v>
      </c>
      <c r="AV25" s="310" t="s">
        <v>2245</v>
      </c>
      <c r="AW25" s="403" t="s">
        <v>2620</v>
      </c>
      <c r="AY25" s="414"/>
    </row>
    <row r="26" spans="1:51" ht="15" customHeight="1" x14ac:dyDescent="0.25">
      <c r="A26" s="295">
        <v>15204</v>
      </c>
      <c r="B26" s="28">
        <v>45965</v>
      </c>
      <c r="C26" s="28">
        <v>45965</v>
      </c>
      <c r="D26" s="3">
        <v>1</v>
      </c>
      <c r="E26" s="32" t="s">
        <v>54</v>
      </c>
      <c r="F26" s="28" t="s">
        <v>55</v>
      </c>
      <c r="G26" s="33">
        <v>0</v>
      </c>
      <c r="H26" s="33"/>
      <c r="I26" s="28" t="s">
        <v>55</v>
      </c>
      <c r="J26" s="28" t="s">
        <v>55</v>
      </c>
      <c r="K26" s="33">
        <v>0</v>
      </c>
      <c r="L26" s="28" t="s">
        <v>55</v>
      </c>
      <c r="M26" s="18" t="s">
        <v>55</v>
      </c>
      <c r="N26" s="18" t="s">
        <v>55</v>
      </c>
      <c r="O26" s="18" t="s">
        <v>55</v>
      </c>
      <c r="P26" s="18" t="s">
        <v>55</v>
      </c>
      <c r="Q26" s="18" t="s">
        <v>55</v>
      </c>
      <c r="R26" s="18" t="s">
        <v>55</v>
      </c>
      <c r="S26" s="33">
        <v>2</v>
      </c>
      <c r="T26" s="33">
        <v>2</v>
      </c>
      <c r="U26" s="33">
        <v>0</v>
      </c>
      <c r="V26" s="28">
        <v>45985</v>
      </c>
      <c r="W26" s="28">
        <v>45989</v>
      </c>
      <c r="X26" s="28">
        <v>45992</v>
      </c>
      <c r="Y26" s="28">
        <v>46024</v>
      </c>
      <c r="Z26" s="28">
        <v>46027</v>
      </c>
      <c r="AA26" s="3">
        <f t="shared" si="0"/>
        <v>1</v>
      </c>
      <c r="AB26" s="45" t="s">
        <v>161</v>
      </c>
      <c r="AC26" s="45" t="s">
        <v>162</v>
      </c>
      <c r="AD26" s="19" t="str">
        <f t="shared" si="1"/>
        <v>N/A</v>
      </c>
      <c r="AE26" s="67" t="str">
        <f>IFERROR(NETWORKDAYS(B26,I26,Hoja1!$A$1:$A$29),"N/A")</f>
        <v>N/A</v>
      </c>
      <c r="AF26" s="21">
        <f>IFERROR(NETWORKDAYS(B26,W26,Hoja1!$A$1:$A$29),"N/A")</f>
        <v>18</v>
      </c>
      <c r="AG26" s="78">
        <v>0</v>
      </c>
      <c r="AH26" s="21">
        <f t="shared" si="2"/>
        <v>18</v>
      </c>
      <c r="AI26" s="21">
        <f>IFERROR(NETWORKDAYS(X26,Y26,Hoja1!$A$1:$A$29),"N/A")</f>
        <v>22</v>
      </c>
      <c r="AJ26" s="74">
        <v>17</v>
      </c>
      <c r="AK26" s="75">
        <f t="shared" si="4"/>
        <v>5</v>
      </c>
      <c r="AL26" s="21">
        <f>IFERROR(NETWORKDAYS(B26,Y26,Hoja1!$A$1:$A$29),"N/A")</f>
        <v>40</v>
      </c>
      <c r="AM26" s="21">
        <f t="shared" si="3"/>
        <v>23</v>
      </c>
      <c r="AN26" s="45"/>
      <c r="AO26" s="45"/>
      <c r="AP26" s="45"/>
      <c r="AQ26" s="45"/>
      <c r="AR26" s="45"/>
      <c r="AS26" s="45" t="s">
        <v>1889</v>
      </c>
      <c r="AT26" s="45" t="s">
        <v>2004</v>
      </c>
      <c r="AU26" s="45" t="s">
        <v>2212</v>
      </c>
      <c r="AV26" s="309" t="s">
        <v>2246</v>
      </c>
      <c r="AW26" s="403" t="s">
        <v>2621</v>
      </c>
      <c r="AY26" s="415"/>
    </row>
    <row r="27" spans="1:51" ht="15" customHeight="1" x14ac:dyDescent="0.25">
      <c r="A27" s="294">
        <v>15211</v>
      </c>
      <c r="B27" s="15">
        <v>45966</v>
      </c>
      <c r="C27" s="16">
        <v>45966</v>
      </c>
      <c r="D27" s="17">
        <v>1</v>
      </c>
      <c r="E27" s="40" t="s">
        <v>54</v>
      </c>
      <c r="F27" s="1" t="s">
        <v>55</v>
      </c>
      <c r="G27" s="1">
        <v>6</v>
      </c>
      <c r="H27" s="1" t="s">
        <v>112</v>
      </c>
      <c r="I27" s="16">
        <v>45971</v>
      </c>
      <c r="J27" s="16">
        <v>45974</v>
      </c>
      <c r="K27" s="1">
        <v>6</v>
      </c>
      <c r="L27" s="1" t="s">
        <v>55</v>
      </c>
      <c r="M27" s="18" t="s">
        <v>55</v>
      </c>
      <c r="N27" s="18" t="s">
        <v>55</v>
      </c>
      <c r="O27" s="18" t="s">
        <v>55</v>
      </c>
      <c r="P27" s="18" t="s">
        <v>55</v>
      </c>
      <c r="Q27" s="18" t="s">
        <v>55</v>
      </c>
      <c r="R27" s="18" t="s">
        <v>55</v>
      </c>
      <c r="S27" s="1">
        <v>2</v>
      </c>
      <c r="T27" s="1">
        <v>2</v>
      </c>
      <c r="U27" s="1">
        <v>0</v>
      </c>
      <c r="V27" s="16">
        <v>45987</v>
      </c>
      <c r="W27" s="16">
        <v>45989</v>
      </c>
      <c r="X27" s="16">
        <v>45989</v>
      </c>
      <c r="Y27" s="16">
        <v>46002</v>
      </c>
      <c r="Z27" s="16">
        <v>46027</v>
      </c>
      <c r="AA27" s="3">
        <f t="shared" si="0"/>
        <v>1</v>
      </c>
      <c r="AB27" s="20" t="s">
        <v>166</v>
      </c>
      <c r="AC27" s="27" t="s">
        <v>167</v>
      </c>
      <c r="AD27" s="19">
        <f t="shared" si="1"/>
        <v>1</v>
      </c>
      <c r="AE27" s="67">
        <f>IFERROR(NETWORKDAYS(B27,I27,Hoja1!$A$1:$A$29),"N/A")</f>
        <v>4</v>
      </c>
      <c r="AF27" s="21">
        <f>IFERROR(NETWORKDAYS(B27,W27,Hoja1!$A$1:$A$29),"N/A")</f>
        <v>17</v>
      </c>
      <c r="AG27" s="78">
        <v>3</v>
      </c>
      <c r="AH27" s="21">
        <f t="shared" si="2"/>
        <v>14</v>
      </c>
      <c r="AI27" s="21">
        <f>IFERROR(NETWORKDAYS(X27,Y27,Hoja1!$A$1:$A$29),"N/A")</f>
        <v>9</v>
      </c>
      <c r="AJ27" s="74">
        <v>4</v>
      </c>
      <c r="AK27" s="75">
        <f t="shared" si="4"/>
        <v>5</v>
      </c>
      <c r="AL27" s="21">
        <f>IFERROR(NETWORKDAYS(B27,Y27,Hoja1!$A$1:$A$29),"N/A")</f>
        <v>25</v>
      </c>
      <c r="AM27" s="21">
        <f t="shared" si="3"/>
        <v>18</v>
      </c>
      <c r="AN27" s="27"/>
      <c r="AO27" s="27"/>
      <c r="AP27" s="27"/>
      <c r="AQ27" s="27"/>
      <c r="AR27" s="27"/>
      <c r="AS27" s="27" t="s">
        <v>1904</v>
      </c>
      <c r="AT27" s="27" t="s">
        <v>1995</v>
      </c>
      <c r="AU27" s="27" t="s">
        <v>2218</v>
      </c>
      <c r="AV27" s="310" t="s">
        <v>2247</v>
      </c>
      <c r="AW27" s="403" t="s">
        <v>2622</v>
      </c>
      <c r="AY27" s="414"/>
    </row>
    <row r="28" spans="1:51" ht="15" customHeight="1" x14ac:dyDescent="0.25">
      <c r="A28" s="295">
        <v>15228</v>
      </c>
      <c r="B28" s="24">
        <v>45968</v>
      </c>
      <c r="C28" s="24">
        <v>45968</v>
      </c>
      <c r="D28" s="3">
        <v>1</v>
      </c>
      <c r="E28" s="40" t="s">
        <v>54</v>
      </c>
      <c r="F28" s="3" t="s">
        <v>55</v>
      </c>
      <c r="G28" s="3">
        <v>3</v>
      </c>
      <c r="H28" s="33" t="s">
        <v>112</v>
      </c>
      <c r="I28" s="30">
        <v>45987</v>
      </c>
      <c r="J28" s="30">
        <v>45987</v>
      </c>
      <c r="K28" s="3">
        <v>3</v>
      </c>
      <c r="L28" s="18" t="s">
        <v>55</v>
      </c>
      <c r="M28" s="18" t="s">
        <v>55</v>
      </c>
      <c r="N28" s="18" t="s">
        <v>55</v>
      </c>
      <c r="O28" s="18" t="s">
        <v>55</v>
      </c>
      <c r="P28" s="18" t="s">
        <v>55</v>
      </c>
      <c r="Q28" s="18" t="s">
        <v>55</v>
      </c>
      <c r="R28" s="18" t="s">
        <v>55</v>
      </c>
      <c r="S28" s="3">
        <v>3</v>
      </c>
      <c r="T28" s="3">
        <v>1</v>
      </c>
      <c r="U28" s="3">
        <v>0</v>
      </c>
      <c r="V28" s="28">
        <v>45992</v>
      </c>
      <c r="W28" s="28">
        <v>45992</v>
      </c>
      <c r="X28" s="28">
        <v>45993</v>
      </c>
      <c r="Y28" s="28">
        <v>46024</v>
      </c>
      <c r="Z28" s="28">
        <v>46027</v>
      </c>
      <c r="AA28" s="3">
        <f t="shared" si="0"/>
        <v>1</v>
      </c>
      <c r="AB28" s="45" t="s">
        <v>172</v>
      </c>
      <c r="AC28" s="49" t="s">
        <v>424</v>
      </c>
      <c r="AD28" s="19">
        <f t="shared" si="1"/>
        <v>1</v>
      </c>
      <c r="AE28" s="67">
        <f>IFERROR(NETWORKDAYS(B28,I28,Hoja1!$A$1:$A$29),"N/A")</f>
        <v>13</v>
      </c>
      <c r="AF28" s="21">
        <f>IFERROR(NETWORKDAYS(B28,W28,Hoja1!$A$1:$A$29),"N/A")</f>
        <v>16</v>
      </c>
      <c r="AG28" s="78">
        <v>0</v>
      </c>
      <c r="AH28" s="21">
        <f t="shared" si="2"/>
        <v>16</v>
      </c>
      <c r="AI28" s="21">
        <f>IFERROR(NETWORKDAYS(X28,Y28,Hoja1!$A$1:$A$29),"N/A")</f>
        <v>21</v>
      </c>
      <c r="AJ28" s="74">
        <v>16</v>
      </c>
      <c r="AK28" s="75">
        <f t="shared" si="4"/>
        <v>5</v>
      </c>
      <c r="AL28" s="21">
        <f>IFERROR(NETWORKDAYS(B28,Y28,Hoja1!$A$1:$A$29),"N/A")</f>
        <v>37</v>
      </c>
      <c r="AM28" s="21">
        <f t="shared" si="3"/>
        <v>21</v>
      </c>
      <c r="AN28" s="45"/>
      <c r="AO28" s="45"/>
      <c r="AP28" s="45"/>
      <c r="AQ28" s="45"/>
      <c r="AR28" s="45"/>
      <c r="AS28" s="45" t="s">
        <v>1905</v>
      </c>
      <c r="AT28" s="45" t="s">
        <v>2005</v>
      </c>
      <c r="AU28" s="45" t="s">
        <v>2219</v>
      </c>
      <c r="AV28" s="309" t="s">
        <v>2248</v>
      </c>
      <c r="AW28" s="403" t="s">
        <v>2623</v>
      </c>
      <c r="AY28" s="415"/>
    </row>
    <row r="29" spans="1:51" ht="15" customHeight="1" x14ac:dyDescent="0.25">
      <c r="A29" s="295">
        <v>15253</v>
      </c>
      <c r="B29" s="30">
        <v>45992</v>
      </c>
      <c r="C29" s="30">
        <v>45970</v>
      </c>
      <c r="D29" s="3">
        <v>1</v>
      </c>
      <c r="E29" s="40" t="s">
        <v>54</v>
      </c>
      <c r="F29" s="30" t="s">
        <v>55</v>
      </c>
      <c r="G29" s="3">
        <v>6</v>
      </c>
      <c r="H29" s="33" t="s">
        <v>56</v>
      </c>
      <c r="I29" s="30">
        <v>45995</v>
      </c>
      <c r="J29" s="30">
        <v>46006</v>
      </c>
      <c r="K29" s="3">
        <v>6</v>
      </c>
      <c r="L29" s="37">
        <v>45973</v>
      </c>
      <c r="M29" s="37">
        <v>46002</v>
      </c>
      <c r="N29" s="37">
        <v>45979</v>
      </c>
      <c r="O29" s="37" t="s">
        <v>55</v>
      </c>
      <c r="P29" s="37" t="s">
        <v>55</v>
      </c>
      <c r="Q29" s="37" t="s">
        <v>55</v>
      </c>
      <c r="R29" s="37" t="s">
        <v>55</v>
      </c>
      <c r="S29" s="3">
        <v>2</v>
      </c>
      <c r="T29" s="3">
        <v>1</v>
      </c>
      <c r="U29" s="3">
        <v>0</v>
      </c>
      <c r="V29" s="28">
        <v>46010</v>
      </c>
      <c r="W29" s="28">
        <v>46010</v>
      </c>
      <c r="X29" s="28">
        <v>46013</v>
      </c>
      <c r="Y29" s="28">
        <v>46024</v>
      </c>
      <c r="Z29" s="28">
        <v>46027</v>
      </c>
      <c r="AA29" s="3">
        <f t="shared" si="0"/>
        <v>1</v>
      </c>
      <c r="AB29" s="45" t="s">
        <v>175</v>
      </c>
      <c r="AC29" s="45" t="s">
        <v>176</v>
      </c>
      <c r="AD29" s="19">
        <f t="shared" si="1"/>
        <v>1</v>
      </c>
      <c r="AE29" s="67">
        <f>IFERROR(NETWORKDAYS(B29,I29,Hoja1!$A$1:$A$29),"N/A")</f>
        <v>4</v>
      </c>
      <c r="AF29" s="21">
        <f>IFERROR(NETWORKDAYS(B29,W29,Hoja1!$A$1:$A$29),"N/A")</f>
        <v>14</v>
      </c>
      <c r="AG29" s="78">
        <v>0</v>
      </c>
      <c r="AH29" s="21">
        <f t="shared" si="2"/>
        <v>14</v>
      </c>
      <c r="AI29" s="21">
        <f>IFERROR(NETWORKDAYS(X29,Y29,Hoja1!$A$1:$A$29),"N/A")</f>
        <v>8</v>
      </c>
      <c r="AJ29" s="74">
        <v>3</v>
      </c>
      <c r="AK29" s="75">
        <f t="shared" si="4"/>
        <v>5</v>
      </c>
      <c r="AL29" s="21">
        <f>IFERROR(NETWORKDAYS(B29,Y29,Hoja1!$A$1:$A$29),"N/A")</f>
        <v>22</v>
      </c>
      <c r="AM29" s="21">
        <f t="shared" si="3"/>
        <v>19</v>
      </c>
      <c r="AN29" s="46" t="s">
        <v>453</v>
      </c>
      <c r="AO29" s="45"/>
      <c r="AP29" s="45"/>
      <c r="AQ29" s="45"/>
      <c r="AR29" s="45"/>
      <c r="AS29" s="45" t="s">
        <v>1891</v>
      </c>
      <c r="AT29" s="45" t="s">
        <v>2006</v>
      </c>
      <c r="AU29" s="45" t="s">
        <v>2211</v>
      </c>
      <c r="AV29" s="309" t="s">
        <v>2249</v>
      </c>
      <c r="AW29" s="403" t="s">
        <v>2624</v>
      </c>
      <c r="AY29" s="414"/>
    </row>
    <row r="30" spans="1:51" ht="15" customHeight="1" x14ac:dyDescent="0.25">
      <c r="A30" s="295">
        <v>15254</v>
      </c>
      <c r="B30" s="30">
        <v>45986</v>
      </c>
      <c r="C30" s="73">
        <v>45970</v>
      </c>
      <c r="D30" s="3">
        <v>1</v>
      </c>
      <c r="E30" s="40" t="s">
        <v>54</v>
      </c>
      <c r="F30" s="30" t="s">
        <v>55</v>
      </c>
      <c r="G30" s="3">
        <v>0</v>
      </c>
      <c r="H30" s="33"/>
      <c r="I30" s="30" t="s">
        <v>55</v>
      </c>
      <c r="J30" s="30" t="s">
        <v>55</v>
      </c>
      <c r="K30" s="3">
        <v>0</v>
      </c>
      <c r="L30" s="37" t="s">
        <v>55</v>
      </c>
      <c r="M30" s="37" t="s">
        <v>55</v>
      </c>
      <c r="N30" s="37" t="s">
        <v>55</v>
      </c>
      <c r="O30" s="37" t="s">
        <v>55</v>
      </c>
      <c r="P30" s="37" t="s">
        <v>55</v>
      </c>
      <c r="Q30" s="37" t="s">
        <v>55</v>
      </c>
      <c r="R30" s="37" t="s">
        <v>55</v>
      </c>
      <c r="S30" s="3">
        <v>1</v>
      </c>
      <c r="T30" s="3">
        <v>1</v>
      </c>
      <c r="U30" s="3">
        <v>0</v>
      </c>
      <c r="V30" s="28">
        <v>46000</v>
      </c>
      <c r="W30" s="28">
        <v>46002</v>
      </c>
      <c r="X30" s="28">
        <v>46009</v>
      </c>
      <c r="Y30" s="28">
        <v>46024</v>
      </c>
      <c r="Z30" s="28">
        <v>46027</v>
      </c>
      <c r="AA30" s="3">
        <f t="shared" si="0"/>
        <v>1</v>
      </c>
      <c r="AB30" s="45" t="s">
        <v>178</v>
      </c>
      <c r="AC30" s="45" t="s">
        <v>179</v>
      </c>
      <c r="AD30" s="19" t="str">
        <f t="shared" si="1"/>
        <v>N/A</v>
      </c>
      <c r="AE30" s="67" t="str">
        <f>IFERROR(NETWORKDAYS(B30,I30,Hoja1!$A$1:$A$29),"N/A")</f>
        <v>N/A</v>
      </c>
      <c r="AF30" s="21">
        <f>IFERROR(NETWORKDAYS(B30,W30,Hoja1!$A$1:$A$29),"N/A")</f>
        <v>12</v>
      </c>
      <c r="AG30" s="78">
        <v>0</v>
      </c>
      <c r="AH30" s="21">
        <f t="shared" si="2"/>
        <v>12</v>
      </c>
      <c r="AI30" s="21">
        <f>IFERROR(NETWORKDAYS(X30,Y30,Hoja1!$A$1:$A$29),"N/A")</f>
        <v>10</v>
      </c>
      <c r="AJ30" s="74">
        <v>5</v>
      </c>
      <c r="AK30" s="75">
        <f t="shared" si="4"/>
        <v>5</v>
      </c>
      <c r="AL30" s="21">
        <f>IFERROR(NETWORKDAYS(B30,Y30,Hoja1!$A$1:$A$29),"N/A")</f>
        <v>26</v>
      </c>
      <c r="AM30" s="21">
        <f t="shared" si="3"/>
        <v>21</v>
      </c>
      <c r="AN30" s="45"/>
      <c r="AO30" s="45"/>
      <c r="AP30" s="45"/>
      <c r="AQ30" s="45"/>
      <c r="AR30" s="45"/>
      <c r="AS30" s="45" t="s">
        <v>1891</v>
      </c>
      <c r="AT30" s="45" t="s">
        <v>2007</v>
      </c>
      <c r="AU30" s="45" t="s">
        <v>2211</v>
      </c>
      <c r="AV30" s="309" t="s">
        <v>2250</v>
      </c>
      <c r="AW30" s="403" t="s">
        <v>2625</v>
      </c>
      <c r="AY30" s="415"/>
    </row>
    <row r="31" spans="1:51" ht="15" customHeight="1" x14ac:dyDescent="0.25">
      <c r="A31" s="295">
        <v>15279</v>
      </c>
      <c r="B31" s="30">
        <v>45973</v>
      </c>
      <c r="C31" s="30">
        <v>45973</v>
      </c>
      <c r="D31" s="3">
        <v>1</v>
      </c>
      <c r="E31" s="40" t="s">
        <v>54</v>
      </c>
      <c r="F31" s="30" t="s">
        <v>55</v>
      </c>
      <c r="G31" s="3">
        <v>3</v>
      </c>
      <c r="H31" s="33" t="s">
        <v>112</v>
      </c>
      <c r="I31" s="30">
        <v>45979</v>
      </c>
      <c r="J31" s="30">
        <v>45993</v>
      </c>
      <c r="K31" s="3">
        <v>3</v>
      </c>
      <c r="L31" s="37" t="s">
        <v>55</v>
      </c>
      <c r="M31" s="18" t="s">
        <v>55</v>
      </c>
      <c r="N31" s="18" t="s">
        <v>55</v>
      </c>
      <c r="O31" s="18" t="s">
        <v>55</v>
      </c>
      <c r="P31" s="18" t="s">
        <v>55</v>
      </c>
      <c r="Q31" s="18" t="s">
        <v>55</v>
      </c>
      <c r="R31" s="18" t="s">
        <v>55</v>
      </c>
      <c r="S31" s="3">
        <v>3</v>
      </c>
      <c r="T31" s="3">
        <v>1</v>
      </c>
      <c r="U31" s="3">
        <v>0</v>
      </c>
      <c r="V31" s="28">
        <v>46001</v>
      </c>
      <c r="W31" s="28">
        <v>46003</v>
      </c>
      <c r="X31" s="28">
        <v>46007</v>
      </c>
      <c r="Y31" s="28">
        <v>46024</v>
      </c>
      <c r="Z31" s="28">
        <v>46027</v>
      </c>
      <c r="AA31" s="3">
        <f t="shared" si="0"/>
        <v>1</v>
      </c>
      <c r="AB31" s="45" t="s">
        <v>181</v>
      </c>
      <c r="AC31" s="45" t="s">
        <v>182</v>
      </c>
      <c r="AD31" s="19">
        <f t="shared" si="1"/>
        <v>1</v>
      </c>
      <c r="AE31" s="67">
        <f>IFERROR(NETWORKDAYS(B31,I31,Hoja1!$A$1:$A$29),"N/A")</f>
        <v>4</v>
      </c>
      <c r="AF31" s="21">
        <f>IFERROR(NETWORKDAYS(B31,W31,Hoja1!$A$1:$A$29),"N/A")</f>
        <v>21</v>
      </c>
      <c r="AG31" s="78">
        <v>6</v>
      </c>
      <c r="AH31" s="21">
        <f t="shared" si="2"/>
        <v>15</v>
      </c>
      <c r="AI31" s="21">
        <f>IFERROR(NETWORKDAYS(X31,Y31,Hoja1!$A$1:$A$29),"N/A")</f>
        <v>12</v>
      </c>
      <c r="AJ31" s="74">
        <v>7</v>
      </c>
      <c r="AK31" s="75">
        <f t="shared" si="4"/>
        <v>5</v>
      </c>
      <c r="AL31" s="21">
        <f>IFERROR(NETWORKDAYS(B31,Y31,Hoja1!$A$1:$A$29),"N/A")</f>
        <v>34</v>
      </c>
      <c r="AM31" s="21">
        <f t="shared" si="3"/>
        <v>21</v>
      </c>
      <c r="AN31" s="45"/>
      <c r="AO31" s="45"/>
      <c r="AP31" s="45"/>
      <c r="AQ31" s="45"/>
      <c r="AR31" s="45"/>
      <c r="AS31" s="45" t="s">
        <v>1888</v>
      </c>
      <c r="AT31" s="45" t="s">
        <v>2008</v>
      </c>
      <c r="AU31" s="45" t="s">
        <v>2211</v>
      </c>
      <c r="AV31" s="309" t="s">
        <v>2251</v>
      </c>
      <c r="AW31" s="403" t="s">
        <v>2626</v>
      </c>
      <c r="AY31" s="414"/>
    </row>
    <row r="32" spans="1:51" ht="15" customHeight="1" x14ac:dyDescent="0.25">
      <c r="A32" s="293">
        <v>15308</v>
      </c>
      <c r="B32" s="28">
        <v>45988</v>
      </c>
      <c r="C32" s="28">
        <v>45975</v>
      </c>
      <c r="D32" s="3">
        <v>1</v>
      </c>
      <c r="E32" s="32" t="s">
        <v>54</v>
      </c>
      <c r="F32" s="28" t="s">
        <v>55</v>
      </c>
      <c r="G32" s="33">
        <v>3</v>
      </c>
      <c r="H32" s="33" t="s">
        <v>112</v>
      </c>
      <c r="I32" s="28">
        <v>45994</v>
      </c>
      <c r="J32" s="28">
        <v>45994</v>
      </c>
      <c r="K32" s="33">
        <v>3</v>
      </c>
      <c r="L32" s="28" t="s">
        <v>55</v>
      </c>
      <c r="M32" s="18" t="s">
        <v>55</v>
      </c>
      <c r="N32" s="18" t="s">
        <v>55</v>
      </c>
      <c r="O32" s="18" t="s">
        <v>55</v>
      </c>
      <c r="P32" s="18" t="s">
        <v>55</v>
      </c>
      <c r="Q32" s="18" t="s">
        <v>55</v>
      </c>
      <c r="R32" s="18" t="s">
        <v>55</v>
      </c>
      <c r="S32" s="33">
        <v>1</v>
      </c>
      <c r="T32" s="33">
        <v>1</v>
      </c>
      <c r="U32" s="33">
        <v>0</v>
      </c>
      <c r="V32" s="28">
        <v>46020</v>
      </c>
      <c r="W32" s="28">
        <v>46021</v>
      </c>
      <c r="X32" s="28">
        <v>46024</v>
      </c>
      <c r="Y32" s="28">
        <v>46044</v>
      </c>
      <c r="Z32" s="28">
        <v>46045</v>
      </c>
      <c r="AA32" s="3">
        <f t="shared" si="0"/>
        <v>1</v>
      </c>
      <c r="AB32" s="45" t="s">
        <v>185</v>
      </c>
      <c r="AC32" s="45" t="s">
        <v>186</v>
      </c>
      <c r="AD32" s="19">
        <f t="shared" si="1"/>
        <v>1</v>
      </c>
      <c r="AE32" s="67">
        <f>IFERROR(NETWORKDAYS(B32,I32,Hoja1!$A$1:$A$29),"N/A")</f>
        <v>5</v>
      </c>
      <c r="AF32" s="21">
        <f>IFERROR(NETWORKDAYS(B32,W32,Hoja1!$A$1:$A$29),"N/A")</f>
        <v>22</v>
      </c>
      <c r="AG32" s="78">
        <v>7</v>
      </c>
      <c r="AH32" s="21">
        <f t="shared" si="2"/>
        <v>15</v>
      </c>
      <c r="AI32" s="21">
        <f>IFERROR(NETWORKDAYS(X32,Y32,Hoja1!$A$1:$A$29),"N/A")</f>
        <v>14</v>
      </c>
      <c r="AJ32" s="74">
        <v>9</v>
      </c>
      <c r="AK32" s="75">
        <f t="shared" si="4"/>
        <v>5</v>
      </c>
      <c r="AL32" s="21">
        <f>IFERROR(NETWORKDAYS(B32,Y32,Hoja1!$A$1:$A$29),"N/A")</f>
        <v>37</v>
      </c>
      <c r="AM32" s="21">
        <f t="shared" si="3"/>
        <v>21</v>
      </c>
      <c r="AN32" s="45"/>
      <c r="AO32" s="45"/>
      <c r="AP32" s="45"/>
      <c r="AQ32" s="45"/>
      <c r="AR32" s="45"/>
      <c r="AS32" s="45" t="s">
        <v>1889</v>
      </c>
      <c r="AT32" s="45" t="s">
        <v>2009</v>
      </c>
      <c r="AU32" s="45" t="s">
        <v>2212</v>
      </c>
      <c r="AV32" s="309" t="s">
        <v>2252</v>
      </c>
      <c r="AW32" s="403" t="s">
        <v>2627</v>
      </c>
      <c r="AY32" s="415"/>
    </row>
    <row r="33" spans="1:51" ht="15" customHeight="1" x14ac:dyDescent="0.25">
      <c r="A33" s="294">
        <v>15312</v>
      </c>
      <c r="B33" s="15">
        <v>45975</v>
      </c>
      <c r="C33" s="16">
        <v>45975</v>
      </c>
      <c r="D33" s="17">
        <v>1</v>
      </c>
      <c r="E33" s="40" t="s">
        <v>54</v>
      </c>
      <c r="F33" s="1" t="s">
        <v>55</v>
      </c>
      <c r="G33" s="1">
        <v>9</v>
      </c>
      <c r="H33" s="1" t="s">
        <v>56</v>
      </c>
      <c r="I33" s="16">
        <v>45980</v>
      </c>
      <c r="J33" s="16">
        <v>46001</v>
      </c>
      <c r="K33" s="1">
        <v>9</v>
      </c>
      <c r="L33" s="1" t="s">
        <v>55</v>
      </c>
      <c r="M33" s="18" t="s">
        <v>55</v>
      </c>
      <c r="N33" s="18" t="s">
        <v>55</v>
      </c>
      <c r="O33" s="18" t="s">
        <v>55</v>
      </c>
      <c r="P33" s="18" t="s">
        <v>55</v>
      </c>
      <c r="Q33" s="18" t="s">
        <v>55</v>
      </c>
      <c r="R33" s="18" t="s">
        <v>55</v>
      </c>
      <c r="S33" s="1">
        <v>2</v>
      </c>
      <c r="T33" s="1">
        <v>2</v>
      </c>
      <c r="U33" s="1">
        <v>0</v>
      </c>
      <c r="V33" s="16">
        <v>46009</v>
      </c>
      <c r="W33" s="16">
        <v>46006</v>
      </c>
      <c r="X33" s="16">
        <v>46009</v>
      </c>
      <c r="Y33" s="16">
        <v>46021</v>
      </c>
      <c r="Z33" s="16">
        <v>46027</v>
      </c>
      <c r="AA33" s="3">
        <f t="shared" si="0"/>
        <v>1</v>
      </c>
      <c r="AB33" s="22" t="s">
        <v>189</v>
      </c>
      <c r="AC33" s="27" t="s">
        <v>190</v>
      </c>
      <c r="AD33" s="19">
        <f t="shared" si="1"/>
        <v>1</v>
      </c>
      <c r="AE33" s="67">
        <f>IFERROR(NETWORKDAYS(B33,I33,Hoja1!$A$1:$A$29),"N/A")</f>
        <v>3</v>
      </c>
      <c r="AF33" s="21">
        <f>IFERROR(NETWORKDAYS(B33,W33,Hoja1!$A$1:$A$29),"N/A")</f>
        <v>20</v>
      </c>
      <c r="AG33" s="78">
        <v>6</v>
      </c>
      <c r="AH33" s="21">
        <f t="shared" si="2"/>
        <v>14</v>
      </c>
      <c r="AI33" s="21">
        <f>IFERROR(NETWORKDAYS(X33,Y33,Hoja1!$A$1:$A$29),"N/A")</f>
        <v>8</v>
      </c>
      <c r="AJ33" s="74">
        <v>3</v>
      </c>
      <c r="AK33" s="75">
        <f t="shared" si="4"/>
        <v>5</v>
      </c>
      <c r="AL33" s="21">
        <f>IFERROR(NETWORKDAYS(B33,Y33,Hoja1!$A$1:$A$29),"N/A")</f>
        <v>30</v>
      </c>
      <c r="AM33" s="21">
        <f t="shared" si="3"/>
        <v>21</v>
      </c>
      <c r="AN33" s="46" t="s">
        <v>453</v>
      </c>
      <c r="AO33" s="27" t="s">
        <v>445</v>
      </c>
      <c r="AP33" s="27"/>
      <c r="AQ33" s="27"/>
      <c r="AR33" s="27"/>
      <c r="AS33" s="27" t="s">
        <v>1904</v>
      </c>
      <c r="AT33" s="27" t="s">
        <v>2010</v>
      </c>
      <c r="AU33" s="27" t="s">
        <v>2218</v>
      </c>
      <c r="AV33" s="310" t="s">
        <v>2253</v>
      </c>
      <c r="AW33" s="403" t="s">
        <v>2628</v>
      </c>
      <c r="AY33" s="414"/>
    </row>
    <row r="34" spans="1:51" ht="15" customHeight="1" x14ac:dyDescent="0.25">
      <c r="A34" s="294">
        <v>15315</v>
      </c>
      <c r="B34" s="15">
        <v>45988</v>
      </c>
      <c r="C34" s="16">
        <v>45993</v>
      </c>
      <c r="D34" s="17">
        <v>1</v>
      </c>
      <c r="E34" s="22" t="s">
        <v>54</v>
      </c>
      <c r="F34" s="16" t="s">
        <v>55</v>
      </c>
      <c r="G34" s="1">
        <v>5</v>
      </c>
      <c r="H34" s="1" t="s">
        <v>56</v>
      </c>
      <c r="I34" s="16">
        <v>45996</v>
      </c>
      <c r="J34" s="16">
        <v>45996</v>
      </c>
      <c r="K34" s="1">
        <v>5</v>
      </c>
      <c r="L34" s="16" t="s">
        <v>55</v>
      </c>
      <c r="M34" s="18" t="s">
        <v>55</v>
      </c>
      <c r="N34" s="18" t="s">
        <v>55</v>
      </c>
      <c r="O34" s="18" t="s">
        <v>55</v>
      </c>
      <c r="P34" s="18" t="s">
        <v>55</v>
      </c>
      <c r="Q34" s="18" t="s">
        <v>55</v>
      </c>
      <c r="R34" s="18" t="s">
        <v>55</v>
      </c>
      <c r="S34" s="1">
        <v>3</v>
      </c>
      <c r="T34" s="1">
        <v>3</v>
      </c>
      <c r="U34" s="1">
        <v>0</v>
      </c>
      <c r="V34" s="16">
        <v>46003</v>
      </c>
      <c r="W34" s="16">
        <v>46003</v>
      </c>
      <c r="X34" s="16">
        <v>46013</v>
      </c>
      <c r="Y34" s="16">
        <v>46024</v>
      </c>
      <c r="Z34" s="16">
        <v>46027</v>
      </c>
      <c r="AA34" s="3">
        <f t="shared" si="0"/>
        <v>1</v>
      </c>
      <c r="AB34" s="20" t="s">
        <v>192</v>
      </c>
      <c r="AC34" s="27" t="s">
        <v>431</v>
      </c>
      <c r="AD34" s="19">
        <f t="shared" si="1"/>
        <v>1</v>
      </c>
      <c r="AE34" s="67">
        <f>IFERROR(NETWORKDAYS(B34,I34,Hoja1!$A$1:$A$29),"N/A")</f>
        <v>7</v>
      </c>
      <c r="AF34" s="21">
        <f>IFERROR(NETWORKDAYS(B34,W34,Hoja1!$A$1:$A$29),"N/A")</f>
        <v>11</v>
      </c>
      <c r="AG34" s="78">
        <v>0</v>
      </c>
      <c r="AH34" s="21">
        <f t="shared" si="2"/>
        <v>11</v>
      </c>
      <c r="AI34" s="21">
        <f>IFERROR(NETWORKDAYS(X34,Y34,Hoja1!$A$1:$A$29),"N/A")</f>
        <v>8</v>
      </c>
      <c r="AJ34" s="74">
        <v>3</v>
      </c>
      <c r="AK34" s="75">
        <f t="shared" si="4"/>
        <v>5</v>
      </c>
      <c r="AL34" s="21">
        <f>IFERROR(NETWORKDAYS(B34,Y34,Hoja1!$A$1:$A$29),"N/A")</f>
        <v>24</v>
      </c>
      <c r="AM34" s="21">
        <f t="shared" si="3"/>
        <v>21</v>
      </c>
      <c r="AN34" s="27"/>
      <c r="AO34" s="27"/>
      <c r="AP34" s="27"/>
      <c r="AQ34" s="27"/>
      <c r="AR34" s="27"/>
      <c r="AS34" s="27" t="s">
        <v>1891</v>
      </c>
      <c r="AT34" s="27" t="s">
        <v>1994</v>
      </c>
      <c r="AU34" s="27" t="s">
        <v>2210</v>
      </c>
      <c r="AV34" s="310" t="s">
        <v>2239</v>
      </c>
      <c r="AW34" s="403" t="s">
        <v>2629</v>
      </c>
      <c r="AY34" s="415"/>
    </row>
    <row r="35" spans="1:51" ht="15" customHeight="1" x14ac:dyDescent="0.25">
      <c r="A35" s="294">
        <v>15317</v>
      </c>
      <c r="B35" s="15">
        <v>45993</v>
      </c>
      <c r="C35" s="16">
        <v>45994</v>
      </c>
      <c r="D35" s="17">
        <v>1</v>
      </c>
      <c r="E35" s="22" t="s">
        <v>54</v>
      </c>
      <c r="F35" s="16" t="s">
        <v>55</v>
      </c>
      <c r="G35" s="1">
        <v>0</v>
      </c>
      <c r="H35" s="16"/>
      <c r="I35" s="16" t="s">
        <v>55</v>
      </c>
      <c r="J35" s="16" t="s">
        <v>55</v>
      </c>
      <c r="K35" s="1">
        <v>0</v>
      </c>
      <c r="L35" s="16" t="s">
        <v>55</v>
      </c>
      <c r="M35" s="18" t="s">
        <v>55</v>
      </c>
      <c r="N35" s="18" t="s">
        <v>55</v>
      </c>
      <c r="O35" s="18" t="s">
        <v>55</v>
      </c>
      <c r="P35" s="18" t="s">
        <v>55</v>
      </c>
      <c r="Q35" s="18" t="s">
        <v>55</v>
      </c>
      <c r="R35" s="18" t="s">
        <v>55</v>
      </c>
      <c r="S35" s="1">
        <v>1</v>
      </c>
      <c r="T35" s="1">
        <v>1</v>
      </c>
      <c r="U35" s="1">
        <v>0</v>
      </c>
      <c r="V35" s="16">
        <v>46000</v>
      </c>
      <c r="W35" s="16">
        <v>46002</v>
      </c>
      <c r="X35" s="16">
        <v>46007</v>
      </c>
      <c r="Y35" s="16">
        <v>46024</v>
      </c>
      <c r="Z35" s="16">
        <v>46027</v>
      </c>
      <c r="AA35" s="3">
        <f t="shared" si="0"/>
        <v>1</v>
      </c>
      <c r="AB35" s="49" t="s">
        <v>194</v>
      </c>
      <c r="AC35" s="27" t="s">
        <v>195</v>
      </c>
      <c r="AD35" s="19" t="str">
        <f t="shared" si="1"/>
        <v>N/A</v>
      </c>
      <c r="AE35" s="67" t="str">
        <f>IFERROR(NETWORKDAYS(B35,I35,Hoja1!$A$1:$A$29),"N/A")</f>
        <v>N/A</v>
      </c>
      <c r="AF35" s="21">
        <f>IFERROR(NETWORKDAYS(B35,W35,Hoja1!$A$1:$A$29),"N/A")</f>
        <v>7</v>
      </c>
      <c r="AG35" s="78">
        <v>0</v>
      </c>
      <c r="AH35" s="21">
        <f t="shared" si="2"/>
        <v>7</v>
      </c>
      <c r="AI35" s="21">
        <f>IFERROR(NETWORKDAYS(X35,Y35,Hoja1!$A$1:$A$29),"N/A")</f>
        <v>12</v>
      </c>
      <c r="AJ35" s="74">
        <v>7</v>
      </c>
      <c r="AK35" s="75">
        <f t="shared" si="4"/>
        <v>5</v>
      </c>
      <c r="AL35" s="21">
        <f>IFERROR(NETWORKDAYS(B35,Y35,Hoja1!$A$1:$A$29),"N/A")</f>
        <v>21</v>
      </c>
      <c r="AM35" s="21">
        <f t="shared" si="3"/>
        <v>14</v>
      </c>
      <c r="AN35" s="27"/>
      <c r="AO35" s="27"/>
      <c r="AP35" s="27"/>
      <c r="AQ35" s="27"/>
      <c r="AR35" s="27"/>
      <c r="AS35" s="27" t="s">
        <v>1903</v>
      </c>
      <c r="AT35" s="27" t="s">
        <v>2011</v>
      </c>
      <c r="AU35" s="27" t="s">
        <v>2210</v>
      </c>
      <c r="AV35" s="310" t="s">
        <v>2242</v>
      </c>
      <c r="AW35" s="403" t="s">
        <v>2630</v>
      </c>
      <c r="AY35" s="414"/>
    </row>
    <row r="36" spans="1:51" ht="15" customHeight="1" x14ac:dyDescent="0.25">
      <c r="A36" s="295">
        <v>15321</v>
      </c>
      <c r="B36" s="28">
        <v>45979</v>
      </c>
      <c r="C36" s="28">
        <v>45979</v>
      </c>
      <c r="D36" s="3">
        <v>1</v>
      </c>
      <c r="E36" s="32" t="s">
        <v>54</v>
      </c>
      <c r="F36" s="28" t="s">
        <v>55</v>
      </c>
      <c r="G36" s="33">
        <v>0</v>
      </c>
      <c r="H36" s="33"/>
      <c r="I36" s="28" t="s">
        <v>55</v>
      </c>
      <c r="J36" s="28" t="s">
        <v>55</v>
      </c>
      <c r="K36" s="33">
        <v>0</v>
      </c>
      <c r="L36" s="28" t="s">
        <v>55</v>
      </c>
      <c r="M36" s="18" t="s">
        <v>55</v>
      </c>
      <c r="N36" s="18" t="s">
        <v>55</v>
      </c>
      <c r="O36" s="18" t="s">
        <v>55</v>
      </c>
      <c r="P36" s="18" t="s">
        <v>55</v>
      </c>
      <c r="Q36" s="18" t="s">
        <v>55</v>
      </c>
      <c r="R36" s="18" t="s">
        <v>55</v>
      </c>
      <c r="S36" s="33">
        <v>1</v>
      </c>
      <c r="T36" s="33">
        <v>1</v>
      </c>
      <c r="U36" s="33">
        <v>0</v>
      </c>
      <c r="V36" s="28">
        <v>46001</v>
      </c>
      <c r="W36" s="28">
        <v>46002</v>
      </c>
      <c r="X36" s="28">
        <v>46002</v>
      </c>
      <c r="Y36" s="28">
        <v>46022</v>
      </c>
      <c r="Z36" s="28">
        <v>46027</v>
      </c>
      <c r="AA36" s="3">
        <f t="shared" si="0"/>
        <v>1</v>
      </c>
      <c r="AB36" s="50" t="s">
        <v>196</v>
      </c>
      <c r="AC36" s="45" t="s">
        <v>197</v>
      </c>
      <c r="AD36" s="19" t="str">
        <f t="shared" si="1"/>
        <v>N/A</v>
      </c>
      <c r="AE36" s="67" t="str">
        <f>IFERROR(NETWORKDAYS(B36,I36,Hoja1!$A$1:$A$29),"N/A")</f>
        <v>N/A</v>
      </c>
      <c r="AF36" s="21">
        <f>IFERROR(NETWORKDAYS(B36,W36,Hoja1!$A$1:$A$29),"N/A")</f>
        <v>17</v>
      </c>
      <c r="AG36" s="78">
        <v>0</v>
      </c>
      <c r="AH36" s="21">
        <f t="shared" si="2"/>
        <v>17</v>
      </c>
      <c r="AI36" s="21">
        <f>IFERROR(NETWORKDAYS(X36,Y36,Hoja1!$A$1:$A$29),"N/A")</f>
        <v>14</v>
      </c>
      <c r="AJ36" s="74">
        <v>9</v>
      </c>
      <c r="AK36" s="75">
        <f t="shared" si="4"/>
        <v>5</v>
      </c>
      <c r="AL36" s="21">
        <f>IFERROR(NETWORKDAYS(B36,Y36,Hoja1!$A$1:$A$29),"N/A")</f>
        <v>30</v>
      </c>
      <c r="AM36" s="21">
        <f t="shared" si="3"/>
        <v>21</v>
      </c>
      <c r="AN36" s="45"/>
      <c r="AO36" s="45"/>
      <c r="AP36" s="45"/>
      <c r="AQ36" s="45"/>
      <c r="AR36" s="45"/>
      <c r="AS36" s="45" t="s">
        <v>1906</v>
      </c>
      <c r="AT36" s="45" t="s">
        <v>2004</v>
      </c>
      <c r="AU36" s="45" t="s">
        <v>2212</v>
      </c>
      <c r="AV36" s="309" t="s">
        <v>2246</v>
      </c>
      <c r="AW36" s="403" t="s">
        <v>2631</v>
      </c>
      <c r="AY36" s="415"/>
    </row>
    <row r="37" spans="1:51" ht="15" customHeight="1" x14ac:dyDescent="0.25">
      <c r="A37" s="295">
        <v>15322</v>
      </c>
      <c r="B37" s="30">
        <v>45979</v>
      </c>
      <c r="C37" s="28">
        <v>45979</v>
      </c>
      <c r="D37" s="3">
        <v>1</v>
      </c>
      <c r="E37" s="32" t="s">
        <v>54</v>
      </c>
      <c r="F37" s="28" t="s">
        <v>55</v>
      </c>
      <c r="G37" s="33">
        <v>15</v>
      </c>
      <c r="H37" s="33" t="s">
        <v>56</v>
      </c>
      <c r="I37" s="28">
        <v>46014</v>
      </c>
      <c r="J37" s="28">
        <v>46014</v>
      </c>
      <c r="K37" s="33">
        <v>14</v>
      </c>
      <c r="L37" s="28" t="s">
        <v>55</v>
      </c>
      <c r="M37" s="18" t="s">
        <v>55</v>
      </c>
      <c r="N37" s="18" t="s">
        <v>55</v>
      </c>
      <c r="O37" s="18" t="s">
        <v>55</v>
      </c>
      <c r="P37" s="18" t="s">
        <v>55</v>
      </c>
      <c r="Q37" s="18" t="s">
        <v>55</v>
      </c>
      <c r="R37" s="18" t="s">
        <v>55</v>
      </c>
      <c r="S37" s="33">
        <v>1</v>
      </c>
      <c r="T37" s="33">
        <v>1</v>
      </c>
      <c r="U37" s="33">
        <v>0</v>
      </c>
      <c r="V37" s="28">
        <v>46027</v>
      </c>
      <c r="W37" s="28">
        <v>46027</v>
      </c>
      <c r="X37" s="28">
        <v>46027</v>
      </c>
      <c r="Y37" s="28">
        <v>46042</v>
      </c>
      <c r="Z37" s="28">
        <v>46044</v>
      </c>
      <c r="AA37" s="3">
        <f t="shared" si="0"/>
        <v>1</v>
      </c>
      <c r="AB37" s="50" t="s">
        <v>198</v>
      </c>
      <c r="AC37" s="45" t="s">
        <v>199</v>
      </c>
      <c r="AD37" s="19">
        <f t="shared" si="1"/>
        <v>0.93333333333333335</v>
      </c>
      <c r="AE37" s="67">
        <f>IFERROR(NETWORKDAYS(B37,I37,Hoja1!$A$1:$A$29),"N/A")</f>
        <v>25</v>
      </c>
      <c r="AF37" s="21">
        <f>IFERROR(NETWORKDAYS(B37,W37,Hoja1!$A$1:$A$29),"N/A")</f>
        <v>32</v>
      </c>
      <c r="AG37" s="78">
        <v>10</v>
      </c>
      <c r="AH37" s="21">
        <f t="shared" si="2"/>
        <v>22</v>
      </c>
      <c r="AI37" s="21">
        <f>IFERROR(NETWORKDAYS(X37,Y37,Hoja1!$A$1:$A$29),"N/A")</f>
        <v>11</v>
      </c>
      <c r="AJ37" s="74">
        <v>6</v>
      </c>
      <c r="AK37" s="75">
        <f t="shared" si="4"/>
        <v>5</v>
      </c>
      <c r="AL37" s="21">
        <f>IFERROR(NETWORKDAYS(B37,Y37,Hoja1!$A$1:$A$29),"N/A")</f>
        <v>42</v>
      </c>
      <c r="AM37" s="21">
        <f t="shared" si="3"/>
        <v>26</v>
      </c>
      <c r="AN37" s="45"/>
      <c r="AO37" s="45"/>
      <c r="AP37" s="45"/>
      <c r="AQ37" s="45"/>
      <c r="AR37" s="45"/>
      <c r="AS37" s="45" t="s">
        <v>1907</v>
      </c>
      <c r="AT37" s="45" t="s">
        <v>1996</v>
      </c>
      <c r="AU37" s="45" t="s">
        <v>2212</v>
      </c>
      <c r="AV37" s="309" t="s">
        <v>2233</v>
      </c>
      <c r="AW37" s="403" t="s">
        <v>2632</v>
      </c>
      <c r="AY37" s="414"/>
    </row>
    <row r="38" spans="1:51" ht="15" customHeight="1" x14ac:dyDescent="0.25">
      <c r="A38" s="295">
        <v>15324</v>
      </c>
      <c r="B38" s="30">
        <v>46003</v>
      </c>
      <c r="C38" s="28">
        <v>46003</v>
      </c>
      <c r="D38" s="3">
        <v>1</v>
      </c>
      <c r="E38" s="32" t="s">
        <v>54</v>
      </c>
      <c r="F38" s="28" t="s">
        <v>55</v>
      </c>
      <c r="G38" s="33">
        <v>7</v>
      </c>
      <c r="H38" s="33" t="s">
        <v>56</v>
      </c>
      <c r="I38" s="30">
        <v>46009</v>
      </c>
      <c r="J38" s="30">
        <v>46009</v>
      </c>
      <c r="K38" s="33">
        <v>7</v>
      </c>
      <c r="L38" s="28" t="s">
        <v>55</v>
      </c>
      <c r="M38" s="18" t="s">
        <v>55</v>
      </c>
      <c r="N38" s="18" t="s">
        <v>55</v>
      </c>
      <c r="O38" s="18" t="s">
        <v>55</v>
      </c>
      <c r="P38" s="18" t="s">
        <v>55</v>
      </c>
      <c r="Q38" s="18" t="s">
        <v>55</v>
      </c>
      <c r="R38" s="18" t="s">
        <v>55</v>
      </c>
      <c r="S38" s="33">
        <v>1</v>
      </c>
      <c r="T38" s="33">
        <v>1</v>
      </c>
      <c r="U38" s="33">
        <v>0</v>
      </c>
      <c r="V38" s="28">
        <v>46031</v>
      </c>
      <c r="W38" s="28">
        <v>46031</v>
      </c>
      <c r="X38" s="28">
        <v>46034</v>
      </c>
      <c r="Y38" s="28">
        <v>46043</v>
      </c>
      <c r="Z38" s="28">
        <v>46044</v>
      </c>
      <c r="AA38" s="3">
        <f t="shared" si="0"/>
        <v>1</v>
      </c>
      <c r="AB38" s="50" t="s">
        <v>200</v>
      </c>
      <c r="AC38" s="45" t="s">
        <v>201</v>
      </c>
      <c r="AD38" s="19">
        <f t="shared" si="1"/>
        <v>1</v>
      </c>
      <c r="AE38" s="67">
        <f>IFERROR(NETWORKDAYS(B38,I38,Hoja1!$A$1:$A$29),"N/A")</f>
        <v>5</v>
      </c>
      <c r="AF38" s="21">
        <f>IFERROR(NETWORKDAYS(B38,W38,Hoja1!$A$1:$A$29),"N/A")</f>
        <v>19</v>
      </c>
      <c r="AG38" s="78">
        <v>0</v>
      </c>
      <c r="AH38" s="21">
        <f t="shared" si="2"/>
        <v>19</v>
      </c>
      <c r="AI38" s="21">
        <f>IFERROR(NETWORKDAYS(X38,Y38,Hoja1!$A$1:$A$29),"N/A")</f>
        <v>7</v>
      </c>
      <c r="AJ38" s="74">
        <v>2</v>
      </c>
      <c r="AK38" s="75">
        <f t="shared" si="4"/>
        <v>5</v>
      </c>
      <c r="AL38" s="21">
        <f>IFERROR(NETWORKDAYS(B38,Y38,Hoja1!$A$1:$A$29),"N/A")</f>
        <v>26</v>
      </c>
      <c r="AM38" s="21">
        <f t="shared" si="3"/>
        <v>24</v>
      </c>
      <c r="AN38" s="45"/>
      <c r="AO38" s="45"/>
      <c r="AP38" s="45"/>
      <c r="AQ38" s="45"/>
      <c r="AR38" s="45"/>
      <c r="AS38" s="45" t="s">
        <v>1906</v>
      </c>
      <c r="AT38" s="45" t="s">
        <v>1994</v>
      </c>
      <c r="AU38" s="45" t="s">
        <v>2212</v>
      </c>
      <c r="AV38" s="309" t="s">
        <v>2233</v>
      </c>
      <c r="AW38" s="403" t="s">
        <v>2633</v>
      </c>
      <c r="AY38" s="415"/>
    </row>
    <row r="39" spans="1:51" ht="15" customHeight="1" x14ac:dyDescent="0.25">
      <c r="A39" s="295">
        <v>15326</v>
      </c>
      <c r="B39" s="30">
        <v>45980</v>
      </c>
      <c r="C39" s="42">
        <v>45979</v>
      </c>
      <c r="D39" s="3">
        <v>1</v>
      </c>
      <c r="E39" s="40" t="s">
        <v>54</v>
      </c>
      <c r="F39" s="30" t="s">
        <v>55</v>
      </c>
      <c r="G39" s="3">
        <v>3</v>
      </c>
      <c r="H39" s="33" t="s">
        <v>112</v>
      </c>
      <c r="I39" s="30">
        <v>45985</v>
      </c>
      <c r="J39" s="30">
        <v>45993</v>
      </c>
      <c r="K39" s="3">
        <v>3</v>
      </c>
      <c r="L39" s="37" t="s">
        <v>55</v>
      </c>
      <c r="M39" s="18" t="s">
        <v>55</v>
      </c>
      <c r="N39" s="18" t="s">
        <v>55</v>
      </c>
      <c r="O39" s="18" t="s">
        <v>55</v>
      </c>
      <c r="P39" s="18" t="s">
        <v>55</v>
      </c>
      <c r="Q39" s="18" t="s">
        <v>55</v>
      </c>
      <c r="R39" s="18" t="s">
        <v>55</v>
      </c>
      <c r="S39" s="3">
        <v>1</v>
      </c>
      <c r="T39" s="3">
        <v>1</v>
      </c>
      <c r="U39" s="3">
        <v>0</v>
      </c>
      <c r="V39" s="28">
        <v>46000</v>
      </c>
      <c r="W39" s="28">
        <v>46000</v>
      </c>
      <c r="X39" s="28">
        <v>46007</v>
      </c>
      <c r="Y39" s="28">
        <v>46024</v>
      </c>
      <c r="Z39" s="28">
        <v>46027</v>
      </c>
      <c r="AA39" s="3">
        <f t="shared" si="0"/>
        <v>1</v>
      </c>
      <c r="AB39" s="45" t="s">
        <v>203</v>
      </c>
      <c r="AC39" s="45" t="s">
        <v>204</v>
      </c>
      <c r="AD39" s="19">
        <f t="shared" si="1"/>
        <v>1</v>
      </c>
      <c r="AE39" s="67">
        <f>IFERROR(NETWORKDAYS(B39,I39,Hoja1!$A$1:$A$29),"N/A")</f>
        <v>4</v>
      </c>
      <c r="AF39" s="21">
        <f>IFERROR(NETWORKDAYS(B39,W39,Hoja1!$A$1:$A$29),"N/A")</f>
        <v>14</v>
      </c>
      <c r="AG39" s="78">
        <v>0</v>
      </c>
      <c r="AH39" s="21">
        <f t="shared" si="2"/>
        <v>14</v>
      </c>
      <c r="AI39" s="21">
        <f>IFERROR(NETWORKDAYS(X39,Y39,Hoja1!$A$1:$A$29),"N/A")</f>
        <v>12</v>
      </c>
      <c r="AJ39" s="74">
        <v>7</v>
      </c>
      <c r="AK39" s="75">
        <f t="shared" si="4"/>
        <v>5</v>
      </c>
      <c r="AL39" s="21">
        <f>IFERROR(NETWORKDAYS(B39,Y39,Hoja1!$A$1:$A$29),"N/A")</f>
        <v>30</v>
      </c>
      <c r="AM39" s="21">
        <f t="shared" si="3"/>
        <v>23</v>
      </c>
      <c r="AN39" s="45"/>
      <c r="AO39" s="45"/>
      <c r="AP39" s="45"/>
      <c r="AQ39" s="45"/>
      <c r="AR39" s="45"/>
      <c r="AS39" s="45" t="s">
        <v>1908</v>
      </c>
      <c r="AT39" s="45" t="s">
        <v>1996</v>
      </c>
      <c r="AU39" s="45" t="s">
        <v>2211</v>
      </c>
      <c r="AV39" s="309" t="s">
        <v>2231</v>
      </c>
      <c r="AW39" s="403" t="s">
        <v>2634</v>
      </c>
      <c r="AY39" s="414"/>
    </row>
    <row r="40" spans="1:51" ht="15" customHeight="1" x14ac:dyDescent="0.25">
      <c r="A40" s="295">
        <v>15327</v>
      </c>
      <c r="B40" s="30">
        <v>45980</v>
      </c>
      <c r="C40" s="30">
        <v>45980</v>
      </c>
      <c r="D40" s="3">
        <v>1</v>
      </c>
      <c r="E40" s="32" t="s">
        <v>54</v>
      </c>
      <c r="F40" s="28" t="s">
        <v>55</v>
      </c>
      <c r="G40" s="33">
        <v>4</v>
      </c>
      <c r="H40" s="33" t="s">
        <v>112</v>
      </c>
      <c r="I40" s="28">
        <v>45985</v>
      </c>
      <c r="J40" s="28">
        <v>45985</v>
      </c>
      <c r="K40" s="33">
        <v>4</v>
      </c>
      <c r="L40" s="28" t="s">
        <v>55</v>
      </c>
      <c r="M40" s="18" t="s">
        <v>55</v>
      </c>
      <c r="N40" s="18" t="s">
        <v>55</v>
      </c>
      <c r="O40" s="18" t="s">
        <v>55</v>
      </c>
      <c r="P40" s="18" t="s">
        <v>55</v>
      </c>
      <c r="Q40" s="18" t="s">
        <v>55</v>
      </c>
      <c r="R40" s="18" t="s">
        <v>55</v>
      </c>
      <c r="S40" s="33">
        <v>1</v>
      </c>
      <c r="T40" s="33">
        <v>1</v>
      </c>
      <c r="U40" s="33">
        <v>0</v>
      </c>
      <c r="V40" s="28">
        <v>45992</v>
      </c>
      <c r="W40" s="28">
        <v>45992</v>
      </c>
      <c r="X40" s="28">
        <v>45993</v>
      </c>
      <c r="Y40" s="28">
        <v>46017</v>
      </c>
      <c r="Z40" s="28">
        <v>46027</v>
      </c>
      <c r="AA40" s="3">
        <f t="shared" si="0"/>
        <v>1</v>
      </c>
      <c r="AB40" s="50" t="s">
        <v>206</v>
      </c>
      <c r="AC40" s="45" t="s">
        <v>432</v>
      </c>
      <c r="AD40" s="19">
        <f t="shared" si="1"/>
        <v>1</v>
      </c>
      <c r="AE40" s="67">
        <f>IFERROR(NETWORKDAYS(B40,I40,Hoja1!$A$1:$A$29),"N/A")</f>
        <v>4</v>
      </c>
      <c r="AF40" s="21">
        <f>IFERROR(NETWORKDAYS(B40,W40,Hoja1!$A$1:$A$29),"N/A")</f>
        <v>9</v>
      </c>
      <c r="AG40" s="78">
        <v>0</v>
      </c>
      <c r="AH40" s="21">
        <f t="shared" si="2"/>
        <v>9</v>
      </c>
      <c r="AI40" s="21">
        <f>IFERROR(NETWORKDAYS(X40,Y40,Hoja1!$A$1:$A$29),"N/A")</f>
        <v>17</v>
      </c>
      <c r="AJ40" s="74">
        <v>12</v>
      </c>
      <c r="AK40" s="75">
        <f t="shared" si="4"/>
        <v>5</v>
      </c>
      <c r="AL40" s="21">
        <f>IFERROR(NETWORKDAYS(B40,Y40,Hoja1!$A$1:$A$29),"N/A")</f>
        <v>26</v>
      </c>
      <c r="AM40" s="21">
        <f t="shared" si="3"/>
        <v>14</v>
      </c>
      <c r="AN40" s="45"/>
      <c r="AO40" s="45"/>
      <c r="AP40" s="45"/>
      <c r="AQ40" s="45"/>
      <c r="AR40" s="45"/>
      <c r="AS40" s="45" t="s">
        <v>1906</v>
      </c>
      <c r="AT40" s="45" t="s">
        <v>2012</v>
      </c>
      <c r="AU40" s="45" t="s">
        <v>2212</v>
      </c>
      <c r="AV40" s="309" t="s">
        <v>2254</v>
      </c>
      <c r="AW40" s="403" t="s">
        <v>2635</v>
      </c>
      <c r="AY40" s="415"/>
    </row>
    <row r="41" spans="1:51" ht="15" customHeight="1" x14ac:dyDescent="0.25">
      <c r="A41" s="296">
        <v>15328</v>
      </c>
      <c r="B41" s="15">
        <v>45980</v>
      </c>
      <c r="C41" s="16">
        <v>45980</v>
      </c>
      <c r="D41" s="17">
        <v>1</v>
      </c>
      <c r="E41" s="40" t="s">
        <v>54</v>
      </c>
      <c r="F41" s="1" t="s">
        <v>55</v>
      </c>
      <c r="G41" s="1">
        <v>5</v>
      </c>
      <c r="H41" s="1" t="s">
        <v>112</v>
      </c>
      <c r="I41" s="16">
        <v>45987</v>
      </c>
      <c r="J41" s="16">
        <v>46000</v>
      </c>
      <c r="K41" s="1">
        <v>5</v>
      </c>
      <c r="L41" s="1" t="s">
        <v>55</v>
      </c>
      <c r="M41" s="18" t="s">
        <v>55</v>
      </c>
      <c r="N41" s="18" t="s">
        <v>55</v>
      </c>
      <c r="O41" s="18" t="s">
        <v>55</v>
      </c>
      <c r="P41" s="18" t="s">
        <v>55</v>
      </c>
      <c r="Q41" s="18" t="s">
        <v>55</v>
      </c>
      <c r="R41" s="18" t="s">
        <v>55</v>
      </c>
      <c r="S41" s="1">
        <v>1</v>
      </c>
      <c r="T41" s="1">
        <v>1</v>
      </c>
      <c r="U41" s="1">
        <v>0</v>
      </c>
      <c r="V41" s="16">
        <v>46002</v>
      </c>
      <c r="W41" s="16">
        <v>46000</v>
      </c>
      <c r="X41" s="16">
        <v>46003</v>
      </c>
      <c r="Y41" s="16">
        <v>46017</v>
      </c>
      <c r="Z41" s="16">
        <v>46027</v>
      </c>
      <c r="AA41" s="3">
        <f t="shared" si="0"/>
        <v>1</v>
      </c>
      <c r="AB41" s="49" t="s">
        <v>208</v>
      </c>
      <c r="AC41" s="49" t="s">
        <v>209</v>
      </c>
      <c r="AD41" s="19">
        <f t="shared" si="1"/>
        <v>1</v>
      </c>
      <c r="AE41" s="67">
        <f>IFERROR(NETWORKDAYS(B41,I41,Hoja1!$A$1:$A$29),"N/A")</f>
        <v>6</v>
      </c>
      <c r="AF41" s="21">
        <f>IFERROR(NETWORKDAYS(B41,W41,Hoja1!$A$1:$A$29),"N/A")</f>
        <v>14</v>
      </c>
      <c r="AG41" s="78">
        <v>3</v>
      </c>
      <c r="AH41" s="21">
        <f t="shared" si="2"/>
        <v>11</v>
      </c>
      <c r="AI41" s="21">
        <f>IFERROR(NETWORKDAYS(X41,Y41,Hoja1!$A$1:$A$29),"N/A")</f>
        <v>10</v>
      </c>
      <c r="AJ41" s="74">
        <v>6</v>
      </c>
      <c r="AK41" s="75">
        <f t="shared" si="4"/>
        <v>4</v>
      </c>
      <c r="AL41" s="21">
        <f>IFERROR(NETWORKDAYS(B41,Y41,Hoja1!$A$1:$A$29),"N/A")</f>
        <v>26</v>
      </c>
      <c r="AM41" s="21">
        <f t="shared" si="3"/>
        <v>17</v>
      </c>
      <c r="AN41" s="27"/>
      <c r="AO41" s="27"/>
      <c r="AP41" s="27"/>
      <c r="AQ41" s="27"/>
      <c r="AR41" s="27"/>
      <c r="AS41" s="27" t="s">
        <v>1909</v>
      </c>
      <c r="AT41" s="27" t="s">
        <v>1994</v>
      </c>
      <c r="AU41" s="27" t="s">
        <v>2218</v>
      </c>
      <c r="AV41" s="310" t="s">
        <v>2239</v>
      </c>
      <c r="AW41" s="403" t="s">
        <v>2636</v>
      </c>
      <c r="AY41" s="414"/>
    </row>
    <row r="42" spans="1:51" ht="15" customHeight="1" x14ac:dyDescent="0.25">
      <c r="A42" s="295">
        <v>15348</v>
      </c>
      <c r="B42" s="30">
        <v>45985</v>
      </c>
      <c r="C42" s="42">
        <v>45982</v>
      </c>
      <c r="D42" s="3">
        <v>1</v>
      </c>
      <c r="E42" s="40" t="s">
        <v>54</v>
      </c>
      <c r="F42" s="30" t="s">
        <v>55</v>
      </c>
      <c r="G42" s="3">
        <v>4</v>
      </c>
      <c r="H42" s="33" t="s">
        <v>56</v>
      </c>
      <c r="I42" s="30">
        <v>45994</v>
      </c>
      <c r="J42" s="30">
        <v>46002</v>
      </c>
      <c r="K42" s="3">
        <v>4</v>
      </c>
      <c r="L42" s="37" t="s">
        <v>55</v>
      </c>
      <c r="M42" s="18" t="s">
        <v>55</v>
      </c>
      <c r="N42" s="18" t="s">
        <v>55</v>
      </c>
      <c r="O42" s="18" t="s">
        <v>55</v>
      </c>
      <c r="P42" s="18" t="s">
        <v>55</v>
      </c>
      <c r="Q42" s="18" t="s">
        <v>55</v>
      </c>
      <c r="R42" s="18" t="s">
        <v>55</v>
      </c>
      <c r="S42" s="3">
        <v>2</v>
      </c>
      <c r="T42" s="3">
        <v>2</v>
      </c>
      <c r="U42" s="3">
        <v>0</v>
      </c>
      <c r="V42" s="28">
        <v>46009</v>
      </c>
      <c r="W42" s="28">
        <v>46009</v>
      </c>
      <c r="X42" s="28">
        <v>46013</v>
      </c>
      <c r="Y42" s="28">
        <v>46024</v>
      </c>
      <c r="Z42" s="28">
        <v>46027</v>
      </c>
      <c r="AA42" s="3">
        <f t="shared" si="0"/>
        <v>1</v>
      </c>
      <c r="AB42" s="45" t="s">
        <v>211</v>
      </c>
      <c r="AC42" s="45" t="s">
        <v>212</v>
      </c>
      <c r="AD42" s="19">
        <f t="shared" si="1"/>
        <v>1</v>
      </c>
      <c r="AE42" s="67">
        <f>IFERROR(NETWORKDAYS(B42,I42,Hoja1!$A$1:$A$29),"N/A")</f>
        <v>8</v>
      </c>
      <c r="AF42" s="21">
        <f>IFERROR(NETWORKDAYS(B42,W42,Hoja1!$A$1:$A$29),"N/A")</f>
        <v>18</v>
      </c>
      <c r="AG42" s="78">
        <v>0</v>
      </c>
      <c r="AH42" s="21">
        <f t="shared" si="2"/>
        <v>18</v>
      </c>
      <c r="AI42" s="21">
        <f>IFERROR(NETWORKDAYS(X42,Y42,Hoja1!$A$1:$A$29),"N/A")</f>
        <v>8</v>
      </c>
      <c r="AJ42" s="74">
        <v>3</v>
      </c>
      <c r="AK42" s="75">
        <f t="shared" si="4"/>
        <v>5</v>
      </c>
      <c r="AL42" s="21">
        <f>IFERROR(NETWORKDAYS(B42,Y42,Hoja1!$A$1:$A$29),"N/A")</f>
        <v>27</v>
      </c>
      <c r="AM42" s="21">
        <f t="shared" si="3"/>
        <v>24</v>
      </c>
      <c r="AN42" s="46" t="s">
        <v>453</v>
      </c>
      <c r="AO42" s="45"/>
      <c r="AP42" s="45"/>
      <c r="AQ42" s="45"/>
      <c r="AR42" s="45"/>
      <c r="AS42" s="45" t="s">
        <v>1888</v>
      </c>
      <c r="AT42" s="45" t="s">
        <v>2013</v>
      </c>
      <c r="AU42" s="45" t="s">
        <v>2211</v>
      </c>
      <c r="AV42" s="309" t="s">
        <v>2255</v>
      </c>
      <c r="AW42" s="403" t="s">
        <v>2637</v>
      </c>
      <c r="AY42" s="415"/>
    </row>
    <row r="43" spans="1:51" ht="15" customHeight="1" x14ac:dyDescent="0.25">
      <c r="A43" s="295">
        <v>15364</v>
      </c>
      <c r="B43" s="30">
        <v>45995</v>
      </c>
      <c r="C43" s="30">
        <v>45983</v>
      </c>
      <c r="D43" s="3">
        <v>1</v>
      </c>
      <c r="E43" s="40" t="s">
        <v>54</v>
      </c>
      <c r="F43" s="30" t="s">
        <v>55</v>
      </c>
      <c r="G43" s="3">
        <v>4</v>
      </c>
      <c r="H43" s="33" t="s">
        <v>112</v>
      </c>
      <c r="I43" s="30">
        <v>46000</v>
      </c>
      <c r="J43" s="30">
        <v>46024</v>
      </c>
      <c r="K43" s="3">
        <v>4</v>
      </c>
      <c r="L43" s="37" t="s">
        <v>55</v>
      </c>
      <c r="M43" s="37">
        <v>46002</v>
      </c>
      <c r="N43" s="37">
        <v>45979</v>
      </c>
      <c r="O43" s="37" t="s">
        <v>55</v>
      </c>
      <c r="P43" s="37" t="s">
        <v>55</v>
      </c>
      <c r="Q43" s="37" t="s">
        <v>55</v>
      </c>
      <c r="R43" s="37" t="s">
        <v>55</v>
      </c>
      <c r="S43" s="3">
        <v>2</v>
      </c>
      <c r="T43" s="3">
        <v>1</v>
      </c>
      <c r="U43" s="3">
        <v>0</v>
      </c>
      <c r="V43" s="28">
        <v>46029</v>
      </c>
      <c r="W43" s="28">
        <v>46029</v>
      </c>
      <c r="X43" s="28">
        <v>46029</v>
      </c>
      <c r="Y43" s="28">
        <v>46044</v>
      </c>
      <c r="Z43" s="28">
        <v>46045</v>
      </c>
      <c r="AA43" s="3">
        <f t="shared" si="0"/>
        <v>1</v>
      </c>
      <c r="AB43" s="45" t="s">
        <v>215</v>
      </c>
      <c r="AC43" s="45" t="s">
        <v>216</v>
      </c>
      <c r="AD43" s="19">
        <f t="shared" si="1"/>
        <v>1</v>
      </c>
      <c r="AE43" s="67">
        <f>IFERROR(NETWORKDAYS(B43,I43,Hoja1!$A$1:$A$29),"N/A")</f>
        <v>3</v>
      </c>
      <c r="AF43" s="21">
        <f>IFERROR(NETWORKDAYS(B43,W43,Hoja1!$A$1:$A$29),"N/A")</f>
        <v>22</v>
      </c>
      <c r="AG43" s="78">
        <v>0</v>
      </c>
      <c r="AH43" s="21">
        <f t="shared" si="2"/>
        <v>22</v>
      </c>
      <c r="AI43" s="21">
        <f>IFERROR(NETWORKDAYS(X43,Y43,Hoja1!$A$1:$A$29),"N/A")</f>
        <v>11</v>
      </c>
      <c r="AJ43" s="74">
        <v>6</v>
      </c>
      <c r="AK43" s="75">
        <f t="shared" si="4"/>
        <v>5</v>
      </c>
      <c r="AL43" s="21">
        <f>IFERROR(NETWORKDAYS(B43,Y43,Hoja1!$A$1:$A$29),"N/A")</f>
        <v>32</v>
      </c>
      <c r="AM43" s="21">
        <f t="shared" si="3"/>
        <v>26</v>
      </c>
      <c r="AN43" s="45"/>
      <c r="AO43" s="45"/>
      <c r="AP43" s="45"/>
      <c r="AQ43" s="45"/>
      <c r="AR43" s="45"/>
      <c r="AS43" s="45" t="s">
        <v>1891</v>
      </c>
      <c r="AT43" s="45" t="s">
        <v>2014</v>
      </c>
      <c r="AU43" s="45" t="s">
        <v>2211</v>
      </c>
      <c r="AV43" s="309" t="s">
        <v>2256</v>
      </c>
      <c r="AW43" s="403" t="s">
        <v>2638</v>
      </c>
      <c r="AY43" s="414"/>
    </row>
    <row r="44" spans="1:51" ht="15" customHeight="1" x14ac:dyDescent="0.25">
      <c r="A44" s="295">
        <v>15372</v>
      </c>
      <c r="B44" s="30">
        <v>45985</v>
      </c>
      <c r="C44" s="30">
        <v>45985</v>
      </c>
      <c r="D44" s="3">
        <v>1</v>
      </c>
      <c r="E44" s="40" t="s">
        <v>54</v>
      </c>
      <c r="F44" s="30" t="s">
        <v>55</v>
      </c>
      <c r="G44" s="3">
        <v>0</v>
      </c>
      <c r="H44" s="33"/>
      <c r="I44" s="30" t="s">
        <v>55</v>
      </c>
      <c r="J44" s="30" t="s">
        <v>55</v>
      </c>
      <c r="K44" s="3">
        <v>0</v>
      </c>
      <c r="L44" s="37" t="s">
        <v>55</v>
      </c>
      <c r="M44" s="37">
        <v>45985</v>
      </c>
      <c r="N44" s="37">
        <v>45669</v>
      </c>
      <c r="O44" s="37" t="s">
        <v>55</v>
      </c>
      <c r="P44" s="37" t="s">
        <v>55</v>
      </c>
      <c r="Q44" s="37" t="s">
        <v>55</v>
      </c>
      <c r="R44" s="37">
        <v>45995</v>
      </c>
      <c r="S44" s="3">
        <v>1</v>
      </c>
      <c r="T44" s="3">
        <v>1</v>
      </c>
      <c r="U44" s="3">
        <v>0</v>
      </c>
      <c r="V44" s="28">
        <v>46010</v>
      </c>
      <c r="W44" s="28">
        <v>46007</v>
      </c>
      <c r="X44" s="28">
        <v>46013</v>
      </c>
      <c r="Y44" s="28">
        <v>46024</v>
      </c>
      <c r="Z44" s="28">
        <v>46027</v>
      </c>
      <c r="AA44" s="3">
        <f t="shared" si="0"/>
        <v>1</v>
      </c>
      <c r="AB44" s="45" t="s">
        <v>219</v>
      </c>
      <c r="AC44" s="45" t="s">
        <v>220</v>
      </c>
      <c r="AD44" s="19" t="str">
        <f t="shared" si="1"/>
        <v>N/A</v>
      </c>
      <c r="AE44" s="67" t="str">
        <f>IFERROR(NETWORKDAYS(B44,I44,Hoja1!$A$1:$A$29),"N/A")</f>
        <v>N/A</v>
      </c>
      <c r="AF44" s="21">
        <f>IFERROR(NETWORKDAYS(B44,W44,Hoja1!$A$1:$A$29),"N/A")</f>
        <v>16</v>
      </c>
      <c r="AG44" s="78">
        <v>0</v>
      </c>
      <c r="AH44" s="21">
        <f t="shared" si="2"/>
        <v>16</v>
      </c>
      <c r="AI44" s="21">
        <f>IFERROR(NETWORKDAYS(X44,Y44,Hoja1!$A$1:$A$29),"N/A")</f>
        <v>8</v>
      </c>
      <c r="AJ44" s="74">
        <v>3</v>
      </c>
      <c r="AK44" s="75">
        <f t="shared" si="4"/>
        <v>5</v>
      </c>
      <c r="AL44" s="21">
        <f>IFERROR(NETWORKDAYS(B44,Y44,Hoja1!$A$1:$A$29),"N/A")</f>
        <v>27</v>
      </c>
      <c r="AM44" s="21">
        <f t="shared" si="3"/>
        <v>24</v>
      </c>
      <c r="AN44" s="45"/>
      <c r="AO44" s="45"/>
      <c r="AP44" s="45"/>
      <c r="AQ44" s="45"/>
      <c r="AR44" s="45"/>
      <c r="AS44" s="45" t="s">
        <v>1908</v>
      </c>
      <c r="AT44" s="45" t="s">
        <v>2015</v>
      </c>
      <c r="AU44" s="45" t="s">
        <v>2211</v>
      </c>
      <c r="AV44" s="309" t="s">
        <v>2250</v>
      </c>
      <c r="AW44" s="403" t="s">
        <v>2639</v>
      </c>
      <c r="AY44" s="415"/>
    </row>
    <row r="45" spans="1:51" ht="15" customHeight="1" x14ac:dyDescent="0.25">
      <c r="A45" s="295">
        <v>15378</v>
      </c>
      <c r="B45" s="44">
        <v>45986</v>
      </c>
      <c r="C45" s="44">
        <v>45986</v>
      </c>
      <c r="D45" s="2">
        <v>1</v>
      </c>
      <c r="E45" s="43" t="s">
        <v>54</v>
      </c>
      <c r="F45" s="2" t="s">
        <v>55</v>
      </c>
      <c r="G45" s="2">
        <v>3</v>
      </c>
      <c r="H45" s="21" t="s">
        <v>56</v>
      </c>
      <c r="I45" s="44">
        <v>45996</v>
      </c>
      <c r="J45" s="44">
        <v>45996</v>
      </c>
      <c r="K45" s="2">
        <v>3</v>
      </c>
      <c r="L45" s="2" t="s">
        <v>55</v>
      </c>
      <c r="M45" s="18" t="s">
        <v>55</v>
      </c>
      <c r="N45" s="18" t="s">
        <v>55</v>
      </c>
      <c r="O45" s="18" t="s">
        <v>55</v>
      </c>
      <c r="P45" s="18" t="s">
        <v>55</v>
      </c>
      <c r="Q45" s="18" t="s">
        <v>55</v>
      </c>
      <c r="R45" s="18" t="s">
        <v>55</v>
      </c>
      <c r="S45" s="2">
        <v>1</v>
      </c>
      <c r="T45" s="2">
        <v>1</v>
      </c>
      <c r="U45" s="2">
        <v>0</v>
      </c>
      <c r="V45" s="53">
        <v>46006</v>
      </c>
      <c r="W45" s="53">
        <v>46006</v>
      </c>
      <c r="X45" s="53">
        <v>46006</v>
      </c>
      <c r="Y45" s="53">
        <v>46022</v>
      </c>
      <c r="Z45" s="53">
        <v>46027</v>
      </c>
      <c r="AA45" s="3">
        <f t="shared" si="0"/>
        <v>1</v>
      </c>
      <c r="AB45" s="46" t="s">
        <v>222</v>
      </c>
      <c r="AC45" s="46" t="s">
        <v>223</v>
      </c>
      <c r="AD45" s="19">
        <f t="shared" si="1"/>
        <v>1</v>
      </c>
      <c r="AE45" s="67">
        <f>IFERROR(NETWORKDAYS(B45,I45,Hoja1!$A$1:$A$29),"N/A")</f>
        <v>9</v>
      </c>
      <c r="AF45" s="21">
        <f>IFERROR(NETWORKDAYS(B45,W45,Hoja1!$A$1:$A$29),"N/A")</f>
        <v>14</v>
      </c>
      <c r="AG45" s="78">
        <v>0</v>
      </c>
      <c r="AH45" s="21">
        <f t="shared" si="2"/>
        <v>14</v>
      </c>
      <c r="AI45" s="21">
        <f>IFERROR(NETWORKDAYS(X45,Y45,Hoja1!$A$1:$A$29),"N/A")</f>
        <v>12</v>
      </c>
      <c r="AJ45" s="78">
        <v>7</v>
      </c>
      <c r="AK45" s="75">
        <f t="shared" si="4"/>
        <v>5</v>
      </c>
      <c r="AL45" s="21">
        <f>IFERROR(NETWORKDAYS(B45,Y45,Hoja1!$A$1:$A$29),"N/A")</f>
        <v>25</v>
      </c>
      <c r="AM45" s="21">
        <f t="shared" si="3"/>
        <v>18</v>
      </c>
      <c r="AN45" s="46"/>
      <c r="AO45" s="46"/>
      <c r="AP45" s="46"/>
      <c r="AQ45" s="46"/>
      <c r="AR45" s="46"/>
      <c r="AS45" s="46" t="s">
        <v>1910</v>
      </c>
      <c r="AT45" s="46" t="s">
        <v>1994</v>
      </c>
      <c r="AU45" s="46" t="s">
        <v>2214</v>
      </c>
      <c r="AV45" s="311" t="s">
        <v>2239</v>
      </c>
      <c r="AW45" s="403" t="s">
        <v>2640</v>
      </c>
      <c r="AY45" s="414"/>
    </row>
    <row r="46" spans="1:51" ht="15" customHeight="1" x14ac:dyDescent="0.25">
      <c r="A46" s="295">
        <v>15382</v>
      </c>
      <c r="B46" s="30">
        <v>45986</v>
      </c>
      <c r="C46" s="30">
        <v>45986</v>
      </c>
      <c r="D46" s="3">
        <v>1</v>
      </c>
      <c r="E46" s="40" t="s">
        <v>54</v>
      </c>
      <c r="F46" s="30" t="s">
        <v>55</v>
      </c>
      <c r="G46" s="3">
        <v>0</v>
      </c>
      <c r="H46" s="33"/>
      <c r="I46" s="37" t="s">
        <v>55</v>
      </c>
      <c r="J46" s="37" t="s">
        <v>55</v>
      </c>
      <c r="K46" s="3">
        <v>0</v>
      </c>
      <c r="L46" s="37" t="s">
        <v>55</v>
      </c>
      <c r="M46" s="18" t="s">
        <v>55</v>
      </c>
      <c r="N46" s="18" t="s">
        <v>55</v>
      </c>
      <c r="O46" s="18" t="s">
        <v>55</v>
      </c>
      <c r="P46" s="18" t="s">
        <v>55</v>
      </c>
      <c r="Q46" s="18" t="s">
        <v>55</v>
      </c>
      <c r="R46" s="18" t="s">
        <v>55</v>
      </c>
      <c r="S46" s="3">
        <v>2</v>
      </c>
      <c r="T46" s="3">
        <v>1</v>
      </c>
      <c r="U46" s="3">
        <v>0</v>
      </c>
      <c r="V46" s="28">
        <v>46010</v>
      </c>
      <c r="W46" s="28">
        <v>46010</v>
      </c>
      <c r="X46" s="28">
        <v>46013</v>
      </c>
      <c r="Y46" s="28">
        <v>46024</v>
      </c>
      <c r="Z46" s="28">
        <v>46027</v>
      </c>
      <c r="AA46" s="3">
        <f t="shared" si="0"/>
        <v>1</v>
      </c>
      <c r="AB46" s="45" t="s">
        <v>224</v>
      </c>
      <c r="AC46" s="45" t="s">
        <v>225</v>
      </c>
      <c r="AD46" s="19" t="str">
        <f t="shared" si="1"/>
        <v>N/A</v>
      </c>
      <c r="AE46" s="67" t="str">
        <f>IFERROR(NETWORKDAYS(B46,I46,Hoja1!$A$1:$A$29),"N/A")</f>
        <v>N/A</v>
      </c>
      <c r="AF46" s="21">
        <f>IFERROR(NETWORKDAYS(B46,W46,Hoja1!$A$1:$A$29),"N/A")</f>
        <v>18</v>
      </c>
      <c r="AG46" s="78">
        <v>0</v>
      </c>
      <c r="AH46" s="21">
        <f t="shared" si="2"/>
        <v>18</v>
      </c>
      <c r="AI46" s="21">
        <f>IFERROR(NETWORKDAYS(X46,Y46,Hoja1!$A$1:$A$29),"N/A")</f>
        <v>8</v>
      </c>
      <c r="AJ46" s="74">
        <v>3</v>
      </c>
      <c r="AK46" s="75">
        <f t="shared" si="4"/>
        <v>5</v>
      </c>
      <c r="AL46" s="21">
        <f>IFERROR(NETWORKDAYS(B46,Y46,Hoja1!$A$1:$A$29),"N/A")</f>
        <v>26</v>
      </c>
      <c r="AM46" s="21">
        <f t="shared" si="3"/>
        <v>23</v>
      </c>
      <c r="AN46" s="45"/>
      <c r="AO46" s="45"/>
      <c r="AP46" s="45"/>
      <c r="AQ46" s="45"/>
      <c r="AR46" s="45"/>
      <c r="AS46" s="45" t="s">
        <v>1891</v>
      </c>
      <c r="AT46" s="45" t="s">
        <v>2016</v>
      </c>
      <c r="AU46" s="45" t="s">
        <v>2211</v>
      </c>
      <c r="AV46" s="309" t="s">
        <v>2250</v>
      </c>
      <c r="AW46" s="403" t="s">
        <v>2641</v>
      </c>
      <c r="AY46" s="415"/>
    </row>
    <row r="47" spans="1:51" ht="15" customHeight="1" x14ac:dyDescent="0.25">
      <c r="A47" s="295">
        <v>15385</v>
      </c>
      <c r="B47" s="30">
        <v>45988</v>
      </c>
      <c r="C47" s="39">
        <v>45987</v>
      </c>
      <c r="D47" s="31">
        <v>1</v>
      </c>
      <c r="E47" s="32" t="s">
        <v>54</v>
      </c>
      <c r="F47" s="28" t="s">
        <v>55</v>
      </c>
      <c r="G47" s="34">
        <v>5</v>
      </c>
      <c r="H47" s="33" t="s">
        <v>56</v>
      </c>
      <c r="I47" s="28">
        <v>45994</v>
      </c>
      <c r="J47" s="28">
        <v>45994</v>
      </c>
      <c r="K47" s="34">
        <v>5</v>
      </c>
      <c r="L47" s="28" t="s">
        <v>55</v>
      </c>
      <c r="M47" s="18" t="s">
        <v>55</v>
      </c>
      <c r="N47" s="18" t="s">
        <v>55</v>
      </c>
      <c r="O47" s="18" t="s">
        <v>55</v>
      </c>
      <c r="P47" s="18" t="s">
        <v>55</v>
      </c>
      <c r="Q47" s="18" t="s">
        <v>55</v>
      </c>
      <c r="R47" s="18" t="s">
        <v>55</v>
      </c>
      <c r="S47" s="34">
        <v>3</v>
      </c>
      <c r="T47" s="34">
        <v>1</v>
      </c>
      <c r="U47" s="34">
        <v>0</v>
      </c>
      <c r="V47" s="28">
        <v>46034</v>
      </c>
      <c r="W47" s="28">
        <v>46035</v>
      </c>
      <c r="X47" s="28">
        <v>46036</v>
      </c>
      <c r="Y47" s="28">
        <v>46044</v>
      </c>
      <c r="Z47" s="28">
        <v>46045</v>
      </c>
      <c r="AA47" s="3">
        <f t="shared" si="0"/>
        <v>1</v>
      </c>
      <c r="AB47" s="45" t="s">
        <v>226</v>
      </c>
      <c r="AC47" s="47" t="s">
        <v>433</v>
      </c>
      <c r="AD47" s="19">
        <f t="shared" si="1"/>
        <v>1</v>
      </c>
      <c r="AE47" s="67">
        <f>IFERROR(NETWORKDAYS(B47,I47,Hoja1!$A$1:$A$29),"N/A")</f>
        <v>5</v>
      </c>
      <c r="AF47" s="21">
        <f>IFERROR(NETWORKDAYS(B47,W47,Hoja1!$A$1:$A$29),"N/A")</f>
        <v>30</v>
      </c>
      <c r="AG47" s="78">
        <v>15</v>
      </c>
      <c r="AH47" s="21">
        <f t="shared" si="2"/>
        <v>15</v>
      </c>
      <c r="AI47" s="21">
        <f>IFERROR(NETWORKDAYS(X47,Y47,Hoja1!$A$1:$A$29),"N/A")</f>
        <v>7</v>
      </c>
      <c r="AJ47" s="74">
        <v>2</v>
      </c>
      <c r="AK47" s="75">
        <f t="shared" si="4"/>
        <v>5</v>
      </c>
      <c r="AL47" s="21">
        <f>IFERROR(NETWORKDAYS(B47,Y47,Hoja1!$A$1:$A$29),"N/A")</f>
        <v>37</v>
      </c>
      <c r="AM47" s="21">
        <f t="shared" si="3"/>
        <v>20</v>
      </c>
      <c r="AN47" s="47"/>
      <c r="AO47" s="47"/>
      <c r="AP47" s="47"/>
      <c r="AQ47" s="47"/>
      <c r="AR47" s="47"/>
      <c r="AS47" s="47" t="s">
        <v>1889</v>
      </c>
      <c r="AT47" s="47" t="s">
        <v>1994</v>
      </c>
      <c r="AU47" s="47" t="s">
        <v>2212</v>
      </c>
      <c r="AV47" s="312" t="s">
        <v>2233</v>
      </c>
      <c r="AW47" s="403" t="s">
        <v>2642</v>
      </c>
      <c r="AY47" s="414"/>
    </row>
    <row r="48" spans="1:51" ht="15" customHeight="1" x14ac:dyDescent="0.25">
      <c r="A48" s="296">
        <v>15395</v>
      </c>
      <c r="B48" s="15">
        <v>45987</v>
      </c>
      <c r="C48" s="16">
        <v>45987</v>
      </c>
      <c r="D48" s="17">
        <v>1</v>
      </c>
      <c r="E48" s="22" t="s">
        <v>54</v>
      </c>
      <c r="F48" s="16" t="s">
        <v>55</v>
      </c>
      <c r="G48" s="1">
        <v>8</v>
      </c>
      <c r="H48" s="1" t="s">
        <v>56</v>
      </c>
      <c r="I48" s="16">
        <v>45993</v>
      </c>
      <c r="J48" s="16">
        <v>45994</v>
      </c>
      <c r="K48" s="1">
        <v>8</v>
      </c>
      <c r="L48" s="16" t="s">
        <v>55</v>
      </c>
      <c r="M48" s="18" t="s">
        <v>55</v>
      </c>
      <c r="N48" s="18" t="s">
        <v>55</v>
      </c>
      <c r="O48" s="18" t="s">
        <v>55</v>
      </c>
      <c r="P48" s="18" t="s">
        <v>55</v>
      </c>
      <c r="Q48" s="18" t="s">
        <v>55</v>
      </c>
      <c r="R48" s="18" t="s">
        <v>55</v>
      </c>
      <c r="S48" s="1">
        <v>1</v>
      </c>
      <c r="T48" s="1">
        <v>1</v>
      </c>
      <c r="U48" s="1">
        <v>0</v>
      </c>
      <c r="V48" s="16">
        <v>46008</v>
      </c>
      <c r="W48" s="16">
        <v>46008</v>
      </c>
      <c r="X48" s="16">
        <v>46009</v>
      </c>
      <c r="Y48" s="16">
        <v>46024</v>
      </c>
      <c r="Z48" s="16">
        <v>46027</v>
      </c>
      <c r="AA48" s="3">
        <f t="shared" si="0"/>
        <v>1</v>
      </c>
      <c r="AB48" s="49" t="s">
        <v>228</v>
      </c>
      <c r="AC48" s="49" t="s">
        <v>434</v>
      </c>
      <c r="AD48" s="19">
        <f t="shared" si="1"/>
        <v>1</v>
      </c>
      <c r="AE48" s="67">
        <f>IFERROR(NETWORKDAYS(B48,I48,Hoja1!$A$1:$A$29),"N/A")</f>
        <v>5</v>
      </c>
      <c r="AF48" s="21">
        <f>IFERROR(NETWORKDAYS(B48,W48,Hoja1!$A$1:$A$29),"N/A")</f>
        <v>15</v>
      </c>
      <c r="AG48" s="78">
        <v>0</v>
      </c>
      <c r="AH48" s="21">
        <f t="shared" si="2"/>
        <v>15</v>
      </c>
      <c r="AI48" s="21">
        <f>IFERROR(NETWORKDAYS(X48,Y48,Hoja1!$A$1:$A$29),"N/A")</f>
        <v>10</v>
      </c>
      <c r="AJ48" s="74">
        <v>5</v>
      </c>
      <c r="AK48" s="75">
        <f t="shared" si="4"/>
        <v>5</v>
      </c>
      <c r="AL48" s="21">
        <f>IFERROR(NETWORKDAYS(B48,Y48,Hoja1!$A$1:$A$29),"N/A")</f>
        <v>25</v>
      </c>
      <c r="AM48" s="21">
        <f t="shared" si="3"/>
        <v>20</v>
      </c>
      <c r="AN48" s="27"/>
      <c r="AO48" s="27"/>
      <c r="AP48" s="27"/>
      <c r="AQ48" s="27"/>
      <c r="AR48" s="27"/>
      <c r="AS48" s="27" t="s">
        <v>1911</v>
      </c>
      <c r="AT48" s="27" t="s">
        <v>2017</v>
      </c>
      <c r="AU48" s="27" t="s">
        <v>2210</v>
      </c>
      <c r="AV48" s="310" t="s">
        <v>2257</v>
      </c>
      <c r="AW48" s="403" t="s">
        <v>2643</v>
      </c>
      <c r="AY48" s="415"/>
    </row>
    <row r="49" spans="1:51" ht="15" customHeight="1" x14ac:dyDescent="0.25">
      <c r="A49" s="297">
        <v>15402</v>
      </c>
      <c r="B49" s="127">
        <v>46029</v>
      </c>
      <c r="C49" s="126">
        <v>45988</v>
      </c>
      <c r="D49" s="128">
        <v>1</v>
      </c>
      <c r="E49" s="247" t="s">
        <v>54</v>
      </c>
      <c r="F49" s="126" t="s">
        <v>55</v>
      </c>
      <c r="G49" s="83">
        <v>13</v>
      </c>
      <c r="H49" s="83" t="s">
        <v>56</v>
      </c>
      <c r="I49" s="126">
        <v>45989</v>
      </c>
      <c r="J49" s="126">
        <v>45989</v>
      </c>
      <c r="K49" s="83">
        <v>13</v>
      </c>
      <c r="L49" s="126" t="s">
        <v>55</v>
      </c>
      <c r="M49" s="125" t="s">
        <v>55</v>
      </c>
      <c r="N49" s="125" t="s">
        <v>55</v>
      </c>
      <c r="O49" s="125" t="s">
        <v>55</v>
      </c>
      <c r="P49" s="125" t="s">
        <v>55</v>
      </c>
      <c r="Q49" s="125" t="s">
        <v>55</v>
      </c>
      <c r="R49" s="125" t="s">
        <v>55</v>
      </c>
      <c r="S49" s="83">
        <v>3</v>
      </c>
      <c r="T49" s="83">
        <v>1</v>
      </c>
      <c r="U49" s="83">
        <v>0</v>
      </c>
      <c r="V49" s="126">
        <v>46031</v>
      </c>
      <c r="W49" s="126">
        <v>46031</v>
      </c>
      <c r="X49" s="126">
        <v>46031</v>
      </c>
      <c r="Y49" s="126">
        <v>46043</v>
      </c>
      <c r="Z49" s="126">
        <v>46044</v>
      </c>
      <c r="AA49" s="79">
        <f t="shared" si="0"/>
        <v>1</v>
      </c>
      <c r="AB49" s="76" t="s">
        <v>230</v>
      </c>
      <c r="AC49" s="82" t="s">
        <v>231</v>
      </c>
      <c r="AD49" s="19">
        <f t="shared" si="1"/>
        <v>1</v>
      </c>
      <c r="AE49" s="67">
        <f>IFERROR(NETWORKDAYS(B49,I49,Hoja1!$A$1:$A$29),"N/A")</f>
        <v>-26</v>
      </c>
      <c r="AF49" s="21">
        <f>IFERROR(NETWORKDAYS(B49,W49,Hoja1!$A$1:$A$29),"N/A")</f>
        <v>3</v>
      </c>
      <c r="AG49" s="271">
        <v>0</v>
      </c>
      <c r="AH49" s="100">
        <f t="shared" si="2"/>
        <v>3</v>
      </c>
      <c r="AI49" s="21">
        <f>IFERROR(NETWORKDAYS(X49,Y49,Hoja1!$A$1:$A$29),"N/A")</f>
        <v>8</v>
      </c>
      <c r="AJ49" s="101">
        <v>3</v>
      </c>
      <c r="AK49" s="102">
        <f t="shared" si="4"/>
        <v>5</v>
      </c>
      <c r="AL49" s="21">
        <f>IFERROR(NETWORKDAYS(B49,Y49,Hoja1!$A$1:$A$29),"N/A")</f>
        <v>10</v>
      </c>
      <c r="AM49" s="100">
        <f t="shared" si="3"/>
        <v>7</v>
      </c>
      <c r="AN49" s="76" t="s">
        <v>464</v>
      </c>
      <c r="AO49" s="76"/>
      <c r="AP49" s="76"/>
      <c r="AQ49" s="76"/>
      <c r="AR49" s="76"/>
      <c r="AS49" s="76" t="s">
        <v>1911</v>
      </c>
      <c r="AT49" s="76" t="s">
        <v>2004</v>
      </c>
      <c r="AU49" s="76" t="s">
        <v>2210</v>
      </c>
      <c r="AV49" s="313" t="s">
        <v>2258</v>
      </c>
      <c r="AW49" s="403" t="s">
        <v>2644</v>
      </c>
      <c r="AY49" s="414"/>
    </row>
    <row r="50" spans="1:51" ht="15" customHeight="1" x14ac:dyDescent="0.25">
      <c r="A50" s="293">
        <v>15406</v>
      </c>
      <c r="B50" s="37">
        <v>45989</v>
      </c>
      <c r="C50" s="41">
        <v>45989</v>
      </c>
      <c r="D50" s="3">
        <v>1</v>
      </c>
      <c r="E50" s="32" t="s">
        <v>54</v>
      </c>
      <c r="F50" s="28" t="s">
        <v>55</v>
      </c>
      <c r="G50" s="33">
        <v>0</v>
      </c>
      <c r="H50" s="33"/>
      <c r="I50" s="28" t="s">
        <v>55</v>
      </c>
      <c r="J50" s="28" t="s">
        <v>55</v>
      </c>
      <c r="K50" s="33">
        <v>0</v>
      </c>
      <c r="L50" s="28" t="s">
        <v>55</v>
      </c>
      <c r="M50" s="28">
        <v>45993</v>
      </c>
      <c r="N50" s="28">
        <v>46001</v>
      </c>
      <c r="O50" s="28" t="s">
        <v>55</v>
      </c>
      <c r="P50" s="28" t="s">
        <v>55</v>
      </c>
      <c r="Q50" s="28" t="s">
        <v>55</v>
      </c>
      <c r="R50" s="28">
        <v>46017</v>
      </c>
      <c r="S50" s="33">
        <v>3</v>
      </c>
      <c r="T50" s="33">
        <v>3</v>
      </c>
      <c r="U50" s="33">
        <v>0</v>
      </c>
      <c r="V50" s="28">
        <v>46027</v>
      </c>
      <c r="W50" s="28">
        <v>46029</v>
      </c>
      <c r="X50" s="28">
        <v>46030</v>
      </c>
      <c r="Y50" s="28">
        <v>46037</v>
      </c>
      <c r="Z50" s="28">
        <v>46044</v>
      </c>
      <c r="AA50" s="3">
        <f t="shared" si="0"/>
        <v>1</v>
      </c>
      <c r="AB50" s="50" t="s">
        <v>233</v>
      </c>
      <c r="AC50" s="45" t="s">
        <v>234</v>
      </c>
      <c r="AD50" s="19" t="str">
        <f t="shared" si="1"/>
        <v>N/A</v>
      </c>
      <c r="AE50" s="67" t="str">
        <f>IFERROR(NETWORKDAYS(B50,I50,Hoja1!$A$1:$A$29),"N/A")</f>
        <v>N/A</v>
      </c>
      <c r="AF50" s="21">
        <f>IFERROR(NETWORKDAYS(B50,W50,Hoja1!$A$1:$A$29),"N/A")</f>
        <v>26</v>
      </c>
      <c r="AG50" s="78">
        <v>3</v>
      </c>
      <c r="AH50" s="21">
        <f t="shared" si="2"/>
        <v>23</v>
      </c>
      <c r="AI50" s="21">
        <f>IFERROR(NETWORKDAYS(X50,Y50,Hoja1!$A$1:$A$29),"N/A")</f>
        <v>5</v>
      </c>
      <c r="AJ50" s="74">
        <v>0</v>
      </c>
      <c r="AK50" s="75">
        <f t="shared" si="4"/>
        <v>5</v>
      </c>
      <c r="AL50" s="21">
        <f>IFERROR(NETWORKDAYS(B50,Y50,Hoja1!$A$1:$A$29),"N/A")</f>
        <v>31</v>
      </c>
      <c r="AM50" s="21">
        <f t="shared" si="3"/>
        <v>28</v>
      </c>
      <c r="AN50" s="45"/>
      <c r="AO50" s="45"/>
      <c r="AP50" s="45"/>
      <c r="AQ50" s="45"/>
      <c r="AR50" s="45"/>
      <c r="AS50" s="45" t="s">
        <v>1912</v>
      </c>
      <c r="AT50" s="45" t="s">
        <v>2018</v>
      </c>
      <c r="AU50" s="45" t="s">
        <v>2212</v>
      </c>
      <c r="AV50" s="309" t="s">
        <v>2259</v>
      </c>
      <c r="AW50" s="403" t="s">
        <v>2645</v>
      </c>
      <c r="AY50" s="415"/>
    </row>
    <row r="51" spans="1:51" ht="15" customHeight="1" x14ac:dyDescent="0.25">
      <c r="A51" s="295">
        <v>15407</v>
      </c>
      <c r="B51" s="30">
        <v>45989</v>
      </c>
      <c r="C51" s="24">
        <v>45989</v>
      </c>
      <c r="D51" s="3">
        <v>1</v>
      </c>
      <c r="E51" s="40" t="s">
        <v>54</v>
      </c>
      <c r="F51" s="3" t="s">
        <v>55</v>
      </c>
      <c r="G51" s="3">
        <v>5</v>
      </c>
      <c r="H51" s="33" t="s">
        <v>112</v>
      </c>
      <c r="I51" s="30">
        <v>46002</v>
      </c>
      <c r="J51" s="30">
        <v>46002</v>
      </c>
      <c r="K51" s="3">
        <v>5</v>
      </c>
      <c r="L51" s="18" t="s">
        <v>55</v>
      </c>
      <c r="M51" s="18" t="s">
        <v>55</v>
      </c>
      <c r="N51" s="18" t="s">
        <v>55</v>
      </c>
      <c r="O51" s="18" t="s">
        <v>55</v>
      </c>
      <c r="P51" s="18" t="s">
        <v>55</v>
      </c>
      <c r="Q51" s="18" t="s">
        <v>55</v>
      </c>
      <c r="R51" s="18" t="s">
        <v>55</v>
      </c>
      <c r="S51" s="3">
        <v>5</v>
      </c>
      <c r="T51" s="3">
        <v>2</v>
      </c>
      <c r="U51" s="3">
        <v>0</v>
      </c>
      <c r="V51" s="28">
        <v>46009</v>
      </c>
      <c r="W51" s="28">
        <v>46009</v>
      </c>
      <c r="X51" s="28">
        <v>46009</v>
      </c>
      <c r="Y51" s="28">
        <v>46031</v>
      </c>
      <c r="Z51" s="28">
        <v>46035</v>
      </c>
      <c r="AA51" s="3">
        <f t="shared" si="0"/>
        <v>1</v>
      </c>
      <c r="AB51" s="45" t="s">
        <v>236</v>
      </c>
      <c r="AC51" s="49" t="s">
        <v>237</v>
      </c>
      <c r="AD51" s="19">
        <f t="shared" si="1"/>
        <v>1</v>
      </c>
      <c r="AE51" s="67">
        <f>IFERROR(NETWORKDAYS(B51,I51,Hoja1!$A$1:$A$29),"N/A")</f>
        <v>9</v>
      </c>
      <c r="AF51" s="21">
        <f>IFERROR(NETWORKDAYS(B51,W51,Hoja1!$A$1:$A$29),"N/A")</f>
        <v>14</v>
      </c>
      <c r="AG51" s="78">
        <v>0</v>
      </c>
      <c r="AH51" s="21">
        <f t="shared" si="2"/>
        <v>14</v>
      </c>
      <c r="AI51" s="21">
        <f>IFERROR(NETWORKDAYS(X51,Y51,Hoja1!$A$1:$A$29),"N/A")</f>
        <v>15</v>
      </c>
      <c r="AJ51" s="74">
        <v>10</v>
      </c>
      <c r="AK51" s="75">
        <f t="shared" si="4"/>
        <v>5</v>
      </c>
      <c r="AL51" s="21">
        <f>IFERROR(NETWORKDAYS(B51,Y51,Hoja1!$A$1:$A$29),"N/A")</f>
        <v>28</v>
      </c>
      <c r="AM51" s="21">
        <f t="shared" si="3"/>
        <v>18</v>
      </c>
      <c r="AN51" s="45"/>
      <c r="AO51" s="45"/>
      <c r="AP51" s="45"/>
      <c r="AQ51" s="45"/>
      <c r="AR51" s="45"/>
      <c r="AS51" s="45" t="s">
        <v>1890</v>
      </c>
      <c r="AT51" s="45" t="s">
        <v>2019</v>
      </c>
      <c r="AU51" s="45" t="s">
        <v>2213</v>
      </c>
      <c r="AV51" s="309" t="s">
        <v>2260</v>
      </c>
      <c r="AW51" s="403" t="s">
        <v>2646</v>
      </c>
      <c r="AY51" s="414"/>
    </row>
    <row r="52" spans="1:51" ht="15" customHeight="1" x14ac:dyDescent="0.25">
      <c r="A52" s="293">
        <v>15409</v>
      </c>
      <c r="B52" s="37">
        <v>45989</v>
      </c>
      <c r="C52" s="37">
        <v>45989</v>
      </c>
      <c r="D52" s="18">
        <v>1</v>
      </c>
      <c r="E52" s="40" t="s">
        <v>54</v>
      </c>
      <c r="F52" s="18" t="s">
        <v>55</v>
      </c>
      <c r="G52" s="18">
        <v>6</v>
      </c>
      <c r="H52" s="36" t="s">
        <v>56</v>
      </c>
      <c r="I52" s="37">
        <v>46001</v>
      </c>
      <c r="J52" s="37">
        <v>46001</v>
      </c>
      <c r="K52" s="18">
        <v>6</v>
      </c>
      <c r="L52" s="18" t="s">
        <v>55</v>
      </c>
      <c r="M52" s="18" t="s">
        <v>55</v>
      </c>
      <c r="N52" s="18" t="s">
        <v>55</v>
      </c>
      <c r="O52" s="18" t="s">
        <v>55</v>
      </c>
      <c r="P52" s="18" t="s">
        <v>55</v>
      </c>
      <c r="Q52" s="18" t="s">
        <v>55</v>
      </c>
      <c r="R52" s="18" t="s">
        <v>55</v>
      </c>
      <c r="S52" s="18">
        <v>2</v>
      </c>
      <c r="T52" s="18">
        <v>2</v>
      </c>
      <c r="U52" s="18">
        <v>0</v>
      </c>
      <c r="V52" s="38">
        <v>46006</v>
      </c>
      <c r="W52" s="38">
        <v>46006</v>
      </c>
      <c r="X52" s="38">
        <v>46007</v>
      </c>
      <c r="Y52" s="38">
        <v>46024</v>
      </c>
      <c r="Z52" s="53">
        <v>46027</v>
      </c>
      <c r="AA52" s="3">
        <f t="shared" si="0"/>
        <v>1</v>
      </c>
      <c r="AB52" s="35" t="s">
        <v>240</v>
      </c>
      <c r="AC52" s="45" t="s">
        <v>241</v>
      </c>
      <c r="AD52" s="19">
        <f t="shared" si="1"/>
        <v>1</v>
      </c>
      <c r="AE52" s="67">
        <f>IFERROR(NETWORKDAYS(B52,I52,Hoja1!$A$1:$A$29),"N/A")</f>
        <v>8</v>
      </c>
      <c r="AF52" s="21">
        <f>IFERROR(NETWORKDAYS(B52,W52,Hoja1!$A$1:$A$29),"N/A")</f>
        <v>11</v>
      </c>
      <c r="AG52" s="78">
        <v>0</v>
      </c>
      <c r="AH52" s="21">
        <f t="shared" si="2"/>
        <v>11</v>
      </c>
      <c r="AI52" s="21">
        <f>IFERROR(NETWORKDAYS(X52,Y52,Hoja1!$A$1:$A$29),"N/A")</f>
        <v>12</v>
      </c>
      <c r="AJ52" s="74">
        <v>7</v>
      </c>
      <c r="AK52" s="75">
        <f t="shared" si="4"/>
        <v>5</v>
      </c>
      <c r="AL52" s="21">
        <f>IFERROR(NETWORKDAYS(B52,Y52,Hoja1!$A$1:$A$29),"N/A")</f>
        <v>23</v>
      </c>
      <c r="AM52" s="21">
        <f t="shared" si="3"/>
        <v>16</v>
      </c>
      <c r="AN52" s="35"/>
      <c r="AO52" s="35"/>
      <c r="AP52" s="35"/>
      <c r="AQ52" s="35"/>
      <c r="AR52" s="35"/>
      <c r="AS52" s="45" t="s">
        <v>1893</v>
      </c>
      <c r="AT52" s="45" t="s">
        <v>2020</v>
      </c>
      <c r="AU52" s="35" t="s">
        <v>2215</v>
      </c>
      <c r="AV52" s="309" t="s">
        <v>2261</v>
      </c>
      <c r="AW52" s="403" t="s">
        <v>2647</v>
      </c>
      <c r="AY52" s="415"/>
    </row>
    <row r="53" spans="1:51" ht="15" customHeight="1" x14ac:dyDescent="0.25">
      <c r="A53" s="295">
        <v>15415</v>
      </c>
      <c r="B53" s="30">
        <v>45987</v>
      </c>
      <c r="C53" s="28">
        <v>45992</v>
      </c>
      <c r="D53" s="3">
        <v>1</v>
      </c>
      <c r="E53" s="40" t="s">
        <v>54</v>
      </c>
      <c r="F53" s="28" t="s">
        <v>55</v>
      </c>
      <c r="G53" s="33">
        <v>0</v>
      </c>
      <c r="H53" s="33"/>
      <c r="I53" s="28" t="s">
        <v>55</v>
      </c>
      <c r="J53" s="28" t="s">
        <v>55</v>
      </c>
      <c r="K53" s="33">
        <v>0</v>
      </c>
      <c r="L53" s="28" t="s">
        <v>55</v>
      </c>
      <c r="M53" s="18" t="s">
        <v>55</v>
      </c>
      <c r="N53" s="18" t="s">
        <v>55</v>
      </c>
      <c r="O53" s="18" t="s">
        <v>55</v>
      </c>
      <c r="P53" s="18" t="s">
        <v>55</v>
      </c>
      <c r="Q53" s="18" t="s">
        <v>55</v>
      </c>
      <c r="R53" s="18" t="s">
        <v>55</v>
      </c>
      <c r="S53" s="33">
        <v>1</v>
      </c>
      <c r="T53" s="33">
        <v>1</v>
      </c>
      <c r="U53" s="33">
        <v>0</v>
      </c>
      <c r="V53" s="28">
        <v>45993</v>
      </c>
      <c r="W53" s="28">
        <v>45993</v>
      </c>
      <c r="X53" s="28">
        <v>45993</v>
      </c>
      <c r="Y53" s="28">
        <v>46017</v>
      </c>
      <c r="Z53" s="28">
        <v>46027</v>
      </c>
      <c r="AA53" s="3">
        <f t="shared" si="0"/>
        <v>1</v>
      </c>
      <c r="AB53" s="50" t="s">
        <v>243</v>
      </c>
      <c r="AC53" s="45" t="s">
        <v>244</v>
      </c>
      <c r="AD53" s="19" t="str">
        <f t="shared" si="1"/>
        <v>N/A</v>
      </c>
      <c r="AE53" s="67" t="str">
        <f>IFERROR(NETWORKDAYS(B53,I53,Hoja1!$A$1:$A$29),"N/A")</f>
        <v>N/A</v>
      </c>
      <c r="AF53" s="21">
        <f>IFERROR(NETWORKDAYS(B53,W53,Hoja1!$A$1:$A$29),"N/A")</f>
        <v>5</v>
      </c>
      <c r="AG53" s="78">
        <v>0</v>
      </c>
      <c r="AH53" s="21">
        <f t="shared" si="2"/>
        <v>5</v>
      </c>
      <c r="AI53" s="21">
        <f>IFERROR(NETWORKDAYS(X53,Y53,Hoja1!$A$1:$A$29),"N/A")</f>
        <v>17</v>
      </c>
      <c r="AJ53" s="74">
        <v>12</v>
      </c>
      <c r="AK53" s="75">
        <f t="shared" si="4"/>
        <v>5</v>
      </c>
      <c r="AL53" s="21">
        <f>IFERROR(NETWORKDAYS(B53,Y53,Hoja1!$A$1:$A$29),"N/A")</f>
        <v>21</v>
      </c>
      <c r="AM53" s="21">
        <f t="shared" si="3"/>
        <v>9</v>
      </c>
      <c r="AN53" s="45"/>
      <c r="AO53" s="45"/>
      <c r="AP53" s="45"/>
      <c r="AQ53" s="45"/>
      <c r="AR53" s="45"/>
      <c r="AS53" s="45" t="s">
        <v>1906</v>
      </c>
      <c r="AT53" s="45" t="s">
        <v>2021</v>
      </c>
      <c r="AU53" s="45" t="s">
        <v>2212</v>
      </c>
      <c r="AV53" s="309" t="s">
        <v>2262</v>
      </c>
      <c r="AW53" s="403" t="s">
        <v>2648</v>
      </c>
      <c r="AY53" s="414"/>
    </row>
    <row r="54" spans="1:51" ht="15" customHeight="1" x14ac:dyDescent="0.25">
      <c r="A54" s="293">
        <v>15419</v>
      </c>
      <c r="B54" s="37">
        <v>45992</v>
      </c>
      <c r="C54" s="37">
        <v>45992</v>
      </c>
      <c r="D54" s="18">
        <v>1</v>
      </c>
      <c r="E54" s="159" t="s">
        <v>247</v>
      </c>
      <c r="F54" s="18" t="s">
        <v>55</v>
      </c>
      <c r="G54" s="18">
        <v>13</v>
      </c>
      <c r="H54" s="36" t="s">
        <v>112</v>
      </c>
      <c r="I54" s="37">
        <v>46003</v>
      </c>
      <c r="J54" s="37">
        <v>46003</v>
      </c>
      <c r="K54" s="18">
        <v>13</v>
      </c>
      <c r="L54" s="18" t="s">
        <v>55</v>
      </c>
      <c r="M54" s="18" t="s">
        <v>55</v>
      </c>
      <c r="N54" s="18" t="s">
        <v>55</v>
      </c>
      <c r="O54" s="18" t="s">
        <v>55</v>
      </c>
      <c r="P54" s="18" t="s">
        <v>55</v>
      </c>
      <c r="Q54" s="18" t="s">
        <v>55</v>
      </c>
      <c r="R54" s="18" t="s">
        <v>55</v>
      </c>
      <c r="S54" s="18">
        <v>2</v>
      </c>
      <c r="T54" s="18">
        <v>2</v>
      </c>
      <c r="U54" s="18">
        <v>0</v>
      </c>
      <c r="V54" s="53">
        <v>46028</v>
      </c>
      <c r="W54" s="38">
        <v>46031</v>
      </c>
      <c r="X54" s="36" t="s">
        <v>55</v>
      </c>
      <c r="Y54" s="38">
        <v>46031</v>
      </c>
      <c r="Z54" s="38">
        <v>46031</v>
      </c>
      <c r="AA54" s="3">
        <f t="shared" si="0"/>
        <v>1</v>
      </c>
      <c r="AB54" s="35" t="s">
        <v>248</v>
      </c>
      <c r="AC54" s="45" t="s">
        <v>249</v>
      </c>
      <c r="AD54" s="19">
        <f t="shared" si="1"/>
        <v>1</v>
      </c>
      <c r="AE54" s="67">
        <f>IFERROR(NETWORKDAYS(B54,I54,Hoja1!$A$1:$A$29),"N/A")</f>
        <v>9</v>
      </c>
      <c r="AF54" s="21">
        <f>IFERROR(NETWORKDAYS(B54,W54,Hoja1!$A$1:$A$29),"N/A")</f>
        <v>27</v>
      </c>
      <c r="AG54" s="78">
        <v>5</v>
      </c>
      <c r="AH54" s="21">
        <f t="shared" si="2"/>
        <v>22</v>
      </c>
      <c r="AI54" s="21" t="str">
        <f>IFERROR(NETWORKDAYS(X54,Y54,Hoja1!$A$1:$A$29),"N/A")</f>
        <v>N/A</v>
      </c>
      <c r="AJ54" s="74">
        <v>0</v>
      </c>
      <c r="AK54" s="21" t="s">
        <v>82</v>
      </c>
      <c r="AL54" s="21">
        <f>IFERROR(NETWORKDAYS(B54,Y54,Hoja1!$A$1:$A$29),"N/A")</f>
        <v>27</v>
      </c>
      <c r="AM54" s="21">
        <f t="shared" si="3"/>
        <v>22</v>
      </c>
      <c r="AN54" s="35"/>
      <c r="AO54" s="35"/>
      <c r="AP54" s="35"/>
      <c r="AQ54" s="35"/>
      <c r="AR54" s="35"/>
      <c r="AS54" s="45" t="s">
        <v>1913</v>
      </c>
      <c r="AT54" s="45" t="s">
        <v>2022</v>
      </c>
      <c r="AU54" s="35" t="s">
        <v>2209</v>
      </c>
      <c r="AV54" s="309" t="s">
        <v>2250</v>
      </c>
      <c r="AW54" s="403" t="s">
        <v>2649</v>
      </c>
      <c r="AY54" s="415"/>
    </row>
    <row r="55" spans="1:51" ht="15" customHeight="1" x14ac:dyDescent="0.25">
      <c r="A55" s="294">
        <v>15424</v>
      </c>
      <c r="B55" s="15">
        <v>45996</v>
      </c>
      <c r="C55" s="16">
        <v>45993</v>
      </c>
      <c r="D55" s="17">
        <v>1</v>
      </c>
      <c r="E55" s="40" t="s">
        <v>54</v>
      </c>
      <c r="F55" s="16" t="s">
        <v>55</v>
      </c>
      <c r="G55" s="1">
        <v>4</v>
      </c>
      <c r="H55" s="1" t="s">
        <v>56</v>
      </c>
      <c r="I55" s="28">
        <v>46008</v>
      </c>
      <c r="J55" s="28">
        <v>46015</v>
      </c>
      <c r="K55" s="1">
        <v>4</v>
      </c>
      <c r="L55" s="28" t="s">
        <v>55</v>
      </c>
      <c r="M55" s="28">
        <v>46000</v>
      </c>
      <c r="N55" s="28">
        <v>46007</v>
      </c>
      <c r="O55" s="28" t="s">
        <v>55</v>
      </c>
      <c r="P55" s="28" t="s">
        <v>55</v>
      </c>
      <c r="Q55" s="28" t="s">
        <v>55</v>
      </c>
      <c r="R55" s="28" t="s">
        <v>55</v>
      </c>
      <c r="S55" s="1">
        <v>2</v>
      </c>
      <c r="T55" s="1">
        <v>1</v>
      </c>
      <c r="U55" s="1">
        <v>0</v>
      </c>
      <c r="V55" s="16">
        <v>46036</v>
      </c>
      <c r="W55" s="16">
        <v>46042</v>
      </c>
      <c r="X55" s="16">
        <v>46042</v>
      </c>
      <c r="Y55" s="16">
        <v>46045</v>
      </c>
      <c r="Z55" s="16">
        <v>46045</v>
      </c>
      <c r="AA55" s="3">
        <f t="shared" si="0"/>
        <v>1</v>
      </c>
      <c r="AB55" s="27" t="s">
        <v>251</v>
      </c>
      <c r="AC55" s="49" t="s">
        <v>252</v>
      </c>
      <c r="AD55" s="19">
        <f t="shared" si="1"/>
        <v>1</v>
      </c>
      <c r="AE55" s="67">
        <f>IFERROR(NETWORKDAYS(B55,I55,Hoja1!$A$1:$A$29),"N/A")</f>
        <v>8</v>
      </c>
      <c r="AF55" s="21">
        <f>IFERROR(NETWORKDAYS(B55,W55,Hoja1!$A$1:$A$29),"N/A")</f>
        <v>29</v>
      </c>
      <c r="AG55" s="78">
        <v>6</v>
      </c>
      <c r="AH55" s="21">
        <f t="shared" si="2"/>
        <v>23</v>
      </c>
      <c r="AI55" s="21">
        <f>IFERROR(NETWORKDAYS(X55,Y55,Hoja1!$A$1:$A$29),"N/A")</f>
        <v>4</v>
      </c>
      <c r="AJ55" s="74">
        <v>0</v>
      </c>
      <c r="AK55" s="75">
        <f t="shared" ref="AK55:AK118" si="5">AI55-AJ55</f>
        <v>4</v>
      </c>
      <c r="AL55" s="21">
        <f>IFERROR(NETWORKDAYS(B55,Y55,Hoja1!$A$1:$A$29),"N/A")</f>
        <v>32</v>
      </c>
      <c r="AM55" s="21">
        <f t="shared" si="3"/>
        <v>26</v>
      </c>
      <c r="AN55" s="27"/>
      <c r="AO55" s="27"/>
      <c r="AP55" s="27"/>
      <c r="AQ55" s="27"/>
      <c r="AR55" s="27"/>
      <c r="AS55" s="27" t="s">
        <v>1897</v>
      </c>
      <c r="AT55" s="27" t="s">
        <v>2023</v>
      </c>
      <c r="AU55" s="27" t="s">
        <v>2210</v>
      </c>
      <c r="AV55" s="310" t="s">
        <v>2242</v>
      </c>
      <c r="AW55" s="403" t="s">
        <v>2650</v>
      </c>
      <c r="AY55" s="414"/>
    </row>
    <row r="56" spans="1:51" ht="15" customHeight="1" x14ac:dyDescent="0.25">
      <c r="A56" s="295">
        <v>15426</v>
      </c>
      <c r="B56" s="30">
        <v>45993</v>
      </c>
      <c r="C56" s="24">
        <v>45993</v>
      </c>
      <c r="D56" s="3">
        <v>1</v>
      </c>
      <c r="E56" s="40" t="s">
        <v>54</v>
      </c>
      <c r="F56" s="3" t="s">
        <v>55</v>
      </c>
      <c r="G56" s="3">
        <v>6</v>
      </c>
      <c r="H56" s="33" t="s">
        <v>56</v>
      </c>
      <c r="I56" s="30">
        <v>46009</v>
      </c>
      <c r="J56" s="30">
        <v>46009</v>
      </c>
      <c r="K56" s="3">
        <v>6</v>
      </c>
      <c r="L56" s="18" t="s">
        <v>55</v>
      </c>
      <c r="M56" s="18" t="s">
        <v>55</v>
      </c>
      <c r="N56" s="18" t="s">
        <v>55</v>
      </c>
      <c r="O56" s="18" t="s">
        <v>55</v>
      </c>
      <c r="P56" s="18" t="s">
        <v>55</v>
      </c>
      <c r="Q56" s="18" t="s">
        <v>55</v>
      </c>
      <c r="R56" s="18" t="s">
        <v>55</v>
      </c>
      <c r="S56" s="3">
        <v>6</v>
      </c>
      <c r="T56" s="3">
        <v>1</v>
      </c>
      <c r="U56" s="3">
        <v>0</v>
      </c>
      <c r="V56" s="28">
        <v>46009</v>
      </c>
      <c r="W56" s="28">
        <v>46009</v>
      </c>
      <c r="X56" s="28">
        <v>46027</v>
      </c>
      <c r="Y56" s="28">
        <v>46031</v>
      </c>
      <c r="Z56" s="28">
        <v>46035</v>
      </c>
      <c r="AA56" s="3">
        <f t="shared" si="0"/>
        <v>1</v>
      </c>
      <c r="AB56" s="45" t="s">
        <v>253</v>
      </c>
      <c r="AC56" s="49" t="s">
        <v>254</v>
      </c>
      <c r="AD56" s="19">
        <f t="shared" si="1"/>
        <v>1</v>
      </c>
      <c r="AE56" s="67">
        <f>IFERROR(NETWORKDAYS(B56,I56,Hoja1!$A$1:$A$29),"N/A")</f>
        <v>12</v>
      </c>
      <c r="AF56" s="21">
        <f>IFERROR(NETWORKDAYS(B56,W56,Hoja1!$A$1:$A$29),"N/A")</f>
        <v>12</v>
      </c>
      <c r="AG56" s="78">
        <v>0</v>
      </c>
      <c r="AH56" s="21">
        <f t="shared" si="2"/>
        <v>12</v>
      </c>
      <c r="AI56" s="21">
        <f>IFERROR(NETWORKDAYS(X56,Y56,Hoja1!$A$1:$A$29),"N/A")</f>
        <v>5</v>
      </c>
      <c r="AJ56" s="74">
        <v>0</v>
      </c>
      <c r="AK56" s="75">
        <f t="shared" si="5"/>
        <v>5</v>
      </c>
      <c r="AL56" s="21">
        <f>IFERROR(NETWORKDAYS(B56,Y56,Hoja1!$A$1:$A$29),"N/A")</f>
        <v>26</v>
      </c>
      <c r="AM56" s="21">
        <f t="shared" si="3"/>
        <v>26</v>
      </c>
      <c r="AN56" s="45"/>
      <c r="AO56" s="45"/>
      <c r="AP56" s="45"/>
      <c r="AQ56" s="45"/>
      <c r="AR56" s="45"/>
      <c r="AS56" s="45" t="s">
        <v>1890</v>
      </c>
      <c r="AT56" s="45" t="s">
        <v>1995</v>
      </c>
      <c r="AU56" s="45" t="s">
        <v>2213</v>
      </c>
      <c r="AV56" s="309" t="s">
        <v>2263</v>
      </c>
      <c r="AW56" s="403" t="s">
        <v>2651</v>
      </c>
      <c r="AY56" s="415"/>
    </row>
    <row r="57" spans="1:51" ht="15" customHeight="1" x14ac:dyDescent="0.25">
      <c r="A57" s="295">
        <v>15427</v>
      </c>
      <c r="B57" s="30">
        <v>46010</v>
      </c>
      <c r="C57" s="24">
        <v>45993</v>
      </c>
      <c r="D57" s="3">
        <v>1</v>
      </c>
      <c r="E57" s="40" t="s">
        <v>54</v>
      </c>
      <c r="F57" s="3" t="s">
        <v>55</v>
      </c>
      <c r="G57" s="3">
        <v>3</v>
      </c>
      <c r="H57" s="33" t="s">
        <v>56</v>
      </c>
      <c r="I57" s="30">
        <v>46017</v>
      </c>
      <c r="J57" s="30">
        <v>46017</v>
      </c>
      <c r="K57" s="3">
        <v>3</v>
      </c>
      <c r="L57" s="18" t="s">
        <v>55</v>
      </c>
      <c r="M57" s="18" t="s">
        <v>55</v>
      </c>
      <c r="N57" s="18" t="s">
        <v>55</v>
      </c>
      <c r="O57" s="18" t="s">
        <v>55</v>
      </c>
      <c r="P57" s="18" t="s">
        <v>55</v>
      </c>
      <c r="Q57" s="18" t="s">
        <v>55</v>
      </c>
      <c r="R57" s="18" t="s">
        <v>55</v>
      </c>
      <c r="S57" s="3">
        <v>3</v>
      </c>
      <c r="T57" s="3">
        <v>1</v>
      </c>
      <c r="U57" s="3">
        <v>0</v>
      </c>
      <c r="V57" s="28">
        <v>46027</v>
      </c>
      <c r="W57" s="28">
        <v>46027</v>
      </c>
      <c r="X57" s="28">
        <v>46027</v>
      </c>
      <c r="Y57" s="28">
        <v>46031</v>
      </c>
      <c r="Z57" s="28">
        <v>46035</v>
      </c>
      <c r="AA57" s="3">
        <f t="shared" si="0"/>
        <v>1</v>
      </c>
      <c r="AB57" s="45" t="s">
        <v>256</v>
      </c>
      <c r="AC57" s="49" t="s">
        <v>257</v>
      </c>
      <c r="AD57" s="19">
        <f t="shared" si="1"/>
        <v>1</v>
      </c>
      <c r="AE57" s="67">
        <f>IFERROR(NETWORKDAYS(B57,I57,Hoja1!$A$1:$A$29),"N/A")</f>
        <v>5</v>
      </c>
      <c r="AF57" s="21">
        <f>IFERROR(NETWORKDAYS(B57,W57,Hoja1!$A$1:$A$29),"N/A")</f>
        <v>10</v>
      </c>
      <c r="AG57" s="78">
        <v>0</v>
      </c>
      <c r="AH57" s="21">
        <f t="shared" si="2"/>
        <v>10</v>
      </c>
      <c r="AI57" s="21">
        <f>IFERROR(NETWORKDAYS(X57,Y57,Hoja1!$A$1:$A$29),"N/A")</f>
        <v>5</v>
      </c>
      <c r="AJ57" s="74">
        <v>0</v>
      </c>
      <c r="AK57" s="75">
        <f t="shared" si="5"/>
        <v>5</v>
      </c>
      <c r="AL57" s="21">
        <f>IFERROR(NETWORKDAYS(B57,Y57,Hoja1!$A$1:$A$29),"N/A")</f>
        <v>14</v>
      </c>
      <c r="AM57" s="21">
        <f t="shared" si="3"/>
        <v>14</v>
      </c>
      <c r="AN57" s="45" t="s">
        <v>445</v>
      </c>
      <c r="AO57" s="45"/>
      <c r="AP57" s="45"/>
      <c r="AQ57" s="45"/>
      <c r="AR57" s="45"/>
      <c r="AS57" s="45" t="s">
        <v>1890</v>
      </c>
      <c r="AT57" s="45" t="s">
        <v>1995</v>
      </c>
      <c r="AU57" s="45" t="s">
        <v>2213</v>
      </c>
      <c r="AV57" s="309" t="s">
        <v>2264</v>
      </c>
      <c r="AW57" s="403" t="s">
        <v>2652</v>
      </c>
      <c r="AY57" s="414"/>
    </row>
    <row r="58" spans="1:51" ht="15" customHeight="1" x14ac:dyDescent="0.25">
      <c r="A58" s="298">
        <v>15433</v>
      </c>
      <c r="B58" s="24">
        <v>45996</v>
      </c>
      <c r="C58" s="24">
        <v>45996</v>
      </c>
      <c r="D58" s="25">
        <v>1</v>
      </c>
      <c r="E58" s="40" t="s">
        <v>54</v>
      </c>
      <c r="F58" s="16" t="s">
        <v>55</v>
      </c>
      <c r="G58" s="26">
        <v>0</v>
      </c>
      <c r="H58" s="26"/>
      <c r="I58" s="16" t="s">
        <v>55</v>
      </c>
      <c r="J58" s="16" t="s">
        <v>55</v>
      </c>
      <c r="K58" s="26">
        <v>0</v>
      </c>
      <c r="L58" s="16" t="s">
        <v>55</v>
      </c>
      <c r="M58" s="18" t="s">
        <v>55</v>
      </c>
      <c r="N58" s="18" t="s">
        <v>55</v>
      </c>
      <c r="O58" s="18" t="s">
        <v>55</v>
      </c>
      <c r="P58" s="18" t="s">
        <v>55</v>
      </c>
      <c r="Q58" s="18" t="s">
        <v>55</v>
      </c>
      <c r="R58" s="18" t="s">
        <v>55</v>
      </c>
      <c r="S58" s="26">
        <v>1</v>
      </c>
      <c r="T58" s="26">
        <v>1</v>
      </c>
      <c r="U58" s="26">
        <v>0</v>
      </c>
      <c r="V58" s="16">
        <v>46009</v>
      </c>
      <c r="W58" s="16">
        <v>46010</v>
      </c>
      <c r="X58" s="16">
        <v>46010</v>
      </c>
      <c r="Y58" s="16">
        <v>46022</v>
      </c>
      <c r="Z58" s="16">
        <v>46027</v>
      </c>
      <c r="AA58" s="3">
        <f t="shared" si="0"/>
        <v>1</v>
      </c>
      <c r="AB58" s="27" t="s">
        <v>260</v>
      </c>
      <c r="AC58" s="20" t="s">
        <v>261</v>
      </c>
      <c r="AD58" s="19" t="str">
        <f t="shared" si="1"/>
        <v>N/A</v>
      </c>
      <c r="AE58" s="67" t="str">
        <f>IFERROR(NETWORKDAYS(B58,I58,Hoja1!$A$1:$A$29),"N/A")</f>
        <v>N/A</v>
      </c>
      <c r="AF58" s="21">
        <f>IFERROR(NETWORKDAYS(B58,W58,Hoja1!$A$1:$A$29),"N/A")</f>
        <v>10</v>
      </c>
      <c r="AG58" s="78">
        <v>0</v>
      </c>
      <c r="AH58" s="21">
        <f t="shared" si="2"/>
        <v>10</v>
      </c>
      <c r="AI58" s="21">
        <f>IFERROR(NETWORKDAYS(X58,Y58,Hoja1!$A$1:$A$29),"N/A")</f>
        <v>8</v>
      </c>
      <c r="AJ58" s="74">
        <v>3</v>
      </c>
      <c r="AK58" s="75">
        <f t="shared" si="5"/>
        <v>5</v>
      </c>
      <c r="AL58" s="21">
        <f>IFERROR(NETWORKDAYS(B58,Y58,Hoja1!$A$1:$A$29),"N/A")</f>
        <v>17</v>
      </c>
      <c r="AM58" s="21">
        <f t="shared" si="3"/>
        <v>14</v>
      </c>
      <c r="AN58" s="22"/>
      <c r="AO58" s="22"/>
      <c r="AP58" s="22"/>
      <c r="AQ58" s="22"/>
      <c r="AR58" s="22"/>
      <c r="AS58" s="22" t="s">
        <v>1903</v>
      </c>
      <c r="AT58" s="22" t="s">
        <v>2024</v>
      </c>
      <c r="AU58" s="22" t="s">
        <v>2210</v>
      </c>
      <c r="AV58" s="314" t="s">
        <v>2242</v>
      </c>
      <c r="AW58" s="403" t="s">
        <v>2653</v>
      </c>
      <c r="AY58" s="415"/>
    </row>
    <row r="59" spans="1:51" ht="15" customHeight="1" x14ac:dyDescent="0.25">
      <c r="A59" s="294">
        <v>15434</v>
      </c>
      <c r="B59" s="15">
        <v>45994</v>
      </c>
      <c r="C59" s="16">
        <v>45994</v>
      </c>
      <c r="D59" s="17">
        <v>1</v>
      </c>
      <c r="E59" s="40" t="s">
        <v>54</v>
      </c>
      <c r="F59" s="1" t="s">
        <v>55</v>
      </c>
      <c r="G59" s="1">
        <v>5</v>
      </c>
      <c r="H59" s="1" t="s">
        <v>112</v>
      </c>
      <c r="I59" s="16">
        <v>45996</v>
      </c>
      <c r="J59" s="16">
        <v>46001</v>
      </c>
      <c r="K59" s="1">
        <v>5</v>
      </c>
      <c r="L59" s="1" t="s">
        <v>55</v>
      </c>
      <c r="M59" s="18" t="s">
        <v>55</v>
      </c>
      <c r="N59" s="18" t="s">
        <v>55</v>
      </c>
      <c r="O59" s="18" t="s">
        <v>55</v>
      </c>
      <c r="P59" s="18" t="s">
        <v>55</v>
      </c>
      <c r="Q59" s="18" t="s">
        <v>55</v>
      </c>
      <c r="R59" s="18" t="s">
        <v>55</v>
      </c>
      <c r="S59" s="1">
        <v>1</v>
      </c>
      <c r="T59" s="1">
        <v>1</v>
      </c>
      <c r="U59" s="1">
        <v>0</v>
      </c>
      <c r="V59" s="16">
        <v>46009</v>
      </c>
      <c r="W59" s="16">
        <v>46008</v>
      </c>
      <c r="X59" s="16">
        <v>46009</v>
      </c>
      <c r="Y59" s="16">
        <v>46021</v>
      </c>
      <c r="Z59" s="16">
        <v>46027</v>
      </c>
      <c r="AA59" s="3">
        <f t="shared" si="0"/>
        <v>1</v>
      </c>
      <c r="AB59" s="49" t="s">
        <v>263</v>
      </c>
      <c r="AC59" s="49" t="s">
        <v>264</v>
      </c>
      <c r="AD59" s="19">
        <f t="shared" si="1"/>
        <v>1</v>
      </c>
      <c r="AE59" s="67">
        <f>IFERROR(NETWORKDAYS(B59,I59,Hoja1!$A$1:$A$29),"N/A")</f>
        <v>3</v>
      </c>
      <c r="AF59" s="21">
        <f>IFERROR(NETWORKDAYS(B59,W59,Hoja1!$A$1:$A$29),"N/A")</f>
        <v>10</v>
      </c>
      <c r="AG59" s="78">
        <v>0</v>
      </c>
      <c r="AH59" s="21">
        <f t="shared" si="2"/>
        <v>10</v>
      </c>
      <c r="AI59" s="21">
        <f>IFERROR(NETWORKDAYS(X59,Y59,Hoja1!$A$1:$A$29),"N/A")</f>
        <v>8</v>
      </c>
      <c r="AJ59" s="74">
        <v>3</v>
      </c>
      <c r="AK59" s="75">
        <f t="shared" si="5"/>
        <v>5</v>
      </c>
      <c r="AL59" s="21">
        <f>IFERROR(NETWORKDAYS(B59,Y59,Hoja1!$A$1:$A$29),"N/A")</f>
        <v>18</v>
      </c>
      <c r="AM59" s="21">
        <f t="shared" si="3"/>
        <v>15</v>
      </c>
      <c r="AN59" s="27"/>
      <c r="AO59" s="27"/>
      <c r="AP59" s="27"/>
      <c r="AQ59" s="27"/>
      <c r="AR59" s="27"/>
      <c r="AS59" s="27" t="s">
        <v>1914</v>
      </c>
      <c r="AT59" s="27" t="s">
        <v>1995</v>
      </c>
      <c r="AU59" s="27" t="s">
        <v>2218</v>
      </c>
      <c r="AV59" s="310" t="s">
        <v>2265</v>
      </c>
      <c r="AW59" s="403" t="s">
        <v>2654</v>
      </c>
      <c r="AY59" s="414"/>
    </row>
    <row r="60" spans="1:51" ht="15" customHeight="1" x14ac:dyDescent="0.25">
      <c r="A60" s="295">
        <v>15436</v>
      </c>
      <c r="B60" s="30">
        <v>45996</v>
      </c>
      <c r="C60" s="30">
        <v>45995</v>
      </c>
      <c r="D60" s="3">
        <v>1</v>
      </c>
      <c r="E60" s="40" t="s">
        <v>54</v>
      </c>
      <c r="F60" s="30" t="s">
        <v>55</v>
      </c>
      <c r="G60" s="3">
        <v>4</v>
      </c>
      <c r="H60" s="33" t="s">
        <v>112</v>
      </c>
      <c r="I60" s="30">
        <v>46007</v>
      </c>
      <c r="J60" s="30">
        <v>46028</v>
      </c>
      <c r="K60" s="3">
        <v>4</v>
      </c>
      <c r="L60" s="37" t="s">
        <v>55</v>
      </c>
      <c r="M60" s="18" t="s">
        <v>55</v>
      </c>
      <c r="N60" s="18" t="s">
        <v>55</v>
      </c>
      <c r="O60" s="18" t="s">
        <v>55</v>
      </c>
      <c r="P60" s="18" t="s">
        <v>55</v>
      </c>
      <c r="Q60" s="18" t="s">
        <v>55</v>
      </c>
      <c r="R60" s="18" t="s">
        <v>55</v>
      </c>
      <c r="S60" s="3">
        <v>1</v>
      </c>
      <c r="T60" s="3">
        <v>1</v>
      </c>
      <c r="U60" s="3">
        <v>0</v>
      </c>
      <c r="V60" s="28">
        <v>46030</v>
      </c>
      <c r="W60" s="28">
        <v>46030</v>
      </c>
      <c r="X60" s="28">
        <v>46031</v>
      </c>
      <c r="Y60" s="28">
        <v>46043</v>
      </c>
      <c r="Z60" s="28">
        <v>46044</v>
      </c>
      <c r="AA60" s="3">
        <f t="shared" si="0"/>
        <v>1</v>
      </c>
      <c r="AB60" s="45" t="s">
        <v>266</v>
      </c>
      <c r="AC60" s="45" t="s">
        <v>267</v>
      </c>
      <c r="AD60" s="19">
        <f t="shared" si="1"/>
        <v>1</v>
      </c>
      <c r="AE60" s="67">
        <f>IFERROR(NETWORKDAYS(B60,I60,Hoja1!$A$1:$A$29),"N/A")</f>
        <v>7</v>
      </c>
      <c r="AF60" s="21">
        <f>IFERROR(NETWORKDAYS(B60,W60,Hoja1!$A$1:$A$29),"N/A")</f>
        <v>22</v>
      </c>
      <c r="AG60" s="78">
        <v>7</v>
      </c>
      <c r="AH60" s="21">
        <f t="shared" si="2"/>
        <v>15</v>
      </c>
      <c r="AI60" s="21">
        <f>IFERROR(NETWORKDAYS(X60,Y60,Hoja1!$A$1:$A$29),"N/A")</f>
        <v>8</v>
      </c>
      <c r="AJ60" s="74">
        <v>3</v>
      </c>
      <c r="AK60" s="75">
        <f t="shared" si="5"/>
        <v>5</v>
      </c>
      <c r="AL60" s="21">
        <f>IFERROR(NETWORKDAYS(B60,Y60,Hoja1!$A$1:$A$29),"N/A")</f>
        <v>30</v>
      </c>
      <c r="AM60" s="21">
        <f t="shared" si="3"/>
        <v>20</v>
      </c>
      <c r="AN60" s="45"/>
      <c r="AO60" s="45"/>
      <c r="AP60" s="45"/>
      <c r="AQ60" s="45"/>
      <c r="AR60" s="45"/>
      <c r="AS60" s="45" t="s">
        <v>1908</v>
      </c>
      <c r="AT60" s="45" t="s">
        <v>1994</v>
      </c>
      <c r="AU60" s="45" t="s">
        <v>2211</v>
      </c>
      <c r="AV60" s="309" t="s">
        <v>2231</v>
      </c>
      <c r="AW60" s="403" t="s">
        <v>2655</v>
      </c>
      <c r="AY60" s="415"/>
    </row>
    <row r="61" spans="1:51" ht="15" customHeight="1" x14ac:dyDescent="0.25">
      <c r="A61" s="294">
        <v>15441</v>
      </c>
      <c r="B61" s="15">
        <v>46006</v>
      </c>
      <c r="C61" s="16">
        <v>46000</v>
      </c>
      <c r="D61" s="17">
        <v>1</v>
      </c>
      <c r="E61" s="40" t="s">
        <v>54</v>
      </c>
      <c r="F61" s="16" t="s">
        <v>55</v>
      </c>
      <c r="G61" s="1">
        <v>3</v>
      </c>
      <c r="H61" s="1" t="s">
        <v>112</v>
      </c>
      <c r="I61" s="16">
        <v>46009</v>
      </c>
      <c r="J61" s="16">
        <v>46013</v>
      </c>
      <c r="K61" s="1">
        <v>3</v>
      </c>
      <c r="L61" s="16" t="s">
        <v>55</v>
      </c>
      <c r="M61" s="18" t="s">
        <v>55</v>
      </c>
      <c r="N61" s="18" t="s">
        <v>55</v>
      </c>
      <c r="O61" s="18" t="s">
        <v>55</v>
      </c>
      <c r="P61" s="18" t="s">
        <v>55</v>
      </c>
      <c r="Q61" s="18" t="s">
        <v>55</v>
      </c>
      <c r="R61" s="18" t="s">
        <v>55</v>
      </c>
      <c r="S61" s="1">
        <v>3</v>
      </c>
      <c r="T61" s="1">
        <v>2</v>
      </c>
      <c r="U61" s="1">
        <v>0</v>
      </c>
      <c r="V61" s="16">
        <v>46027</v>
      </c>
      <c r="W61" s="16">
        <v>46029</v>
      </c>
      <c r="X61" s="16">
        <v>46029</v>
      </c>
      <c r="Y61" s="16">
        <v>46044</v>
      </c>
      <c r="Z61" s="16">
        <v>46044</v>
      </c>
      <c r="AA61" s="3">
        <f t="shared" si="0"/>
        <v>1</v>
      </c>
      <c r="AB61" s="27" t="s">
        <v>269</v>
      </c>
      <c r="AC61" s="49" t="s">
        <v>435</v>
      </c>
      <c r="AD61" s="19">
        <f t="shared" si="1"/>
        <v>1</v>
      </c>
      <c r="AE61" s="67">
        <f>IFERROR(NETWORKDAYS(B61,I61,Hoja1!$A$1:$A$29),"N/A")</f>
        <v>4</v>
      </c>
      <c r="AF61" s="21">
        <f>IFERROR(NETWORKDAYS(B61,W61,Hoja1!$A$1:$A$29),"N/A")</f>
        <v>16</v>
      </c>
      <c r="AG61" s="78">
        <v>5</v>
      </c>
      <c r="AH61" s="21">
        <f t="shared" si="2"/>
        <v>11</v>
      </c>
      <c r="AI61" s="21">
        <f>IFERROR(NETWORKDAYS(X61,Y61,Hoja1!$A$1:$A$29),"N/A")</f>
        <v>11</v>
      </c>
      <c r="AJ61" s="74">
        <v>6</v>
      </c>
      <c r="AK61" s="75">
        <f t="shared" si="5"/>
        <v>5</v>
      </c>
      <c r="AL61" s="21">
        <f>IFERROR(NETWORKDAYS(B61,Y61,Hoja1!$A$1:$A$29),"N/A")</f>
        <v>26</v>
      </c>
      <c r="AM61" s="21">
        <f t="shared" si="3"/>
        <v>15</v>
      </c>
      <c r="AN61" s="27" t="s">
        <v>464</v>
      </c>
      <c r="AO61" s="27"/>
      <c r="AP61" s="27"/>
      <c r="AQ61" s="27"/>
      <c r="AR61" s="27"/>
      <c r="AS61" s="27" t="s">
        <v>1903</v>
      </c>
      <c r="AT61" s="27" t="s">
        <v>2025</v>
      </c>
      <c r="AU61" s="27" t="s">
        <v>2210</v>
      </c>
      <c r="AV61" s="310" t="s">
        <v>2266</v>
      </c>
      <c r="AW61" s="403" t="s">
        <v>2656</v>
      </c>
      <c r="AY61" s="414"/>
    </row>
    <row r="62" spans="1:51" ht="15" customHeight="1" x14ac:dyDescent="0.25">
      <c r="A62" s="295">
        <v>15443</v>
      </c>
      <c r="B62" s="30">
        <v>45996</v>
      </c>
      <c r="C62" s="30">
        <v>45996</v>
      </c>
      <c r="D62" s="3">
        <v>1</v>
      </c>
      <c r="E62" s="40" t="s">
        <v>54</v>
      </c>
      <c r="F62" s="30" t="s">
        <v>55</v>
      </c>
      <c r="G62" s="3">
        <v>0</v>
      </c>
      <c r="H62" s="33"/>
      <c r="I62" s="37" t="s">
        <v>55</v>
      </c>
      <c r="J62" s="37" t="s">
        <v>55</v>
      </c>
      <c r="K62" s="3">
        <v>0</v>
      </c>
      <c r="L62" s="37" t="s">
        <v>55</v>
      </c>
      <c r="M62" s="18" t="s">
        <v>55</v>
      </c>
      <c r="N62" s="18" t="s">
        <v>55</v>
      </c>
      <c r="O62" s="18" t="s">
        <v>55</v>
      </c>
      <c r="P62" s="18" t="s">
        <v>55</v>
      </c>
      <c r="Q62" s="18" t="s">
        <v>55</v>
      </c>
      <c r="R62" s="18" t="s">
        <v>55</v>
      </c>
      <c r="S62" s="3">
        <v>1</v>
      </c>
      <c r="T62" s="3">
        <v>1</v>
      </c>
      <c r="U62" s="3">
        <v>0</v>
      </c>
      <c r="V62" s="38" t="s">
        <v>55</v>
      </c>
      <c r="W62" s="38" t="s">
        <v>55</v>
      </c>
      <c r="X62" s="28">
        <v>46007</v>
      </c>
      <c r="Y62" s="28">
        <v>46024</v>
      </c>
      <c r="Z62" s="28">
        <v>46027</v>
      </c>
      <c r="AA62" s="3">
        <f t="shared" si="0"/>
        <v>1</v>
      </c>
      <c r="AB62" s="45" t="s">
        <v>273</v>
      </c>
      <c r="AC62" s="45" t="s">
        <v>274</v>
      </c>
      <c r="AD62" s="19" t="str">
        <f t="shared" si="1"/>
        <v>N/A</v>
      </c>
      <c r="AE62" s="67" t="str">
        <f>IFERROR(NETWORKDAYS(B62,I62,Hoja1!$A$1:$A$29),"N/A")</f>
        <v>N/A</v>
      </c>
      <c r="AF62" s="21" t="str">
        <f>IFERROR(NETWORKDAYS(B62,W62,Hoja1!$A$1:$A$29),"N/A")</f>
        <v>N/A</v>
      </c>
      <c r="AG62" s="78">
        <v>0</v>
      </c>
      <c r="AH62" s="21" t="s">
        <v>82</v>
      </c>
      <c r="AI62" s="21">
        <f>IFERROR(NETWORKDAYS(X62,Y62,Hoja1!$A$1:$A$29),"N/A")</f>
        <v>12</v>
      </c>
      <c r="AJ62" s="74">
        <v>7</v>
      </c>
      <c r="AK62" s="75">
        <f t="shared" si="5"/>
        <v>5</v>
      </c>
      <c r="AL62" s="21">
        <f>IFERROR(NETWORKDAYS(B62,Y62,Hoja1!$A$1:$A$29),"N/A")</f>
        <v>18</v>
      </c>
      <c r="AM62" s="21">
        <f t="shared" si="3"/>
        <v>11</v>
      </c>
      <c r="AN62" s="45"/>
      <c r="AO62" s="45"/>
      <c r="AP62" s="45"/>
      <c r="AQ62" s="45"/>
      <c r="AR62" s="45"/>
      <c r="AS62" s="45" t="s">
        <v>1908</v>
      </c>
      <c r="AT62" s="45" t="s">
        <v>2026</v>
      </c>
      <c r="AU62" s="45" t="s">
        <v>2211</v>
      </c>
      <c r="AV62" s="309" t="s">
        <v>2250</v>
      </c>
      <c r="AW62" s="403" t="s">
        <v>2657</v>
      </c>
      <c r="AY62" s="415"/>
    </row>
    <row r="63" spans="1:51" ht="15" customHeight="1" x14ac:dyDescent="0.25">
      <c r="A63" s="295">
        <v>15446</v>
      </c>
      <c r="B63" s="24">
        <v>45996</v>
      </c>
      <c r="C63" s="39">
        <v>45996</v>
      </c>
      <c r="D63" s="31">
        <v>1</v>
      </c>
      <c r="E63" s="40" t="s">
        <v>54</v>
      </c>
      <c r="F63" s="28" t="s">
        <v>55</v>
      </c>
      <c r="G63" s="34">
        <v>1</v>
      </c>
      <c r="H63" s="34"/>
      <c r="I63" s="28" t="s">
        <v>55</v>
      </c>
      <c r="J63" s="28" t="s">
        <v>55</v>
      </c>
      <c r="K63" s="34">
        <v>0</v>
      </c>
      <c r="L63" s="28" t="s">
        <v>55</v>
      </c>
      <c r="M63" s="18" t="s">
        <v>55</v>
      </c>
      <c r="N63" s="18" t="s">
        <v>55</v>
      </c>
      <c r="O63" s="18" t="s">
        <v>55</v>
      </c>
      <c r="P63" s="18" t="s">
        <v>55</v>
      </c>
      <c r="Q63" s="18" t="s">
        <v>55</v>
      </c>
      <c r="R63" s="18" t="s">
        <v>55</v>
      </c>
      <c r="S63" s="34">
        <v>1</v>
      </c>
      <c r="T63" s="34">
        <v>1</v>
      </c>
      <c r="U63" s="33">
        <v>0</v>
      </c>
      <c r="V63" s="28">
        <v>46007</v>
      </c>
      <c r="W63" s="28">
        <v>46007</v>
      </c>
      <c r="X63" s="28">
        <v>46008</v>
      </c>
      <c r="Y63" s="28">
        <v>46045</v>
      </c>
      <c r="Z63" s="28">
        <v>46048</v>
      </c>
      <c r="AA63" s="3">
        <f t="shared" si="0"/>
        <v>1</v>
      </c>
      <c r="AB63" s="45" t="s">
        <v>277</v>
      </c>
      <c r="AC63" s="47" t="s">
        <v>278</v>
      </c>
      <c r="AD63" s="19">
        <f t="shared" si="1"/>
        <v>0</v>
      </c>
      <c r="AE63" s="67" t="str">
        <f>IFERROR(NETWORKDAYS(B63,I63,Hoja1!$A$1:$A$29),"N/A")</f>
        <v>N/A</v>
      </c>
      <c r="AF63" s="21">
        <f>IFERROR(NETWORKDAYS(B63,W63,Hoja1!$A$1:$A$29),"N/A")</f>
        <v>7</v>
      </c>
      <c r="AG63" s="78">
        <v>0</v>
      </c>
      <c r="AH63" s="21">
        <f t="shared" ref="AH63:AH126" si="6">AF63-AG63</f>
        <v>7</v>
      </c>
      <c r="AI63" s="21">
        <f>IFERROR(NETWORKDAYS(X63,Y63,Hoja1!$A$1:$A$29),"N/A")</f>
        <v>25</v>
      </c>
      <c r="AJ63" s="74">
        <v>20</v>
      </c>
      <c r="AK63" s="75">
        <f t="shared" si="5"/>
        <v>5</v>
      </c>
      <c r="AL63" s="21">
        <f>IFERROR(NETWORKDAYS(B63,Y63,Hoja1!$A$1:$A$29),"N/A")</f>
        <v>32</v>
      </c>
      <c r="AM63" s="21">
        <f t="shared" si="3"/>
        <v>12</v>
      </c>
      <c r="AN63" s="47"/>
      <c r="AO63" s="47"/>
      <c r="AP63" s="47"/>
      <c r="AQ63" s="47"/>
      <c r="AR63" s="47"/>
      <c r="AS63" s="47" t="s">
        <v>1915</v>
      </c>
      <c r="AT63" s="47" t="s">
        <v>2027</v>
      </c>
      <c r="AU63" s="47" t="s">
        <v>2212</v>
      </c>
      <c r="AV63" s="312" t="s">
        <v>2267</v>
      </c>
      <c r="AW63" s="403" t="s">
        <v>2658</v>
      </c>
      <c r="AY63" s="414"/>
    </row>
    <row r="64" spans="1:51" ht="15" customHeight="1" x14ac:dyDescent="0.25">
      <c r="A64" s="295">
        <v>15451</v>
      </c>
      <c r="B64" s="30">
        <v>45994</v>
      </c>
      <c r="C64" s="30">
        <v>46000</v>
      </c>
      <c r="D64" s="3">
        <v>1</v>
      </c>
      <c r="E64" s="40" t="s">
        <v>54</v>
      </c>
      <c r="F64" s="30" t="s">
        <v>55</v>
      </c>
      <c r="G64" s="3">
        <v>3</v>
      </c>
      <c r="H64" s="33" t="s">
        <v>112</v>
      </c>
      <c r="I64" s="30">
        <v>45996</v>
      </c>
      <c r="J64" s="30">
        <v>45999</v>
      </c>
      <c r="K64" s="3">
        <v>3</v>
      </c>
      <c r="L64" s="37" t="s">
        <v>55</v>
      </c>
      <c r="M64" s="18" t="s">
        <v>55</v>
      </c>
      <c r="N64" s="18" t="s">
        <v>55</v>
      </c>
      <c r="O64" s="18" t="s">
        <v>55</v>
      </c>
      <c r="P64" s="18" t="s">
        <v>55</v>
      </c>
      <c r="Q64" s="18" t="s">
        <v>55</v>
      </c>
      <c r="R64" s="18" t="s">
        <v>55</v>
      </c>
      <c r="S64" s="3">
        <v>1</v>
      </c>
      <c r="T64" s="3">
        <v>1</v>
      </c>
      <c r="U64" s="3">
        <v>0</v>
      </c>
      <c r="V64" s="28">
        <v>46001</v>
      </c>
      <c r="W64" s="28">
        <v>46013</v>
      </c>
      <c r="X64" s="28">
        <v>46013</v>
      </c>
      <c r="Y64" s="28">
        <v>46024</v>
      </c>
      <c r="Z64" s="28">
        <v>46027</v>
      </c>
      <c r="AA64" s="3">
        <f t="shared" si="0"/>
        <v>1</v>
      </c>
      <c r="AB64" s="45" t="s">
        <v>280</v>
      </c>
      <c r="AC64" s="45" t="s">
        <v>281</v>
      </c>
      <c r="AD64" s="19">
        <f t="shared" si="1"/>
        <v>1</v>
      </c>
      <c r="AE64" s="67">
        <f>IFERROR(NETWORKDAYS(B64,I64,Hoja1!$A$1:$A$29),"N/A")</f>
        <v>3</v>
      </c>
      <c r="AF64" s="21">
        <f>IFERROR(NETWORKDAYS(B64,W64,Hoja1!$A$1:$A$29),"N/A")</f>
        <v>13</v>
      </c>
      <c r="AG64" s="78">
        <v>0</v>
      </c>
      <c r="AH64" s="21">
        <f t="shared" si="6"/>
        <v>13</v>
      </c>
      <c r="AI64" s="21">
        <f>IFERROR(NETWORKDAYS(X64,Y64,Hoja1!$A$1:$A$29),"N/A")</f>
        <v>8</v>
      </c>
      <c r="AJ64" s="74">
        <v>3</v>
      </c>
      <c r="AK64" s="75">
        <f t="shared" si="5"/>
        <v>5</v>
      </c>
      <c r="AL64" s="21">
        <f>IFERROR(NETWORKDAYS(B64,Y64,Hoja1!$A$1:$A$29),"N/A")</f>
        <v>20</v>
      </c>
      <c r="AM64" s="21">
        <f t="shared" si="3"/>
        <v>17</v>
      </c>
      <c r="AN64" s="45"/>
      <c r="AO64" s="45"/>
      <c r="AP64" s="45"/>
      <c r="AQ64" s="45"/>
      <c r="AR64" s="45"/>
      <c r="AS64" s="45" t="s">
        <v>1891</v>
      </c>
      <c r="AT64" s="45" t="s">
        <v>1996</v>
      </c>
      <c r="AU64" s="45" t="s">
        <v>2211</v>
      </c>
      <c r="AV64" s="309" t="s">
        <v>2231</v>
      </c>
      <c r="AW64" s="403" t="s">
        <v>2659</v>
      </c>
      <c r="AY64" s="415"/>
    </row>
    <row r="65" spans="1:51" ht="15" customHeight="1" x14ac:dyDescent="0.25">
      <c r="A65" s="293">
        <v>15454</v>
      </c>
      <c r="B65" s="37">
        <v>46000</v>
      </c>
      <c r="C65" s="37">
        <v>46000</v>
      </c>
      <c r="D65" s="18">
        <v>1</v>
      </c>
      <c r="E65" s="40" t="s">
        <v>54</v>
      </c>
      <c r="F65" s="18" t="s">
        <v>55</v>
      </c>
      <c r="G65" s="18">
        <v>6</v>
      </c>
      <c r="H65" s="36" t="s">
        <v>112</v>
      </c>
      <c r="I65" s="37">
        <v>46002</v>
      </c>
      <c r="J65" s="37">
        <v>46002</v>
      </c>
      <c r="K65" s="18">
        <v>6</v>
      </c>
      <c r="L65" s="18" t="s">
        <v>55</v>
      </c>
      <c r="M65" s="18" t="s">
        <v>55</v>
      </c>
      <c r="N65" s="18" t="s">
        <v>55</v>
      </c>
      <c r="O65" s="18" t="s">
        <v>55</v>
      </c>
      <c r="P65" s="18" t="s">
        <v>55</v>
      </c>
      <c r="Q65" s="18" t="s">
        <v>55</v>
      </c>
      <c r="R65" s="18" t="s">
        <v>55</v>
      </c>
      <c r="S65" s="18">
        <v>3</v>
      </c>
      <c r="T65" s="18">
        <v>2</v>
      </c>
      <c r="U65" s="18">
        <v>0</v>
      </c>
      <c r="V65" s="38">
        <v>46007</v>
      </c>
      <c r="W65" s="38">
        <v>46007</v>
      </c>
      <c r="X65" s="38">
        <v>46008</v>
      </c>
      <c r="Y65" s="38">
        <v>46021</v>
      </c>
      <c r="Z65" s="53">
        <v>46027</v>
      </c>
      <c r="AA65" s="3">
        <f t="shared" si="0"/>
        <v>1</v>
      </c>
      <c r="AB65" s="51" t="s">
        <v>282</v>
      </c>
      <c r="AC65" s="45" t="s">
        <v>283</v>
      </c>
      <c r="AD65" s="19">
        <f t="shared" si="1"/>
        <v>1</v>
      </c>
      <c r="AE65" s="67">
        <f>IFERROR(NETWORKDAYS(B65,I65,Hoja1!$A$1:$A$29),"N/A")</f>
        <v>3</v>
      </c>
      <c r="AF65" s="21">
        <f>IFERROR(NETWORKDAYS(B65,W65,Hoja1!$A$1:$A$29),"N/A")</f>
        <v>6</v>
      </c>
      <c r="AG65" s="78">
        <v>0</v>
      </c>
      <c r="AH65" s="21">
        <f t="shared" si="6"/>
        <v>6</v>
      </c>
      <c r="AI65" s="21">
        <f>IFERROR(NETWORKDAYS(X65,Y65,Hoja1!$A$1:$A$29),"N/A")</f>
        <v>9</v>
      </c>
      <c r="AJ65" s="74">
        <v>0</v>
      </c>
      <c r="AK65" s="75">
        <f t="shared" si="5"/>
        <v>9</v>
      </c>
      <c r="AL65" s="21">
        <f>IFERROR(NETWORKDAYS(B65,Y65,Hoja1!$A$1:$A$29),"N/A")</f>
        <v>15</v>
      </c>
      <c r="AM65" s="21">
        <f t="shared" si="3"/>
        <v>15</v>
      </c>
      <c r="AN65" s="35"/>
      <c r="AO65" s="35"/>
      <c r="AP65" s="35"/>
      <c r="AQ65" s="35"/>
      <c r="AR65" s="35"/>
      <c r="AS65" s="45" t="s">
        <v>1893</v>
      </c>
      <c r="AT65" s="45" t="s">
        <v>2020</v>
      </c>
      <c r="AU65" s="35" t="s">
        <v>2215</v>
      </c>
      <c r="AV65" s="309" t="s">
        <v>2268</v>
      </c>
      <c r="AW65" s="403" t="s">
        <v>2660</v>
      </c>
      <c r="AY65" s="414"/>
    </row>
    <row r="66" spans="1:51" ht="15" customHeight="1" x14ac:dyDescent="0.25">
      <c r="A66" s="293">
        <v>15455</v>
      </c>
      <c r="B66" s="37">
        <v>46000</v>
      </c>
      <c r="C66" s="37">
        <v>46000</v>
      </c>
      <c r="D66" s="18">
        <v>1</v>
      </c>
      <c r="E66" s="40" t="s">
        <v>54</v>
      </c>
      <c r="F66" s="18" t="s">
        <v>55</v>
      </c>
      <c r="G66" s="18">
        <v>6</v>
      </c>
      <c r="H66" s="36" t="s">
        <v>112</v>
      </c>
      <c r="I66" s="37">
        <v>46007</v>
      </c>
      <c r="J66" s="37">
        <v>46007</v>
      </c>
      <c r="K66" s="18">
        <v>6</v>
      </c>
      <c r="L66" s="18" t="s">
        <v>55</v>
      </c>
      <c r="M66" s="18" t="s">
        <v>55</v>
      </c>
      <c r="N66" s="18" t="s">
        <v>55</v>
      </c>
      <c r="O66" s="18" t="s">
        <v>55</v>
      </c>
      <c r="P66" s="18" t="s">
        <v>55</v>
      </c>
      <c r="Q66" s="18" t="s">
        <v>55</v>
      </c>
      <c r="R66" s="18" t="s">
        <v>55</v>
      </c>
      <c r="S66" s="18">
        <v>1</v>
      </c>
      <c r="T66" s="18">
        <v>1</v>
      </c>
      <c r="U66" s="18">
        <v>0</v>
      </c>
      <c r="V66" s="38">
        <v>46008</v>
      </c>
      <c r="W66" s="38">
        <v>46009</v>
      </c>
      <c r="X66" s="38">
        <v>46009</v>
      </c>
      <c r="Y66" s="38">
        <v>46024</v>
      </c>
      <c r="Z66" s="38">
        <v>46027</v>
      </c>
      <c r="AA66" s="3">
        <f t="shared" ref="AA66" si="7">MONTH(Z66)</f>
        <v>1</v>
      </c>
      <c r="AB66" s="51" t="s">
        <v>284</v>
      </c>
      <c r="AC66" s="45" t="s">
        <v>285</v>
      </c>
      <c r="AD66" s="19">
        <f t="shared" ref="AD66:AD129" si="8">IFERROR(K66/G66,"N/A")</f>
        <v>1</v>
      </c>
      <c r="AE66" s="67">
        <f>IFERROR(NETWORKDAYS(B66,I66,Hoja1!$A$1:$A$29),"N/A")</f>
        <v>6</v>
      </c>
      <c r="AF66" s="21">
        <f>IFERROR(NETWORKDAYS(B66,W66,Hoja1!$A$1:$A$29),"N/A")</f>
        <v>8</v>
      </c>
      <c r="AG66" s="78">
        <v>0</v>
      </c>
      <c r="AH66" s="21">
        <f t="shared" si="6"/>
        <v>8</v>
      </c>
      <c r="AI66" s="21">
        <f>IFERROR(NETWORKDAYS(X66,Y66,Hoja1!$A$1:$A$29),"N/A")</f>
        <v>10</v>
      </c>
      <c r="AJ66" s="74">
        <v>5</v>
      </c>
      <c r="AK66" s="75">
        <f t="shared" si="5"/>
        <v>5</v>
      </c>
      <c r="AL66" s="21">
        <f>IFERROR(NETWORKDAYS(B66,Y66,Hoja1!$A$1:$A$29),"N/A")</f>
        <v>17</v>
      </c>
      <c r="AM66" s="21">
        <f t="shared" ref="AM66:AM129" si="9">AL66-AG66-AJ66</f>
        <v>12</v>
      </c>
      <c r="AN66" s="35"/>
      <c r="AO66" s="35"/>
      <c r="AP66" s="35"/>
      <c r="AQ66" s="35"/>
      <c r="AR66" s="35"/>
      <c r="AS66" s="45" t="s">
        <v>1893</v>
      </c>
      <c r="AT66" s="45" t="s">
        <v>2020</v>
      </c>
      <c r="AU66" s="35" t="s">
        <v>2215</v>
      </c>
      <c r="AV66" s="309" t="s">
        <v>2261</v>
      </c>
      <c r="AW66" s="403" t="s">
        <v>2661</v>
      </c>
      <c r="AY66" s="415"/>
    </row>
    <row r="67" spans="1:51" ht="15" customHeight="1" x14ac:dyDescent="0.25">
      <c r="A67" s="299">
        <v>15458</v>
      </c>
      <c r="B67" s="30">
        <v>46000</v>
      </c>
      <c r="C67" s="28">
        <v>46000</v>
      </c>
      <c r="D67" s="33">
        <v>1</v>
      </c>
      <c r="E67" s="40" t="s">
        <v>54</v>
      </c>
      <c r="F67" s="33" t="s">
        <v>55</v>
      </c>
      <c r="G67" s="33">
        <v>7</v>
      </c>
      <c r="H67" s="33" t="s">
        <v>112</v>
      </c>
      <c r="I67" s="28">
        <v>46014</v>
      </c>
      <c r="J67" s="28">
        <v>46014</v>
      </c>
      <c r="K67" s="33">
        <v>7</v>
      </c>
      <c r="L67" s="33" t="s">
        <v>55</v>
      </c>
      <c r="M67" s="18" t="s">
        <v>55</v>
      </c>
      <c r="N67" s="18" t="s">
        <v>55</v>
      </c>
      <c r="O67" s="18" t="s">
        <v>55</v>
      </c>
      <c r="P67" s="18" t="s">
        <v>55</v>
      </c>
      <c r="Q67" s="18" t="s">
        <v>55</v>
      </c>
      <c r="R67" s="18" t="s">
        <v>55</v>
      </c>
      <c r="S67" s="33">
        <v>1</v>
      </c>
      <c r="T67" s="33">
        <v>1</v>
      </c>
      <c r="U67" s="33">
        <v>0</v>
      </c>
      <c r="V67" s="28">
        <v>46017</v>
      </c>
      <c r="W67" s="28">
        <v>46017</v>
      </c>
      <c r="X67" s="28">
        <v>46017</v>
      </c>
      <c r="Y67" s="28">
        <v>46031</v>
      </c>
      <c r="Z67" s="28">
        <v>46035</v>
      </c>
      <c r="AA67" s="3">
        <v>1</v>
      </c>
      <c r="AB67" s="35" t="s">
        <v>286</v>
      </c>
      <c r="AC67" s="60" t="s">
        <v>287</v>
      </c>
      <c r="AD67" s="19">
        <f t="shared" si="8"/>
        <v>1</v>
      </c>
      <c r="AE67" s="67">
        <f>IFERROR(NETWORKDAYS(B67,I67,Hoja1!$A$1:$A$29),"N/A")</f>
        <v>11</v>
      </c>
      <c r="AF67" s="21">
        <f>IFERROR(NETWORKDAYS(B67,W67,Hoja1!$A$1:$A$29),"N/A")</f>
        <v>13</v>
      </c>
      <c r="AG67" s="78">
        <v>0</v>
      </c>
      <c r="AH67" s="21">
        <f t="shared" si="6"/>
        <v>13</v>
      </c>
      <c r="AI67" s="21">
        <f>IFERROR(NETWORKDAYS(X67,Y67,Hoja1!$A$1:$A$29),"N/A")</f>
        <v>10</v>
      </c>
      <c r="AJ67" s="74">
        <v>5</v>
      </c>
      <c r="AK67" s="75">
        <f t="shared" si="5"/>
        <v>5</v>
      </c>
      <c r="AL67" s="21">
        <f>IFERROR(NETWORKDAYS(B67,Y67,Hoja1!$A$1:$A$29),"N/A")</f>
        <v>22</v>
      </c>
      <c r="AM67" s="21">
        <f t="shared" si="9"/>
        <v>17</v>
      </c>
      <c r="AN67" s="33"/>
      <c r="AO67" s="33"/>
      <c r="AP67" s="33"/>
      <c r="AQ67" s="27"/>
      <c r="AR67" s="27"/>
      <c r="AS67" s="27" t="s">
        <v>1893</v>
      </c>
      <c r="AT67" s="27" t="s">
        <v>2020</v>
      </c>
      <c r="AU67" s="27" t="s">
        <v>2215</v>
      </c>
      <c r="AV67" s="310" t="s">
        <v>2269</v>
      </c>
      <c r="AW67" s="403" t="s">
        <v>2662</v>
      </c>
      <c r="AY67" s="414"/>
    </row>
    <row r="68" spans="1:51" ht="15" customHeight="1" x14ac:dyDescent="0.25">
      <c r="A68" s="295">
        <v>15463</v>
      </c>
      <c r="B68" s="30">
        <v>45978</v>
      </c>
      <c r="C68" s="24">
        <v>46001</v>
      </c>
      <c r="D68" s="3">
        <v>1</v>
      </c>
      <c r="E68" s="40" t="s">
        <v>54</v>
      </c>
      <c r="F68" s="3" t="s">
        <v>55</v>
      </c>
      <c r="G68" s="3">
        <v>8</v>
      </c>
      <c r="H68" s="33" t="s">
        <v>112</v>
      </c>
      <c r="I68" s="30">
        <v>45988</v>
      </c>
      <c r="J68" s="30">
        <v>45988</v>
      </c>
      <c r="K68" s="3">
        <v>8</v>
      </c>
      <c r="L68" s="18" t="s">
        <v>55</v>
      </c>
      <c r="M68" s="18" t="s">
        <v>55</v>
      </c>
      <c r="N68" s="18" t="s">
        <v>55</v>
      </c>
      <c r="O68" s="18" t="s">
        <v>55</v>
      </c>
      <c r="P68" s="18" t="s">
        <v>55</v>
      </c>
      <c r="Q68" s="18" t="s">
        <v>55</v>
      </c>
      <c r="R68" s="18" t="s">
        <v>55</v>
      </c>
      <c r="S68" s="3">
        <v>4</v>
      </c>
      <c r="T68" s="3">
        <v>1</v>
      </c>
      <c r="U68" s="3">
        <v>0</v>
      </c>
      <c r="V68" s="28">
        <v>46007</v>
      </c>
      <c r="W68" s="28">
        <v>46007</v>
      </c>
      <c r="X68" s="28">
        <v>46007</v>
      </c>
      <c r="Y68" s="28">
        <v>46024</v>
      </c>
      <c r="Z68" s="28">
        <v>46027</v>
      </c>
      <c r="AA68" s="3">
        <f t="shared" ref="AA68:AA104" si="10">MONTH(Z68)</f>
        <v>1</v>
      </c>
      <c r="AB68" s="45" t="s">
        <v>290</v>
      </c>
      <c r="AC68" s="49" t="s">
        <v>425</v>
      </c>
      <c r="AD68" s="19">
        <f t="shared" si="8"/>
        <v>1</v>
      </c>
      <c r="AE68" s="67">
        <f>IFERROR(NETWORKDAYS(B68,I68,Hoja1!$A$1:$A$29),"N/A")</f>
        <v>8</v>
      </c>
      <c r="AF68" s="21">
        <f>IFERROR(NETWORKDAYS(B68,W68,Hoja1!$A$1:$A$29),"N/A")</f>
        <v>20</v>
      </c>
      <c r="AG68" s="78">
        <v>0</v>
      </c>
      <c r="AH68" s="21">
        <f t="shared" si="6"/>
        <v>20</v>
      </c>
      <c r="AI68" s="21">
        <f>IFERROR(NETWORKDAYS(X68,Y68,Hoja1!$A$1:$A$29),"N/A")</f>
        <v>12</v>
      </c>
      <c r="AJ68" s="74">
        <v>6</v>
      </c>
      <c r="AK68" s="75">
        <f t="shared" si="5"/>
        <v>6</v>
      </c>
      <c r="AL68" s="21">
        <f>IFERROR(NETWORKDAYS(B68,Y68,Hoja1!$A$1:$A$29),"N/A")</f>
        <v>31</v>
      </c>
      <c r="AM68" s="21">
        <f t="shared" si="9"/>
        <v>25</v>
      </c>
      <c r="AN68" s="45"/>
      <c r="AO68" s="45"/>
      <c r="AP68" s="45"/>
      <c r="AQ68" s="45"/>
      <c r="AR68" s="45"/>
      <c r="AS68" s="45" t="s">
        <v>1895</v>
      </c>
      <c r="AT68" s="45" t="s">
        <v>2028</v>
      </c>
      <c r="AU68" s="45" t="s">
        <v>2216</v>
      </c>
      <c r="AV68" s="309" t="s">
        <v>2270</v>
      </c>
      <c r="AW68" s="403" t="s">
        <v>2663</v>
      </c>
      <c r="AY68" s="415"/>
    </row>
    <row r="69" spans="1:51" ht="15" customHeight="1" x14ac:dyDescent="0.25">
      <c r="A69" s="295">
        <v>15464</v>
      </c>
      <c r="B69" s="24">
        <v>46001</v>
      </c>
      <c r="C69" s="24">
        <v>46001</v>
      </c>
      <c r="D69" s="3">
        <v>1</v>
      </c>
      <c r="E69" s="40" t="s">
        <v>54</v>
      </c>
      <c r="F69" s="3" t="s">
        <v>55</v>
      </c>
      <c r="G69" s="3">
        <v>7</v>
      </c>
      <c r="H69" s="33" t="s">
        <v>112</v>
      </c>
      <c r="I69" s="30">
        <v>46006</v>
      </c>
      <c r="J69" s="30">
        <v>46006</v>
      </c>
      <c r="K69" s="3">
        <v>7</v>
      </c>
      <c r="L69" s="18" t="s">
        <v>55</v>
      </c>
      <c r="M69" s="18" t="s">
        <v>55</v>
      </c>
      <c r="N69" s="18" t="s">
        <v>55</v>
      </c>
      <c r="O69" s="18" t="s">
        <v>55</v>
      </c>
      <c r="P69" s="18" t="s">
        <v>55</v>
      </c>
      <c r="Q69" s="18" t="s">
        <v>55</v>
      </c>
      <c r="R69" s="18" t="s">
        <v>55</v>
      </c>
      <c r="S69" s="3">
        <v>7</v>
      </c>
      <c r="T69" s="3">
        <v>3</v>
      </c>
      <c r="U69" s="3">
        <v>0</v>
      </c>
      <c r="V69" s="28">
        <v>46009</v>
      </c>
      <c r="W69" s="28">
        <v>46009</v>
      </c>
      <c r="X69" s="28">
        <v>46009</v>
      </c>
      <c r="Y69" s="28">
        <v>46024</v>
      </c>
      <c r="Z69" s="28">
        <v>46027</v>
      </c>
      <c r="AA69" s="3">
        <f t="shared" si="10"/>
        <v>1</v>
      </c>
      <c r="AB69" s="45" t="s">
        <v>292</v>
      </c>
      <c r="AC69" s="49" t="s">
        <v>293</v>
      </c>
      <c r="AD69" s="19">
        <f t="shared" si="8"/>
        <v>1</v>
      </c>
      <c r="AE69" s="67">
        <f>IFERROR(NETWORKDAYS(B69,I69,Hoja1!$A$1:$A$29),"N/A")</f>
        <v>4</v>
      </c>
      <c r="AF69" s="21">
        <f>IFERROR(NETWORKDAYS(B69,W69,Hoja1!$A$1:$A$29),"N/A")</f>
        <v>7</v>
      </c>
      <c r="AG69" s="78">
        <v>0</v>
      </c>
      <c r="AH69" s="21">
        <f t="shared" si="6"/>
        <v>7</v>
      </c>
      <c r="AI69" s="21">
        <f>IFERROR(NETWORKDAYS(X69,Y69,Hoja1!$A$1:$A$29),"N/A")</f>
        <v>10</v>
      </c>
      <c r="AJ69" s="74">
        <v>5</v>
      </c>
      <c r="AK69" s="75">
        <f t="shared" si="5"/>
        <v>5</v>
      </c>
      <c r="AL69" s="21">
        <f>IFERROR(NETWORKDAYS(B69,Y69,Hoja1!$A$1:$A$29),"N/A")</f>
        <v>16</v>
      </c>
      <c r="AM69" s="21">
        <f t="shared" si="9"/>
        <v>11</v>
      </c>
      <c r="AN69" s="45"/>
      <c r="AO69" s="45"/>
      <c r="AP69" s="45"/>
      <c r="AQ69" s="45"/>
      <c r="AR69" s="45"/>
      <c r="AS69" s="45" t="s">
        <v>1890</v>
      </c>
      <c r="AT69" s="45" t="s">
        <v>2020</v>
      </c>
      <c r="AU69" s="45" t="s">
        <v>2213</v>
      </c>
      <c r="AV69" s="309" t="s">
        <v>2271</v>
      </c>
      <c r="AW69" s="403" t="s">
        <v>2664</v>
      </c>
      <c r="AY69" s="414"/>
    </row>
    <row r="70" spans="1:51" ht="15" customHeight="1" x14ac:dyDescent="0.25">
      <c r="A70" s="295">
        <v>15466</v>
      </c>
      <c r="B70" s="24">
        <v>46001</v>
      </c>
      <c r="C70" s="24">
        <v>46001</v>
      </c>
      <c r="D70" s="3">
        <v>1</v>
      </c>
      <c r="E70" s="40" t="s">
        <v>54</v>
      </c>
      <c r="F70" s="3" t="s">
        <v>55</v>
      </c>
      <c r="G70" s="3">
        <v>7</v>
      </c>
      <c r="H70" s="33" t="s">
        <v>112</v>
      </c>
      <c r="I70" s="30">
        <v>46006</v>
      </c>
      <c r="J70" s="30">
        <v>46006</v>
      </c>
      <c r="K70" s="3">
        <v>7</v>
      </c>
      <c r="L70" s="18" t="s">
        <v>55</v>
      </c>
      <c r="M70" s="18" t="s">
        <v>55</v>
      </c>
      <c r="N70" s="18" t="s">
        <v>55</v>
      </c>
      <c r="O70" s="18" t="s">
        <v>55</v>
      </c>
      <c r="P70" s="18" t="s">
        <v>55</v>
      </c>
      <c r="Q70" s="18" t="s">
        <v>55</v>
      </c>
      <c r="R70" s="18" t="s">
        <v>55</v>
      </c>
      <c r="S70" s="3">
        <v>7</v>
      </c>
      <c r="T70" s="3">
        <v>3</v>
      </c>
      <c r="U70" s="3">
        <v>0</v>
      </c>
      <c r="V70" s="28">
        <v>46027</v>
      </c>
      <c r="W70" s="28">
        <v>46027</v>
      </c>
      <c r="X70" s="28">
        <v>46027</v>
      </c>
      <c r="Y70" s="28">
        <v>46031</v>
      </c>
      <c r="Z70" s="28">
        <v>46035</v>
      </c>
      <c r="AA70" s="3">
        <f t="shared" si="10"/>
        <v>1</v>
      </c>
      <c r="AB70" s="45" t="s">
        <v>295</v>
      </c>
      <c r="AC70" s="49" t="s">
        <v>426</v>
      </c>
      <c r="AD70" s="19">
        <f t="shared" si="8"/>
        <v>1</v>
      </c>
      <c r="AE70" s="67">
        <f>IFERROR(NETWORKDAYS(B70,I70,Hoja1!$A$1:$A$29),"N/A")</f>
        <v>4</v>
      </c>
      <c r="AF70" s="21">
        <f>IFERROR(NETWORKDAYS(B70,W70,Hoja1!$A$1:$A$29),"N/A")</f>
        <v>17</v>
      </c>
      <c r="AG70" s="78">
        <v>10</v>
      </c>
      <c r="AH70" s="21">
        <f t="shared" si="6"/>
        <v>7</v>
      </c>
      <c r="AI70" s="21">
        <f>IFERROR(NETWORKDAYS(X70,Y70,Hoja1!$A$1:$A$29),"N/A")</f>
        <v>5</v>
      </c>
      <c r="AJ70" s="74">
        <v>0</v>
      </c>
      <c r="AK70" s="75">
        <f t="shared" si="5"/>
        <v>5</v>
      </c>
      <c r="AL70" s="21">
        <f>IFERROR(NETWORKDAYS(B70,Y70,Hoja1!$A$1:$A$29),"N/A")</f>
        <v>21</v>
      </c>
      <c r="AM70" s="21">
        <f t="shared" si="9"/>
        <v>11</v>
      </c>
      <c r="AN70" s="45"/>
      <c r="AO70" s="45"/>
      <c r="AP70" s="45"/>
      <c r="AQ70" s="45"/>
      <c r="AR70" s="45"/>
      <c r="AS70" s="45" t="s">
        <v>1890</v>
      </c>
      <c r="AT70" s="45" t="s">
        <v>2020</v>
      </c>
      <c r="AU70" s="45" t="s">
        <v>2213</v>
      </c>
      <c r="AV70" s="309" t="s">
        <v>2272</v>
      </c>
      <c r="AW70" s="403" t="s">
        <v>2665</v>
      </c>
      <c r="AY70" s="415"/>
    </row>
    <row r="71" spans="1:51" ht="15" customHeight="1" x14ac:dyDescent="0.25">
      <c r="A71" s="295">
        <v>15467</v>
      </c>
      <c r="B71" s="24">
        <v>46001</v>
      </c>
      <c r="C71" s="24">
        <v>46001</v>
      </c>
      <c r="D71" s="3">
        <v>1</v>
      </c>
      <c r="E71" s="40" t="s">
        <v>54</v>
      </c>
      <c r="F71" s="3" t="s">
        <v>55</v>
      </c>
      <c r="G71" s="3">
        <v>7</v>
      </c>
      <c r="H71" s="33" t="s">
        <v>112</v>
      </c>
      <c r="I71" s="30">
        <v>46006</v>
      </c>
      <c r="J71" s="30">
        <v>46006</v>
      </c>
      <c r="K71" s="3">
        <v>7</v>
      </c>
      <c r="L71" s="18" t="s">
        <v>55</v>
      </c>
      <c r="M71" s="18" t="s">
        <v>55</v>
      </c>
      <c r="N71" s="18" t="s">
        <v>55</v>
      </c>
      <c r="O71" s="18" t="s">
        <v>55</v>
      </c>
      <c r="P71" s="18" t="s">
        <v>55</v>
      </c>
      <c r="Q71" s="18" t="s">
        <v>55</v>
      </c>
      <c r="R71" s="18" t="s">
        <v>55</v>
      </c>
      <c r="S71" s="3">
        <v>7</v>
      </c>
      <c r="T71" s="3">
        <v>3</v>
      </c>
      <c r="U71" s="3">
        <v>0</v>
      </c>
      <c r="V71" s="28">
        <v>46009</v>
      </c>
      <c r="W71" s="28">
        <v>46009</v>
      </c>
      <c r="X71" s="28">
        <v>46009</v>
      </c>
      <c r="Y71" s="28">
        <v>46031</v>
      </c>
      <c r="Z71" s="28">
        <v>46035</v>
      </c>
      <c r="AA71" s="3">
        <f t="shared" si="10"/>
        <v>1</v>
      </c>
      <c r="AB71" s="45" t="s">
        <v>297</v>
      </c>
      <c r="AC71" s="49" t="s">
        <v>298</v>
      </c>
      <c r="AD71" s="19">
        <f t="shared" si="8"/>
        <v>1</v>
      </c>
      <c r="AE71" s="67">
        <f>IFERROR(NETWORKDAYS(B71,I71,Hoja1!$A$1:$A$29),"N/A")</f>
        <v>4</v>
      </c>
      <c r="AF71" s="21">
        <f>IFERROR(NETWORKDAYS(B71,W71,Hoja1!$A$1:$A$29),"N/A")</f>
        <v>7</v>
      </c>
      <c r="AG71" s="78">
        <v>0</v>
      </c>
      <c r="AH71" s="21">
        <f t="shared" si="6"/>
        <v>7</v>
      </c>
      <c r="AI71" s="21">
        <f>IFERROR(NETWORKDAYS(X71,Y71,Hoja1!$A$1:$A$29),"N/A")</f>
        <v>15</v>
      </c>
      <c r="AJ71" s="74">
        <v>10</v>
      </c>
      <c r="AK71" s="75">
        <f t="shared" si="5"/>
        <v>5</v>
      </c>
      <c r="AL71" s="21">
        <f>IFERROR(NETWORKDAYS(B71,Y71,Hoja1!$A$1:$A$29),"N/A")</f>
        <v>21</v>
      </c>
      <c r="AM71" s="21">
        <f t="shared" si="9"/>
        <v>11</v>
      </c>
      <c r="AN71" s="45"/>
      <c r="AO71" s="45"/>
      <c r="AP71" s="45"/>
      <c r="AQ71" s="45"/>
      <c r="AR71" s="45"/>
      <c r="AS71" s="45" t="s">
        <v>1890</v>
      </c>
      <c r="AT71" s="45" t="s">
        <v>2020</v>
      </c>
      <c r="AU71" s="45" t="s">
        <v>2213</v>
      </c>
      <c r="AV71" s="309" t="s">
        <v>2273</v>
      </c>
      <c r="AW71" s="403" t="s">
        <v>2666</v>
      </c>
      <c r="AY71" s="414"/>
    </row>
    <row r="72" spans="1:51" ht="15" customHeight="1" x14ac:dyDescent="0.25">
      <c r="A72" s="295">
        <v>15471</v>
      </c>
      <c r="B72" s="44">
        <v>45996</v>
      </c>
      <c r="C72" s="44">
        <v>45973</v>
      </c>
      <c r="D72" s="2">
        <v>1</v>
      </c>
      <c r="E72" s="40" t="s">
        <v>54</v>
      </c>
      <c r="F72" s="2" t="s">
        <v>55</v>
      </c>
      <c r="G72" s="2">
        <v>1</v>
      </c>
      <c r="H72" s="21" t="s">
        <v>112</v>
      </c>
      <c r="I72" s="44">
        <v>46000</v>
      </c>
      <c r="J72" s="44">
        <v>46000</v>
      </c>
      <c r="K72" s="2">
        <v>1</v>
      </c>
      <c r="L72" s="2" t="s">
        <v>55</v>
      </c>
      <c r="M72" s="18" t="s">
        <v>55</v>
      </c>
      <c r="N72" s="18" t="s">
        <v>55</v>
      </c>
      <c r="O72" s="18" t="s">
        <v>55</v>
      </c>
      <c r="P72" s="18" t="s">
        <v>55</v>
      </c>
      <c r="Q72" s="18" t="s">
        <v>55</v>
      </c>
      <c r="R72" s="18" t="s">
        <v>55</v>
      </c>
      <c r="S72" s="2">
        <v>1</v>
      </c>
      <c r="T72" s="2">
        <v>1</v>
      </c>
      <c r="U72" s="2">
        <v>0</v>
      </c>
      <c r="V72" s="53">
        <v>46010</v>
      </c>
      <c r="W72" s="53">
        <v>46010</v>
      </c>
      <c r="X72" s="53">
        <v>46010</v>
      </c>
      <c r="Y72" s="53">
        <v>46017</v>
      </c>
      <c r="Z72" s="53">
        <v>46027</v>
      </c>
      <c r="AA72" s="3">
        <f t="shared" si="10"/>
        <v>1</v>
      </c>
      <c r="AB72" s="46" t="s">
        <v>300</v>
      </c>
      <c r="AC72" s="46" t="s">
        <v>301</v>
      </c>
      <c r="AD72" s="19">
        <f t="shared" si="8"/>
        <v>1</v>
      </c>
      <c r="AE72" s="67">
        <f>IFERROR(NETWORKDAYS(B72,I72,Hoja1!$A$1:$A$29),"N/A")</f>
        <v>2</v>
      </c>
      <c r="AF72" s="21">
        <f>IFERROR(NETWORKDAYS(B72,W72,Hoja1!$A$1:$A$29),"N/A")</f>
        <v>10</v>
      </c>
      <c r="AG72" s="78">
        <v>0</v>
      </c>
      <c r="AH72" s="21">
        <f t="shared" si="6"/>
        <v>10</v>
      </c>
      <c r="AI72" s="21">
        <f>IFERROR(NETWORKDAYS(X72,Y72,Hoja1!$A$1:$A$29),"N/A")</f>
        <v>5</v>
      </c>
      <c r="AJ72" s="78">
        <v>0</v>
      </c>
      <c r="AK72" s="75">
        <f t="shared" si="5"/>
        <v>5</v>
      </c>
      <c r="AL72" s="21">
        <f>IFERROR(NETWORKDAYS(B72,Y72,Hoja1!$A$1:$A$29),"N/A")</f>
        <v>14</v>
      </c>
      <c r="AM72" s="21">
        <f t="shared" si="9"/>
        <v>14</v>
      </c>
      <c r="AN72" s="46"/>
      <c r="AO72" s="46"/>
      <c r="AP72" s="46"/>
      <c r="AQ72" s="46"/>
      <c r="AR72" s="46"/>
      <c r="AS72" s="46" t="s">
        <v>1901</v>
      </c>
      <c r="AT72" s="46" t="s">
        <v>2020</v>
      </c>
      <c r="AU72" s="46" t="s">
        <v>2217</v>
      </c>
      <c r="AV72" s="311" t="s">
        <v>2274</v>
      </c>
      <c r="AW72" s="403" t="s">
        <v>2667</v>
      </c>
      <c r="AY72" s="415"/>
    </row>
    <row r="73" spans="1:51" ht="15" customHeight="1" x14ac:dyDescent="0.25">
      <c r="A73" s="295">
        <v>15472</v>
      </c>
      <c r="B73" s="44">
        <v>45996</v>
      </c>
      <c r="C73" s="44">
        <v>45973</v>
      </c>
      <c r="D73" s="2">
        <v>1</v>
      </c>
      <c r="E73" s="40" t="s">
        <v>54</v>
      </c>
      <c r="F73" s="2" t="s">
        <v>55</v>
      </c>
      <c r="G73" s="2">
        <v>1</v>
      </c>
      <c r="H73" s="21" t="s">
        <v>112</v>
      </c>
      <c r="I73" s="44">
        <v>46000</v>
      </c>
      <c r="J73" s="44">
        <v>46000</v>
      </c>
      <c r="K73" s="2">
        <v>1</v>
      </c>
      <c r="L73" s="2" t="s">
        <v>55</v>
      </c>
      <c r="M73" s="18" t="s">
        <v>55</v>
      </c>
      <c r="N73" s="18" t="s">
        <v>55</v>
      </c>
      <c r="O73" s="18" t="s">
        <v>55</v>
      </c>
      <c r="P73" s="18" t="s">
        <v>55</v>
      </c>
      <c r="Q73" s="18" t="s">
        <v>55</v>
      </c>
      <c r="R73" s="18" t="s">
        <v>55</v>
      </c>
      <c r="S73" s="2">
        <v>1</v>
      </c>
      <c r="T73" s="2">
        <v>1</v>
      </c>
      <c r="U73" s="2">
        <v>0</v>
      </c>
      <c r="V73" s="53">
        <v>46010</v>
      </c>
      <c r="W73" s="53">
        <v>46010</v>
      </c>
      <c r="X73" s="53">
        <v>46010</v>
      </c>
      <c r="Y73" s="53">
        <v>46024</v>
      </c>
      <c r="Z73" s="53">
        <v>46027</v>
      </c>
      <c r="AA73" s="3">
        <f t="shared" si="10"/>
        <v>1</v>
      </c>
      <c r="AB73" s="46" t="s">
        <v>303</v>
      </c>
      <c r="AC73" s="46" t="s">
        <v>304</v>
      </c>
      <c r="AD73" s="19">
        <f t="shared" si="8"/>
        <v>1</v>
      </c>
      <c r="AE73" s="67">
        <f>IFERROR(NETWORKDAYS(B73,I73,Hoja1!$A$1:$A$29),"N/A")</f>
        <v>2</v>
      </c>
      <c r="AF73" s="21">
        <f>IFERROR(NETWORKDAYS(B73,W73,Hoja1!$A$1:$A$29),"N/A")</f>
        <v>10</v>
      </c>
      <c r="AG73" s="78">
        <v>0</v>
      </c>
      <c r="AH73" s="21">
        <f t="shared" si="6"/>
        <v>10</v>
      </c>
      <c r="AI73" s="21">
        <f>IFERROR(NETWORKDAYS(X73,Y73,Hoja1!$A$1:$A$29),"N/A")</f>
        <v>9</v>
      </c>
      <c r="AJ73" s="78">
        <v>5</v>
      </c>
      <c r="AK73" s="75">
        <f t="shared" si="5"/>
        <v>4</v>
      </c>
      <c r="AL73" s="21">
        <f>IFERROR(NETWORKDAYS(B73,Y73,Hoja1!$A$1:$A$29),"N/A")</f>
        <v>18</v>
      </c>
      <c r="AM73" s="21">
        <f t="shared" si="9"/>
        <v>13</v>
      </c>
      <c r="AN73" s="46"/>
      <c r="AO73" s="46"/>
      <c r="AP73" s="46"/>
      <c r="AQ73" s="46"/>
      <c r="AR73" s="46"/>
      <c r="AS73" s="46" t="s">
        <v>1901</v>
      </c>
      <c r="AT73" s="46" t="s">
        <v>2020</v>
      </c>
      <c r="AU73" s="46" t="s">
        <v>2217</v>
      </c>
      <c r="AV73" s="311" t="s">
        <v>2275</v>
      </c>
      <c r="AW73" s="403" t="s">
        <v>2668</v>
      </c>
      <c r="AY73" s="414"/>
    </row>
    <row r="74" spans="1:51" ht="15" customHeight="1" x14ac:dyDescent="0.25">
      <c r="A74" s="293">
        <v>15475</v>
      </c>
      <c r="B74" s="37">
        <v>46002</v>
      </c>
      <c r="C74" s="38">
        <v>46002</v>
      </c>
      <c r="D74" s="3">
        <v>1</v>
      </c>
      <c r="E74" s="40" t="s">
        <v>54</v>
      </c>
      <c r="F74" s="28" t="s">
        <v>55</v>
      </c>
      <c r="G74" s="33">
        <v>0</v>
      </c>
      <c r="H74" s="33"/>
      <c r="I74" s="28" t="s">
        <v>55</v>
      </c>
      <c r="J74" s="28" t="s">
        <v>55</v>
      </c>
      <c r="K74" s="33">
        <v>0</v>
      </c>
      <c r="L74" s="28" t="s">
        <v>55</v>
      </c>
      <c r="M74" s="18" t="s">
        <v>55</v>
      </c>
      <c r="N74" s="18" t="s">
        <v>55</v>
      </c>
      <c r="O74" s="18" t="s">
        <v>55</v>
      </c>
      <c r="P74" s="18" t="s">
        <v>55</v>
      </c>
      <c r="Q74" s="18" t="s">
        <v>55</v>
      </c>
      <c r="R74" s="18" t="s">
        <v>55</v>
      </c>
      <c r="S74" s="33">
        <v>1</v>
      </c>
      <c r="T74" s="33">
        <v>1</v>
      </c>
      <c r="U74" s="33">
        <v>0</v>
      </c>
      <c r="V74" s="28">
        <v>46008</v>
      </c>
      <c r="W74" s="28">
        <v>46013</v>
      </c>
      <c r="X74" s="28">
        <v>46013</v>
      </c>
      <c r="Y74" s="28">
        <v>46044</v>
      </c>
      <c r="Z74" s="28">
        <v>46045</v>
      </c>
      <c r="AA74" s="3">
        <f t="shared" si="10"/>
        <v>1</v>
      </c>
      <c r="AB74" s="45" t="s">
        <v>307</v>
      </c>
      <c r="AC74" s="45" t="s">
        <v>308</v>
      </c>
      <c r="AD74" s="19" t="str">
        <f t="shared" si="8"/>
        <v>N/A</v>
      </c>
      <c r="AE74" s="67" t="str">
        <f>IFERROR(NETWORKDAYS(B74,I74,Hoja1!$A$1:$A$29),"N/A")</f>
        <v>N/A</v>
      </c>
      <c r="AF74" s="21">
        <f>IFERROR(NETWORKDAYS(B74,W74,Hoja1!$A$1:$A$29),"N/A")</f>
        <v>8</v>
      </c>
      <c r="AG74" s="78">
        <v>0</v>
      </c>
      <c r="AH74" s="21">
        <f t="shared" si="6"/>
        <v>8</v>
      </c>
      <c r="AI74" s="21">
        <f>IFERROR(NETWORKDAYS(X74,Y74,Hoja1!$A$1:$A$29),"N/A")</f>
        <v>21</v>
      </c>
      <c r="AJ74" s="74">
        <v>16</v>
      </c>
      <c r="AK74" s="75">
        <f t="shared" si="5"/>
        <v>5</v>
      </c>
      <c r="AL74" s="21">
        <f>IFERROR(NETWORKDAYS(B74,Y74,Hoja1!$A$1:$A$29),"N/A")</f>
        <v>28</v>
      </c>
      <c r="AM74" s="21">
        <f t="shared" si="9"/>
        <v>12</v>
      </c>
      <c r="AN74" s="45"/>
      <c r="AO74" s="45"/>
      <c r="AP74" s="45"/>
      <c r="AQ74" s="45"/>
      <c r="AR74" s="45"/>
      <c r="AS74" s="45" t="s">
        <v>1889</v>
      </c>
      <c r="AT74" s="45" t="s">
        <v>2029</v>
      </c>
      <c r="AU74" s="45" t="s">
        <v>2212</v>
      </c>
      <c r="AV74" s="309" t="s">
        <v>2276</v>
      </c>
      <c r="AW74" s="403" t="s">
        <v>2669</v>
      </c>
      <c r="AY74" s="415"/>
    </row>
    <row r="75" spans="1:51" ht="15" customHeight="1" x14ac:dyDescent="0.25">
      <c r="A75" s="295">
        <v>15480</v>
      </c>
      <c r="B75" s="30">
        <v>46000</v>
      </c>
      <c r="C75" s="24">
        <v>46003</v>
      </c>
      <c r="D75" s="3">
        <v>1</v>
      </c>
      <c r="E75" s="40" t="s">
        <v>54</v>
      </c>
      <c r="F75" s="3" t="s">
        <v>55</v>
      </c>
      <c r="G75" s="3">
        <v>3</v>
      </c>
      <c r="H75" s="33" t="s">
        <v>112</v>
      </c>
      <c r="I75" s="30">
        <v>46007</v>
      </c>
      <c r="J75" s="30">
        <v>46007</v>
      </c>
      <c r="K75" s="3">
        <v>3</v>
      </c>
      <c r="L75" s="18" t="s">
        <v>55</v>
      </c>
      <c r="M75" s="18" t="s">
        <v>55</v>
      </c>
      <c r="N75" s="18" t="s">
        <v>55</v>
      </c>
      <c r="O75" s="18" t="s">
        <v>55</v>
      </c>
      <c r="P75" s="18" t="s">
        <v>55</v>
      </c>
      <c r="Q75" s="18" t="s">
        <v>55</v>
      </c>
      <c r="R75" s="18" t="s">
        <v>55</v>
      </c>
      <c r="S75" s="3">
        <v>3</v>
      </c>
      <c r="T75" s="3">
        <v>1</v>
      </c>
      <c r="U75" s="3">
        <v>0</v>
      </c>
      <c r="V75" s="28">
        <v>46010</v>
      </c>
      <c r="W75" s="28">
        <v>46010</v>
      </c>
      <c r="X75" s="28">
        <v>46010</v>
      </c>
      <c r="Y75" s="28">
        <v>46031</v>
      </c>
      <c r="Z75" s="28">
        <v>46035</v>
      </c>
      <c r="AA75" s="3">
        <f t="shared" si="10"/>
        <v>1</v>
      </c>
      <c r="AB75" s="45" t="s">
        <v>310</v>
      </c>
      <c r="AC75" s="49" t="s">
        <v>311</v>
      </c>
      <c r="AD75" s="19">
        <f t="shared" si="8"/>
        <v>1</v>
      </c>
      <c r="AE75" s="67">
        <f>IFERROR(NETWORKDAYS(B75,I75,Hoja1!$A$1:$A$29),"N/A")</f>
        <v>6</v>
      </c>
      <c r="AF75" s="21">
        <f>IFERROR(NETWORKDAYS(B75,W75,Hoja1!$A$1:$A$29),"N/A")</f>
        <v>9</v>
      </c>
      <c r="AG75" s="78">
        <v>0</v>
      </c>
      <c r="AH75" s="21">
        <f t="shared" si="6"/>
        <v>9</v>
      </c>
      <c r="AI75" s="21">
        <f>IFERROR(NETWORKDAYS(X75,Y75,Hoja1!$A$1:$A$29),"N/A")</f>
        <v>14</v>
      </c>
      <c r="AJ75" s="74">
        <v>9</v>
      </c>
      <c r="AK75" s="75">
        <f t="shared" si="5"/>
        <v>5</v>
      </c>
      <c r="AL75" s="21">
        <f>IFERROR(NETWORKDAYS(B75,Y75,Hoja1!$A$1:$A$29),"N/A")</f>
        <v>22</v>
      </c>
      <c r="AM75" s="21">
        <f t="shared" si="9"/>
        <v>13</v>
      </c>
      <c r="AN75" s="45"/>
      <c r="AO75" s="45"/>
      <c r="AP75" s="45"/>
      <c r="AQ75" s="45"/>
      <c r="AR75" s="45"/>
      <c r="AS75" s="45" t="s">
        <v>1890</v>
      </c>
      <c r="AT75" s="45" t="s">
        <v>1995</v>
      </c>
      <c r="AU75" s="45" t="s">
        <v>2213</v>
      </c>
      <c r="AV75" s="309" t="s">
        <v>2271</v>
      </c>
      <c r="AW75" s="403" t="s">
        <v>2670</v>
      </c>
      <c r="AY75" s="414"/>
    </row>
    <row r="76" spans="1:51" ht="15" customHeight="1" x14ac:dyDescent="0.25">
      <c r="A76" s="295">
        <v>15484</v>
      </c>
      <c r="B76" s="28">
        <v>46006</v>
      </c>
      <c r="C76" s="28">
        <v>46006</v>
      </c>
      <c r="D76" s="3">
        <v>1</v>
      </c>
      <c r="E76" s="40" t="s">
        <v>54</v>
      </c>
      <c r="F76" s="28" t="s">
        <v>55</v>
      </c>
      <c r="G76" s="33">
        <v>6</v>
      </c>
      <c r="H76" s="33" t="s">
        <v>56</v>
      </c>
      <c r="I76" s="28">
        <v>46031</v>
      </c>
      <c r="J76" s="28">
        <v>46031</v>
      </c>
      <c r="K76" s="33">
        <v>6</v>
      </c>
      <c r="L76" s="28" t="s">
        <v>55</v>
      </c>
      <c r="M76" s="18" t="s">
        <v>55</v>
      </c>
      <c r="N76" s="18" t="s">
        <v>55</v>
      </c>
      <c r="O76" s="18" t="s">
        <v>55</v>
      </c>
      <c r="P76" s="18" t="s">
        <v>55</v>
      </c>
      <c r="Q76" s="18" t="s">
        <v>55</v>
      </c>
      <c r="R76" s="18" t="s">
        <v>55</v>
      </c>
      <c r="S76" s="33">
        <v>1</v>
      </c>
      <c r="T76" s="33">
        <v>1</v>
      </c>
      <c r="U76" s="33">
        <v>0</v>
      </c>
      <c r="V76" s="28">
        <v>46036</v>
      </c>
      <c r="W76" s="28">
        <v>46036</v>
      </c>
      <c r="X76" s="28">
        <v>46036</v>
      </c>
      <c r="Y76" s="28">
        <v>46043</v>
      </c>
      <c r="Z76" s="28">
        <v>46044</v>
      </c>
      <c r="AA76" s="3">
        <f t="shared" si="10"/>
        <v>1</v>
      </c>
      <c r="AB76" s="50" t="s">
        <v>312</v>
      </c>
      <c r="AC76" s="45" t="s">
        <v>313</v>
      </c>
      <c r="AD76" s="19">
        <f t="shared" si="8"/>
        <v>1</v>
      </c>
      <c r="AE76" s="67">
        <f>IFERROR(NETWORKDAYS(B76,I76,Hoja1!$A$1:$A$29),"N/A")</f>
        <v>18</v>
      </c>
      <c r="AF76" s="21">
        <f>IFERROR(NETWORKDAYS(B76,W76,Hoja1!$A$1:$A$29),"N/A")</f>
        <v>20</v>
      </c>
      <c r="AG76" s="78">
        <v>5</v>
      </c>
      <c r="AH76" s="21">
        <f t="shared" si="6"/>
        <v>15</v>
      </c>
      <c r="AI76" s="21">
        <f>IFERROR(NETWORKDAYS(X76,Y76,Hoja1!$A$1:$A$29),"N/A")</f>
        <v>6</v>
      </c>
      <c r="AJ76" s="74">
        <v>1</v>
      </c>
      <c r="AK76" s="75">
        <f t="shared" si="5"/>
        <v>5</v>
      </c>
      <c r="AL76" s="21">
        <f>IFERROR(NETWORKDAYS(B76,Y76,Hoja1!$A$1:$A$29),"N/A")</f>
        <v>25</v>
      </c>
      <c r="AM76" s="21">
        <f t="shared" si="9"/>
        <v>19</v>
      </c>
      <c r="AN76" s="45"/>
      <c r="AO76" s="45"/>
      <c r="AP76" s="45"/>
      <c r="AQ76" s="45"/>
      <c r="AR76" s="45"/>
      <c r="AS76" s="45" t="s">
        <v>1906</v>
      </c>
      <c r="AT76" s="45" t="s">
        <v>1994</v>
      </c>
      <c r="AU76" s="45" t="s">
        <v>2212</v>
      </c>
      <c r="AV76" s="309" t="s">
        <v>2233</v>
      </c>
      <c r="AW76" s="403" t="s">
        <v>2671</v>
      </c>
      <c r="AY76" s="415"/>
    </row>
    <row r="77" spans="1:51" ht="15" customHeight="1" x14ac:dyDescent="0.25">
      <c r="A77" s="300">
        <v>15488</v>
      </c>
      <c r="B77" s="276">
        <v>46015</v>
      </c>
      <c r="C77" s="277">
        <v>46006</v>
      </c>
      <c r="D77" s="128">
        <v>1</v>
      </c>
      <c r="E77" s="244" t="s">
        <v>54</v>
      </c>
      <c r="F77" s="126" t="s">
        <v>55</v>
      </c>
      <c r="G77" s="83">
        <v>3</v>
      </c>
      <c r="H77" s="83" t="s">
        <v>56</v>
      </c>
      <c r="I77" s="126">
        <v>46013</v>
      </c>
      <c r="J77" s="126">
        <v>46013</v>
      </c>
      <c r="K77" s="83">
        <v>3</v>
      </c>
      <c r="L77" s="126" t="s">
        <v>55</v>
      </c>
      <c r="M77" s="125" t="s">
        <v>55</v>
      </c>
      <c r="N77" s="125" t="s">
        <v>55</v>
      </c>
      <c r="O77" s="125" t="s">
        <v>55</v>
      </c>
      <c r="P77" s="125" t="s">
        <v>55</v>
      </c>
      <c r="Q77" s="125" t="s">
        <v>55</v>
      </c>
      <c r="R77" s="125" t="s">
        <v>55</v>
      </c>
      <c r="S77" s="83">
        <v>1</v>
      </c>
      <c r="T77" s="83">
        <v>1</v>
      </c>
      <c r="U77" s="83">
        <v>0</v>
      </c>
      <c r="V77" s="126">
        <v>46027</v>
      </c>
      <c r="W77" s="126">
        <v>46028</v>
      </c>
      <c r="X77" s="126">
        <v>46028</v>
      </c>
      <c r="Y77" s="126">
        <v>46044</v>
      </c>
      <c r="Z77" s="126">
        <v>46045</v>
      </c>
      <c r="AA77" s="79">
        <f t="shared" si="10"/>
        <v>1</v>
      </c>
      <c r="AB77" s="82" t="s">
        <v>315</v>
      </c>
      <c r="AC77" s="82" t="s">
        <v>316</v>
      </c>
      <c r="AD77" s="19">
        <f t="shared" si="8"/>
        <v>1</v>
      </c>
      <c r="AE77" s="67">
        <f>IFERROR(NETWORKDAYS(B77,I77,Hoja1!$A$1:$A$29),"N/A")</f>
        <v>-3</v>
      </c>
      <c r="AF77" s="21">
        <f>IFERROR(NETWORKDAYS(B77,W77,Hoja1!$A$1:$A$29),"N/A")</f>
        <v>8</v>
      </c>
      <c r="AG77" s="271">
        <v>0</v>
      </c>
      <c r="AH77" s="100">
        <f t="shared" si="6"/>
        <v>8</v>
      </c>
      <c r="AI77" s="21">
        <f>IFERROR(NETWORKDAYS(X77,Y77,Hoja1!$A$1:$A$29),"N/A")</f>
        <v>12</v>
      </c>
      <c r="AJ77" s="101">
        <v>7</v>
      </c>
      <c r="AK77" s="102">
        <f t="shared" si="5"/>
        <v>5</v>
      </c>
      <c r="AL77" s="21">
        <f>IFERROR(NETWORKDAYS(B77,Y77,Hoja1!$A$1:$A$29),"N/A")</f>
        <v>19</v>
      </c>
      <c r="AM77" s="100">
        <f t="shared" si="9"/>
        <v>12</v>
      </c>
      <c r="AN77" s="76"/>
      <c r="AO77" s="76"/>
      <c r="AP77" s="76"/>
      <c r="AQ77" s="76"/>
      <c r="AR77" s="76"/>
      <c r="AS77" s="76" t="s">
        <v>1916</v>
      </c>
      <c r="AT77" s="76" t="s">
        <v>2030</v>
      </c>
      <c r="AU77" s="76" t="s">
        <v>2210</v>
      </c>
      <c r="AV77" s="313" t="s">
        <v>2242</v>
      </c>
      <c r="AW77" s="403" t="s">
        <v>2672</v>
      </c>
      <c r="AY77" s="414"/>
    </row>
    <row r="78" spans="1:51" ht="15" customHeight="1" x14ac:dyDescent="0.25">
      <c r="A78" s="295">
        <v>15493</v>
      </c>
      <c r="B78" s="30">
        <v>46006</v>
      </c>
      <c r="C78" s="28">
        <v>46006</v>
      </c>
      <c r="D78" s="3">
        <v>1</v>
      </c>
      <c r="E78" s="40" t="s">
        <v>54</v>
      </c>
      <c r="F78" s="28" t="s">
        <v>55</v>
      </c>
      <c r="G78" s="33">
        <v>0</v>
      </c>
      <c r="H78" s="33"/>
      <c r="I78" s="28" t="s">
        <v>55</v>
      </c>
      <c r="J78" s="28" t="s">
        <v>55</v>
      </c>
      <c r="K78" s="33">
        <v>0</v>
      </c>
      <c r="L78" s="28" t="s">
        <v>55</v>
      </c>
      <c r="M78" s="18" t="s">
        <v>55</v>
      </c>
      <c r="N78" s="18" t="s">
        <v>55</v>
      </c>
      <c r="O78" s="18" t="s">
        <v>55</v>
      </c>
      <c r="P78" s="18" t="s">
        <v>55</v>
      </c>
      <c r="Q78" s="18" t="s">
        <v>55</v>
      </c>
      <c r="R78" s="18" t="s">
        <v>55</v>
      </c>
      <c r="S78" s="33">
        <v>1</v>
      </c>
      <c r="T78" s="33">
        <v>1</v>
      </c>
      <c r="U78" s="33">
        <v>0</v>
      </c>
      <c r="V78" s="28">
        <v>46009</v>
      </c>
      <c r="W78" s="28">
        <v>46010</v>
      </c>
      <c r="X78" s="28">
        <v>46013</v>
      </c>
      <c r="Y78" s="28">
        <v>46024</v>
      </c>
      <c r="Z78" s="28">
        <v>46027</v>
      </c>
      <c r="AA78" s="3">
        <f t="shared" si="10"/>
        <v>1</v>
      </c>
      <c r="AB78" s="45" t="s">
        <v>318</v>
      </c>
      <c r="AC78" s="45" t="s">
        <v>319</v>
      </c>
      <c r="AD78" s="19" t="str">
        <f t="shared" si="8"/>
        <v>N/A</v>
      </c>
      <c r="AE78" s="67" t="str">
        <f>IFERROR(NETWORKDAYS(B78,I78,Hoja1!$A$1:$A$29),"N/A")</f>
        <v>N/A</v>
      </c>
      <c r="AF78" s="21">
        <f>IFERROR(NETWORKDAYS(B78,W78,Hoja1!$A$1:$A$29),"N/A")</f>
        <v>5</v>
      </c>
      <c r="AG78" s="78">
        <v>0</v>
      </c>
      <c r="AH78" s="21">
        <f t="shared" si="6"/>
        <v>5</v>
      </c>
      <c r="AI78" s="21">
        <f>IFERROR(NETWORKDAYS(X78,Y78,Hoja1!$A$1:$A$29),"N/A")</f>
        <v>8</v>
      </c>
      <c r="AJ78" s="74">
        <v>3</v>
      </c>
      <c r="AK78" s="75">
        <f t="shared" si="5"/>
        <v>5</v>
      </c>
      <c r="AL78" s="21">
        <f>IFERROR(NETWORKDAYS(B78,Y78,Hoja1!$A$1:$A$29),"N/A")</f>
        <v>13</v>
      </c>
      <c r="AM78" s="21">
        <f t="shared" si="9"/>
        <v>10</v>
      </c>
      <c r="AN78" s="45"/>
      <c r="AO78" s="45"/>
      <c r="AP78" s="45"/>
      <c r="AQ78" s="45"/>
      <c r="AR78" s="45"/>
      <c r="AS78" s="45" t="s">
        <v>1889</v>
      </c>
      <c r="AT78" s="45" t="s">
        <v>2031</v>
      </c>
      <c r="AU78" s="45" t="s">
        <v>2212</v>
      </c>
      <c r="AV78" s="309" t="s">
        <v>2277</v>
      </c>
      <c r="AW78" s="403" t="s">
        <v>2673</v>
      </c>
      <c r="AY78" s="415"/>
    </row>
    <row r="79" spans="1:51" ht="15" customHeight="1" x14ac:dyDescent="0.25">
      <c r="A79" s="293">
        <v>15500</v>
      </c>
      <c r="B79" s="37">
        <v>45992</v>
      </c>
      <c r="C79" s="37">
        <v>46007</v>
      </c>
      <c r="D79" s="18">
        <v>1</v>
      </c>
      <c r="E79" s="40" t="s">
        <v>54</v>
      </c>
      <c r="F79" s="18" t="s">
        <v>55</v>
      </c>
      <c r="G79" s="18">
        <v>1</v>
      </c>
      <c r="H79" s="36" t="s">
        <v>112</v>
      </c>
      <c r="I79" s="37">
        <v>46007</v>
      </c>
      <c r="J79" s="37">
        <v>46007</v>
      </c>
      <c r="K79" s="18">
        <v>1</v>
      </c>
      <c r="L79" s="18" t="s">
        <v>55</v>
      </c>
      <c r="M79" s="18" t="s">
        <v>55</v>
      </c>
      <c r="N79" s="18" t="s">
        <v>55</v>
      </c>
      <c r="O79" s="18" t="s">
        <v>55</v>
      </c>
      <c r="P79" s="18" t="s">
        <v>55</v>
      </c>
      <c r="Q79" s="18" t="s">
        <v>55</v>
      </c>
      <c r="R79" s="18" t="s">
        <v>55</v>
      </c>
      <c r="S79" s="18">
        <v>1</v>
      </c>
      <c r="T79" s="18">
        <v>1</v>
      </c>
      <c r="U79" s="18">
        <v>0</v>
      </c>
      <c r="V79" s="38">
        <v>46009</v>
      </c>
      <c r="W79" s="38">
        <v>46009</v>
      </c>
      <c r="X79" s="38">
        <v>46009</v>
      </c>
      <c r="Y79" s="38">
        <v>46024</v>
      </c>
      <c r="Z79" s="53">
        <v>46027</v>
      </c>
      <c r="AA79" s="3">
        <f t="shared" si="10"/>
        <v>1</v>
      </c>
      <c r="AB79" s="35" t="s">
        <v>322</v>
      </c>
      <c r="AC79" s="45" t="s">
        <v>323</v>
      </c>
      <c r="AD79" s="19">
        <f t="shared" si="8"/>
        <v>1</v>
      </c>
      <c r="AE79" s="67">
        <f>IFERROR(NETWORKDAYS(B79,I79,Hoja1!$A$1:$A$29),"N/A")</f>
        <v>11</v>
      </c>
      <c r="AF79" s="21">
        <f>IFERROR(NETWORKDAYS(B79,W79,Hoja1!$A$1:$A$29),"N/A")</f>
        <v>13</v>
      </c>
      <c r="AG79" s="78">
        <v>0</v>
      </c>
      <c r="AH79" s="21">
        <f t="shared" si="6"/>
        <v>13</v>
      </c>
      <c r="AI79" s="21">
        <f>IFERROR(NETWORKDAYS(X79,Y79,Hoja1!$A$1:$A$29),"N/A")</f>
        <v>10</v>
      </c>
      <c r="AJ79" s="74">
        <v>4</v>
      </c>
      <c r="AK79" s="75">
        <f t="shared" si="5"/>
        <v>6</v>
      </c>
      <c r="AL79" s="21">
        <f>IFERROR(NETWORKDAYS(B79,Y79,Hoja1!$A$1:$A$29),"N/A")</f>
        <v>22</v>
      </c>
      <c r="AM79" s="21">
        <f t="shared" si="9"/>
        <v>18</v>
      </c>
      <c r="AN79" s="35"/>
      <c r="AO79" s="35"/>
      <c r="AP79" s="35"/>
      <c r="AQ79" s="35"/>
      <c r="AR79" s="35"/>
      <c r="AS79" s="45" t="s">
        <v>1917</v>
      </c>
      <c r="AT79" s="45" t="s">
        <v>1995</v>
      </c>
      <c r="AU79" s="35" t="s">
        <v>2215</v>
      </c>
      <c r="AV79" s="309" t="s">
        <v>2241</v>
      </c>
      <c r="AW79" s="403" t="s">
        <v>2674</v>
      </c>
      <c r="AY79" s="414"/>
    </row>
    <row r="80" spans="1:51" ht="15" customHeight="1" x14ac:dyDescent="0.25">
      <c r="A80" s="295">
        <v>15506</v>
      </c>
      <c r="B80" s="30">
        <v>46007</v>
      </c>
      <c r="C80" s="42">
        <v>46007</v>
      </c>
      <c r="D80" s="3">
        <v>1</v>
      </c>
      <c r="E80" s="40" t="s">
        <v>54</v>
      </c>
      <c r="F80" s="30" t="s">
        <v>55</v>
      </c>
      <c r="G80" s="3">
        <v>0</v>
      </c>
      <c r="H80" s="33"/>
      <c r="I80" s="37" t="s">
        <v>55</v>
      </c>
      <c r="J80" s="37" t="s">
        <v>55</v>
      </c>
      <c r="K80" s="3">
        <v>0</v>
      </c>
      <c r="L80" s="37" t="s">
        <v>55</v>
      </c>
      <c r="M80" s="18" t="s">
        <v>55</v>
      </c>
      <c r="N80" s="18" t="s">
        <v>55</v>
      </c>
      <c r="O80" s="18" t="s">
        <v>55</v>
      </c>
      <c r="P80" s="18" t="s">
        <v>55</v>
      </c>
      <c r="Q80" s="18" t="s">
        <v>55</v>
      </c>
      <c r="R80" s="18" t="s">
        <v>55</v>
      </c>
      <c r="S80" s="3">
        <v>1</v>
      </c>
      <c r="T80" s="3">
        <v>1</v>
      </c>
      <c r="U80" s="3">
        <v>0</v>
      </c>
      <c r="V80" s="28">
        <v>46013</v>
      </c>
      <c r="W80" s="28">
        <v>46013</v>
      </c>
      <c r="X80" s="28">
        <v>46013</v>
      </c>
      <c r="Y80" s="28">
        <v>46024</v>
      </c>
      <c r="Z80" s="28">
        <v>46027</v>
      </c>
      <c r="AA80" s="3">
        <f t="shared" si="10"/>
        <v>1</v>
      </c>
      <c r="AB80" s="45" t="s">
        <v>324</v>
      </c>
      <c r="AC80" s="45" t="s">
        <v>325</v>
      </c>
      <c r="AD80" s="19" t="str">
        <f t="shared" si="8"/>
        <v>N/A</v>
      </c>
      <c r="AE80" s="67" t="str">
        <f>IFERROR(NETWORKDAYS(B80,I80,Hoja1!$A$1:$A$29),"N/A")</f>
        <v>N/A</v>
      </c>
      <c r="AF80" s="21">
        <f>IFERROR(NETWORKDAYS(B80,W80,Hoja1!$A$1:$A$29),"N/A")</f>
        <v>5</v>
      </c>
      <c r="AG80" s="78">
        <v>0</v>
      </c>
      <c r="AH80" s="21">
        <f t="shared" si="6"/>
        <v>5</v>
      </c>
      <c r="AI80" s="21">
        <f>IFERROR(NETWORKDAYS(X80,Y80,Hoja1!$A$1:$A$29),"N/A")</f>
        <v>8</v>
      </c>
      <c r="AJ80" s="74">
        <v>3</v>
      </c>
      <c r="AK80" s="75">
        <f t="shared" si="5"/>
        <v>5</v>
      </c>
      <c r="AL80" s="21">
        <f>IFERROR(NETWORKDAYS(B80,Y80,Hoja1!$A$1:$A$29),"N/A")</f>
        <v>12</v>
      </c>
      <c r="AM80" s="21">
        <f t="shared" si="9"/>
        <v>9</v>
      </c>
      <c r="AN80" s="45"/>
      <c r="AO80" s="45"/>
      <c r="AP80" s="45"/>
      <c r="AQ80" s="45"/>
      <c r="AR80" s="45"/>
      <c r="AS80" s="45" t="s">
        <v>1888</v>
      </c>
      <c r="AT80" s="45" t="s">
        <v>2032</v>
      </c>
      <c r="AU80" s="45" t="s">
        <v>2211</v>
      </c>
      <c r="AV80" s="309" t="s">
        <v>2278</v>
      </c>
      <c r="AW80" s="403" t="s">
        <v>2675</v>
      </c>
      <c r="AY80" s="415"/>
    </row>
    <row r="81" spans="1:51" ht="15" customHeight="1" x14ac:dyDescent="0.25">
      <c r="A81" s="295">
        <v>15507</v>
      </c>
      <c r="B81" s="44">
        <v>46010</v>
      </c>
      <c r="C81" s="44">
        <v>46015</v>
      </c>
      <c r="D81" s="2">
        <v>1</v>
      </c>
      <c r="E81" s="40" t="s">
        <v>54</v>
      </c>
      <c r="F81" s="2" t="s">
        <v>55</v>
      </c>
      <c r="G81" s="2">
        <v>1</v>
      </c>
      <c r="H81" s="21" t="s">
        <v>112</v>
      </c>
      <c r="I81" s="44">
        <v>46013</v>
      </c>
      <c r="J81" s="44">
        <v>46013</v>
      </c>
      <c r="K81" s="2">
        <v>1</v>
      </c>
      <c r="L81" s="2" t="s">
        <v>55</v>
      </c>
      <c r="M81" s="18" t="s">
        <v>55</v>
      </c>
      <c r="N81" s="18" t="s">
        <v>55</v>
      </c>
      <c r="O81" s="18" t="s">
        <v>55</v>
      </c>
      <c r="P81" s="18" t="s">
        <v>55</v>
      </c>
      <c r="Q81" s="18" t="s">
        <v>55</v>
      </c>
      <c r="R81" s="18" t="s">
        <v>55</v>
      </c>
      <c r="S81" s="2">
        <v>1</v>
      </c>
      <c r="T81" s="2">
        <v>1</v>
      </c>
      <c r="U81" s="2">
        <v>0</v>
      </c>
      <c r="V81" s="53">
        <v>45959</v>
      </c>
      <c r="W81" s="53">
        <v>46027</v>
      </c>
      <c r="X81" s="53">
        <v>46027</v>
      </c>
      <c r="Y81" s="53">
        <v>46031</v>
      </c>
      <c r="Z81" s="53">
        <v>46035</v>
      </c>
      <c r="AA81" s="3">
        <f t="shared" si="10"/>
        <v>1</v>
      </c>
      <c r="AB81" s="46" t="s">
        <v>327</v>
      </c>
      <c r="AC81" s="46" t="s">
        <v>328</v>
      </c>
      <c r="AD81" s="19">
        <f t="shared" si="8"/>
        <v>1</v>
      </c>
      <c r="AE81" s="67">
        <f>IFERROR(NETWORKDAYS(B81,I81,Hoja1!$A$1:$A$29),"N/A")</f>
        <v>2</v>
      </c>
      <c r="AF81" s="21">
        <f>IFERROR(NETWORKDAYS(B81,W81,Hoja1!$A$1:$A$29),"N/A")</f>
        <v>10</v>
      </c>
      <c r="AG81" s="78">
        <v>0</v>
      </c>
      <c r="AH81" s="21">
        <f t="shared" si="6"/>
        <v>10</v>
      </c>
      <c r="AI81" s="21">
        <f>IFERROR(NETWORKDAYS(X81,Y81,Hoja1!$A$1:$A$29),"N/A")</f>
        <v>5</v>
      </c>
      <c r="AJ81" s="78">
        <v>1</v>
      </c>
      <c r="AK81" s="75">
        <f t="shared" si="5"/>
        <v>4</v>
      </c>
      <c r="AL81" s="21">
        <f>IFERROR(NETWORKDAYS(B81,Y81,Hoja1!$A$1:$A$29),"N/A")</f>
        <v>14</v>
      </c>
      <c r="AM81" s="21">
        <f t="shared" si="9"/>
        <v>13</v>
      </c>
      <c r="AN81" s="46"/>
      <c r="AO81" s="46"/>
      <c r="AP81" s="46"/>
      <c r="AQ81" s="46"/>
      <c r="AR81" s="46"/>
      <c r="AS81" s="46" t="s">
        <v>1901</v>
      </c>
      <c r="AT81" s="46" t="s">
        <v>2020</v>
      </c>
      <c r="AU81" s="46" t="s">
        <v>2214</v>
      </c>
      <c r="AV81" s="311" t="s">
        <v>2279</v>
      </c>
      <c r="AW81" s="403" t="s">
        <v>2676</v>
      </c>
      <c r="AY81" s="414"/>
    </row>
    <row r="82" spans="1:51" ht="15" customHeight="1" x14ac:dyDescent="0.25">
      <c r="A82" s="295">
        <v>15513</v>
      </c>
      <c r="B82" s="30">
        <v>46007</v>
      </c>
      <c r="C82" s="42">
        <v>46007</v>
      </c>
      <c r="D82" s="3">
        <v>1</v>
      </c>
      <c r="E82" s="40" t="s">
        <v>54</v>
      </c>
      <c r="F82" s="30" t="s">
        <v>55</v>
      </c>
      <c r="G82" s="3">
        <v>0</v>
      </c>
      <c r="H82" s="33"/>
      <c r="I82" s="37" t="s">
        <v>55</v>
      </c>
      <c r="J82" s="37" t="s">
        <v>55</v>
      </c>
      <c r="K82" s="3">
        <v>0</v>
      </c>
      <c r="L82" s="37" t="s">
        <v>55</v>
      </c>
      <c r="M82" s="18" t="s">
        <v>55</v>
      </c>
      <c r="N82" s="18" t="s">
        <v>55</v>
      </c>
      <c r="O82" s="18" t="s">
        <v>55</v>
      </c>
      <c r="P82" s="18" t="s">
        <v>55</v>
      </c>
      <c r="Q82" s="18" t="s">
        <v>55</v>
      </c>
      <c r="R82" s="18" t="s">
        <v>55</v>
      </c>
      <c r="S82" s="3">
        <v>1</v>
      </c>
      <c r="T82" s="3">
        <v>1</v>
      </c>
      <c r="U82" s="3">
        <v>0</v>
      </c>
      <c r="V82" s="28">
        <v>46013</v>
      </c>
      <c r="W82" s="28">
        <v>46013</v>
      </c>
      <c r="X82" s="28">
        <v>46013</v>
      </c>
      <c r="Y82" s="28">
        <v>46024</v>
      </c>
      <c r="Z82" s="28">
        <v>46027</v>
      </c>
      <c r="AA82" s="3">
        <f t="shared" si="10"/>
        <v>1</v>
      </c>
      <c r="AB82" s="45" t="s">
        <v>330</v>
      </c>
      <c r="AC82" s="45" t="s">
        <v>331</v>
      </c>
      <c r="AD82" s="19" t="str">
        <f t="shared" si="8"/>
        <v>N/A</v>
      </c>
      <c r="AE82" s="67" t="str">
        <f>IFERROR(NETWORKDAYS(B82,I82,Hoja1!$A$1:$A$29),"N/A")</f>
        <v>N/A</v>
      </c>
      <c r="AF82" s="21">
        <f>IFERROR(NETWORKDAYS(B82,W82,Hoja1!$A$1:$A$29),"N/A")</f>
        <v>5</v>
      </c>
      <c r="AG82" s="78">
        <v>0</v>
      </c>
      <c r="AH82" s="21">
        <f t="shared" si="6"/>
        <v>5</v>
      </c>
      <c r="AI82" s="21">
        <f>IFERROR(NETWORKDAYS(X82,Y82,Hoja1!$A$1:$A$29),"N/A")</f>
        <v>8</v>
      </c>
      <c r="AJ82" s="74">
        <v>3</v>
      </c>
      <c r="AK82" s="75">
        <f t="shared" si="5"/>
        <v>5</v>
      </c>
      <c r="AL82" s="21">
        <f>IFERROR(NETWORKDAYS(B82,Y82,Hoja1!$A$1:$A$29),"N/A")</f>
        <v>12</v>
      </c>
      <c r="AM82" s="21">
        <f t="shared" si="9"/>
        <v>9</v>
      </c>
      <c r="AN82" s="45"/>
      <c r="AO82" s="45"/>
      <c r="AP82" s="45"/>
      <c r="AQ82" s="45"/>
      <c r="AR82" s="45"/>
      <c r="AS82" s="45" t="s">
        <v>1888</v>
      </c>
      <c r="AT82" s="45" t="s">
        <v>2032</v>
      </c>
      <c r="AU82" s="45" t="s">
        <v>2211</v>
      </c>
      <c r="AV82" s="309" t="s">
        <v>2280</v>
      </c>
      <c r="AW82" s="403" t="s">
        <v>2675</v>
      </c>
      <c r="AY82" s="415"/>
    </row>
    <row r="83" spans="1:51" ht="15" customHeight="1" x14ac:dyDescent="0.25">
      <c r="A83" s="295">
        <v>15514</v>
      </c>
      <c r="B83" s="30">
        <v>46008</v>
      </c>
      <c r="C83" s="42">
        <v>46007</v>
      </c>
      <c r="D83" s="3">
        <v>1</v>
      </c>
      <c r="E83" s="40" t="s">
        <v>54</v>
      </c>
      <c r="F83" s="30" t="s">
        <v>55</v>
      </c>
      <c r="G83" s="3">
        <v>0</v>
      </c>
      <c r="H83" s="33"/>
      <c r="I83" s="37" t="s">
        <v>55</v>
      </c>
      <c r="J83" s="37" t="s">
        <v>55</v>
      </c>
      <c r="K83" s="3">
        <v>0</v>
      </c>
      <c r="L83" s="37" t="s">
        <v>55</v>
      </c>
      <c r="M83" s="18" t="s">
        <v>55</v>
      </c>
      <c r="N83" s="18" t="s">
        <v>55</v>
      </c>
      <c r="O83" s="18" t="s">
        <v>55</v>
      </c>
      <c r="P83" s="18" t="s">
        <v>55</v>
      </c>
      <c r="Q83" s="18" t="s">
        <v>55</v>
      </c>
      <c r="R83" s="18" t="s">
        <v>55</v>
      </c>
      <c r="S83" s="3">
        <v>1</v>
      </c>
      <c r="T83" s="3">
        <v>1</v>
      </c>
      <c r="U83" s="3">
        <v>0</v>
      </c>
      <c r="V83" s="28">
        <v>46013</v>
      </c>
      <c r="W83" s="28">
        <v>46013</v>
      </c>
      <c r="X83" s="28">
        <v>46013</v>
      </c>
      <c r="Y83" s="28">
        <v>46031</v>
      </c>
      <c r="Z83" s="28">
        <v>46035</v>
      </c>
      <c r="AA83" s="3">
        <f t="shared" si="10"/>
        <v>1</v>
      </c>
      <c r="AB83" s="45" t="s">
        <v>333</v>
      </c>
      <c r="AC83" s="45" t="s">
        <v>334</v>
      </c>
      <c r="AD83" s="19" t="str">
        <f t="shared" si="8"/>
        <v>N/A</v>
      </c>
      <c r="AE83" s="67" t="str">
        <f>IFERROR(NETWORKDAYS(B83,I83,Hoja1!$A$1:$A$29),"N/A")</f>
        <v>N/A</v>
      </c>
      <c r="AF83" s="21">
        <f>IFERROR(NETWORKDAYS(B83,W83,Hoja1!$A$1:$A$29),"N/A")</f>
        <v>4</v>
      </c>
      <c r="AG83" s="78">
        <v>0</v>
      </c>
      <c r="AH83" s="21">
        <f t="shared" si="6"/>
        <v>4</v>
      </c>
      <c r="AI83" s="21">
        <f>IFERROR(NETWORKDAYS(X83,Y83,Hoja1!$A$1:$A$29),"N/A")</f>
        <v>13</v>
      </c>
      <c r="AJ83" s="74">
        <v>8</v>
      </c>
      <c r="AK83" s="75">
        <f t="shared" si="5"/>
        <v>5</v>
      </c>
      <c r="AL83" s="21">
        <f>IFERROR(NETWORKDAYS(B83,Y83,Hoja1!$A$1:$A$29),"N/A")</f>
        <v>16</v>
      </c>
      <c r="AM83" s="21">
        <f t="shared" si="9"/>
        <v>8</v>
      </c>
      <c r="AN83" s="45"/>
      <c r="AO83" s="45"/>
      <c r="AP83" s="45"/>
      <c r="AQ83" s="45"/>
      <c r="AR83" s="45"/>
      <c r="AS83" s="45" t="s">
        <v>1888</v>
      </c>
      <c r="AT83" s="45" t="s">
        <v>2032</v>
      </c>
      <c r="AU83" s="45" t="s">
        <v>2211</v>
      </c>
      <c r="AV83" s="309" t="s">
        <v>2281</v>
      </c>
      <c r="AW83" s="403" t="s">
        <v>2677</v>
      </c>
      <c r="AY83" s="414"/>
    </row>
    <row r="84" spans="1:51" ht="15" customHeight="1" x14ac:dyDescent="0.25">
      <c r="A84" s="295">
        <v>15524</v>
      </c>
      <c r="B84" s="30">
        <v>46001</v>
      </c>
      <c r="C84" s="24">
        <v>46008</v>
      </c>
      <c r="D84" s="3">
        <v>1</v>
      </c>
      <c r="E84" s="40" t="s">
        <v>54</v>
      </c>
      <c r="F84" s="3" t="s">
        <v>55</v>
      </c>
      <c r="G84" s="3">
        <v>5</v>
      </c>
      <c r="H84" s="33" t="s">
        <v>112</v>
      </c>
      <c r="I84" s="30">
        <v>46008</v>
      </c>
      <c r="J84" s="30">
        <v>46008</v>
      </c>
      <c r="K84" s="3">
        <v>5</v>
      </c>
      <c r="L84" s="18" t="s">
        <v>55</v>
      </c>
      <c r="M84" s="18" t="s">
        <v>55</v>
      </c>
      <c r="N84" s="18" t="s">
        <v>55</v>
      </c>
      <c r="O84" s="18" t="s">
        <v>55</v>
      </c>
      <c r="P84" s="18" t="s">
        <v>55</v>
      </c>
      <c r="Q84" s="18" t="s">
        <v>55</v>
      </c>
      <c r="R84" s="18" t="s">
        <v>55</v>
      </c>
      <c r="S84" s="3">
        <v>5</v>
      </c>
      <c r="T84" s="3">
        <v>2</v>
      </c>
      <c r="U84" s="3">
        <v>0</v>
      </c>
      <c r="V84" s="28">
        <v>46009</v>
      </c>
      <c r="W84" s="28">
        <v>46009</v>
      </c>
      <c r="X84" s="28">
        <v>46009</v>
      </c>
      <c r="Y84" s="28">
        <v>46031</v>
      </c>
      <c r="Z84" s="28">
        <v>46035</v>
      </c>
      <c r="AA84" s="3">
        <f t="shared" si="10"/>
        <v>1</v>
      </c>
      <c r="AB84" s="45" t="s">
        <v>336</v>
      </c>
      <c r="AC84" s="49" t="s">
        <v>337</v>
      </c>
      <c r="AD84" s="19">
        <f t="shared" si="8"/>
        <v>1</v>
      </c>
      <c r="AE84" s="67">
        <f>IFERROR(NETWORKDAYS(B84,I84,Hoja1!$A$1:$A$29),"N/A")</f>
        <v>6</v>
      </c>
      <c r="AF84" s="21">
        <f>IFERROR(NETWORKDAYS(B84,W84,Hoja1!$A$1:$A$29),"N/A")</f>
        <v>7</v>
      </c>
      <c r="AG84" s="78">
        <v>0</v>
      </c>
      <c r="AH84" s="21">
        <f t="shared" si="6"/>
        <v>7</v>
      </c>
      <c r="AI84" s="21">
        <f>IFERROR(NETWORKDAYS(X84,Y84,Hoja1!$A$1:$A$29),"N/A")</f>
        <v>15</v>
      </c>
      <c r="AJ84" s="74">
        <v>10</v>
      </c>
      <c r="AK84" s="75">
        <f t="shared" si="5"/>
        <v>5</v>
      </c>
      <c r="AL84" s="21">
        <f>IFERROR(NETWORKDAYS(B84,Y84,Hoja1!$A$1:$A$29),"N/A")</f>
        <v>21</v>
      </c>
      <c r="AM84" s="21">
        <f t="shared" si="9"/>
        <v>11</v>
      </c>
      <c r="AN84" s="45"/>
      <c r="AO84" s="45"/>
      <c r="AP84" s="45"/>
      <c r="AQ84" s="45"/>
      <c r="AR84" s="45"/>
      <c r="AS84" s="45" t="s">
        <v>1890</v>
      </c>
      <c r="AT84" s="45" t="s">
        <v>2019</v>
      </c>
      <c r="AU84" s="45" t="s">
        <v>2213</v>
      </c>
      <c r="AV84" s="309" t="s">
        <v>2234</v>
      </c>
      <c r="AW84" s="403" t="s">
        <v>2678</v>
      </c>
      <c r="AY84" s="415"/>
    </row>
    <row r="85" spans="1:51" ht="15" customHeight="1" x14ac:dyDescent="0.25">
      <c r="A85" s="295">
        <v>15528</v>
      </c>
      <c r="B85" s="30">
        <v>46001</v>
      </c>
      <c r="C85" s="30">
        <v>46008</v>
      </c>
      <c r="D85" s="3">
        <v>1</v>
      </c>
      <c r="E85" s="40" t="s">
        <v>54</v>
      </c>
      <c r="F85" s="30" t="s">
        <v>55</v>
      </c>
      <c r="G85" s="3">
        <v>0</v>
      </c>
      <c r="H85" s="33"/>
      <c r="I85" s="37" t="s">
        <v>55</v>
      </c>
      <c r="J85" s="37" t="s">
        <v>55</v>
      </c>
      <c r="K85" s="3">
        <v>0</v>
      </c>
      <c r="L85" s="37" t="s">
        <v>55</v>
      </c>
      <c r="M85" s="18" t="s">
        <v>55</v>
      </c>
      <c r="N85" s="18" t="s">
        <v>55</v>
      </c>
      <c r="O85" s="18" t="s">
        <v>55</v>
      </c>
      <c r="P85" s="18" t="s">
        <v>55</v>
      </c>
      <c r="Q85" s="18" t="s">
        <v>55</v>
      </c>
      <c r="R85" s="18" t="s">
        <v>55</v>
      </c>
      <c r="S85" s="3">
        <v>1</v>
      </c>
      <c r="T85" s="3">
        <v>1</v>
      </c>
      <c r="U85" s="3">
        <v>0</v>
      </c>
      <c r="V85" s="28">
        <v>46009</v>
      </c>
      <c r="W85" s="28">
        <v>46009</v>
      </c>
      <c r="X85" s="28">
        <v>46013</v>
      </c>
      <c r="Y85" s="28">
        <v>46024</v>
      </c>
      <c r="Z85" s="28">
        <v>46027</v>
      </c>
      <c r="AA85" s="3">
        <f t="shared" si="10"/>
        <v>1</v>
      </c>
      <c r="AB85" s="45" t="s">
        <v>338</v>
      </c>
      <c r="AC85" s="45" t="s">
        <v>339</v>
      </c>
      <c r="AD85" s="19" t="str">
        <f t="shared" si="8"/>
        <v>N/A</v>
      </c>
      <c r="AE85" s="67" t="str">
        <f>IFERROR(NETWORKDAYS(B85,I85,Hoja1!$A$1:$A$29),"N/A")</f>
        <v>N/A</v>
      </c>
      <c r="AF85" s="21">
        <f>IFERROR(NETWORKDAYS(B85,W85,Hoja1!$A$1:$A$29),"N/A")</f>
        <v>7</v>
      </c>
      <c r="AG85" s="78">
        <v>0</v>
      </c>
      <c r="AH85" s="21">
        <f t="shared" si="6"/>
        <v>7</v>
      </c>
      <c r="AI85" s="21">
        <f>IFERROR(NETWORKDAYS(X85,Y85,Hoja1!$A$1:$A$29),"N/A")</f>
        <v>8</v>
      </c>
      <c r="AJ85" s="74">
        <v>3</v>
      </c>
      <c r="AK85" s="75">
        <f t="shared" si="5"/>
        <v>5</v>
      </c>
      <c r="AL85" s="21">
        <f>IFERROR(NETWORKDAYS(B85,Y85,Hoja1!$A$1:$A$29),"N/A")</f>
        <v>16</v>
      </c>
      <c r="AM85" s="21">
        <f t="shared" si="9"/>
        <v>13</v>
      </c>
      <c r="AN85" s="45"/>
      <c r="AO85" s="45"/>
      <c r="AP85" s="45"/>
      <c r="AQ85" s="45"/>
      <c r="AR85" s="45"/>
      <c r="AS85" s="45" t="s">
        <v>1888</v>
      </c>
      <c r="AT85" s="45" t="s">
        <v>2033</v>
      </c>
      <c r="AU85" s="45" t="s">
        <v>2211</v>
      </c>
      <c r="AV85" s="309" t="s">
        <v>2250</v>
      </c>
      <c r="AW85" s="403" t="s">
        <v>2679</v>
      </c>
      <c r="AY85" s="414"/>
    </row>
    <row r="86" spans="1:51" ht="15" customHeight="1" x14ac:dyDescent="0.25">
      <c r="A86" s="295">
        <v>15529</v>
      </c>
      <c r="B86" s="30">
        <v>45995</v>
      </c>
      <c r="C86" s="30">
        <v>46008</v>
      </c>
      <c r="D86" s="3">
        <v>1</v>
      </c>
      <c r="E86" s="40" t="s">
        <v>54</v>
      </c>
      <c r="F86" s="30" t="s">
        <v>55</v>
      </c>
      <c r="G86" s="3">
        <v>4</v>
      </c>
      <c r="H86" s="33" t="s">
        <v>112</v>
      </c>
      <c r="I86" s="30">
        <v>46000</v>
      </c>
      <c r="J86" s="30">
        <v>46002</v>
      </c>
      <c r="K86" s="3">
        <v>4</v>
      </c>
      <c r="L86" s="37" t="s">
        <v>55</v>
      </c>
      <c r="M86" s="18" t="s">
        <v>55</v>
      </c>
      <c r="N86" s="18" t="s">
        <v>55</v>
      </c>
      <c r="O86" s="18" t="s">
        <v>55</v>
      </c>
      <c r="P86" s="18" t="s">
        <v>55</v>
      </c>
      <c r="Q86" s="18" t="s">
        <v>55</v>
      </c>
      <c r="R86" s="18" t="s">
        <v>55</v>
      </c>
      <c r="S86" s="3">
        <v>1</v>
      </c>
      <c r="T86" s="3">
        <v>1</v>
      </c>
      <c r="U86" s="3">
        <v>0</v>
      </c>
      <c r="V86" s="28">
        <v>46009</v>
      </c>
      <c r="W86" s="28">
        <v>46009</v>
      </c>
      <c r="X86" s="28">
        <v>46013</v>
      </c>
      <c r="Y86" s="28">
        <v>46024</v>
      </c>
      <c r="Z86" s="28">
        <v>46027</v>
      </c>
      <c r="AA86" s="3">
        <f t="shared" si="10"/>
        <v>1</v>
      </c>
      <c r="AB86" s="45" t="s">
        <v>340</v>
      </c>
      <c r="AC86" s="45" t="s">
        <v>341</v>
      </c>
      <c r="AD86" s="19">
        <f t="shared" si="8"/>
        <v>1</v>
      </c>
      <c r="AE86" s="67">
        <f>IFERROR(NETWORKDAYS(B86,I86,Hoja1!$A$1:$A$29),"N/A")</f>
        <v>3</v>
      </c>
      <c r="AF86" s="21">
        <f>IFERROR(NETWORKDAYS(B86,W86,Hoja1!$A$1:$A$29),"N/A")</f>
        <v>10</v>
      </c>
      <c r="AG86" s="78">
        <v>0</v>
      </c>
      <c r="AH86" s="21">
        <f t="shared" si="6"/>
        <v>10</v>
      </c>
      <c r="AI86" s="21">
        <f>IFERROR(NETWORKDAYS(X86,Y86,Hoja1!$A$1:$A$29),"N/A")</f>
        <v>8</v>
      </c>
      <c r="AJ86" s="74">
        <v>3</v>
      </c>
      <c r="AK86" s="75">
        <f t="shared" si="5"/>
        <v>5</v>
      </c>
      <c r="AL86" s="21">
        <f>IFERROR(NETWORKDAYS(B86,Y86,Hoja1!$A$1:$A$29),"N/A")</f>
        <v>19</v>
      </c>
      <c r="AM86" s="21">
        <f t="shared" si="9"/>
        <v>16</v>
      </c>
      <c r="AN86" s="45"/>
      <c r="AO86" s="45"/>
      <c r="AP86" s="45"/>
      <c r="AQ86" s="45"/>
      <c r="AR86" s="45"/>
      <c r="AS86" s="45" t="s">
        <v>1888</v>
      </c>
      <c r="AT86" s="45" t="s">
        <v>2013</v>
      </c>
      <c r="AU86" s="45" t="s">
        <v>2211</v>
      </c>
      <c r="AV86" s="309" t="s">
        <v>2282</v>
      </c>
      <c r="AW86" s="403" t="s">
        <v>2680</v>
      </c>
      <c r="AY86" s="415"/>
    </row>
    <row r="87" spans="1:51" ht="15" customHeight="1" x14ac:dyDescent="0.25">
      <c r="A87" s="295">
        <v>15530</v>
      </c>
      <c r="B87" s="30">
        <v>45995</v>
      </c>
      <c r="C87" s="30">
        <v>46008</v>
      </c>
      <c r="D87" s="3">
        <v>1</v>
      </c>
      <c r="E87" s="40" t="s">
        <v>54</v>
      </c>
      <c r="F87" s="30" t="s">
        <v>55</v>
      </c>
      <c r="G87" s="3">
        <v>4</v>
      </c>
      <c r="H87" s="33" t="s">
        <v>112</v>
      </c>
      <c r="I87" s="30">
        <v>46000</v>
      </c>
      <c r="J87" s="30">
        <v>46002</v>
      </c>
      <c r="K87" s="3">
        <v>4</v>
      </c>
      <c r="L87" s="37" t="s">
        <v>55</v>
      </c>
      <c r="M87" s="18" t="s">
        <v>55</v>
      </c>
      <c r="N87" s="18" t="s">
        <v>55</v>
      </c>
      <c r="O87" s="18" t="s">
        <v>55</v>
      </c>
      <c r="P87" s="18" t="s">
        <v>55</v>
      </c>
      <c r="Q87" s="18" t="s">
        <v>55</v>
      </c>
      <c r="R87" s="18" t="s">
        <v>55</v>
      </c>
      <c r="S87" s="3">
        <v>1</v>
      </c>
      <c r="T87" s="3">
        <v>1</v>
      </c>
      <c r="U87" s="3">
        <v>0</v>
      </c>
      <c r="V87" s="28">
        <v>46009</v>
      </c>
      <c r="W87" s="28">
        <v>46009</v>
      </c>
      <c r="X87" s="28">
        <v>46013</v>
      </c>
      <c r="Y87" s="28">
        <v>46024</v>
      </c>
      <c r="Z87" s="28">
        <v>46027</v>
      </c>
      <c r="AA87" s="3">
        <f t="shared" si="10"/>
        <v>1</v>
      </c>
      <c r="AB87" s="45" t="s">
        <v>343</v>
      </c>
      <c r="AC87" s="45" t="s">
        <v>344</v>
      </c>
      <c r="AD87" s="19">
        <f t="shared" si="8"/>
        <v>1</v>
      </c>
      <c r="AE87" s="67">
        <f>IFERROR(NETWORKDAYS(B87,I87,Hoja1!$A$1:$A$29),"N/A")</f>
        <v>3</v>
      </c>
      <c r="AF87" s="21">
        <f>IFERROR(NETWORKDAYS(B87,W87,Hoja1!$A$1:$A$29),"N/A")</f>
        <v>10</v>
      </c>
      <c r="AG87" s="78">
        <v>0</v>
      </c>
      <c r="AH87" s="21">
        <f t="shared" si="6"/>
        <v>10</v>
      </c>
      <c r="AI87" s="21">
        <f>IFERROR(NETWORKDAYS(X87,Y87,Hoja1!$A$1:$A$29),"N/A")</f>
        <v>8</v>
      </c>
      <c r="AJ87" s="74">
        <v>3</v>
      </c>
      <c r="AK87" s="75">
        <f t="shared" si="5"/>
        <v>5</v>
      </c>
      <c r="AL87" s="21">
        <f>IFERROR(NETWORKDAYS(B87,Y87,Hoja1!$A$1:$A$29),"N/A")</f>
        <v>19</v>
      </c>
      <c r="AM87" s="21">
        <f t="shared" si="9"/>
        <v>16</v>
      </c>
      <c r="AN87" s="45"/>
      <c r="AO87" s="45"/>
      <c r="AP87" s="45"/>
      <c r="AQ87" s="45"/>
      <c r="AR87" s="45"/>
      <c r="AS87" s="45" t="s">
        <v>1888</v>
      </c>
      <c r="AT87" s="45" t="s">
        <v>2013</v>
      </c>
      <c r="AU87" s="45" t="s">
        <v>2211</v>
      </c>
      <c r="AV87" s="309" t="s">
        <v>2283</v>
      </c>
      <c r="AW87" s="403" t="s">
        <v>2680</v>
      </c>
      <c r="AY87" s="414"/>
    </row>
    <row r="88" spans="1:51" ht="15" customHeight="1" x14ac:dyDescent="0.25">
      <c r="A88" s="295">
        <v>15533</v>
      </c>
      <c r="B88" s="30">
        <v>46008</v>
      </c>
      <c r="C88" s="30">
        <v>46008</v>
      </c>
      <c r="D88" s="3">
        <v>1</v>
      </c>
      <c r="E88" s="40" t="s">
        <v>54</v>
      </c>
      <c r="F88" s="30" t="s">
        <v>55</v>
      </c>
      <c r="G88" s="3">
        <v>0</v>
      </c>
      <c r="H88" s="33"/>
      <c r="I88" s="37" t="s">
        <v>55</v>
      </c>
      <c r="J88" s="37" t="s">
        <v>55</v>
      </c>
      <c r="K88" s="3">
        <v>0</v>
      </c>
      <c r="L88" s="37" t="s">
        <v>55</v>
      </c>
      <c r="M88" s="18" t="s">
        <v>55</v>
      </c>
      <c r="N88" s="18" t="s">
        <v>55</v>
      </c>
      <c r="O88" s="18" t="s">
        <v>55</v>
      </c>
      <c r="P88" s="18" t="s">
        <v>55</v>
      </c>
      <c r="Q88" s="18" t="s">
        <v>55</v>
      </c>
      <c r="R88" s="18" t="s">
        <v>55</v>
      </c>
      <c r="S88" s="3">
        <v>1</v>
      </c>
      <c r="T88" s="3">
        <v>1</v>
      </c>
      <c r="U88" s="3">
        <v>0</v>
      </c>
      <c r="V88" s="28">
        <v>46010</v>
      </c>
      <c r="W88" s="28">
        <v>46010</v>
      </c>
      <c r="X88" s="28">
        <v>46013</v>
      </c>
      <c r="Y88" s="28">
        <v>46024</v>
      </c>
      <c r="Z88" s="28">
        <v>46027</v>
      </c>
      <c r="AA88" s="3">
        <f t="shared" si="10"/>
        <v>1</v>
      </c>
      <c r="AB88" s="45" t="s">
        <v>347</v>
      </c>
      <c r="AC88" s="45" t="s">
        <v>348</v>
      </c>
      <c r="AD88" s="19" t="str">
        <f t="shared" si="8"/>
        <v>N/A</v>
      </c>
      <c r="AE88" s="67" t="str">
        <f>IFERROR(NETWORKDAYS(B88,I88,Hoja1!$A$1:$A$29),"N/A")</f>
        <v>N/A</v>
      </c>
      <c r="AF88" s="21">
        <f>IFERROR(NETWORKDAYS(B88,W88,Hoja1!$A$1:$A$29),"N/A")</f>
        <v>3</v>
      </c>
      <c r="AG88" s="78">
        <v>0</v>
      </c>
      <c r="AH88" s="21">
        <f t="shared" si="6"/>
        <v>3</v>
      </c>
      <c r="AI88" s="21">
        <f>IFERROR(NETWORKDAYS(X88,Y88,Hoja1!$A$1:$A$29),"N/A")</f>
        <v>8</v>
      </c>
      <c r="AJ88" s="74">
        <v>3</v>
      </c>
      <c r="AK88" s="75">
        <f t="shared" si="5"/>
        <v>5</v>
      </c>
      <c r="AL88" s="21">
        <f>IFERROR(NETWORKDAYS(B88,Y88,Hoja1!$A$1:$A$29),"N/A")</f>
        <v>11</v>
      </c>
      <c r="AM88" s="21">
        <f t="shared" si="9"/>
        <v>8</v>
      </c>
      <c r="AN88" s="45"/>
      <c r="AO88" s="45"/>
      <c r="AP88" s="45"/>
      <c r="AQ88" s="45"/>
      <c r="AR88" s="45"/>
      <c r="AS88" s="45" t="s">
        <v>1888</v>
      </c>
      <c r="AT88" s="45" t="s">
        <v>2034</v>
      </c>
      <c r="AU88" s="45" t="s">
        <v>2211</v>
      </c>
      <c r="AV88" s="309" t="s">
        <v>2284</v>
      </c>
      <c r="AW88" s="403" t="s">
        <v>2681</v>
      </c>
      <c r="AY88" s="415"/>
    </row>
    <row r="89" spans="1:51" ht="15" customHeight="1" x14ac:dyDescent="0.25">
      <c r="A89" s="295">
        <v>15535</v>
      </c>
      <c r="B89" s="30">
        <v>46003</v>
      </c>
      <c r="C89" s="30">
        <v>46008</v>
      </c>
      <c r="D89" s="3">
        <v>1</v>
      </c>
      <c r="E89" s="40" t="s">
        <v>54</v>
      </c>
      <c r="F89" s="30" t="s">
        <v>55</v>
      </c>
      <c r="G89" s="3">
        <v>0</v>
      </c>
      <c r="H89" s="33"/>
      <c r="I89" s="30" t="s">
        <v>55</v>
      </c>
      <c r="J89" s="30" t="s">
        <v>55</v>
      </c>
      <c r="K89" s="3">
        <v>0</v>
      </c>
      <c r="L89" s="37" t="s">
        <v>55</v>
      </c>
      <c r="M89" s="18" t="s">
        <v>55</v>
      </c>
      <c r="N89" s="18" t="s">
        <v>55</v>
      </c>
      <c r="O89" s="18" t="s">
        <v>55</v>
      </c>
      <c r="P89" s="18" t="s">
        <v>55</v>
      </c>
      <c r="Q89" s="18" t="s">
        <v>55</v>
      </c>
      <c r="R89" s="18" t="s">
        <v>55</v>
      </c>
      <c r="S89" s="3">
        <v>1</v>
      </c>
      <c r="T89" s="3">
        <v>1</v>
      </c>
      <c r="U89" s="3">
        <v>0</v>
      </c>
      <c r="V89" s="28">
        <v>46009</v>
      </c>
      <c r="W89" s="28">
        <v>46010</v>
      </c>
      <c r="X89" s="28">
        <v>46010</v>
      </c>
      <c r="Y89" s="28">
        <v>46027</v>
      </c>
      <c r="Z89" s="28">
        <v>46027</v>
      </c>
      <c r="AA89" s="3">
        <f t="shared" si="10"/>
        <v>1</v>
      </c>
      <c r="AB89" s="45" t="s">
        <v>352</v>
      </c>
      <c r="AC89" s="45" t="s">
        <v>353</v>
      </c>
      <c r="AD89" s="19" t="str">
        <f t="shared" si="8"/>
        <v>N/A</v>
      </c>
      <c r="AE89" s="67" t="str">
        <f>IFERROR(NETWORKDAYS(B89,I89,Hoja1!$A$1:$A$29),"N/A")</f>
        <v>N/A</v>
      </c>
      <c r="AF89" s="21">
        <f>IFERROR(NETWORKDAYS(B89,W89,Hoja1!$A$1:$A$29),"N/A")</f>
        <v>6</v>
      </c>
      <c r="AG89" s="78">
        <v>0</v>
      </c>
      <c r="AH89" s="21">
        <f t="shared" si="6"/>
        <v>6</v>
      </c>
      <c r="AI89" s="21">
        <f>IFERROR(NETWORKDAYS(X89,Y89,Hoja1!$A$1:$A$29),"N/A")</f>
        <v>10</v>
      </c>
      <c r="AJ89" s="74">
        <v>5</v>
      </c>
      <c r="AK89" s="75">
        <f t="shared" si="5"/>
        <v>5</v>
      </c>
      <c r="AL89" s="21">
        <f>IFERROR(NETWORKDAYS(B89,Y89,Hoja1!$A$1:$A$29),"N/A")</f>
        <v>15</v>
      </c>
      <c r="AM89" s="21">
        <f t="shared" si="9"/>
        <v>10</v>
      </c>
      <c r="AN89" s="45"/>
      <c r="AO89" s="45"/>
      <c r="AP89" s="45"/>
      <c r="AQ89" s="45"/>
      <c r="AR89" s="45"/>
      <c r="AS89" s="45" t="s">
        <v>1888</v>
      </c>
      <c r="AT89" s="45" t="s">
        <v>2035</v>
      </c>
      <c r="AU89" s="45" t="s">
        <v>2220</v>
      </c>
      <c r="AV89" s="309" t="s">
        <v>2285</v>
      </c>
      <c r="AW89" s="403" t="s">
        <v>2682</v>
      </c>
      <c r="AY89" s="414"/>
    </row>
    <row r="90" spans="1:51" ht="15" customHeight="1" x14ac:dyDescent="0.25">
      <c r="A90" s="295">
        <v>15536</v>
      </c>
      <c r="B90" s="30">
        <v>45995</v>
      </c>
      <c r="C90" s="30">
        <v>46008</v>
      </c>
      <c r="D90" s="3">
        <v>1</v>
      </c>
      <c r="E90" s="40" t="s">
        <v>54</v>
      </c>
      <c r="F90" s="30" t="s">
        <v>55</v>
      </c>
      <c r="G90" s="3">
        <v>3</v>
      </c>
      <c r="H90" s="33" t="s">
        <v>112</v>
      </c>
      <c r="I90" s="30">
        <v>46001</v>
      </c>
      <c r="J90" s="30">
        <v>46003</v>
      </c>
      <c r="K90" s="3">
        <v>3</v>
      </c>
      <c r="L90" s="37" t="s">
        <v>55</v>
      </c>
      <c r="M90" s="18" t="s">
        <v>55</v>
      </c>
      <c r="N90" s="18" t="s">
        <v>55</v>
      </c>
      <c r="O90" s="18" t="s">
        <v>55</v>
      </c>
      <c r="P90" s="18" t="s">
        <v>55</v>
      </c>
      <c r="Q90" s="18" t="s">
        <v>55</v>
      </c>
      <c r="R90" s="18" t="s">
        <v>55</v>
      </c>
      <c r="S90" s="3">
        <v>1</v>
      </c>
      <c r="T90" s="3">
        <v>1</v>
      </c>
      <c r="U90" s="3">
        <v>0</v>
      </c>
      <c r="V90" s="28">
        <v>46009</v>
      </c>
      <c r="W90" s="28">
        <v>46010</v>
      </c>
      <c r="X90" s="28">
        <v>46010</v>
      </c>
      <c r="Y90" s="28">
        <v>46027</v>
      </c>
      <c r="Z90" s="28">
        <v>46027</v>
      </c>
      <c r="AA90" s="3">
        <f t="shared" si="10"/>
        <v>1</v>
      </c>
      <c r="AB90" s="45" t="s">
        <v>355</v>
      </c>
      <c r="AC90" s="45" t="s">
        <v>356</v>
      </c>
      <c r="AD90" s="19">
        <f t="shared" si="8"/>
        <v>1</v>
      </c>
      <c r="AE90" s="67">
        <f>IFERROR(NETWORKDAYS(B90,I90,Hoja1!$A$1:$A$29),"N/A")</f>
        <v>4</v>
      </c>
      <c r="AF90" s="21">
        <f>IFERROR(NETWORKDAYS(B90,W90,Hoja1!$A$1:$A$29),"N/A")</f>
        <v>11</v>
      </c>
      <c r="AG90" s="78">
        <v>0</v>
      </c>
      <c r="AH90" s="21">
        <f t="shared" si="6"/>
        <v>11</v>
      </c>
      <c r="AI90" s="21">
        <f>IFERROR(NETWORKDAYS(X90,Y90,Hoja1!$A$1:$A$29),"N/A")</f>
        <v>10</v>
      </c>
      <c r="AJ90" s="74">
        <v>5</v>
      </c>
      <c r="AK90" s="75">
        <f t="shared" si="5"/>
        <v>5</v>
      </c>
      <c r="AL90" s="21">
        <f>IFERROR(NETWORKDAYS(B90,Y90,Hoja1!$A$1:$A$29),"N/A")</f>
        <v>20</v>
      </c>
      <c r="AM90" s="21">
        <f t="shared" si="9"/>
        <v>15</v>
      </c>
      <c r="AN90" s="45"/>
      <c r="AO90" s="45"/>
      <c r="AP90" s="45"/>
      <c r="AQ90" s="45"/>
      <c r="AR90" s="45"/>
      <c r="AS90" s="45" t="s">
        <v>1888</v>
      </c>
      <c r="AT90" s="45" t="s">
        <v>1998</v>
      </c>
      <c r="AU90" s="45" t="s">
        <v>2220</v>
      </c>
      <c r="AV90" s="309" t="s">
        <v>2286</v>
      </c>
      <c r="AW90" s="403" t="s">
        <v>2683</v>
      </c>
      <c r="AY90" s="415"/>
    </row>
    <row r="91" spans="1:51" ht="15" customHeight="1" x14ac:dyDescent="0.25">
      <c r="A91" s="295">
        <v>15537</v>
      </c>
      <c r="B91" s="30">
        <v>46003</v>
      </c>
      <c r="C91" s="30">
        <v>46008</v>
      </c>
      <c r="D91" s="3">
        <v>1</v>
      </c>
      <c r="E91" s="40" t="s">
        <v>54</v>
      </c>
      <c r="F91" s="30" t="s">
        <v>55</v>
      </c>
      <c r="G91" s="3">
        <v>0</v>
      </c>
      <c r="H91" s="33"/>
      <c r="I91" s="30" t="s">
        <v>55</v>
      </c>
      <c r="J91" s="30" t="s">
        <v>55</v>
      </c>
      <c r="K91" s="3">
        <v>0</v>
      </c>
      <c r="L91" s="37" t="s">
        <v>55</v>
      </c>
      <c r="M91" s="18" t="s">
        <v>55</v>
      </c>
      <c r="N91" s="18" t="s">
        <v>55</v>
      </c>
      <c r="O91" s="18" t="s">
        <v>55</v>
      </c>
      <c r="P91" s="18" t="s">
        <v>55</v>
      </c>
      <c r="Q91" s="18" t="s">
        <v>55</v>
      </c>
      <c r="R91" s="18" t="s">
        <v>55</v>
      </c>
      <c r="S91" s="3">
        <v>1</v>
      </c>
      <c r="T91" s="3">
        <v>1</v>
      </c>
      <c r="U91" s="3">
        <v>0</v>
      </c>
      <c r="V91" s="28">
        <v>46009</v>
      </c>
      <c r="W91" s="28">
        <v>46010</v>
      </c>
      <c r="X91" s="28">
        <v>46010</v>
      </c>
      <c r="Y91" s="28">
        <v>46027</v>
      </c>
      <c r="Z91" s="28">
        <v>46027</v>
      </c>
      <c r="AA91" s="3">
        <f t="shared" si="10"/>
        <v>1</v>
      </c>
      <c r="AB91" s="45" t="s">
        <v>358</v>
      </c>
      <c r="AC91" s="45" t="s">
        <v>359</v>
      </c>
      <c r="AD91" s="19" t="str">
        <f t="shared" si="8"/>
        <v>N/A</v>
      </c>
      <c r="AE91" s="67" t="str">
        <f>IFERROR(NETWORKDAYS(B91,I91,Hoja1!$A$1:$A$29),"N/A")</f>
        <v>N/A</v>
      </c>
      <c r="AF91" s="21">
        <f>IFERROR(NETWORKDAYS(B91,W91,Hoja1!$A$1:$A$29),"N/A")</f>
        <v>6</v>
      </c>
      <c r="AG91" s="78">
        <v>0</v>
      </c>
      <c r="AH91" s="21">
        <f t="shared" si="6"/>
        <v>6</v>
      </c>
      <c r="AI91" s="21">
        <f>IFERROR(NETWORKDAYS(X91,Y91,Hoja1!$A$1:$A$29),"N/A")</f>
        <v>10</v>
      </c>
      <c r="AJ91" s="74">
        <v>5</v>
      </c>
      <c r="AK91" s="75">
        <f t="shared" si="5"/>
        <v>5</v>
      </c>
      <c r="AL91" s="21">
        <f>IFERROR(NETWORKDAYS(B91,Y91,Hoja1!$A$1:$A$29),"N/A")</f>
        <v>15</v>
      </c>
      <c r="AM91" s="21">
        <f t="shared" si="9"/>
        <v>10</v>
      </c>
      <c r="AN91" s="45"/>
      <c r="AO91" s="45"/>
      <c r="AP91" s="45"/>
      <c r="AQ91" s="45"/>
      <c r="AR91" s="45"/>
      <c r="AS91" s="45" t="s">
        <v>1888</v>
      </c>
      <c r="AT91" s="45" t="s">
        <v>2035</v>
      </c>
      <c r="AU91" s="45" t="s">
        <v>2220</v>
      </c>
      <c r="AV91" s="309" t="s">
        <v>2287</v>
      </c>
      <c r="AW91" s="403" t="s">
        <v>2682</v>
      </c>
      <c r="AY91" s="414"/>
    </row>
    <row r="92" spans="1:51" ht="15" customHeight="1" x14ac:dyDescent="0.25">
      <c r="A92" s="295">
        <v>15539</v>
      </c>
      <c r="B92" s="30">
        <v>46003</v>
      </c>
      <c r="C92" s="30">
        <v>46008</v>
      </c>
      <c r="D92" s="3">
        <v>1</v>
      </c>
      <c r="E92" s="40" t="s">
        <v>54</v>
      </c>
      <c r="F92" s="30" t="s">
        <v>55</v>
      </c>
      <c r="G92" s="3">
        <v>0</v>
      </c>
      <c r="H92" s="33"/>
      <c r="I92" s="3" t="s">
        <v>55</v>
      </c>
      <c r="J92" s="3" t="s">
        <v>55</v>
      </c>
      <c r="K92" s="3">
        <v>0</v>
      </c>
      <c r="L92" s="37" t="s">
        <v>55</v>
      </c>
      <c r="M92" s="18" t="s">
        <v>55</v>
      </c>
      <c r="N92" s="18" t="s">
        <v>55</v>
      </c>
      <c r="O92" s="18" t="s">
        <v>55</v>
      </c>
      <c r="P92" s="18" t="s">
        <v>55</v>
      </c>
      <c r="Q92" s="18" t="s">
        <v>55</v>
      </c>
      <c r="R92" s="18" t="s">
        <v>55</v>
      </c>
      <c r="S92" s="3">
        <v>2</v>
      </c>
      <c r="T92" s="3">
        <v>1</v>
      </c>
      <c r="U92" s="3">
        <v>0</v>
      </c>
      <c r="V92" s="28">
        <v>46014</v>
      </c>
      <c r="W92" s="28">
        <v>46014</v>
      </c>
      <c r="X92" s="28">
        <v>46014</v>
      </c>
      <c r="Y92" s="28">
        <v>46030</v>
      </c>
      <c r="Z92" s="28">
        <v>46035</v>
      </c>
      <c r="AA92" s="3">
        <f t="shared" si="10"/>
        <v>1</v>
      </c>
      <c r="AB92" s="45" t="s">
        <v>361</v>
      </c>
      <c r="AC92" s="35" t="s">
        <v>447</v>
      </c>
      <c r="AD92" s="19" t="str">
        <f t="shared" si="8"/>
        <v>N/A</v>
      </c>
      <c r="AE92" s="67" t="str">
        <f>IFERROR(NETWORKDAYS(B92,I92,Hoja1!$A$1:$A$29),"N/A")</f>
        <v>N/A</v>
      </c>
      <c r="AF92" s="21">
        <f>IFERROR(NETWORKDAYS(B92,W92,Hoja1!$A$1:$A$29),"N/A")</f>
        <v>8</v>
      </c>
      <c r="AG92" s="78">
        <v>0</v>
      </c>
      <c r="AH92" s="21">
        <f t="shared" si="6"/>
        <v>8</v>
      </c>
      <c r="AI92" s="21">
        <f>IFERROR(NETWORKDAYS(X92,Y92,Hoja1!$A$1:$A$29),"N/A")</f>
        <v>11</v>
      </c>
      <c r="AJ92" s="74">
        <v>6</v>
      </c>
      <c r="AK92" s="75">
        <f t="shared" si="5"/>
        <v>5</v>
      </c>
      <c r="AL92" s="21">
        <f>IFERROR(NETWORKDAYS(B92,Y92,Hoja1!$A$1:$A$29),"N/A")</f>
        <v>18</v>
      </c>
      <c r="AM92" s="21">
        <f t="shared" si="9"/>
        <v>12</v>
      </c>
      <c r="AN92" s="45" t="s">
        <v>464</v>
      </c>
      <c r="AO92" s="45"/>
      <c r="AP92" s="45"/>
      <c r="AQ92" s="45"/>
      <c r="AR92" s="45"/>
      <c r="AS92" s="45" t="s">
        <v>1888</v>
      </c>
      <c r="AT92" s="45" t="s">
        <v>2035</v>
      </c>
      <c r="AU92" s="45" t="s">
        <v>2220</v>
      </c>
      <c r="AV92" s="309" t="s">
        <v>2288</v>
      </c>
      <c r="AW92" s="403" t="s">
        <v>2684</v>
      </c>
      <c r="AY92" s="415"/>
    </row>
    <row r="93" spans="1:51" ht="15" customHeight="1" x14ac:dyDescent="0.25">
      <c r="A93" s="295">
        <v>15540</v>
      </c>
      <c r="B93" s="30">
        <v>46003</v>
      </c>
      <c r="C93" s="30">
        <v>46008</v>
      </c>
      <c r="D93" s="3">
        <v>1</v>
      </c>
      <c r="E93" s="40" t="s">
        <v>54</v>
      </c>
      <c r="F93" s="30" t="s">
        <v>55</v>
      </c>
      <c r="G93" s="3">
        <v>0</v>
      </c>
      <c r="H93" s="33"/>
      <c r="I93" s="30" t="s">
        <v>55</v>
      </c>
      <c r="J93" s="30" t="s">
        <v>55</v>
      </c>
      <c r="K93" s="3">
        <v>0</v>
      </c>
      <c r="L93" s="37" t="s">
        <v>55</v>
      </c>
      <c r="M93" s="18" t="s">
        <v>55</v>
      </c>
      <c r="N93" s="18" t="s">
        <v>55</v>
      </c>
      <c r="O93" s="18" t="s">
        <v>55</v>
      </c>
      <c r="P93" s="18" t="s">
        <v>55</v>
      </c>
      <c r="Q93" s="18" t="s">
        <v>55</v>
      </c>
      <c r="R93" s="18" t="s">
        <v>55</v>
      </c>
      <c r="S93" s="3">
        <v>1</v>
      </c>
      <c r="T93" s="3">
        <v>1</v>
      </c>
      <c r="U93" s="3">
        <v>0</v>
      </c>
      <c r="V93" s="28">
        <v>46009</v>
      </c>
      <c r="W93" s="28">
        <v>46010</v>
      </c>
      <c r="X93" s="28">
        <v>46010</v>
      </c>
      <c r="Y93" s="28">
        <v>46027</v>
      </c>
      <c r="Z93" s="28">
        <v>46027</v>
      </c>
      <c r="AA93" s="3">
        <f t="shared" si="10"/>
        <v>1</v>
      </c>
      <c r="AB93" s="45" t="s">
        <v>363</v>
      </c>
      <c r="AC93" s="45" t="s">
        <v>364</v>
      </c>
      <c r="AD93" s="19" t="str">
        <f t="shared" si="8"/>
        <v>N/A</v>
      </c>
      <c r="AE93" s="67" t="str">
        <f>IFERROR(NETWORKDAYS(B93,I93,Hoja1!$A$1:$A$29),"N/A")</f>
        <v>N/A</v>
      </c>
      <c r="AF93" s="21">
        <f>IFERROR(NETWORKDAYS(B93,W93,Hoja1!$A$1:$A$29),"N/A")</f>
        <v>6</v>
      </c>
      <c r="AG93" s="78">
        <v>0</v>
      </c>
      <c r="AH93" s="21">
        <f t="shared" si="6"/>
        <v>6</v>
      </c>
      <c r="AI93" s="21">
        <f>IFERROR(NETWORKDAYS(X93,Y93,Hoja1!$A$1:$A$29),"N/A")</f>
        <v>10</v>
      </c>
      <c r="AJ93" s="74">
        <v>5</v>
      </c>
      <c r="AK93" s="75">
        <f t="shared" si="5"/>
        <v>5</v>
      </c>
      <c r="AL93" s="21">
        <f>IFERROR(NETWORKDAYS(B93,Y93,Hoja1!$A$1:$A$29),"N/A")</f>
        <v>15</v>
      </c>
      <c r="AM93" s="21">
        <f t="shared" si="9"/>
        <v>10</v>
      </c>
      <c r="AN93" s="45"/>
      <c r="AO93" s="45"/>
      <c r="AP93" s="45"/>
      <c r="AQ93" s="45"/>
      <c r="AR93" s="45"/>
      <c r="AS93" s="45" t="s">
        <v>1888</v>
      </c>
      <c r="AT93" s="45" t="s">
        <v>2035</v>
      </c>
      <c r="AU93" s="45" t="s">
        <v>2220</v>
      </c>
      <c r="AV93" s="309" t="s">
        <v>2289</v>
      </c>
      <c r="AW93" s="403" t="s">
        <v>2682</v>
      </c>
      <c r="AY93" s="414"/>
    </row>
    <row r="94" spans="1:51" ht="15" customHeight="1" x14ac:dyDescent="0.25">
      <c r="A94" s="295">
        <v>15543</v>
      </c>
      <c r="B94" s="30">
        <v>46010</v>
      </c>
      <c r="C94" s="42">
        <v>46008</v>
      </c>
      <c r="D94" s="3">
        <v>1</v>
      </c>
      <c r="E94" s="40" t="s">
        <v>54</v>
      </c>
      <c r="F94" s="30" t="s">
        <v>55</v>
      </c>
      <c r="G94" s="3">
        <v>3</v>
      </c>
      <c r="H94" s="33" t="s">
        <v>56</v>
      </c>
      <c r="I94" s="30">
        <v>46014</v>
      </c>
      <c r="J94" s="30">
        <v>46020</v>
      </c>
      <c r="K94" s="3">
        <v>3</v>
      </c>
      <c r="L94" s="37" t="s">
        <v>55</v>
      </c>
      <c r="M94" s="18" t="s">
        <v>55</v>
      </c>
      <c r="N94" s="18" t="s">
        <v>55</v>
      </c>
      <c r="O94" s="18" t="s">
        <v>55</v>
      </c>
      <c r="P94" s="18" t="s">
        <v>55</v>
      </c>
      <c r="Q94" s="18" t="s">
        <v>55</v>
      </c>
      <c r="R94" s="18" t="s">
        <v>55</v>
      </c>
      <c r="S94" s="3">
        <v>2</v>
      </c>
      <c r="T94" s="3">
        <v>1</v>
      </c>
      <c r="U94" s="3">
        <v>0</v>
      </c>
      <c r="V94" s="28">
        <v>46027</v>
      </c>
      <c r="W94" s="28">
        <v>46027</v>
      </c>
      <c r="X94" s="28">
        <v>46027</v>
      </c>
      <c r="Y94" s="28">
        <v>46031</v>
      </c>
      <c r="Z94" s="28">
        <v>46035</v>
      </c>
      <c r="AA94" s="3">
        <f t="shared" si="10"/>
        <v>1</v>
      </c>
      <c r="AB94" s="45" t="s">
        <v>366</v>
      </c>
      <c r="AC94" s="45" t="s">
        <v>367</v>
      </c>
      <c r="AD94" s="19">
        <f t="shared" si="8"/>
        <v>1</v>
      </c>
      <c r="AE94" s="67">
        <f>IFERROR(NETWORKDAYS(B94,I94,Hoja1!$A$1:$A$29),"N/A")</f>
        <v>3</v>
      </c>
      <c r="AF94" s="21">
        <f>IFERROR(NETWORKDAYS(B94,W94,Hoja1!$A$1:$A$29),"N/A")</f>
        <v>10</v>
      </c>
      <c r="AG94" s="78">
        <v>0</v>
      </c>
      <c r="AH94" s="21">
        <f t="shared" si="6"/>
        <v>10</v>
      </c>
      <c r="AI94" s="21">
        <f>IFERROR(NETWORKDAYS(X94,Y94,Hoja1!$A$1:$A$29),"N/A")</f>
        <v>5</v>
      </c>
      <c r="AJ94" s="74">
        <v>0</v>
      </c>
      <c r="AK94" s="75">
        <f t="shared" si="5"/>
        <v>5</v>
      </c>
      <c r="AL94" s="21">
        <f>IFERROR(NETWORKDAYS(B94,Y94,Hoja1!$A$1:$A$29),"N/A")</f>
        <v>14</v>
      </c>
      <c r="AM94" s="21">
        <f t="shared" si="9"/>
        <v>14</v>
      </c>
      <c r="AN94" s="45"/>
      <c r="AO94" s="45"/>
      <c r="AP94" s="45"/>
      <c r="AQ94" s="45"/>
      <c r="AR94" s="45"/>
      <c r="AS94" s="45" t="s">
        <v>1888</v>
      </c>
      <c r="AT94" s="45" t="s">
        <v>2008</v>
      </c>
      <c r="AU94" s="45" t="s">
        <v>2211</v>
      </c>
      <c r="AV94" s="309" t="s">
        <v>2283</v>
      </c>
      <c r="AW94" s="403" t="s">
        <v>2685</v>
      </c>
      <c r="AY94" s="415"/>
    </row>
    <row r="95" spans="1:51" ht="15" customHeight="1" x14ac:dyDescent="0.25">
      <c r="A95" s="295">
        <v>15544</v>
      </c>
      <c r="B95" s="30">
        <v>46010</v>
      </c>
      <c r="C95" s="42">
        <v>46008</v>
      </c>
      <c r="D95" s="3">
        <v>1</v>
      </c>
      <c r="E95" s="40" t="s">
        <v>54</v>
      </c>
      <c r="F95" s="30" t="s">
        <v>55</v>
      </c>
      <c r="G95" s="3">
        <v>3</v>
      </c>
      <c r="H95" s="33" t="s">
        <v>56</v>
      </c>
      <c r="I95" s="30">
        <v>46014</v>
      </c>
      <c r="J95" s="30">
        <v>46020</v>
      </c>
      <c r="K95" s="3">
        <v>3</v>
      </c>
      <c r="L95" s="37" t="s">
        <v>55</v>
      </c>
      <c r="M95" s="18" t="s">
        <v>55</v>
      </c>
      <c r="N95" s="18" t="s">
        <v>55</v>
      </c>
      <c r="O95" s="18" t="s">
        <v>55</v>
      </c>
      <c r="P95" s="18" t="s">
        <v>55</v>
      </c>
      <c r="Q95" s="18" t="s">
        <v>55</v>
      </c>
      <c r="R95" s="18" t="s">
        <v>55</v>
      </c>
      <c r="S95" s="3">
        <v>2</v>
      </c>
      <c r="T95" s="3">
        <v>1</v>
      </c>
      <c r="U95" s="3">
        <v>0</v>
      </c>
      <c r="V95" s="28">
        <v>46027</v>
      </c>
      <c r="W95" s="28">
        <v>46027</v>
      </c>
      <c r="X95" s="28">
        <v>46027</v>
      </c>
      <c r="Y95" s="28">
        <v>46031</v>
      </c>
      <c r="Z95" s="28">
        <v>46035</v>
      </c>
      <c r="AA95" s="3">
        <f t="shared" si="10"/>
        <v>1</v>
      </c>
      <c r="AB95" s="45" t="s">
        <v>368</v>
      </c>
      <c r="AC95" s="45" t="s">
        <v>369</v>
      </c>
      <c r="AD95" s="19">
        <f t="shared" si="8"/>
        <v>1</v>
      </c>
      <c r="AE95" s="67">
        <f>IFERROR(NETWORKDAYS(B95,I95,Hoja1!$A$1:$A$29),"N/A")</f>
        <v>3</v>
      </c>
      <c r="AF95" s="21">
        <f>IFERROR(NETWORKDAYS(B95,W95,Hoja1!$A$1:$A$29),"N/A")</f>
        <v>10</v>
      </c>
      <c r="AG95" s="78">
        <v>0</v>
      </c>
      <c r="AH95" s="21">
        <f t="shared" si="6"/>
        <v>10</v>
      </c>
      <c r="AI95" s="21">
        <f>IFERROR(NETWORKDAYS(X95,Y95,Hoja1!$A$1:$A$29),"N/A")</f>
        <v>5</v>
      </c>
      <c r="AJ95" s="74">
        <v>0</v>
      </c>
      <c r="AK95" s="75">
        <f t="shared" si="5"/>
        <v>5</v>
      </c>
      <c r="AL95" s="21">
        <f>IFERROR(NETWORKDAYS(B95,Y95,Hoja1!$A$1:$A$29),"N/A")</f>
        <v>14</v>
      </c>
      <c r="AM95" s="21">
        <f t="shared" si="9"/>
        <v>14</v>
      </c>
      <c r="AN95" s="45"/>
      <c r="AO95" s="45"/>
      <c r="AP95" s="45"/>
      <c r="AQ95" s="45"/>
      <c r="AR95" s="45"/>
      <c r="AS95" s="45" t="s">
        <v>1888</v>
      </c>
      <c r="AT95" s="45" t="s">
        <v>2008</v>
      </c>
      <c r="AU95" s="45" t="s">
        <v>2211</v>
      </c>
      <c r="AV95" s="309" t="s">
        <v>2290</v>
      </c>
      <c r="AW95" s="403" t="s">
        <v>2685</v>
      </c>
      <c r="AY95" s="414"/>
    </row>
    <row r="96" spans="1:51" ht="15" customHeight="1" x14ac:dyDescent="0.25">
      <c r="A96" s="294">
        <v>15547</v>
      </c>
      <c r="B96" s="15">
        <v>45992</v>
      </c>
      <c r="C96" s="16">
        <v>45992</v>
      </c>
      <c r="D96" s="17">
        <v>1</v>
      </c>
      <c r="E96" s="40" t="s">
        <v>54</v>
      </c>
      <c r="F96" s="16" t="s">
        <v>55</v>
      </c>
      <c r="G96" s="1">
        <v>5</v>
      </c>
      <c r="H96" s="16" t="s">
        <v>112</v>
      </c>
      <c r="I96" s="70">
        <v>45993</v>
      </c>
      <c r="J96" s="70">
        <v>45993</v>
      </c>
      <c r="K96" s="1">
        <v>5</v>
      </c>
      <c r="L96" s="16" t="s">
        <v>55</v>
      </c>
      <c r="M96" s="18" t="s">
        <v>55</v>
      </c>
      <c r="N96" s="18" t="s">
        <v>55</v>
      </c>
      <c r="O96" s="18" t="s">
        <v>55</v>
      </c>
      <c r="P96" s="18" t="s">
        <v>55</v>
      </c>
      <c r="Q96" s="18" t="s">
        <v>55</v>
      </c>
      <c r="R96" s="18" t="s">
        <v>55</v>
      </c>
      <c r="S96" s="1">
        <v>1</v>
      </c>
      <c r="T96" s="1">
        <v>1</v>
      </c>
      <c r="U96" s="1">
        <v>0</v>
      </c>
      <c r="V96" s="16">
        <v>46010</v>
      </c>
      <c r="W96" s="16">
        <v>46013</v>
      </c>
      <c r="X96" s="16">
        <v>46013</v>
      </c>
      <c r="Y96" s="16">
        <v>46024</v>
      </c>
      <c r="Z96" s="16">
        <v>46027</v>
      </c>
      <c r="AA96" s="3">
        <f t="shared" si="10"/>
        <v>1</v>
      </c>
      <c r="AB96" s="20" t="s">
        <v>371</v>
      </c>
      <c r="AC96" s="27" t="s">
        <v>372</v>
      </c>
      <c r="AD96" s="19">
        <f t="shared" si="8"/>
        <v>1</v>
      </c>
      <c r="AE96" s="67">
        <f>IFERROR(NETWORKDAYS(B96,I96,Hoja1!$A$1:$A$29),"N/A")</f>
        <v>2</v>
      </c>
      <c r="AF96" s="21">
        <f>IFERROR(NETWORKDAYS(B96,W96,Hoja1!$A$1:$A$29),"N/A")</f>
        <v>15</v>
      </c>
      <c r="AG96" s="78">
        <v>0</v>
      </c>
      <c r="AH96" s="21">
        <f t="shared" si="6"/>
        <v>15</v>
      </c>
      <c r="AI96" s="21">
        <f>IFERROR(NETWORKDAYS(X96,Y96,Hoja1!$A$1:$A$29),"N/A")</f>
        <v>8</v>
      </c>
      <c r="AJ96" s="74">
        <v>3</v>
      </c>
      <c r="AK96" s="75">
        <f t="shared" si="5"/>
        <v>5</v>
      </c>
      <c r="AL96" s="21">
        <f>IFERROR(NETWORKDAYS(B96,Y96,Hoja1!$A$1:$A$29),"N/A")</f>
        <v>22</v>
      </c>
      <c r="AM96" s="21">
        <f t="shared" si="9"/>
        <v>19</v>
      </c>
      <c r="AN96" s="27"/>
      <c r="AO96" s="27"/>
      <c r="AP96" s="27"/>
      <c r="AQ96" s="27"/>
      <c r="AR96" s="27"/>
      <c r="AS96" s="27" t="s">
        <v>1888</v>
      </c>
      <c r="AT96" s="27" t="s">
        <v>1994</v>
      </c>
      <c r="AU96" s="27" t="s">
        <v>2210</v>
      </c>
      <c r="AV96" s="310" t="s">
        <v>2232</v>
      </c>
      <c r="AW96" s="403" t="s">
        <v>2686</v>
      </c>
      <c r="AY96" s="415"/>
    </row>
    <row r="97" spans="1:51" ht="15" customHeight="1" x14ac:dyDescent="0.25">
      <c r="A97" s="295">
        <v>15554</v>
      </c>
      <c r="B97" s="30">
        <v>46009</v>
      </c>
      <c r="C97" s="42">
        <v>46009</v>
      </c>
      <c r="D97" s="3">
        <v>1</v>
      </c>
      <c r="E97" s="40" t="s">
        <v>54</v>
      </c>
      <c r="F97" s="30" t="s">
        <v>55</v>
      </c>
      <c r="G97" s="3">
        <v>4</v>
      </c>
      <c r="H97" s="33" t="s">
        <v>112</v>
      </c>
      <c r="I97" s="30">
        <v>46010</v>
      </c>
      <c r="J97" s="30">
        <v>46013</v>
      </c>
      <c r="K97" s="3">
        <v>4</v>
      </c>
      <c r="L97" s="37" t="s">
        <v>55</v>
      </c>
      <c r="M97" s="18" t="s">
        <v>55</v>
      </c>
      <c r="N97" s="18" t="s">
        <v>55</v>
      </c>
      <c r="O97" s="18" t="s">
        <v>55</v>
      </c>
      <c r="P97" s="18" t="s">
        <v>55</v>
      </c>
      <c r="Q97" s="18" t="s">
        <v>55</v>
      </c>
      <c r="R97" s="18" t="s">
        <v>55</v>
      </c>
      <c r="S97" s="3">
        <v>1</v>
      </c>
      <c r="T97" s="3">
        <v>1</v>
      </c>
      <c r="U97" s="3">
        <v>0</v>
      </c>
      <c r="V97" s="28">
        <v>46021</v>
      </c>
      <c r="W97" s="28">
        <v>46030</v>
      </c>
      <c r="X97" s="28">
        <v>46031</v>
      </c>
      <c r="Y97" s="28">
        <v>46042</v>
      </c>
      <c r="Z97" s="28">
        <v>46044</v>
      </c>
      <c r="AA97" s="3">
        <f t="shared" si="10"/>
        <v>1</v>
      </c>
      <c r="AB97" s="45" t="s">
        <v>373</v>
      </c>
      <c r="AC97" s="45" t="s">
        <v>374</v>
      </c>
      <c r="AD97" s="19">
        <f t="shared" si="8"/>
        <v>1</v>
      </c>
      <c r="AE97" s="67">
        <f>IFERROR(NETWORKDAYS(B97,I97,Hoja1!$A$1:$A$29),"N/A")</f>
        <v>2</v>
      </c>
      <c r="AF97" s="21">
        <f>IFERROR(NETWORKDAYS(B97,W97,Hoja1!$A$1:$A$29),"N/A")</f>
        <v>14</v>
      </c>
      <c r="AG97" s="78">
        <v>0</v>
      </c>
      <c r="AH97" s="21">
        <f t="shared" si="6"/>
        <v>14</v>
      </c>
      <c r="AI97" s="21">
        <f>IFERROR(NETWORKDAYS(X97,Y97,Hoja1!$A$1:$A$29),"N/A")</f>
        <v>7</v>
      </c>
      <c r="AJ97" s="74">
        <v>2</v>
      </c>
      <c r="AK97" s="75">
        <f t="shared" si="5"/>
        <v>5</v>
      </c>
      <c r="AL97" s="21">
        <f>IFERROR(NETWORKDAYS(B97,Y97,Hoja1!$A$1:$A$29),"N/A")</f>
        <v>21</v>
      </c>
      <c r="AM97" s="21">
        <f t="shared" si="9"/>
        <v>19</v>
      </c>
      <c r="AN97" s="45"/>
      <c r="AO97" s="45"/>
      <c r="AP97" s="45"/>
      <c r="AQ97" s="45"/>
      <c r="AR97" s="45"/>
      <c r="AS97" s="45" t="s">
        <v>1891</v>
      </c>
      <c r="AT97" s="45" t="s">
        <v>1994</v>
      </c>
      <c r="AU97" s="45" t="s">
        <v>2211</v>
      </c>
      <c r="AV97" s="309" t="s">
        <v>2231</v>
      </c>
      <c r="AW97" s="403" t="s">
        <v>2687</v>
      </c>
      <c r="AY97" s="414"/>
    </row>
    <row r="98" spans="1:51" ht="15" customHeight="1" x14ac:dyDescent="0.25">
      <c r="A98" s="295">
        <v>15564</v>
      </c>
      <c r="B98" s="30">
        <v>46013</v>
      </c>
      <c r="C98" s="28">
        <v>46013</v>
      </c>
      <c r="D98" s="3">
        <v>1</v>
      </c>
      <c r="E98" s="40" t="s">
        <v>54</v>
      </c>
      <c r="F98" s="28" t="s">
        <v>55</v>
      </c>
      <c r="G98" s="33">
        <v>3</v>
      </c>
      <c r="H98" s="33" t="s">
        <v>112</v>
      </c>
      <c r="I98" s="28">
        <v>46021</v>
      </c>
      <c r="J98" s="28">
        <v>46021</v>
      </c>
      <c r="K98" s="33">
        <v>3</v>
      </c>
      <c r="L98" s="28" t="s">
        <v>55</v>
      </c>
      <c r="M98" s="18" t="s">
        <v>55</v>
      </c>
      <c r="N98" s="18" t="s">
        <v>55</v>
      </c>
      <c r="O98" s="18" t="s">
        <v>55</v>
      </c>
      <c r="P98" s="18" t="s">
        <v>55</v>
      </c>
      <c r="Q98" s="18" t="s">
        <v>55</v>
      </c>
      <c r="R98" s="18" t="s">
        <v>55</v>
      </c>
      <c r="S98" s="33">
        <v>1</v>
      </c>
      <c r="T98" s="33">
        <v>1</v>
      </c>
      <c r="U98" s="33">
        <v>0</v>
      </c>
      <c r="V98" s="28">
        <v>46034</v>
      </c>
      <c r="W98" s="28">
        <v>46034</v>
      </c>
      <c r="X98" s="28">
        <v>46034</v>
      </c>
      <c r="Y98" s="28">
        <v>46044</v>
      </c>
      <c r="Z98" s="28">
        <v>46045</v>
      </c>
      <c r="AA98" s="3">
        <f t="shared" si="10"/>
        <v>1</v>
      </c>
      <c r="AB98" s="45" t="s">
        <v>376</v>
      </c>
      <c r="AC98" s="45" t="s">
        <v>377</v>
      </c>
      <c r="AD98" s="19">
        <f t="shared" si="8"/>
        <v>1</v>
      </c>
      <c r="AE98" s="67">
        <f>IFERROR(NETWORKDAYS(B98,I98,Hoja1!$A$1:$A$29),"N/A")</f>
        <v>6</v>
      </c>
      <c r="AF98" s="21">
        <f>IFERROR(NETWORKDAYS(B98,W98,Hoja1!$A$1:$A$29),"N/A")</f>
        <v>13</v>
      </c>
      <c r="AG98" s="78">
        <v>0</v>
      </c>
      <c r="AH98" s="21">
        <f t="shared" si="6"/>
        <v>13</v>
      </c>
      <c r="AI98" s="21">
        <f>IFERROR(NETWORKDAYS(X98,Y98,Hoja1!$A$1:$A$29),"N/A")</f>
        <v>8</v>
      </c>
      <c r="AJ98" s="74">
        <v>3</v>
      </c>
      <c r="AK98" s="75">
        <f t="shared" si="5"/>
        <v>5</v>
      </c>
      <c r="AL98" s="21">
        <f>IFERROR(NETWORKDAYS(B98,Y98,Hoja1!$A$1:$A$29),"N/A")</f>
        <v>21</v>
      </c>
      <c r="AM98" s="21">
        <f t="shared" si="9"/>
        <v>18</v>
      </c>
      <c r="AN98" s="45"/>
      <c r="AO98" s="45"/>
      <c r="AP98" s="45"/>
      <c r="AQ98" s="45"/>
      <c r="AR98" s="45"/>
      <c r="AS98" s="45" t="s">
        <v>1918</v>
      </c>
      <c r="AT98" s="45" t="s">
        <v>1992</v>
      </c>
      <c r="AU98" s="45" t="s">
        <v>2212</v>
      </c>
      <c r="AV98" s="309" t="s">
        <v>2291</v>
      </c>
      <c r="AW98" s="403" t="s">
        <v>2688</v>
      </c>
      <c r="AY98" s="415"/>
    </row>
    <row r="99" spans="1:51" ht="15" customHeight="1" x14ac:dyDescent="0.25">
      <c r="A99" s="294">
        <v>15566</v>
      </c>
      <c r="B99" s="15">
        <v>46021</v>
      </c>
      <c r="C99" s="16">
        <v>46013</v>
      </c>
      <c r="D99" s="17">
        <v>1</v>
      </c>
      <c r="E99" s="40" t="s">
        <v>54</v>
      </c>
      <c r="F99" s="16" t="s">
        <v>55</v>
      </c>
      <c r="G99" s="1">
        <v>0</v>
      </c>
      <c r="H99" s="1"/>
      <c r="I99" s="28" t="s">
        <v>55</v>
      </c>
      <c r="J99" s="28" t="s">
        <v>55</v>
      </c>
      <c r="K99" s="1"/>
      <c r="L99" s="28" t="s">
        <v>55</v>
      </c>
      <c r="M99" s="18" t="s">
        <v>55</v>
      </c>
      <c r="N99" s="18" t="s">
        <v>55</v>
      </c>
      <c r="O99" s="18" t="s">
        <v>55</v>
      </c>
      <c r="P99" s="18" t="s">
        <v>55</v>
      </c>
      <c r="Q99" s="18" t="s">
        <v>55</v>
      </c>
      <c r="R99" s="18" t="s">
        <v>55</v>
      </c>
      <c r="S99" s="1">
        <v>1</v>
      </c>
      <c r="T99" s="1">
        <v>1</v>
      </c>
      <c r="U99" s="1">
        <v>0</v>
      </c>
      <c r="V99" s="16">
        <v>46030</v>
      </c>
      <c r="W99" s="16">
        <v>46035</v>
      </c>
      <c r="X99" s="16">
        <v>46035</v>
      </c>
      <c r="Y99" s="16">
        <v>46044</v>
      </c>
      <c r="Z99" s="16">
        <v>46045</v>
      </c>
      <c r="AA99" s="3">
        <f t="shared" si="10"/>
        <v>1</v>
      </c>
      <c r="AB99" s="27" t="s">
        <v>380</v>
      </c>
      <c r="AC99" s="49" t="s">
        <v>381</v>
      </c>
      <c r="AD99" s="19" t="str">
        <f t="shared" si="8"/>
        <v>N/A</v>
      </c>
      <c r="AE99" s="67" t="str">
        <f>IFERROR(NETWORKDAYS(B99,I99,Hoja1!$A$1:$A$29),"N/A")</f>
        <v>N/A</v>
      </c>
      <c r="AF99" s="21">
        <f>IFERROR(NETWORKDAYS(B99,W99,Hoja1!$A$1:$A$29),"N/A")</f>
        <v>9</v>
      </c>
      <c r="AG99" s="78">
        <v>0</v>
      </c>
      <c r="AH99" s="21">
        <f t="shared" si="6"/>
        <v>9</v>
      </c>
      <c r="AI99" s="21">
        <f>IFERROR(NETWORKDAYS(X99,Y99,Hoja1!$A$1:$A$29),"N/A")</f>
        <v>8</v>
      </c>
      <c r="AJ99" s="74">
        <v>3</v>
      </c>
      <c r="AK99" s="75">
        <f t="shared" si="5"/>
        <v>5</v>
      </c>
      <c r="AL99" s="21">
        <f>IFERROR(NETWORKDAYS(B99,Y99,Hoja1!$A$1:$A$29),"N/A")</f>
        <v>16</v>
      </c>
      <c r="AM99" s="21">
        <f t="shared" si="9"/>
        <v>13</v>
      </c>
      <c r="AN99" s="27"/>
      <c r="AO99" s="27"/>
      <c r="AP99" s="27"/>
      <c r="AQ99" s="27"/>
      <c r="AR99" s="27"/>
      <c r="AS99" s="27" t="s">
        <v>1903</v>
      </c>
      <c r="AT99" s="27" t="s">
        <v>2036</v>
      </c>
      <c r="AU99" s="27" t="s">
        <v>2210</v>
      </c>
      <c r="AV99" s="310" t="s">
        <v>2242</v>
      </c>
      <c r="AW99" s="403" t="s">
        <v>2689</v>
      </c>
      <c r="AY99" s="414"/>
    </row>
    <row r="100" spans="1:51" ht="15" customHeight="1" x14ac:dyDescent="0.25">
      <c r="A100" s="293">
        <v>15578</v>
      </c>
      <c r="B100" s="38">
        <v>46017</v>
      </c>
      <c r="C100" s="38">
        <v>46017</v>
      </c>
      <c r="D100" s="3">
        <v>1</v>
      </c>
      <c r="E100" s="40" t="s">
        <v>54</v>
      </c>
      <c r="F100" s="28" t="s">
        <v>55</v>
      </c>
      <c r="G100" s="33">
        <v>0</v>
      </c>
      <c r="H100" s="33"/>
      <c r="I100" s="28" t="s">
        <v>55</v>
      </c>
      <c r="J100" s="28" t="s">
        <v>55</v>
      </c>
      <c r="K100" s="33">
        <v>0</v>
      </c>
      <c r="L100" s="28" t="s">
        <v>55</v>
      </c>
      <c r="M100" s="18" t="s">
        <v>55</v>
      </c>
      <c r="N100" s="18" t="s">
        <v>55</v>
      </c>
      <c r="O100" s="18" t="s">
        <v>55</v>
      </c>
      <c r="P100" s="18" t="s">
        <v>55</v>
      </c>
      <c r="Q100" s="18" t="s">
        <v>55</v>
      </c>
      <c r="R100" s="18" t="s">
        <v>55</v>
      </c>
      <c r="S100" s="33">
        <v>1</v>
      </c>
      <c r="T100" s="33">
        <v>1</v>
      </c>
      <c r="U100" s="33">
        <v>0</v>
      </c>
      <c r="V100" s="28">
        <v>46035</v>
      </c>
      <c r="W100" s="28">
        <v>46035</v>
      </c>
      <c r="X100" s="28">
        <v>46036</v>
      </c>
      <c r="Y100" s="28">
        <v>46042</v>
      </c>
      <c r="Z100" s="28">
        <v>46044</v>
      </c>
      <c r="AA100" s="3">
        <f t="shared" si="10"/>
        <v>1</v>
      </c>
      <c r="AB100" s="50" t="s">
        <v>384</v>
      </c>
      <c r="AC100" s="45" t="s">
        <v>385</v>
      </c>
      <c r="AD100" s="19" t="str">
        <f t="shared" si="8"/>
        <v>N/A</v>
      </c>
      <c r="AE100" s="67" t="str">
        <f>IFERROR(NETWORKDAYS(B100,I100,Hoja1!$A$1:$A$29),"N/A")</f>
        <v>N/A</v>
      </c>
      <c r="AF100" s="21">
        <f>IFERROR(NETWORKDAYS(B100,W100,Hoja1!$A$1:$A$29),"N/A")</f>
        <v>11</v>
      </c>
      <c r="AG100" s="78">
        <v>0</v>
      </c>
      <c r="AH100" s="21">
        <f t="shared" si="6"/>
        <v>11</v>
      </c>
      <c r="AI100" s="21">
        <f>IFERROR(NETWORKDAYS(X100,Y100,Hoja1!$A$1:$A$29),"N/A")</f>
        <v>5</v>
      </c>
      <c r="AJ100" s="74">
        <v>0</v>
      </c>
      <c r="AK100" s="75">
        <f t="shared" si="5"/>
        <v>5</v>
      </c>
      <c r="AL100" s="21">
        <f>IFERROR(NETWORKDAYS(B100,Y100,Hoja1!$A$1:$A$29),"N/A")</f>
        <v>16</v>
      </c>
      <c r="AM100" s="21">
        <f t="shared" si="9"/>
        <v>16</v>
      </c>
      <c r="AN100" s="45"/>
      <c r="AO100" s="45"/>
      <c r="AP100" s="45"/>
      <c r="AQ100" s="45"/>
      <c r="AR100" s="45"/>
      <c r="AS100" s="45" t="s">
        <v>1919</v>
      </c>
      <c r="AT100" s="45" t="s">
        <v>2037</v>
      </c>
      <c r="AU100" s="45" t="s">
        <v>2212</v>
      </c>
      <c r="AV100" s="309" t="s">
        <v>2292</v>
      </c>
      <c r="AW100" s="403" t="s">
        <v>2690</v>
      </c>
      <c r="AY100" s="415"/>
    </row>
    <row r="101" spans="1:51" ht="15" customHeight="1" x14ac:dyDescent="0.25">
      <c r="A101" s="295">
        <v>15598</v>
      </c>
      <c r="B101" s="30">
        <v>46014</v>
      </c>
      <c r="C101" s="28">
        <v>46021</v>
      </c>
      <c r="D101" s="3">
        <v>1</v>
      </c>
      <c r="E101" s="40" t="s">
        <v>54</v>
      </c>
      <c r="F101" s="28" t="s">
        <v>55</v>
      </c>
      <c r="G101" s="33">
        <v>0</v>
      </c>
      <c r="H101" s="33"/>
      <c r="I101" s="28" t="s">
        <v>55</v>
      </c>
      <c r="J101" s="28" t="s">
        <v>55</v>
      </c>
      <c r="K101" s="33">
        <v>0</v>
      </c>
      <c r="L101" s="28" t="s">
        <v>55</v>
      </c>
      <c r="M101" s="18" t="s">
        <v>55</v>
      </c>
      <c r="N101" s="18" t="s">
        <v>55</v>
      </c>
      <c r="O101" s="18" t="s">
        <v>55</v>
      </c>
      <c r="P101" s="18" t="s">
        <v>55</v>
      </c>
      <c r="Q101" s="18" t="s">
        <v>55</v>
      </c>
      <c r="R101" s="18" t="s">
        <v>55</v>
      </c>
      <c r="S101" s="33">
        <v>1</v>
      </c>
      <c r="T101" s="33">
        <v>1</v>
      </c>
      <c r="U101" s="33">
        <v>0</v>
      </c>
      <c r="V101" s="28">
        <v>46020</v>
      </c>
      <c r="W101" s="28">
        <v>46020</v>
      </c>
      <c r="X101" s="28">
        <v>46015</v>
      </c>
      <c r="Y101" s="28">
        <v>46024</v>
      </c>
      <c r="Z101" s="28">
        <v>46024</v>
      </c>
      <c r="AA101" s="3">
        <f t="shared" si="10"/>
        <v>1</v>
      </c>
      <c r="AB101" s="52" t="s">
        <v>389</v>
      </c>
      <c r="AC101" s="35" t="s">
        <v>390</v>
      </c>
      <c r="AD101" s="19" t="str">
        <f t="shared" si="8"/>
        <v>N/A</v>
      </c>
      <c r="AE101" s="67" t="str">
        <f>IFERROR(NETWORKDAYS(B101,I101,Hoja1!$A$1:$A$29),"N/A")</f>
        <v>N/A</v>
      </c>
      <c r="AF101" s="21">
        <f>IFERROR(NETWORKDAYS(B101,W101,Hoja1!$A$1:$A$29),"N/A")</f>
        <v>4</v>
      </c>
      <c r="AG101" s="78">
        <v>0</v>
      </c>
      <c r="AH101" s="21">
        <f t="shared" si="6"/>
        <v>4</v>
      </c>
      <c r="AI101" s="21">
        <f>IFERROR(NETWORKDAYS(X101,Y101,Hoja1!$A$1:$A$29),"N/A")</f>
        <v>6</v>
      </c>
      <c r="AJ101" s="74">
        <v>1</v>
      </c>
      <c r="AK101" s="75">
        <f t="shared" si="5"/>
        <v>5</v>
      </c>
      <c r="AL101" s="21">
        <f>IFERROR(NETWORKDAYS(B101,Y101,Hoja1!$A$1:$A$29),"N/A")</f>
        <v>7</v>
      </c>
      <c r="AM101" s="21">
        <f t="shared" si="9"/>
        <v>6</v>
      </c>
      <c r="AN101" s="45"/>
      <c r="AO101" s="45"/>
      <c r="AP101" s="45"/>
      <c r="AQ101" s="45"/>
      <c r="AR101" s="45"/>
      <c r="AS101" s="45" t="s">
        <v>1920</v>
      </c>
      <c r="AT101" s="45" t="s">
        <v>2038</v>
      </c>
      <c r="AU101" s="45" t="s">
        <v>2212</v>
      </c>
      <c r="AV101" s="309" t="s">
        <v>2293</v>
      </c>
      <c r="AW101" s="403" t="s">
        <v>2691</v>
      </c>
      <c r="AY101" s="414"/>
    </row>
    <row r="102" spans="1:51" ht="15" customHeight="1" x14ac:dyDescent="0.25">
      <c r="A102" s="295">
        <v>15599</v>
      </c>
      <c r="B102" s="30">
        <v>46014</v>
      </c>
      <c r="C102" s="28">
        <v>46021</v>
      </c>
      <c r="D102" s="3">
        <v>1</v>
      </c>
      <c r="E102" s="40" t="s">
        <v>54</v>
      </c>
      <c r="F102" s="28" t="s">
        <v>55</v>
      </c>
      <c r="G102" s="33">
        <v>0</v>
      </c>
      <c r="H102" s="33"/>
      <c r="I102" s="28" t="s">
        <v>55</v>
      </c>
      <c r="J102" s="28" t="s">
        <v>55</v>
      </c>
      <c r="K102" s="33">
        <v>0</v>
      </c>
      <c r="L102" s="28" t="s">
        <v>55</v>
      </c>
      <c r="M102" s="18" t="s">
        <v>55</v>
      </c>
      <c r="N102" s="18" t="s">
        <v>55</v>
      </c>
      <c r="O102" s="18" t="s">
        <v>55</v>
      </c>
      <c r="P102" s="18" t="s">
        <v>55</v>
      </c>
      <c r="Q102" s="18" t="s">
        <v>55</v>
      </c>
      <c r="R102" s="18" t="s">
        <v>55</v>
      </c>
      <c r="S102" s="33">
        <v>1</v>
      </c>
      <c r="T102" s="33">
        <v>1</v>
      </c>
      <c r="U102" s="33">
        <v>0</v>
      </c>
      <c r="V102" s="28">
        <v>46020</v>
      </c>
      <c r="W102" s="28">
        <v>46020</v>
      </c>
      <c r="X102" s="28">
        <v>46015</v>
      </c>
      <c r="Y102" s="28">
        <v>46024</v>
      </c>
      <c r="Z102" s="28">
        <v>46024</v>
      </c>
      <c r="AA102" s="3">
        <f t="shared" si="10"/>
        <v>1</v>
      </c>
      <c r="AB102" s="45" t="s">
        <v>392</v>
      </c>
      <c r="AC102" s="46" t="s">
        <v>390</v>
      </c>
      <c r="AD102" s="19" t="str">
        <f t="shared" si="8"/>
        <v>N/A</v>
      </c>
      <c r="AE102" s="67" t="str">
        <f>IFERROR(NETWORKDAYS(B102,I102,Hoja1!$A$1:$A$29),"N/A")</f>
        <v>N/A</v>
      </c>
      <c r="AF102" s="21">
        <f>IFERROR(NETWORKDAYS(B102,W102,Hoja1!$A$1:$A$29),"N/A")</f>
        <v>4</v>
      </c>
      <c r="AG102" s="78">
        <v>0</v>
      </c>
      <c r="AH102" s="21">
        <f t="shared" si="6"/>
        <v>4</v>
      </c>
      <c r="AI102" s="21">
        <f>IFERROR(NETWORKDAYS(X102,Y102,Hoja1!$A$1:$A$29),"N/A")</f>
        <v>6</v>
      </c>
      <c r="AJ102" s="74">
        <v>1</v>
      </c>
      <c r="AK102" s="75">
        <f t="shared" si="5"/>
        <v>5</v>
      </c>
      <c r="AL102" s="21">
        <f>IFERROR(NETWORKDAYS(B102,Y102,Hoja1!$A$1:$A$29),"N/A")</f>
        <v>7</v>
      </c>
      <c r="AM102" s="21">
        <f t="shared" si="9"/>
        <v>6</v>
      </c>
      <c r="AN102" s="45"/>
      <c r="AO102" s="45"/>
      <c r="AP102" s="45"/>
      <c r="AQ102" s="45"/>
      <c r="AR102" s="45"/>
      <c r="AS102" s="45" t="s">
        <v>1920</v>
      </c>
      <c r="AT102" s="45" t="s">
        <v>2039</v>
      </c>
      <c r="AU102" s="45" t="s">
        <v>2212</v>
      </c>
      <c r="AV102" s="309" t="s">
        <v>2293</v>
      </c>
      <c r="AW102" s="403" t="s">
        <v>2691</v>
      </c>
      <c r="AY102" s="415"/>
    </row>
    <row r="103" spans="1:51" ht="15" customHeight="1" x14ac:dyDescent="0.25">
      <c r="A103" s="295">
        <v>15600</v>
      </c>
      <c r="B103" s="30">
        <v>46014</v>
      </c>
      <c r="C103" s="28">
        <v>46021</v>
      </c>
      <c r="D103" s="3">
        <v>1</v>
      </c>
      <c r="E103" s="40" t="s">
        <v>54</v>
      </c>
      <c r="F103" s="28" t="s">
        <v>55</v>
      </c>
      <c r="G103" s="33">
        <v>0</v>
      </c>
      <c r="H103" s="33"/>
      <c r="I103" s="28" t="s">
        <v>55</v>
      </c>
      <c r="J103" s="28" t="s">
        <v>55</v>
      </c>
      <c r="K103" s="33">
        <v>0</v>
      </c>
      <c r="L103" s="28" t="s">
        <v>55</v>
      </c>
      <c r="M103" s="18" t="s">
        <v>55</v>
      </c>
      <c r="N103" s="18" t="s">
        <v>55</v>
      </c>
      <c r="O103" s="18" t="s">
        <v>55</v>
      </c>
      <c r="P103" s="18" t="s">
        <v>55</v>
      </c>
      <c r="Q103" s="18" t="s">
        <v>55</v>
      </c>
      <c r="R103" s="18" t="s">
        <v>55</v>
      </c>
      <c r="S103" s="33">
        <v>1</v>
      </c>
      <c r="T103" s="33">
        <v>1</v>
      </c>
      <c r="U103" s="33">
        <v>0</v>
      </c>
      <c r="V103" s="28">
        <v>46020</v>
      </c>
      <c r="W103" s="28">
        <v>46020</v>
      </c>
      <c r="X103" s="28">
        <v>46015</v>
      </c>
      <c r="Y103" s="28">
        <v>46024</v>
      </c>
      <c r="Z103" s="28">
        <v>46024</v>
      </c>
      <c r="AA103" s="3">
        <f t="shared" si="10"/>
        <v>1</v>
      </c>
      <c r="AB103" s="47" t="s">
        <v>394</v>
      </c>
      <c r="AC103" s="35" t="s">
        <v>390</v>
      </c>
      <c r="AD103" s="19" t="str">
        <f t="shared" si="8"/>
        <v>N/A</v>
      </c>
      <c r="AE103" s="67" t="str">
        <f>IFERROR(NETWORKDAYS(B103,I103,Hoja1!$A$1:$A$29),"N/A")</f>
        <v>N/A</v>
      </c>
      <c r="AF103" s="21">
        <f>IFERROR(NETWORKDAYS(B103,W103,Hoja1!$A$1:$A$29),"N/A")</f>
        <v>4</v>
      </c>
      <c r="AG103" s="78">
        <v>0</v>
      </c>
      <c r="AH103" s="21">
        <f t="shared" si="6"/>
        <v>4</v>
      </c>
      <c r="AI103" s="21">
        <f>IFERROR(NETWORKDAYS(X103,Y103,Hoja1!$A$1:$A$29),"N/A")</f>
        <v>6</v>
      </c>
      <c r="AJ103" s="74">
        <v>1</v>
      </c>
      <c r="AK103" s="75">
        <f t="shared" si="5"/>
        <v>5</v>
      </c>
      <c r="AL103" s="21">
        <f>IFERROR(NETWORKDAYS(B103,Y103,Hoja1!$A$1:$A$29),"N/A")</f>
        <v>7</v>
      </c>
      <c r="AM103" s="21">
        <f t="shared" si="9"/>
        <v>6</v>
      </c>
      <c r="AN103" s="45"/>
      <c r="AO103" s="45"/>
      <c r="AP103" s="45"/>
      <c r="AQ103" s="45"/>
      <c r="AR103" s="45"/>
      <c r="AS103" s="45" t="s">
        <v>1920</v>
      </c>
      <c r="AT103" s="45" t="s">
        <v>2040</v>
      </c>
      <c r="AU103" s="45" t="s">
        <v>2212</v>
      </c>
      <c r="AV103" s="309" t="s">
        <v>2293</v>
      </c>
      <c r="AW103" s="403" t="s">
        <v>2691</v>
      </c>
      <c r="AY103" s="414"/>
    </row>
    <row r="104" spans="1:51" ht="15" customHeight="1" x14ac:dyDescent="0.25">
      <c r="A104" s="295">
        <v>15601</v>
      </c>
      <c r="B104" s="30">
        <v>46014</v>
      </c>
      <c r="C104" s="28">
        <v>46021</v>
      </c>
      <c r="D104" s="3">
        <v>1</v>
      </c>
      <c r="E104" s="40" t="s">
        <v>54</v>
      </c>
      <c r="F104" s="28" t="s">
        <v>55</v>
      </c>
      <c r="G104" s="33">
        <v>0</v>
      </c>
      <c r="H104" s="33"/>
      <c r="I104" s="28" t="s">
        <v>55</v>
      </c>
      <c r="J104" s="28" t="s">
        <v>55</v>
      </c>
      <c r="K104" s="33">
        <v>0</v>
      </c>
      <c r="L104" s="28" t="s">
        <v>55</v>
      </c>
      <c r="M104" s="18" t="s">
        <v>55</v>
      </c>
      <c r="N104" s="18" t="s">
        <v>55</v>
      </c>
      <c r="O104" s="18" t="s">
        <v>55</v>
      </c>
      <c r="P104" s="18" t="s">
        <v>55</v>
      </c>
      <c r="Q104" s="18" t="s">
        <v>55</v>
      </c>
      <c r="R104" s="18" t="s">
        <v>55</v>
      </c>
      <c r="S104" s="33">
        <v>1</v>
      </c>
      <c r="T104" s="33">
        <v>1</v>
      </c>
      <c r="U104" s="33">
        <v>0</v>
      </c>
      <c r="V104" s="28">
        <v>46020</v>
      </c>
      <c r="W104" s="28">
        <v>46020</v>
      </c>
      <c r="X104" s="28">
        <v>46015</v>
      </c>
      <c r="Y104" s="28">
        <v>46024</v>
      </c>
      <c r="Z104" s="28">
        <v>46024</v>
      </c>
      <c r="AA104" s="3">
        <f t="shared" si="10"/>
        <v>1</v>
      </c>
      <c r="AB104" s="52" t="s">
        <v>395</v>
      </c>
      <c r="AC104" s="45" t="s">
        <v>390</v>
      </c>
      <c r="AD104" s="19" t="str">
        <f t="shared" si="8"/>
        <v>N/A</v>
      </c>
      <c r="AE104" s="67" t="str">
        <f>IFERROR(NETWORKDAYS(B104,I104,Hoja1!$A$1:$A$29),"N/A")</f>
        <v>N/A</v>
      </c>
      <c r="AF104" s="21">
        <f>IFERROR(NETWORKDAYS(B104,W104,Hoja1!$A$1:$A$29),"N/A")</f>
        <v>4</v>
      </c>
      <c r="AG104" s="78">
        <v>0</v>
      </c>
      <c r="AH104" s="21">
        <f t="shared" si="6"/>
        <v>4</v>
      </c>
      <c r="AI104" s="21">
        <f>IFERROR(NETWORKDAYS(X104,Y104,Hoja1!$A$1:$A$29),"N/A")</f>
        <v>6</v>
      </c>
      <c r="AJ104" s="74">
        <v>1</v>
      </c>
      <c r="AK104" s="75">
        <f t="shared" si="5"/>
        <v>5</v>
      </c>
      <c r="AL104" s="21">
        <f>IFERROR(NETWORKDAYS(B104,Y104,Hoja1!$A$1:$A$29),"N/A")</f>
        <v>7</v>
      </c>
      <c r="AM104" s="21">
        <f t="shared" si="9"/>
        <v>6</v>
      </c>
      <c r="AN104" s="45"/>
      <c r="AO104" s="45"/>
      <c r="AP104" s="45"/>
      <c r="AQ104" s="45"/>
      <c r="AR104" s="45"/>
      <c r="AS104" s="45" t="s">
        <v>1920</v>
      </c>
      <c r="AT104" s="45" t="s">
        <v>2041</v>
      </c>
      <c r="AU104" s="45" t="s">
        <v>2212</v>
      </c>
      <c r="AV104" s="309" t="s">
        <v>2293</v>
      </c>
      <c r="AW104" s="403" t="s">
        <v>2691</v>
      </c>
      <c r="AY104" s="415"/>
    </row>
    <row r="105" spans="1:51" ht="15" customHeight="1" x14ac:dyDescent="0.25">
      <c r="A105" s="299">
        <v>15602</v>
      </c>
      <c r="B105" s="30">
        <v>45992</v>
      </c>
      <c r="C105" s="28">
        <v>46021</v>
      </c>
      <c r="D105" s="33">
        <v>1</v>
      </c>
      <c r="E105" s="40" t="s">
        <v>54</v>
      </c>
      <c r="F105" s="33" t="s">
        <v>55</v>
      </c>
      <c r="G105" s="33">
        <v>9</v>
      </c>
      <c r="H105" s="33" t="s">
        <v>112</v>
      </c>
      <c r="I105" s="28">
        <v>45996</v>
      </c>
      <c r="J105" s="28">
        <v>45996</v>
      </c>
      <c r="K105" s="33">
        <v>9</v>
      </c>
      <c r="L105" s="33" t="s">
        <v>55</v>
      </c>
      <c r="M105" s="18" t="s">
        <v>55</v>
      </c>
      <c r="N105" s="18" t="s">
        <v>55</v>
      </c>
      <c r="O105" s="18" t="s">
        <v>55</v>
      </c>
      <c r="P105" s="18" t="s">
        <v>55</v>
      </c>
      <c r="Q105" s="18" t="s">
        <v>55</v>
      </c>
      <c r="R105" s="18" t="s">
        <v>55</v>
      </c>
      <c r="S105" s="33">
        <v>3</v>
      </c>
      <c r="T105" s="33">
        <v>3</v>
      </c>
      <c r="U105" s="33">
        <v>0</v>
      </c>
      <c r="V105" s="28">
        <v>46013</v>
      </c>
      <c r="W105" s="28">
        <v>46020</v>
      </c>
      <c r="X105" s="28">
        <v>46021</v>
      </c>
      <c r="Y105" s="28">
        <v>46031</v>
      </c>
      <c r="Z105" s="28">
        <v>46035</v>
      </c>
      <c r="AA105" s="3">
        <v>1</v>
      </c>
      <c r="AB105" s="35" t="s">
        <v>398</v>
      </c>
      <c r="AC105" s="60" t="s">
        <v>399</v>
      </c>
      <c r="AD105" s="19">
        <f t="shared" si="8"/>
        <v>1</v>
      </c>
      <c r="AE105" s="67">
        <f>IFERROR(NETWORKDAYS(B105,I105,Hoja1!$A$1:$A$29),"N/A")</f>
        <v>5</v>
      </c>
      <c r="AF105" s="21">
        <f>IFERROR(NETWORKDAYS(B105,W105,Hoja1!$A$1:$A$29),"N/A")</f>
        <v>19</v>
      </c>
      <c r="AG105" s="78">
        <v>9</v>
      </c>
      <c r="AH105" s="21">
        <f t="shared" si="6"/>
        <v>10</v>
      </c>
      <c r="AI105" s="21">
        <f>IFERROR(NETWORKDAYS(X105,Y105,Hoja1!$A$1:$A$29),"N/A")</f>
        <v>8</v>
      </c>
      <c r="AJ105" s="74">
        <v>3</v>
      </c>
      <c r="AK105" s="75">
        <f t="shared" si="5"/>
        <v>5</v>
      </c>
      <c r="AL105" s="21">
        <f>IFERROR(NETWORKDAYS(B105,Y105,Hoja1!$A$1:$A$29),"N/A")</f>
        <v>27</v>
      </c>
      <c r="AM105" s="21">
        <f t="shared" si="9"/>
        <v>15</v>
      </c>
      <c r="AN105" s="33"/>
      <c r="AO105" s="33"/>
      <c r="AP105" s="33"/>
      <c r="AQ105" s="27"/>
      <c r="AR105" s="27"/>
      <c r="AS105" s="27" t="s">
        <v>1921</v>
      </c>
      <c r="AT105" s="27" t="s">
        <v>2042</v>
      </c>
      <c r="AU105" s="27" t="s">
        <v>2215</v>
      </c>
      <c r="AV105" s="310" t="s">
        <v>2294</v>
      </c>
      <c r="AW105" s="403" t="s">
        <v>2692</v>
      </c>
      <c r="AY105" s="414"/>
    </row>
    <row r="106" spans="1:51" ht="15" customHeight="1" x14ac:dyDescent="0.25">
      <c r="A106" s="295">
        <v>15609</v>
      </c>
      <c r="B106" s="30">
        <v>46021</v>
      </c>
      <c r="C106" s="28">
        <v>46021</v>
      </c>
      <c r="D106" s="3">
        <v>1</v>
      </c>
      <c r="E106" s="40" t="s">
        <v>54</v>
      </c>
      <c r="F106" s="28" t="s">
        <v>55</v>
      </c>
      <c r="G106" s="33">
        <v>0</v>
      </c>
      <c r="H106" s="33"/>
      <c r="I106" s="28" t="s">
        <v>55</v>
      </c>
      <c r="J106" s="28" t="s">
        <v>55</v>
      </c>
      <c r="K106" s="33">
        <v>0</v>
      </c>
      <c r="L106" s="28" t="s">
        <v>55</v>
      </c>
      <c r="M106" s="18" t="s">
        <v>55</v>
      </c>
      <c r="N106" s="18" t="s">
        <v>55</v>
      </c>
      <c r="O106" s="18" t="s">
        <v>55</v>
      </c>
      <c r="P106" s="18" t="s">
        <v>55</v>
      </c>
      <c r="Q106" s="18" t="s">
        <v>55</v>
      </c>
      <c r="R106" s="18" t="s">
        <v>55</v>
      </c>
      <c r="S106" s="33">
        <v>1</v>
      </c>
      <c r="T106" s="33">
        <v>1</v>
      </c>
      <c r="U106" s="33">
        <v>0</v>
      </c>
      <c r="V106" s="28">
        <v>46027</v>
      </c>
      <c r="W106" s="28">
        <v>46027</v>
      </c>
      <c r="X106" s="28">
        <v>46027</v>
      </c>
      <c r="Y106" s="28">
        <v>46035</v>
      </c>
      <c r="Z106" s="28">
        <v>46036</v>
      </c>
      <c r="AA106" s="3">
        <f>MONTH(Z106)</f>
        <v>1</v>
      </c>
      <c r="AB106" s="50" t="s">
        <v>403</v>
      </c>
      <c r="AC106" s="45" t="s">
        <v>404</v>
      </c>
      <c r="AD106" s="19" t="str">
        <f t="shared" si="8"/>
        <v>N/A</v>
      </c>
      <c r="AE106" s="67" t="str">
        <f>IFERROR(NETWORKDAYS(B106,I106,Hoja1!$A$1:$A$29),"N/A")</f>
        <v>N/A</v>
      </c>
      <c r="AF106" s="21">
        <f>IFERROR(NETWORKDAYS(B106,W106,Hoja1!$A$1:$A$29),"N/A")</f>
        <v>4</v>
      </c>
      <c r="AG106" s="78">
        <v>0</v>
      </c>
      <c r="AH106" s="21">
        <f t="shared" si="6"/>
        <v>4</v>
      </c>
      <c r="AI106" s="21">
        <f>IFERROR(NETWORKDAYS(X106,Y106,Hoja1!$A$1:$A$29),"N/A")</f>
        <v>6</v>
      </c>
      <c r="AJ106" s="74">
        <v>1</v>
      </c>
      <c r="AK106" s="75">
        <f t="shared" si="5"/>
        <v>5</v>
      </c>
      <c r="AL106" s="21">
        <f>IFERROR(NETWORKDAYS(B106,Y106,Hoja1!$A$1:$A$29),"N/A")</f>
        <v>9</v>
      </c>
      <c r="AM106" s="21">
        <f t="shared" si="9"/>
        <v>8</v>
      </c>
      <c r="AN106" s="45"/>
      <c r="AO106" s="45"/>
      <c r="AP106" s="45"/>
      <c r="AQ106" s="45"/>
      <c r="AR106" s="45"/>
      <c r="AS106" s="45" t="s">
        <v>1922</v>
      </c>
      <c r="AT106" s="45" t="s">
        <v>2043</v>
      </c>
      <c r="AU106" s="45" t="s">
        <v>2212</v>
      </c>
      <c r="AV106" s="309" t="s">
        <v>2295</v>
      </c>
      <c r="AW106" s="403" t="s">
        <v>2693</v>
      </c>
      <c r="AY106" s="415"/>
    </row>
    <row r="107" spans="1:51" ht="15" customHeight="1" x14ac:dyDescent="0.25">
      <c r="A107" s="293">
        <v>15614</v>
      </c>
      <c r="B107" s="37">
        <v>46024</v>
      </c>
      <c r="C107" s="38">
        <v>46024</v>
      </c>
      <c r="D107" s="3">
        <v>1</v>
      </c>
      <c r="E107" s="40" t="s">
        <v>54</v>
      </c>
      <c r="F107" s="28" t="s">
        <v>55</v>
      </c>
      <c r="G107" s="33">
        <v>0</v>
      </c>
      <c r="H107" s="33"/>
      <c r="I107" s="28" t="s">
        <v>55</v>
      </c>
      <c r="J107" s="28" t="s">
        <v>55</v>
      </c>
      <c r="K107" s="33">
        <v>0</v>
      </c>
      <c r="L107" s="28" t="s">
        <v>55</v>
      </c>
      <c r="M107" s="18" t="s">
        <v>55</v>
      </c>
      <c r="N107" s="18" t="s">
        <v>55</v>
      </c>
      <c r="O107" s="18" t="s">
        <v>55</v>
      </c>
      <c r="P107" s="18" t="s">
        <v>55</v>
      </c>
      <c r="Q107" s="18" t="s">
        <v>55</v>
      </c>
      <c r="R107" s="18" t="s">
        <v>55</v>
      </c>
      <c r="S107" s="33">
        <v>1</v>
      </c>
      <c r="T107" s="33">
        <v>1</v>
      </c>
      <c r="U107" s="33">
        <v>0</v>
      </c>
      <c r="V107" s="28">
        <v>46030</v>
      </c>
      <c r="W107" s="28">
        <v>46030</v>
      </c>
      <c r="X107" s="28">
        <v>46030</v>
      </c>
      <c r="Y107" s="28">
        <v>46043</v>
      </c>
      <c r="Z107" s="28">
        <v>46044</v>
      </c>
      <c r="AA107" s="3">
        <f>MONTH(Z107)</f>
        <v>1</v>
      </c>
      <c r="AB107" s="50" t="s">
        <v>407</v>
      </c>
      <c r="AC107" s="45" t="s">
        <v>408</v>
      </c>
      <c r="AD107" s="19" t="str">
        <f t="shared" si="8"/>
        <v>N/A</v>
      </c>
      <c r="AE107" s="67" t="str">
        <f>IFERROR(NETWORKDAYS(B107,I107,Hoja1!$A$1:$A$29),"N/A")</f>
        <v>N/A</v>
      </c>
      <c r="AF107" s="21">
        <f>IFERROR(NETWORKDAYS(B107,W107,Hoja1!$A$1:$A$29),"N/A")</f>
        <v>5</v>
      </c>
      <c r="AG107" s="78">
        <v>0</v>
      </c>
      <c r="AH107" s="21">
        <f t="shared" si="6"/>
        <v>5</v>
      </c>
      <c r="AI107" s="21">
        <f>IFERROR(NETWORKDAYS(X107,Y107,Hoja1!$A$1:$A$29),"N/A")</f>
        <v>9</v>
      </c>
      <c r="AJ107" s="74">
        <v>4</v>
      </c>
      <c r="AK107" s="75">
        <f t="shared" si="5"/>
        <v>5</v>
      </c>
      <c r="AL107" s="21">
        <f>IFERROR(NETWORKDAYS(B107,Y107,Hoja1!$A$1:$A$29),"N/A")</f>
        <v>13</v>
      </c>
      <c r="AM107" s="21">
        <f t="shared" si="9"/>
        <v>9</v>
      </c>
      <c r="AN107" s="45"/>
      <c r="AO107" s="45"/>
      <c r="AP107" s="45"/>
      <c r="AQ107" s="45"/>
      <c r="AR107" s="45"/>
      <c r="AS107" s="45" t="s">
        <v>1906</v>
      </c>
      <c r="AT107" s="45" t="s">
        <v>2044</v>
      </c>
      <c r="AU107" s="45" t="s">
        <v>2212</v>
      </c>
      <c r="AV107" s="309" t="s">
        <v>2295</v>
      </c>
      <c r="AW107" s="403" t="s">
        <v>2694</v>
      </c>
      <c r="AY107" s="414"/>
    </row>
    <row r="108" spans="1:51" ht="15" customHeight="1" x14ac:dyDescent="0.25">
      <c r="A108" s="294">
        <v>15644</v>
      </c>
      <c r="B108" s="15">
        <v>46030</v>
      </c>
      <c r="C108" s="16">
        <v>46030</v>
      </c>
      <c r="D108" s="17">
        <v>1</v>
      </c>
      <c r="E108" s="40" t="s">
        <v>54</v>
      </c>
      <c r="F108" s="16" t="s">
        <v>55</v>
      </c>
      <c r="G108" s="1">
        <v>0</v>
      </c>
      <c r="H108" s="1"/>
      <c r="I108" s="28" t="s">
        <v>55</v>
      </c>
      <c r="J108" s="28" t="s">
        <v>55</v>
      </c>
      <c r="K108" s="1">
        <v>0</v>
      </c>
      <c r="L108" s="16" t="s">
        <v>55</v>
      </c>
      <c r="M108" s="18" t="s">
        <v>55</v>
      </c>
      <c r="N108" s="18" t="s">
        <v>55</v>
      </c>
      <c r="O108" s="18" t="s">
        <v>55</v>
      </c>
      <c r="P108" s="18" t="s">
        <v>55</v>
      </c>
      <c r="Q108" s="18" t="s">
        <v>55</v>
      </c>
      <c r="R108" s="18" t="s">
        <v>55</v>
      </c>
      <c r="S108" s="1">
        <v>1</v>
      </c>
      <c r="T108" s="1">
        <v>1</v>
      </c>
      <c r="U108" s="1">
        <v>0</v>
      </c>
      <c r="V108" s="16">
        <v>46035</v>
      </c>
      <c r="W108" s="16">
        <v>46035</v>
      </c>
      <c r="X108" s="16">
        <v>46036</v>
      </c>
      <c r="Y108" s="16">
        <v>46041</v>
      </c>
      <c r="Z108" s="16">
        <v>46041</v>
      </c>
      <c r="AA108" s="3">
        <f>MONTH(Z108)</f>
        <v>1</v>
      </c>
      <c r="AB108" s="27" t="s">
        <v>410</v>
      </c>
      <c r="AC108" s="49" t="s">
        <v>411</v>
      </c>
      <c r="AD108" s="19" t="str">
        <f t="shared" si="8"/>
        <v>N/A</v>
      </c>
      <c r="AE108" s="67" t="str">
        <f>IFERROR(NETWORKDAYS(B108,I108,Hoja1!$A$1:$A$29),"N/A")</f>
        <v>N/A</v>
      </c>
      <c r="AF108" s="21">
        <f>IFERROR(NETWORKDAYS(B108,W108,Hoja1!$A$1:$A$29),"N/A")</f>
        <v>3</v>
      </c>
      <c r="AG108" s="78">
        <v>0</v>
      </c>
      <c r="AH108" s="21">
        <f t="shared" si="6"/>
        <v>3</v>
      </c>
      <c r="AI108" s="21">
        <f>IFERROR(NETWORKDAYS(X108,Y108,Hoja1!$A$1:$A$29),"N/A")</f>
        <v>4</v>
      </c>
      <c r="AJ108" s="74">
        <v>0</v>
      </c>
      <c r="AK108" s="75">
        <f t="shared" si="5"/>
        <v>4</v>
      </c>
      <c r="AL108" s="21">
        <f>IFERROR(NETWORKDAYS(B108,Y108,Hoja1!$A$1:$A$29),"N/A")</f>
        <v>7</v>
      </c>
      <c r="AM108" s="21">
        <f t="shared" si="9"/>
        <v>7</v>
      </c>
      <c r="AN108" s="27"/>
      <c r="AO108" s="27"/>
      <c r="AP108" s="27"/>
      <c r="AQ108" s="27"/>
      <c r="AR108" s="27"/>
      <c r="AS108" s="27" t="s">
        <v>1886</v>
      </c>
      <c r="AT108" s="27" t="s">
        <v>2045</v>
      </c>
      <c r="AU108" s="27" t="s">
        <v>2210</v>
      </c>
      <c r="AV108" s="310" t="s">
        <v>2296</v>
      </c>
      <c r="AW108" s="403" t="s">
        <v>2695</v>
      </c>
      <c r="AY108" s="415"/>
    </row>
    <row r="109" spans="1:51" ht="15" customHeight="1" x14ac:dyDescent="0.25">
      <c r="A109" s="294">
        <v>14768</v>
      </c>
      <c r="B109" s="30">
        <v>45980</v>
      </c>
      <c r="C109" s="30">
        <v>45980</v>
      </c>
      <c r="D109" s="3">
        <v>1</v>
      </c>
      <c r="E109" s="45" t="s">
        <v>54</v>
      </c>
      <c r="F109" s="3" t="s">
        <v>55</v>
      </c>
      <c r="G109" s="3">
        <v>6</v>
      </c>
      <c r="H109" s="3" t="s">
        <v>112</v>
      </c>
      <c r="I109" s="30">
        <v>46049</v>
      </c>
      <c r="J109" s="30">
        <v>46049</v>
      </c>
      <c r="K109" s="3">
        <v>6</v>
      </c>
      <c r="L109" s="3" t="s">
        <v>55</v>
      </c>
      <c r="M109" s="3" t="s">
        <v>55</v>
      </c>
      <c r="N109" s="3" t="s">
        <v>55</v>
      </c>
      <c r="O109" s="3" t="s">
        <v>55</v>
      </c>
      <c r="P109" s="3" t="s">
        <v>55</v>
      </c>
      <c r="Q109" s="3" t="s">
        <v>55</v>
      </c>
      <c r="R109" s="3" t="s">
        <v>55</v>
      </c>
      <c r="S109" s="3">
        <v>6</v>
      </c>
      <c r="T109" s="3">
        <v>1</v>
      </c>
      <c r="U109" s="3">
        <v>0</v>
      </c>
      <c r="V109" s="30">
        <v>46049</v>
      </c>
      <c r="W109" s="30">
        <v>46057</v>
      </c>
      <c r="X109" s="30">
        <v>46064</v>
      </c>
      <c r="Y109" s="16">
        <v>46073</v>
      </c>
      <c r="Z109" s="140">
        <v>46076</v>
      </c>
      <c r="AA109" s="3">
        <f t="shared" ref="AA109:AA172" si="11">MONTH(Z109)</f>
        <v>2</v>
      </c>
      <c r="AB109" s="85" t="s">
        <v>448</v>
      </c>
      <c r="AC109" s="45" t="s">
        <v>449</v>
      </c>
      <c r="AD109" s="19">
        <f t="shared" si="8"/>
        <v>1</v>
      </c>
      <c r="AE109" s="67">
        <f>IFERROR(NETWORKDAYS(B109,I109,Hoja1!$A$1:$A$29),"N/A")</f>
        <v>46</v>
      </c>
      <c r="AF109" s="21">
        <f>IFERROR(NETWORKDAYS(B109,W109,Hoja1!$A$1:$A$29),"N/A")</f>
        <v>52</v>
      </c>
      <c r="AG109" s="78">
        <v>7</v>
      </c>
      <c r="AH109" s="21">
        <f t="shared" si="6"/>
        <v>45</v>
      </c>
      <c r="AI109" s="21">
        <f>IFERROR(NETWORKDAYS(X109,Y109,Hoja1!$A$1:$A$29),"N/A")</f>
        <v>8</v>
      </c>
      <c r="AJ109" s="78">
        <v>3</v>
      </c>
      <c r="AK109" s="75">
        <f t="shared" si="5"/>
        <v>5</v>
      </c>
      <c r="AL109" s="21">
        <f>IFERROR(NETWORKDAYS(B109,Y109,Hoja1!$A$1:$A$29),"N/A")</f>
        <v>64</v>
      </c>
      <c r="AM109" s="21">
        <f t="shared" si="9"/>
        <v>54</v>
      </c>
      <c r="AN109" s="1"/>
      <c r="AO109" s="1"/>
      <c r="AP109" s="1"/>
      <c r="AQ109" s="1"/>
      <c r="AR109" s="1"/>
      <c r="AS109" s="1" t="s">
        <v>1895</v>
      </c>
      <c r="AT109" s="1" t="s">
        <v>1994</v>
      </c>
      <c r="AU109" s="1" t="s">
        <v>2219</v>
      </c>
      <c r="AV109" s="315" t="s">
        <v>2297</v>
      </c>
      <c r="AW109" s="403" t="s">
        <v>2696</v>
      </c>
      <c r="AY109" s="414"/>
    </row>
    <row r="110" spans="1:51" ht="15" customHeight="1" x14ac:dyDescent="0.25">
      <c r="A110" s="296">
        <v>14771</v>
      </c>
      <c r="B110" s="37">
        <v>46051</v>
      </c>
      <c r="C110" s="37">
        <v>45893</v>
      </c>
      <c r="D110" s="3">
        <v>1</v>
      </c>
      <c r="E110" s="45" t="s">
        <v>54</v>
      </c>
      <c r="F110" s="18" t="s">
        <v>55</v>
      </c>
      <c r="G110" s="3">
        <v>12</v>
      </c>
      <c r="H110" s="3" t="s">
        <v>56</v>
      </c>
      <c r="I110" s="30">
        <v>46058</v>
      </c>
      <c r="J110" s="30">
        <v>46058</v>
      </c>
      <c r="K110" s="3">
        <v>6</v>
      </c>
      <c r="L110" s="18" t="s">
        <v>55</v>
      </c>
      <c r="M110" s="18" t="s">
        <v>55</v>
      </c>
      <c r="N110" s="18" t="s">
        <v>55</v>
      </c>
      <c r="O110" s="18" t="s">
        <v>55</v>
      </c>
      <c r="P110" s="18" t="s">
        <v>55</v>
      </c>
      <c r="Q110" s="18" t="s">
        <v>55</v>
      </c>
      <c r="R110" s="3" t="s">
        <v>55</v>
      </c>
      <c r="S110" s="3">
        <v>6</v>
      </c>
      <c r="T110" s="3">
        <v>4</v>
      </c>
      <c r="U110" s="3">
        <v>0</v>
      </c>
      <c r="V110" s="30">
        <v>46063</v>
      </c>
      <c r="W110" s="30">
        <v>46063</v>
      </c>
      <c r="X110" s="30">
        <v>46063</v>
      </c>
      <c r="Y110" s="16">
        <v>46073</v>
      </c>
      <c r="Z110" s="140">
        <v>46076</v>
      </c>
      <c r="AA110" s="3">
        <f t="shared" si="11"/>
        <v>2</v>
      </c>
      <c r="AB110" s="85" t="s">
        <v>450</v>
      </c>
      <c r="AC110" s="35" t="s">
        <v>451</v>
      </c>
      <c r="AD110" s="19">
        <f t="shared" si="8"/>
        <v>0.5</v>
      </c>
      <c r="AE110" s="67">
        <f>IFERROR(NETWORKDAYS(B110,I110,Hoja1!$A$1:$A$29),"N/A")</f>
        <v>6</v>
      </c>
      <c r="AF110" s="21">
        <f>IFERROR(NETWORKDAYS(B110,W110,Hoja1!$A$1:$A$29),"N/A")</f>
        <v>9</v>
      </c>
      <c r="AG110" s="78">
        <v>0</v>
      </c>
      <c r="AH110" s="21">
        <f t="shared" si="6"/>
        <v>9</v>
      </c>
      <c r="AI110" s="21">
        <f>IFERROR(NETWORKDAYS(X110,Y110,Hoja1!$A$1:$A$29),"N/A")</f>
        <v>9</v>
      </c>
      <c r="AJ110" s="74">
        <v>2</v>
      </c>
      <c r="AK110" s="75">
        <f t="shared" si="5"/>
        <v>7</v>
      </c>
      <c r="AL110" s="21">
        <f>IFERROR(NETWORKDAYS(B110,Y110,Hoja1!$A$1:$A$29),"N/A")</f>
        <v>17</v>
      </c>
      <c r="AM110" s="21">
        <f t="shared" si="9"/>
        <v>15</v>
      </c>
      <c r="AN110" s="46" t="s">
        <v>453</v>
      </c>
      <c r="AO110" s="87" t="s">
        <v>454</v>
      </c>
      <c r="AP110" s="3"/>
      <c r="AQ110" s="3"/>
      <c r="AR110" s="3"/>
      <c r="AS110" s="3" t="s">
        <v>1923</v>
      </c>
      <c r="AT110" s="3" t="s">
        <v>2046</v>
      </c>
      <c r="AU110" s="3" t="s">
        <v>2215</v>
      </c>
      <c r="AV110" s="316" t="s">
        <v>2298</v>
      </c>
      <c r="AW110" s="403" t="s">
        <v>2697</v>
      </c>
      <c r="AY110" s="415"/>
    </row>
    <row r="111" spans="1:51" ht="15" customHeight="1" x14ac:dyDescent="0.25">
      <c r="A111" s="294">
        <v>14783</v>
      </c>
      <c r="B111" s="44">
        <v>45897</v>
      </c>
      <c r="C111" s="44">
        <v>45897</v>
      </c>
      <c r="D111" s="2">
        <v>1</v>
      </c>
      <c r="E111" s="45" t="s">
        <v>54</v>
      </c>
      <c r="F111" s="2" t="s">
        <v>55</v>
      </c>
      <c r="G111" s="2">
        <v>16</v>
      </c>
      <c r="H111" s="2" t="s">
        <v>56</v>
      </c>
      <c r="I111" s="44">
        <v>46055</v>
      </c>
      <c r="J111" s="44">
        <v>46055</v>
      </c>
      <c r="K111" s="88">
        <v>6</v>
      </c>
      <c r="L111" s="2" t="s">
        <v>55</v>
      </c>
      <c r="M111" s="2" t="s">
        <v>55</v>
      </c>
      <c r="N111" s="2" t="s">
        <v>55</v>
      </c>
      <c r="O111" s="2" t="s">
        <v>55</v>
      </c>
      <c r="P111" s="2" t="s">
        <v>55</v>
      </c>
      <c r="Q111" s="2" t="s">
        <v>55</v>
      </c>
      <c r="R111" s="3" t="s">
        <v>55</v>
      </c>
      <c r="S111" s="88">
        <v>6</v>
      </c>
      <c r="T111" s="2">
        <v>1</v>
      </c>
      <c r="U111" s="2">
        <v>0</v>
      </c>
      <c r="V111" s="44">
        <v>46063</v>
      </c>
      <c r="W111" s="44">
        <v>46064</v>
      </c>
      <c r="X111" s="44">
        <v>46064</v>
      </c>
      <c r="Y111" s="16">
        <v>46073</v>
      </c>
      <c r="Z111" s="140">
        <v>46076</v>
      </c>
      <c r="AA111" s="3">
        <f t="shared" si="11"/>
        <v>2</v>
      </c>
      <c r="AB111" s="85" t="s">
        <v>457</v>
      </c>
      <c r="AC111" s="46" t="s">
        <v>458</v>
      </c>
      <c r="AD111" s="19">
        <f t="shared" si="8"/>
        <v>0.375</v>
      </c>
      <c r="AE111" s="67">
        <f>IFERROR(NETWORKDAYS(B111,I111,Hoja1!$A$1:$A$29),"N/A")</f>
        <v>106</v>
      </c>
      <c r="AF111" s="21">
        <f>IFERROR(NETWORKDAYS(B111,W111,Hoja1!$A$1:$A$29),"N/A")</f>
        <v>113</v>
      </c>
      <c r="AG111" s="78">
        <v>21</v>
      </c>
      <c r="AH111" s="21">
        <f t="shared" si="6"/>
        <v>92</v>
      </c>
      <c r="AI111" s="21">
        <f>IFERROR(NETWORKDAYS(X111,Y111,Hoja1!$A$1:$A$29),"N/A")</f>
        <v>8</v>
      </c>
      <c r="AJ111" s="78">
        <v>3</v>
      </c>
      <c r="AK111" s="75">
        <f t="shared" si="5"/>
        <v>5</v>
      </c>
      <c r="AL111" s="21">
        <f>IFERROR(NETWORKDAYS(B111,Y111,Hoja1!$A$1:$A$29),"N/A")</f>
        <v>120</v>
      </c>
      <c r="AM111" s="21">
        <f t="shared" si="9"/>
        <v>96</v>
      </c>
      <c r="AN111" s="43" t="s">
        <v>453</v>
      </c>
      <c r="AO111" s="43"/>
      <c r="AP111" s="43"/>
      <c r="AQ111" s="43"/>
      <c r="AR111" s="43"/>
      <c r="AS111" s="43" t="s">
        <v>1924</v>
      </c>
      <c r="AT111" s="43" t="s">
        <v>2047</v>
      </c>
      <c r="AU111" s="43" t="s">
        <v>2214</v>
      </c>
      <c r="AV111" s="317" t="s">
        <v>2299</v>
      </c>
      <c r="AW111" s="403" t="s">
        <v>2698</v>
      </c>
      <c r="AY111" s="414"/>
    </row>
    <row r="112" spans="1:51" ht="15" customHeight="1" x14ac:dyDescent="0.25">
      <c r="A112" s="296">
        <v>14999</v>
      </c>
      <c r="B112" s="37">
        <v>45977</v>
      </c>
      <c r="C112" s="37">
        <v>45806</v>
      </c>
      <c r="D112" s="3">
        <v>1</v>
      </c>
      <c r="E112" s="45" t="s">
        <v>54</v>
      </c>
      <c r="F112" s="18" t="s">
        <v>55</v>
      </c>
      <c r="G112" s="93">
        <v>18</v>
      </c>
      <c r="H112" s="3" t="s">
        <v>56</v>
      </c>
      <c r="I112" s="73">
        <v>45988</v>
      </c>
      <c r="J112" s="73">
        <v>45996</v>
      </c>
      <c r="K112" s="88">
        <v>18</v>
      </c>
      <c r="L112" s="18" t="s">
        <v>55</v>
      </c>
      <c r="M112" s="18" t="s">
        <v>55</v>
      </c>
      <c r="N112" s="18" t="s">
        <v>55</v>
      </c>
      <c r="O112" s="18" t="s">
        <v>55</v>
      </c>
      <c r="P112" s="18" t="s">
        <v>55</v>
      </c>
      <c r="Q112" s="18" t="s">
        <v>55</v>
      </c>
      <c r="R112" s="3" t="s">
        <v>55</v>
      </c>
      <c r="S112" s="3">
        <v>6</v>
      </c>
      <c r="T112" s="3">
        <v>0</v>
      </c>
      <c r="U112" s="3">
        <v>0</v>
      </c>
      <c r="V112" s="73">
        <v>46001</v>
      </c>
      <c r="W112" s="73">
        <v>46001</v>
      </c>
      <c r="X112" s="94">
        <v>46017</v>
      </c>
      <c r="Y112" s="37">
        <v>46055</v>
      </c>
      <c r="Z112" s="37">
        <v>46065</v>
      </c>
      <c r="AA112" s="3">
        <f t="shared" si="11"/>
        <v>2</v>
      </c>
      <c r="AB112" s="85" t="s">
        <v>459</v>
      </c>
      <c r="AC112" s="35" t="s">
        <v>869</v>
      </c>
      <c r="AD112" s="19">
        <f t="shared" si="8"/>
        <v>1</v>
      </c>
      <c r="AE112" s="67">
        <f>IFERROR(NETWORKDAYS(B112,I112,Hoja1!$A$1:$A$29),"N/A")</f>
        <v>8</v>
      </c>
      <c r="AF112" s="21">
        <f>IFERROR(NETWORKDAYS(B112,W112,Hoja1!$A$1:$A$29),"N/A")</f>
        <v>16</v>
      </c>
      <c r="AG112" s="78">
        <v>0</v>
      </c>
      <c r="AH112" s="21">
        <f t="shared" si="6"/>
        <v>16</v>
      </c>
      <c r="AI112" s="21">
        <f>IFERROR(NETWORKDAYS(X112,Y112,Hoja1!$A$1:$A$29),"N/A")</f>
        <v>25</v>
      </c>
      <c r="AJ112" s="74">
        <v>20</v>
      </c>
      <c r="AK112" s="75">
        <f t="shared" si="5"/>
        <v>5</v>
      </c>
      <c r="AL112" s="21">
        <f>IFERROR(NETWORKDAYS(B112,Y112,Hoja1!$A$1:$A$29),"N/A")</f>
        <v>51</v>
      </c>
      <c r="AM112" s="21">
        <f t="shared" si="9"/>
        <v>31</v>
      </c>
      <c r="AN112" s="46" t="s">
        <v>445</v>
      </c>
      <c r="AO112" s="46" t="s">
        <v>454</v>
      </c>
      <c r="AP112" s="46" t="s">
        <v>454</v>
      </c>
      <c r="AQ112" s="3"/>
      <c r="AR112" s="3"/>
      <c r="AS112" s="3" t="s">
        <v>1923</v>
      </c>
      <c r="AT112" s="3" t="s">
        <v>2048</v>
      </c>
      <c r="AU112" s="3" t="s">
        <v>2215</v>
      </c>
      <c r="AV112" s="316" t="s">
        <v>2300</v>
      </c>
      <c r="AW112" s="403" t="s">
        <v>2699</v>
      </c>
      <c r="AY112" s="415"/>
    </row>
    <row r="113" spans="1:51" ht="15" customHeight="1" x14ac:dyDescent="0.25">
      <c r="A113" s="301">
        <v>15023</v>
      </c>
      <c r="B113" s="28">
        <v>45947</v>
      </c>
      <c r="C113" s="28">
        <v>45938</v>
      </c>
      <c r="D113" s="33">
        <v>1</v>
      </c>
      <c r="E113" s="45" t="s">
        <v>54</v>
      </c>
      <c r="F113" s="21" t="s">
        <v>55</v>
      </c>
      <c r="G113" s="33">
        <v>3</v>
      </c>
      <c r="H113" s="33" t="s">
        <v>112</v>
      </c>
      <c r="I113" s="53">
        <v>45952</v>
      </c>
      <c r="J113" s="53">
        <v>45963</v>
      </c>
      <c r="K113" s="88">
        <v>3</v>
      </c>
      <c r="L113" s="38">
        <v>45938</v>
      </c>
      <c r="M113" s="38">
        <v>45939</v>
      </c>
      <c r="N113" s="38">
        <v>45944</v>
      </c>
      <c r="O113" s="21" t="s">
        <v>55</v>
      </c>
      <c r="P113" s="21" t="s">
        <v>55</v>
      </c>
      <c r="Q113" s="21" t="s">
        <v>55</v>
      </c>
      <c r="R113" s="38">
        <v>45967</v>
      </c>
      <c r="S113" s="88">
        <v>3</v>
      </c>
      <c r="T113" s="33">
        <v>2</v>
      </c>
      <c r="U113" s="33">
        <v>0</v>
      </c>
      <c r="V113" s="28">
        <v>45974</v>
      </c>
      <c r="W113" s="28">
        <v>46041</v>
      </c>
      <c r="X113" s="28">
        <v>46048</v>
      </c>
      <c r="Y113" s="16">
        <v>46052</v>
      </c>
      <c r="Z113" s="16">
        <v>46055</v>
      </c>
      <c r="AA113" s="3">
        <f t="shared" si="11"/>
        <v>2</v>
      </c>
      <c r="AB113" s="85" t="s">
        <v>462</v>
      </c>
      <c r="AC113" s="35" t="s">
        <v>463</v>
      </c>
      <c r="AD113" s="19">
        <f t="shared" si="8"/>
        <v>1</v>
      </c>
      <c r="AE113" s="67">
        <f>IFERROR(NETWORKDAYS(B113,I113,Hoja1!$A$1:$A$29),"N/A")</f>
        <v>4</v>
      </c>
      <c r="AF113" s="21">
        <f>IFERROR(NETWORKDAYS(B113,W113,Hoja1!$A$1:$A$29),"N/A")</f>
        <v>61</v>
      </c>
      <c r="AG113" s="78">
        <v>38</v>
      </c>
      <c r="AH113" s="21">
        <f t="shared" si="6"/>
        <v>23</v>
      </c>
      <c r="AI113" s="21">
        <f>IFERROR(NETWORKDAYS(X113,Y113,Hoja1!$A$1:$A$29),"N/A")</f>
        <v>5</v>
      </c>
      <c r="AJ113" s="74">
        <v>0</v>
      </c>
      <c r="AK113" s="75">
        <f t="shared" si="5"/>
        <v>5</v>
      </c>
      <c r="AL113" s="21">
        <f>IFERROR(NETWORKDAYS(B113,Y113,Hoja1!$A$1:$A$29),"N/A")</f>
        <v>70</v>
      </c>
      <c r="AM113" s="21">
        <f t="shared" si="9"/>
        <v>32</v>
      </c>
      <c r="AN113" s="46" t="s">
        <v>464</v>
      </c>
      <c r="AO113" s="46"/>
      <c r="AP113" s="46"/>
      <c r="AQ113" s="33"/>
      <c r="AR113" s="33"/>
      <c r="AS113" s="33" t="s">
        <v>1908</v>
      </c>
      <c r="AT113" s="33" t="s">
        <v>2049</v>
      </c>
      <c r="AU113" s="33" t="s">
        <v>2220</v>
      </c>
      <c r="AV113" s="318" t="s">
        <v>2250</v>
      </c>
      <c r="AW113" s="403" t="s">
        <v>2700</v>
      </c>
      <c r="AY113" s="414"/>
    </row>
    <row r="114" spans="1:51" ht="15" customHeight="1" x14ac:dyDescent="0.25">
      <c r="A114" s="301">
        <v>15054</v>
      </c>
      <c r="B114" s="16">
        <v>46029</v>
      </c>
      <c r="C114" s="44">
        <v>45944</v>
      </c>
      <c r="D114" s="1">
        <v>1</v>
      </c>
      <c r="E114" s="45" t="s">
        <v>54</v>
      </c>
      <c r="F114" s="18" t="s">
        <v>55</v>
      </c>
      <c r="G114" s="1">
        <v>4</v>
      </c>
      <c r="H114" s="1" t="s">
        <v>56</v>
      </c>
      <c r="I114" s="16">
        <v>46038</v>
      </c>
      <c r="J114" s="16">
        <v>46042</v>
      </c>
      <c r="K114" s="88">
        <v>4</v>
      </c>
      <c r="L114" s="18" t="s">
        <v>55</v>
      </c>
      <c r="M114" s="18" t="s">
        <v>55</v>
      </c>
      <c r="N114" s="18" t="s">
        <v>55</v>
      </c>
      <c r="O114" s="18" t="s">
        <v>55</v>
      </c>
      <c r="P114" s="18" t="s">
        <v>55</v>
      </c>
      <c r="Q114" s="18" t="s">
        <v>55</v>
      </c>
      <c r="R114" s="3" t="s">
        <v>55</v>
      </c>
      <c r="S114" s="88">
        <v>6</v>
      </c>
      <c r="T114" s="1">
        <v>2</v>
      </c>
      <c r="U114" s="1">
        <v>0</v>
      </c>
      <c r="V114" s="16">
        <v>46048</v>
      </c>
      <c r="W114" s="16">
        <v>46048</v>
      </c>
      <c r="X114" s="16">
        <v>46048</v>
      </c>
      <c r="Y114" s="16">
        <v>46052</v>
      </c>
      <c r="Z114" s="16">
        <v>46055</v>
      </c>
      <c r="AA114" s="3">
        <f t="shared" si="11"/>
        <v>2</v>
      </c>
      <c r="AB114" s="249" t="s">
        <v>465</v>
      </c>
      <c r="AC114" s="49" t="s">
        <v>466</v>
      </c>
      <c r="AD114" s="19">
        <f t="shared" si="8"/>
        <v>1</v>
      </c>
      <c r="AE114" s="67">
        <f>IFERROR(NETWORKDAYS(B114,I114,Hoja1!$A$1:$A$29),"N/A")</f>
        <v>7</v>
      </c>
      <c r="AF114" s="21">
        <f>IFERROR(NETWORKDAYS(B114,W114,Hoja1!$A$1:$A$29),"N/A")</f>
        <v>13</v>
      </c>
      <c r="AG114" s="78">
        <v>0</v>
      </c>
      <c r="AH114" s="21">
        <f t="shared" si="6"/>
        <v>13</v>
      </c>
      <c r="AI114" s="21">
        <f>IFERROR(NETWORKDAYS(X114,Y114,Hoja1!$A$1:$A$29),"N/A")</f>
        <v>5</v>
      </c>
      <c r="AJ114" s="74">
        <v>0</v>
      </c>
      <c r="AK114" s="75">
        <f t="shared" si="5"/>
        <v>5</v>
      </c>
      <c r="AL114" s="21">
        <f>IFERROR(NETWORKDAYS(B114,Y114,Hoja1!$A$1:$A$29),"N/A")</f>
        <v>17</v>
      </c>
      <c r="AM114" s="21">
        <f t="shared" si="9"/>
        <v>17</v>
      </c>
      <c r="AN114" s="46" t="s">
        <v>464</v>
      </c>
      <c r="AO114" s="46" t="s">
        <v>453</v>
      </c>
      <c r="AP114" s="46" t="s">
        <v>453</v>
      </c>
      <c r="AQ114" s="1" t="s">
        <v>445</v>
      </c>
      <c r="AR114" s="1" t="s">
        <v>453</v>
      </c>
      <c r="AS114" s="1" t="s">
        <v>1891</v>
      </c>
      <c r="AT114" s="1" t="s">
        <v>1994</v>
      </c>
      <c r="AU114" s="1" t="s">
        <v>2211</v>
      </c>
      <c r="AV114" s="315" t="s">
        <v>2231</v>
      </c>
      <c r="AW114" s="403" t="s">
        <v>2701</v>
      </c>
      <c r="AY114" s="415"/>
    </row>
    <row r="115" spans="1:51" ht="15" customHeight="1" x14ac:dyDescent="0.25">
      <c r="A115" s="294">
        <v>15065</v>
      </c>
      <c r="B115" s="44">
        <v>45944</v>
      </c>
      <c r="C115" s="44">
        <v>45944</v>
      </c>
      <c r="D115" s="2">
        <v>1</v>
      </c>
      <c r="E115" s="45" t="s">
        <v>54</v>
      </c>
      <c r="F115" s="2" t="s">
        <v>55</v>
      </c>
      <c r="G115" s="2">
        <v>10</v>
      </c>
      <c r="H115" s="2" t="s">
        <v>56</v>
      </c>
      <c r="I115" s="28">
        <v>46014</v>
      </c>
      <c r="J115" s="28">
        <v>46014</v>
      </c>
      <c r="K115" s="88">
        <v>6</v>
      </c>
      <c r="L115" s="2" t="s">
        <v>55</v>
      </c>
      <c r="M115" s="2" t="s">
        <v>55</v>
      </c>
      <c r="N115" s="2" t="s">
        <v>55</v>
      </c>
      <c r="O115" s="2" t="s">
        <v>55</v>
      </c>
      <c r="P115" s="2" t="s">
        <v>55</v>
      </c>
      <c r="Q115" s="2" t="s">
        <v>55</v>
      </c>
      <c r="R115" s="3" t="s">
        <v>55</v>
      </c>
      <c r="S115" s="88">
        <v>4</v>
      </c>
      <c r="T115" s="2">
        <v>1</v>
      </c>
      <c r="U115" s="2">
        <v>0</v>
      </c>
      <c r="V115" s="16">
        <v>46044</v>
      </c>
      <c r="W115" s="16">
        <v>46044</v>
      </c>
      <c r="X115" s="16">
        <v>46044</v>
      </c>
      <c r="Y115" s="16">
        <v>46052</v>
      </c>
      <c r="Z115" s="16">
        <v>46055</v>
      </c>
      <c r="AA115" s="3">
        <f t="shared" si="11"/>
        <v>2</v>
      </c>
      <c r="AB115" s="85" t="s">
        <v>468</v>
      </c>
      <c r="AC115" s="46" t="s">
        <v>469</v>
      </c>
      <c r="AD115" s="19">
        <f t="shared" si="8"/>
        <v>0.6</v>
      </c>
      <c r="AE115" s="67">
        <f>IFERROR(NETWORKDAYS(B115,I115,Hoja1!$A$1:$A$29),"N/A")</f>
        <v>48</v>
      </c>
      <c r="AF115" s="21">
        <f>IFERROR(NETWORKDAYS(B115,W115,Hoja1!$A$1:$A$29),"N/A")</f>
        <v>67</v>
      </c>
      <c r="AG115" s="78">
        <v>25</v>
      </c>
      <c r="AH115" s="21">
        <f t="shared" si="6"/>
        <v>42</v>
      </c>
      <c r="AI115" s="21">
        <f>IFERROR(NETWORKDAYS(X115,Y115,Hoja1!$A$1:$A$29),"N/A")</f>
        <v>7</v>
      </c>
      <c r="AJ115" s="78">
        <v>3</v>
      </c>
      <c r="AK115" s="75">
        <f t="shared" si="5"/>
        <v>4</v>
      </c>
      <c r="AL115" s="21">
        <f>IFERROR(NETWORKDAYS(B115,Y115,Hoja1!$A$1:$A$29),"N/A")</f>
        <v>73</v>
      </c>
      <c r="AM115" s="21">
        <f t="shared" si="9"/>
        <v>45</v>
      </c>
      <c r="AN115" s="46" t="s">
        <v>453</v>
      </c>
      <c r="AO115" s="46"/>
      <c r="AP115" s="46"/>
      <c r="AQ115" s="43"/>
      <c r="AR115" s="43"/>
      <c r="AS115" s="43" t="s">
        <v>1925</v>
      </c>
      <c r="AT115" s="43" t="s">
        <v>2050</v>
      </c>
      <c r="AU115" s="43" t="s">
        <v>2217</v>
      </c>
      <c r="AV115" s="317" t="s">
        <v>2301</v>
      </c>
      <c r="AW115" s="403" t="s">
        <v>2702</v>
      </c>
      <c r="AY115" s="414"/>
    </row>
    <row r="116" spans="1:51" ht="15" customHeight="1" x14ac:dyDescent="0.25">
      <c r="A116" s="298">
        <v>15071</v>
      </c>
      <c r="B116" s="15">
        <v>45992</v>
      </c>
      <c r="C116" s="16">
        <v>45945</v>
      </c>
      <c r="D116" s="1">
        <v>1</v>
      </c>
      <c r="E116" s="45" t="s">
        <v>54</v>
      </c>
      <c r="F116" s="2" t="s">
        <v>55</v>
      </c>
      <c r="G116" s="1">
        <v>3</v>
      </c>
      <c r="H116" s="1" t="s">
        <v>56</v>
      </c>
      <c r="I116" s="16">
        <v>46037</v>
      </c>
      <c r="J116" s="16">
        <v>46038</v>
      </c>
      <c r="K116" s="88">
        <v>3</v>
      </c>
      <c r="L116" s="2" t="s">
        <v>55</v>
      </c>
      <c r="M116" s="2" t="s">
        <v>55</v>
      </c>
      <c r="N116" s="2" t="s">
        <v>55</v>
      </c>
      <c r="O116" s="2" t="s">
        <v>55</v>
      </c>
      <c r="P116" s="2" t="s">
        <v>55</v>
      </c>
      <c r="Q116" s="2" t="s">
        <v>55</v>
      </c>
      <c r="R116" s="3" t="s">
        <v>55</v>
      </c>
      <c r="S116" s="88">
        <v>6</v>
      </c>
      <c r="T116" s="1">
        <v>1</v>
      </c>
      <c r="U116" s="1">
        <v>0</v>
      </c>
      <c r="V116" s="16">
        <v>46044</v>
      </c>
      <c r="W116" s="16">
        <v>46056</v>
      </c>
      <c r="X116" s="16">
        <v>46057</v>
      </c>
      <c r="Y116" s="16">
        <v>46064</v>
      </c>
      <c r="Z116" s="16">
        <v>46065</v>
      </c>
      <c r="AA116" s="3">
        <f t="shared" si="11"/>
        <v>2</v>
      </c>
      <c r="AB116" s="108" t="s">
        <v>471</v>
      </c>
      <c r="AC116" s="49" t="s">
        <v>472</v>
      </c>
      <c r="AD116" s="19">
        <f t="shared" si="8"/>
        <v>1</v>
      </c>
      <c r="AE116" s="67">
        <f>IFERROR(NETWORKDAYS(B116,I116,Hoja1!$A$1:$A$29),"N/A")</f>
        <v>30</v>
      </c>
      <c r="AF116" s="21">
        <f>IFERROR(NETWORKDAYS(B116,W116,Hoja1!$A$1:$A$29),"N/A")</f>
        <v>43</v>
      </c>
      <c r="AG116" s="78">
        <v>17</v>
      </c>
      <c r="AH116" s="21">
        <f t="shared" si="6"/>
        <v>26</v>
      </c>
      <c r="AI116" s="21">
        <f>IFERROR(NETWORKDAYS(X116,Y116,Hoja1!$A$1:$A$29),"N/A")</f>
        <v>6</v>
      </c>
      <c r="AJ116" s="74">
        <v>1</v>
      </c>
      <c r="AK116" s="75">
        <f t="shared" si="5"/>
        <v>5</v>
      </c>
      <c r="AL116" s="21">
        <f>IFERROR(NETWORKDAYS(B116,Y116,Hoja1!$A$1:$A$29),"N/A")</f>
        <v>49</v>
      </c>
      <c r="AM116" s="21">
        <f t="shared" si="9"/>
        <v>31</v>
      </c>
      <c r="AN116" s="46"/>
      <c r="AO116" s="46"/>
      <c r="AP116" s="46"/>
      <c r="AQ116" s="1"/>
      <c r="AR116" s="1"/>
      <c r="AS116" s="1" t="s">
        <v>1903</v>
      </c>
      <c r="AT116" s="1" t="s">
        <v>1994</v>
      </c>
      <c r="AU116" s="1" t="s">
        <v>2210</v>
      </c>
      <c r="AV116" s="315" t="s">
        <v>2232</v>
      </c>
      <c r="AW116" s="403" t="s">
        <v>2703</v>
      </c>
      <c r="AY116" s="415"/>
    </row>
    <row r="117" spans="1:51" ht="15" customHeight="1" x14ac:dyDescent="0.25">
      <c r="A117" s="296">
        <v>15079</v>
      </c>
      <c r="B117" s="37">
        <v>45993</v>
      </c>
      <c r="C117" s="37">
        <v>45946</v>
      </c>
      <c r="D117" s="3">
        <v>1</v>
      </c>
      <c r="E117" s="45" t="s">
        <v>54</v>
      </c>
      <c r="F117" s="18" t="s">
        <v>55</v>
      </c>
      <c r="G117" s="3">
        <v>12</v>
      </c>
      <c r="H117" s="3" t="s">
        <v>56</v>
      </c>
      <c r="I117" s="30">
        <v>46009</v>
      </c>
      <c r="J117" s="53">
        <v>46009</v>
      </c>
      <c r="K117" s="3">
        <v>6</v>
      </c>
      <c r="L117" s="18" t="s">
        <v>55</v>
      </c>
      <c r="M117" s="18" t="s">
        <v>55</v>
      </c>
      <c r="N117" s="18" t="s">
        <v>55</v>
      </c>
      <c r="O117" s="18" t="s">
        <v>55</v>
      </c>
      <c r="P117" s="18" t="s">
        <v>55</v>
      </c>
      <c r="Q117" s="18" t="s">
        <v>55</v>
      </c>
      <c r="R117" s="3" t="s">
        <v>55</v>
      </c>
      <c r="S117" s="88">
        <v>3</v>
      </c>
      <c r="T117" s="3">
        <v>4</v>
      </c>
      <c r="U117" s="3">
        <v>0</v>
      </c>
      <c r="V117" s="30">
        <v>46013</v>
      </c>
      <c r="W117" s="30">
        <v>46013</v>
      </c>
      <c r="X117" s="30">
        <v>46013</v>
      </c>
      <c r="Y117" s="44">
        <v>46059</v>
      </c>
      <c r="Z117" s="104">
        <v>46065</v>
      </c>
      <c r="AA117" s="3">
        <f t="shared" si="11"/>
        <v>2</v>
      </c>
      <c r="AB117" s="85" t="s">
        <v>474</v>
      </c>
      <c r="AC117" s="35" t="s">
        <v>475</v>
      </c>
      <c r="AD117" s="19">
        <f t="shared" si="8"/>
        <v>0.5</v>
      </c>
      <c r="AE117" s="67">
        <f>IFERROR(NETWORKDAYS(B117,I117,Hoja1!$A$1:$A$29),"N/A")</f>
        <v>12</v>
      </c>
      <c r="AF117" s="21">
        <f>IFERROR(NETWORKDAYS(B117,W117,Hoja1!$A$1:$A$29),"N/A")</f>
        <v>14</v>
      </c>
      <c r="AG117" s="78">
        <v>0</v>
      </c>
      <c r="AH117" s="21">
        <f t="shared" si="6"/>
        <v>14</v>
      </c>
      <c r="AI117" s="21">
        <f>IFERROR(NETWORKDAYS(X117,Y117,Hoja1!$A$1:$A$29),"N/A")</f>
        <v>32</v>
      </c>
      <c r="AJ117" s="74">
        <v>26</v>
      </c>
      <c r="AK117" s="75">
        <f t="shared" si="5"/>
        <v>6</v>
      </c>
      <c r="AL117" s="21">
        <f>IFERROR(NETWORKDAYS(B117,Y117,Hoja1!$A$1:$A$29),"N/A")</f>
        <v>45</v>
      </c>
      <c r="AM117" s="21">
        <f t="shared" si="9"/>
        <v>19</v>
      </c>
      <c r="AN117" s="46" t="s">
        <v>445</v>
      </c>
      <c r="AO117" s="46"/>
      <c r="AP117" s="46"/>
      <c r="AQ117" s="3"/>
      <c r="AR117" s="3"/>
      <c r="AS117" s="3" t="s">
        <v>1923</v>
      </c>
      <c r="AT117" s="3" t="s">
        <v>2051</v>
      </c>
      <c r="AU117" s="3" t="s">
        <v>2215</v>
      </c>
      <c r="AV117" s="316" t="s">
        <v>2302</v>
      </c>
      <c r="AW117" s="403" t="s">
        <v>2704</v>
      </c>
      <c r="AY117" s="414"/>
    </row>
    <row r="118" spans="1:51" ht="15" customHeight="1" x14ac:dyDescent="0.25">
      <c r="A118" s="301">
        <v>15152</v>
      </c>
      <c r="B118" s="28">
        <v>46020</v>
      </c>
      <c r="C118" s="28">
        <v>45957</v>
      </c>
      <c r="D118" s="33">
        <v>1</v>
      </c>
      <c r="E118" s="45" t="s">
        <v>54</v>
      </c>
      <c r="F118" s="21" t="s">
        <v>55</v>
      </c>
      <c r="G118" s="33">
        <v>0</v>
      </c>
      <c r="H118" s="33"/>
      <c r="I118" s="21" t="s">
        <v>55</v>
      </c>
      <c r="J118" s="21" t="s">
        <v>55</v>
      </c>
      <c r="K118" s="33">
        <v>0</v>
      </c>
      <c r="L118" s="36" t="s">
        <v>55</v>
      </c>
      <c r="M118" s="36" t="s">
        <v>55</v>
      </c>
      <c r="N118" s="36" t="s">
        <v>55</v>
      </c>
      <c r="O118" s="36" t="s">
        <v>55</v>
      </c>
      <c r="P118" s="36" t="s">
        <v>55</v>
      </c>
      <c r="Q118" s="36" t="s">
        <v>55</v>
      </c>
      <c r="R118" s="3" t="s">
        <v>55</v>
      </c>
      <c r="S118" s="88">
        <v>6</v>
      </c>
      <c r="T118" s="33">
        <v>1</v>
      </c>
      <c r="U118" s="33">
        <v>0</v>
      </c>
      <c r="V118" s="28">
        <v>46029</v>
      </c>
      <c r="W118" s="28">
        <v>46045</v>
      </c>
      <c r="X118" s="28">
        <v>46048</v>
      </c>
      <c r="Y118" s="28">
        <v>46051</v>
      </c>
      <c r="Z118" s="16">
        <v>46055</v>
      </c>
      <c r="AA118" s="3">
        <f t="shared" si="11"/>
        <v>2</v>
      </c>
      <c r="AB118" s="85" t="s">
        <v>478</v>
      </c>
      <c r="AC118" s="35" t="s">
        <v>479</v>
      </c>
      <c r="AD118" s="19" t="str">
        <f t="shared" si="8"/>
        <v>N/A</v>
      </c>
      <c r="AE118" s="67" t="str">
        <f>IFERROR(NETWORKDAYS(B118,I118,Hoja1!$A$1:$A$29),"N/A")</f>
        <v>N/A</v>
      </c>
      <c r="AF118" s="21">
        <f>IFERROR(NETWORKDAYS(B118,W118,Hoja1!$A$1:$A$29),"N/A")</f>
        <v>18</v>
      </c>
      <c r="AG118" s="78">
        <v>13</v>
      </c>
      <c r="AH118" s="21">
        <f t="shared" si="6"/>
        <v>5</v>
      </c>
      <c r="AI118" s="21">
        <f>IFERROR(NETWORKDAYS(X118,Y118,Hoja1!$A$1:$A$29),"N/A")</f>
        <v>4</v>
      </c>
      <c r="AJ118" s="74">
        <v>0</v>
      </c>
      <c r="AK118" s="75">
        <f t="shared" si="5"/>
        <v>4</v>
      </c>
      <c r="AL118" s="21">
        <f>IFERROR(NETWORKDAYS(B118,Y118,Hoja1!$A$1:$A$29),"N/A")</f>
        <v>22</v>
      </c>
      <c r="AM118" s="21">
        <f t="shared" si="9"/>
        <v>9</v>
      </c>
      <c r="AN118" s="46"/>
      <c r="AO118" s="46"/>
      <c r="AP118" s="46"/>
      <c r="AQ118" s="33"/>
      <c r="AR118" s="33"/>
      <c r="AS118" s="33" t="s">
        <v>1889</v>
      </c>
      <c r="AT118" s="33" t="s">
        <v>2052</v>
      </c>
      <c r="AU118" s="33" t="s">
        <v>2212</v>
      </c>
      <c r="AV118" s="318" t="s">
        <v>2235</v>
      </c>
      <c r="AW118" s="403" t="s">
        <v>2705</v>
      </c>
      <c r="AY118" s="415"/>
    </row>
    <row r="119" spans="1:51" ht="15" customHeight="1" x14ac:dyDescent="0.25">
      <c r="A119" s="294">
        <v>15182</v>
      </c>
      <c r="B119" s="30">
        <v>46010</v>
      </c>
      <c r="C119" s="30">
        <v>45965</v>
      </c>
      <c r="D119" s="3">
        <v>1</v>
      </c>
      <c r="E119" s="45" t="s">
        <v>54</v>
      </c>
      <c r="F119" s="3" t="s">
        <v>55</v>
      </c>
      <c r="G119" s="3">
        <v>6</v>
      </c>
      <c r="H119" s="3" t="s">
        <v>112</v>
      </c>
      <c r="I119" s="30">
        <v>46062</v>
      </c>
      <c r="J119" s="30">
        <v>46062</v>
      </c>
      <c r="K119" s="3">
        <v>6</v>
      </c>
      <c r="L119" s="3" t="s">
        <v>55</v>
      </c>
      <c r="M119" s="3" t="s">
        <v>55</v>
      </c>
      <c r="N119" s="3" t="s">
        <v>55</v>
      </c>
      <c r="O119" s="3" t="s">
        <v>55</v>
      </c>
      <c r="P119" s="3" t="s">
        <v>55</v>
      </c>
      <c r="Q119" s="3" t="s">
        <v>55</v>
      </c>
      <c r="R119" s="3" t="s">
        <v>55</v>
      </c>
      <c r="S119" s="3">
        <v>6</v>
      </c>
      <c r="T119" s="3">
        <v>1</v>
      </c>
      <c r="U119" s="3">
        <v>0</v>
      </c>
      <c r="V119" s="30">
        <v>46065</v>
      </c>
      <c r="W119" s="30">
        <v>46066</v>
      </c>
      <c r="X119" s="30">
        <v>46069</v>
      </c>
      <c r="Y119" s="16">
        <v>46073</v>
      </c>
      <c r="Z119" s="140">
        <v>46076</v>
      </c>
      <c r="AA119" s="3">
        <f t="shared" si="11"/>
        <v>2</v>
      </c>
      <c r="AB119" s="85" t="s">
        <v>481</v>
      </c>
      <c r="AC119" s="45" t="s">
        <v>482</v>
      </c>
      <c r="AD119" s="19">
        <f t="shared" si="8"/>
        <v>1</v>
      </c>
      <c r="AE119" s="67">
        <f>IFERROR(NETWORKDAYS(B119,I119,Hoja1!$A$1:$A$29),"N/A")</f>
        <v>34</v>
      </c>
      <c r="AF119" s="21">
        <f>IFERROR(NETWORKDAYS(B119,W119,Hoja1!$A$1:$A$29),"N/A")</f>
        <v>38</v>
      </c>
      <c r="AG119" s="78">
        <v>15</v>
      </c>
      <c r="AH119" s="21">
        <f t="shared" si="6"/>
        <v>23</v>
      </c>
      <c r="AI119" s="21">
        <f>IFERROR(NETWORKDAYS(X119,Y119,Hoja1!$A$1:$A$29),"N/A")</f>
        <v>5</v>
      </c>
      <c r="AJ119" s="74">
        <v>0</v>
      </c>
      <c r="AK119" s="75">
        <f t="shared" ref="AK119:AK182" si="12">AI119-AJ119</f>
        <v>5</v>
      </c>
      <c r="AL119" s="21">
        <f>IFERROR(NETWORKDAYS(B119,Y119,Hoja1!$A$1:$A$29),"N/A")</f>
        <v>43</v>
      </c>
      <c r="AM119" s="21">
        <f t="shared" si="9"/>
        <v>28</v>
      </c>
      <c r="AN119" s="46"/>
      <c r="AO119" s="46"/>
      <c r="AP119" s="46"/>
      <c r="AQ119" s="1"/>
      <c r="AR119" s="1"/>
      <c r="AS119" s="1" t="s">
        <v>1895</v>
      </c>
      <c r="AT119" s="1" t="s">
        <v>2053</v>
      </c>
      <c r="AU119" s="1" t="s">
        <v>2216</v>
      </c>
      <c r="AV119" s="315" t="s">
        <v>2303</v>
      </c>
      <c r="AW119" s="403" t="s">
        <v>2706</v>
      </c>
      <c r="AY119" s="414"/>
    </row>
    <row r="120" spans="1:51" ht="15" customHeight="1" x14ac:dyDescent="0.25">
      <c r="A120" s="294">
        <v>15184</v>
      </c>
      <c r="B120" s="30">
        <v>46037</v>
      </c>
      <c r="C120" s="30">
        <v>45965</v>
      </c>
      <c r="D120" s="3">
        <v>1</v>
      </c>
      <c r="E120" s="45" t="s">
        <v>54</v>
      </c>
      <c r="F120" s="3" t="s">
        <v>55</v>
      </c>
      <c r="G120" s="3">
        <v>6</v>
      </c>
      <c r="H120" s="3" t="s">
        <v>112</v>
      </c>
      <c r="I120" s="30">
        <v>46038</v>
      </c>
      <c r="J120" s="30">
        <v>46038</v>
      </c>
      <c r="K120" s="3">
        <v>6</v>
      </c>
      <c r="L120" s="3" t="s">
        <v>55</v>
      </c>
      <c r="M120" s="3" t="s">
        <v>55</v>
      </c>
      <c r="N120" s="3" t="s">
        <v>55</v>
      </c>
      <c r="O120" s="3" t="s">
        <v>55</v>
      </c>
      <c r="P120" s="3" t="s">
        <v>55</v>
      </c>
      <c r="Q120" s="3" t="s">
        <v>55</v>
      </c>
      <c r="R120" s="3" t="s">
        <v>55</v>
      </c>
      <c r="S120" s="3">
        <v>6</v>
      </c>
      <c r="T120" s="3">
        <v>1</v>
      </c>
      <c r="U120" s="3">
        <v>0</v>
      </c>
      <c r="V120" s="16">
        <v>46045</v>
      </c>
      <c r="W120" s="16">
        <v>46045</v>
      </c>
      <c r="X120" s="16">
        <v>46048</v>
      </c>
      <c r="Y120" s="16">
        <v>46052</v>
      </c>
      <c r="Z120" s="16">
        <v>46055</v>
      </c>
      <c r="AA120" s="3">
        <f t="shared" si="11"/>
        <v>2</v>
      </c>
      <c r="AB120" s="85" t="s">
        <v>484</v>
      </c>
      <c r="AC120" s="45" t="s">
        <v>485</v>
      </c>
      <c r="AD120" s="19">
        <f t="shared" si="8"/>
        <v>1</v>
      </c>
      <c r="AE120" s="67">
        <f>IFERROR(NETWORKDAYS(B120,I120,Hoja1!$A$1:$A$29),"N/A")</f>
        <v>2</v>
      </c>
      <c r="AF120" s="21">
        <f>IFERROR(NETWORKDAYS(B120,W120,Hoja1!$A$1:$A$29),"N/A")</f>
        <v>7</v>
      </c>
      <c r="AG120" s="78">
        <v>0</v>
      </c>
      <c r="AH120" s="21">
        <f t="shared" si="6"/>
        <v>7</v>
      </c>
      <c r="AI120" s="21">
        <f>IFERROR(NETWORKDAYS(X120,Y120,Hoja1!$A$1:$A$29),"N/A")</f>
        <v>5</v>
      </c>
      <c r="AJ120" s="74">
        <v>0</v>
      </c>
      <c r="AK120" s="75">
        <f t="shared" si="12"/>
        <v>5</v>
      </c>
      <c r="AL120" s="21">
        <f>IFERROR(NETWORKDAYS(B120,Y120,Hoja1!$A$1:$A$29),"N/A")</f>
        <v>12</v>
      </c>
      <c r="AM120" s="21">
        <f t="shared" si="9"/>
        <v>12</v>
      </c>
      <c r="AN120" s="46" t="s">
        <v>453</v>
      </c>
      <c r="AO120" s="46" t="s">
        <v>453</v>
      </c>
      <c r="AP120" s="46" t="s">
        <v>464</v>
      </c>
      <c r="AQ120" s="107" t="s">
        <v>445</v>
      </c>
      <c r="AR120" s="1"/>
      <c r="AS120" s="1" t="s">
        <v>1890</v>
      </c>
      <c r="AT120" s="1" t="s">
        <v>2008</v>
      </c>
      <c r="AU120" s="1" t="s">
        <v>2216</v>
      </c>
      <c r="AV120" s="315" t="s">
        <v>2304</v>
      </c>
      <c r="AW120" s="403" t="s">
        <v>2707</v>
      </c>
      <c r="AY120" s="415"/>
    </row>
    <row r="121" spans="1:51" ht="15" customHeight="1" x14ac:dyDescent="0.25">
      <c r="A121" s="294">
        <v>15210</v>
      </c>
      <c r="B121" s="30">
        <v>46007</v>
      </c>
      <c r="C121" s="30">
        <v>45979</v>
      </c>
      <c r="D121" s="3">
        <v>1</v>
      </c>
      <c r="E121" s="45" t="s">
        <v>54</v>
      </c>
      <c r="F121" s="3" t="s">
        <v>55</v>
      </c>
      <c r="G121" s="3">
        <v>6</v>
      </c>
      <c r="H121" s="3" t="s">
        <v>112</v>
      </c>
      <c r="I121" s="30">
        <v>46028</v>
      </c>
      <c r="J121" s="30">
        <v>46028</v>
      </c>
      <c r="K121" s="3">
        <v>6</v>
      </c>
      <c r="L121" s="3" t="s">
        <v>55</v>
      </c>
      <c r="M121" s="3" t="s">
        <v>55</v>
      </c>
      <c r="N121" s="3" t="s">
        <v>55</v>
      </c>
      <c r="O121" s="3" t="s">
        <v>55</v>
      </c>
      <c r="P121" s="3" t="s">
        <v>55</v>
      </c>
      <c r="Q121" s="3" t="s">
        <v>55</v>
      </c>
      <c r="R121" s="3" t="s">
        <v>55</v>
      </c>
      <c r="S121" s="3">
        <v>6</v>
      </c>
      <c r="T121" s="3">
        <v>1</v>
      </c>
      <c r="U121" s="3">
        <v>0</v>
      </c>
      <c r="V121" s="30">
        <v>46028</v>
      </c>
      <c r="W121" s="30">
        <v>46028</v>
      </c>
      <c r="X121" s="30">
        <v>46069</v>
      </c>
      <c r="Y121" s="16">
        <v>46073</v>
      </c>
      <c r="Z121" s="140">
        <v>46076</v>
      </c>
      <c r="AA121" s="3">
        <f t="shared" si="11"/>
        <v>2</v>
      </c>
      <c r="AB121" s="85" t="s">
        <v>488</v>
      </c>
      <c r="AC121" s="45" t="s">
        <v>489</v>
      </c>
      <c r="AD121" s="19">
        <f t="shared" si="8"/>
        <v>1</v>
      </c>
      <c r="AE121" s="67">
        <f>IFERROR(NETWORKDAYS(B121,I121,Hoja1!$A$1:$A$29),"N/A")</f>
        <v>14</v>
      </c>
      <c r="AF121" s="21">
        <f>IFERROR(NETWORKDAYS(B121,W121,Hoja1!$A$1:$A$29),"N/A")</f>
        <v>14</v>
      </c>
      <c r="AG121" s="78">
        <v>0</v>
      </c>
      <c r="AH121" s="21">
        <f t="shared" si="6"/>
        <v>14</v>
      </c>
      <c r="AI121" s="21">
        <f>IFERROR(NETWORKDAYS(X121,Y121,Hoja1!$A$1:$A$29),"N/A")</f>
        <v>5</v>
      </c>
      <c r="AJ121" s="74">
        <v>0</v>
      </c>
      <c r="AK121" s="75">
        <f t="shared" si="12"/>
        <v>5</v>
      </c>
      <c r="AL121" s="21">
        <f>IFERROR(NETWORKDAYS(B121,Y121,Hoja1!$A$1:$A$29),"N/A")</f>
        <v>46</v>
      </c>
      <c r="AM121" s="21">
        <f t="shared" si="9"/>
        <v>46</v>
      </c>
      <c r="AN121" s="46" t="s">
        <v>453</v>
      </c>
      <c r="AO121" s="46"/>
      <c r="AP121" s="46"/>
      <c r="AQ121" s="107"/>
      <c r="AR121" s="1"/>
      <c r="AS121" s="1" t="s">
        <v>1905</v>
      </c>
      <c r="AT121" s="1" t="s">
        <v>2048</v>
      </c>
      <c r="AU121" s="1" t="s">
        <v>2219</v>
      </c>
      <c r="AV121" s="315" t="s">
        <v>2305</v>
      </c>
      <c r="AW121" s="403" t="s">
        <v>2708</v>
      </c>
      <c r="AY121" s="414"/>
    </row>
    <row r="122" spans="1:51" ht="15" customHeight="1" x14ac:dyDescent="0.25">
      <c r="A122" s="296">
        <v>15270</v>
      </c>
      <c r="B122" s="37">
        <v>46013</v>
      </c>
      <c r="C122" s="37">
        <v>45972</v>
      </c>
      <c r="D122" s="3">
        <v>1</v>
      </c>
      <c r="E122" s="45" t="s">
        <v>54</v>
      </c>
      <c r="F122" s="18" t="s">
        <v>55</v>
      </c>
      <c r="G122" s="3">
        <v>7</v>
      </c>
      <c r="H122" s="3" t="s">
        <v>112</v>
      </c>
      <c r="I122" s="30">
        <v>46020</v>
      </c>
      <c r="J122" s="30">
        <v>46020</v>
      </c>
      <c r="K122" s="3">
        <v>6</v>
      </c>
      <c r="L122" s="18" t="s">
        <v>55</v>
      </c>
      <c r="M122" s="18" t="s">
        <v>55</v>
      </c>
      <c r="N122" s="18" t="s">
        <v>55</v>
      </c>
      <c r="O122" s="18" t="s">
        <v>55</v>
      </c>
      <c r="P122" s="18" t="s">
        <v>55</v>
      </c>
      <c r="Q122" s="18" t="s">
        <v>55</v>
      </c>
      <c r="R122" s="3" t="s">
        <v>55</v>
      </c>
      <c r="S122" s="3">
        <v>4</v>
      </c>
      <c r="T122" s="3">
        <v>4</v>
      </c>
      <c r="U122" s="3">
        <v>0</v>
      </c>
      <c r="V122" s="30">
        <v>46029</v>
      </c>
      <c r="W122" s="28">
        <v>46038</v>
      </c>
      <c r="X122" s="28">
        <v>46038</v>
      </c>
      <c r="Y122" s="37">
        <v>46071</v>
      </c>
      <c r="Z122" s="140">
        <v>46076</v>
      </c>
      <c r="AA122" s="3">
        <f t="shared" si="11"/>
        <v>2</v>
      </c>
      <c r="AB122" s="85" t="s">
        <v>491</v>
      </c>
      <c r="AC122" s="35" t="s">
        <v>492</v>
      </c>
      <c r="AD122" s="19">
        <f t="shared" si="8"/>
        <v>0.8571428571428571</v>
      </c>
      <c r="AE122" s="67">
        <f>IFERROR(NETWORKDAYS(B122,I122,Hoja1!$A$1:$A$29),"N/A")</f>
        <v>5</v>
      </c>
      <c r="AF122" s="21">
        <f>IFERROR(NETWORKDAYS(B122,W122,Hoja1!$A$1:$A$29),"N/A")</f>
        <v>17</v>
      </c>
      <c r="AG122" s="78">
        <v>7</v>
      </c>
      <c r="AH122" s="21">
        <f t="shared" si="6"/>
        <v>10</v>
      </c>
      <c r="AI122" s="21">
        <f>IFERROR(NETWORKDAYS(X122,Y122,Hoja1!$A$1:$A$29),"N/A")</f>
        <v>24</v>
      </c>
      <c r="AJ122" s="74">
        <v>18</v>
      </c>
      <c r="AK122" s="75">
        <f t="shared" si="12"/>
        <v>6</v>
      </c>
      <c r="AL122" s="21">
        <f>IFERROR(NETWORKDAYS(B122,Y122,Hoja1!$A$1:$A$29),"N/A")</f>
        <v>40</v>
      </c>
      <c r="AM122" s="21">
        <f t="shared" si="9"/>
        <v>15</v>
      </c>
      <c r="AN122" s="46" t="s">
        <v>453</v>
      </c>
      <c r="AO122" s="46"/>
      <c r="AP122" s="46"/>
      <c r="AQ122" s="3"/>
      <c r="AR122" s="3"/>
      <c r="AS122" s="3" t="s">
        <v>1923</v>
      </c>
      <c r="AT122" s="3" t="s">
        <v>2048</v>
      </c>
      <c r="AU122" s="3" t="s">
        <v>2215</v>
      </c>
      <c r="AV122" s="316" t="s">
        <v>2306</v>
      </c>
      <c r="AW122" s="403" t="s">
        <v>2709</v>
      </c>
      <c r="AY122" s="415"/>
    </row>
    <row r="123" spans="1:51" ht="15" customHeight="1" x14ac:dyDescent="0.25">
      <c r="A123" s="298">
        <v>15282</v>
      </c>
      <c r="B123" s="15">
        <v>45992</v>
      </c>
      <c r="C123" s="16">
        <v>45973</v>
      </c>
      <c r="D123" s="1">
        <v>1</v>
      </c>
      <c r="E123" s="45" t="s">
        <v>54</v>
      </c>
      <c r="F123" s="2" t="s">
        <v>55</v>
      </c>
      <c r="G123" s="1">
        <v>11</v>
      </c>
      <c r="H123" s="1" t="s">
        <v>56</v>
      </c>
      <c r="I123" s="16">
        <v>45993</v>
      </c>
      <c r="J123" s="16">
        <v>46037</v>
      </c>
      <c r="K123" s="88">
        <v>6</v>
      </c>
      <c r="L123" s="2" t="s">
        <v>55</v>
      </c>
      <c r="M123" s="2" t="s">
        <v>55</v>
      </c>
      <c r="N123" s="2" t="s">
        <v>55</v>
      </c>
      <c r="O123" s="2" t="s">
        <v>55</v>
      </c>
      <c r="P123" s="2" t="s">
        <v>55</v>
      </c>
      <c r="Q123" s="2" t="s">
        <v>55</v>
      </c>
      <c r="R123" s="3" t="s">
        <v>55</v>
      </c>
      <c r="S123" s="88">
        <v>4</v>
      </c>
      <c r="T123" s="1">
        <v>2</v>
      </c>
      <c r="U123" s="1">
        <v>0</v>
      </c>
      <c r="V123" s="16">
        <v>46048</v>
      </c>
      <c r="W123" s="16">
        <v>46049</v>
      </c>
      <c r="X123" s="28">
        <v>46050</v>
      </c>
      <c r="Y123" s="16">
        <v>46063</v>
      </c>
      <c r="Z123" s="16">
        <v>46065</v>
      </c>
      <c r="AA123" s="3">
        <f t="shared" si="11"/>
        <v>2</v>
      </c>
      <c r="AB123" s="108" t="s">
        <v>494</v>
      </c>
      <c r="AC123" s="49" t="s">
        <v>495</v>
      </c>
      <c r="AD123" s="19">
        <f t="shared" si="8"/>
        <v>0.54545454545454541</v>
      </c>
      <c r="AE123" s="67">
        <f>IFERROR(NETWORKDAYS(B123,I123,Hoja1!$A$1:$A$29),"N/A")</f>
        <v>2</v>
      </c>
      <c r="AF123" s="21">
        <f>IFERROR(NETWORKDAYS(B123,W123,Hoja1!$A$1:$A$29),"N/A")</f>
        <v>38</v>
      </c>
      <c r="AG123" s="78">
        <v>22</v>
      </c>
      <c r="AH123" s="21">
        <f t="shared" si="6"/>
        <v>16</v>
      </c>
      <c r="AI123" s="21">
        <f>IFERROR(NETWORKDAYS(X123,Y123,Hoja1!$A$1:$A$29),"N/A")</f>
        <v>10</v>
      </c>
      <c r="AJ123" s="74">
        <v>5</v>
      </c>
      <c r="AK123" s="75">
        <f t="shared" si="12"/>
        <v>5</v>
      </c>
      <c r="AL123" s="21">
        <f>IFERROR(NETWORKDAYS(B123,Y123,Hoja1!$A$1:$A$29),"N/A")</f>
        <v>48</v>
      </c>
      <c r="AM123" s="21">
        <f t="shared" si="9"/>
        <v>21</v>
      </c>
      <c r="AN123" s="46" t="s">
        <v>454</v>
      </c>
      <c r="AO123" s="46"/>
      <c r="AP123" s="46"/>
      <c r="AQ123" s="1"/>
      <c r="AR123" s="1"/>
      <c r="AS123" s="1" t="s">
        <v>1897</v>
      </c>
      <c r="AT123" s="1" t="s">
        <v>1994</v>
      </c>
      <c r="AU123" s="1" t="s">
        <v>2210</v>
      </c>
      <c r="AV123" s="315" t="s">
        <v>2232</v>
      </c>
      <c r="AW123" s="403" t="s">
        <v>2710</v>
      </c>
      <c r="AY123" s="414"/>
    </row>
    <row r="124" spans="1:51" ht="15" customHeight="1" x14ac:dyDescent="0.25">
      <c r="A124" s="301">
        <v>15290</v>
      </c>
      <c r="B124" s="28">
        <v>45973</v>
      </c>
      <c r="C124" s="28">
        <v>45973</v>
      </c>
      <c r="D124" s="33">
        <v>1</v>
      </c>
      <c r="E124" s="45" t="s">
        <v>54</v>
      </c>
      <c r="F124" s="21" t="s">
        <v>55</v>
      </c>
      <c r="G124" s="33">
        <v>4</v>
      </c>
      <c r="H124" s="33" t="s">
        <v>56</v>
      </c>
      <c r="I124" s="28">
        <v>45975</v>
      </c>
      <c r="J124" s="28">
        <v>46041</v>
      </c>
      <c r="K124" s="88">
        <v>3</v>
      </c>
      <c r="L124" s="36" t="s">
        <v>55</v>
      </c>
      <c r="M124" s="36" t="s">
        <v>55</v>
      </c>
      <c r="N124" s="36" t="s">
        <v>55</v>
      </c>
      <c r="O124" s="36" t="s">
        <v>55</v>
      </c>
      <c r="P124" s="36" t="s">
        <v>55</v>
      </c>
      <c r="Q124" s="36" t="s">
        <v>55</v>
      </c>
      <c r="R124" s="3" t="s">
        <v>55</v>
      </c>
      <c r="S124" s="88">
        <v>3</v>
      </c>
      <c r="T124" s="33">
        <v>2</v>
      </c>
      <c r="U124" s="33">
        <v>0</v>
      </c>
      <c r="V124" s="28">
        <v>46045</v>
      </c>
      <c r="W124" s="28">
        <v>46045</v>
      </c>
      <c r="X124" s="28">
        <v>46045</v>
      </c>
      <c r="Y124" s="16">
        <v>46052</v>
      </c>
      <c r="Z124" s="16">
        <v>46055</v>
      </c>
      <c r="AA124" s="3">
        <f t="shared" si="11"/>
        <v>2</v>
      </c>
      <c r="AB124" s="85" t="s">
        <v>496</v>
      </c>
      <c r="AC124" s="35" t="s">
        <v>497</v>
      </c>
      <c r="AD124" s="19">
        <f t="shared" si="8"/>
        <v>0.75</v>
      </c>
      <c r="AE124" s="67">
        <f>IFERROR(NETWORKDAYS(B124,I124,Hoja1!$A$1:$A$29),"N/A")</f>
        <v>3</v>
      </c>
      <c r="AF124" s="21">
        <f>IFERROR(NETWORKDAYS(B124,W124,Hoja1!$A$1:$A$29),"N/A")</f>
        <v>48</v>
      </c>
      <c r="AG124" s="78">
        <v>30</v>
      </c>
      <c r="AH124" s="21">
        <f t="shared" si="6"/>
        <v>18</v>
      </c>
      <c r="AI124" s="21">
        <f>IFERROR(NETWORKDAYS(X124,Y124,Hoja1!$A$1:$A$29),"N/A")</f>
        <v>6</v>
      </c>
      <c r="AJ124" s="74">
        <v>1</v>
      </c>
      <c r="AK124" s="75">
        <f t="shared" si="12"/>
        <v>5</v>
      </c>
      <c r="AL124" s="21">
        <f>IFERROR(NETWORKDAYS(B124,Y124,Hoja1!$A$1:$A$29),"N/A")</f>
        <v>53</v>
      </c>
      <c r="AM124" s="21">
        <f t="shared" si="9"/>
        <v>22</v>
      </c>
      <c r="AN124" s="46"/>
      <c r="AO124" s="46"/>
      <c r="AP124" s="46"/>
      <c r="AQ124" s="33"/>
      <c r="AR124" s="33"/>
      <c r="AS124" s="33" t="s">
        <v>1926</v>
      </c>
      <c r="AT124" s="33" t="s">
        <v>1994</v>
      </c>
      <c r="AU124" s="33" t="s">
        <v>2212</v>
      </c>
      <c r="AV124" s="318" t="s">
        <v>2307</v>
      </c>
      <c r="AW124" s="403" t="s">
        <v>2711</v>
      </c>
      <c r="AY124" s="415"/>
    </row>
    <row r="125" spans="1:51" ht="15" customHeight="1" x14ac:dyDescent="0.25">
      <c r="A125" s="301">
        <v>15293</v>
      </c>
      <c r="B125" s="15">
        <v>45993</v>
      </c>
      <c r="C125" s="15">
        <v>45974</v>
      </c>
      <c r="D125" s="1">
        <v>1</v>
      </c>
      <c r="E125" s="45" t="s">
        <v>54</v>
      </c>
      <c r="F125" s="18" t="s">
        <v>55</v>
      </c>
      <c r="G125" s="1">
        <v>4</v>
      </c>
      <c r="H125" s="1" t="s">
        <v>56</v>
      </c>
      <c r="I125" s="16">
        <v>46002</v>
      </c>
      <c r="J125" s="16">
        <v>46017</v>
      </c>
      <c r="K125" s="88">
        <v>4</v>
      </c>
      <c r="L125" s="18" t="s">
        <v>55</v>
      </c>
      <c r="M125" s="18" t="s">
        <v>55</v>
      </c>
      <c r="N125" s="18" t="s">
        <v>55</v>
      </c>
      <c r="O125" s="18" t="s">
        <v>55</v>
      </c>
      <c r="P125" s="18" t="s">
        <v>55</v>
      </c>
      <c r="Q125" s="18" t="s">
        <v>55</v>
      </c>
      <c r="R125" s="3" t="s">
        <v>55</v>
      </c>
      <c r="S125" s="88">
        <v>3</v>
      </c>
      <c r="T125" s="1">
        <v>2</v>
      </c>
      <c r="U125" s="1">
        <v>0</v>
      </c>
      <c r="V125" s="16">
        <v>46027</v>
      </c>
      <c r="W125" s="16">
        <v>46027</v>
      </c>
      <c r="X125" s="16">
        <v>46028</v>
      </c>
      <c r="Y125" s="16">
        <v>46041</v>
      </c>
      <c r="Z125" s="16">
        <v>46055</v>
      </c>
      <c r="AA125" s="3">
        <f t="shared" si="11"/>
        <v>2</v>
      </c>
      <c r="AB125" s="249" t="s">
        <v>498</v>
      </c>
      <c r="AC125" s="49" t="s">
        <v>499</v>
      </c>
      <c r="AD125" s="19">
        <f t="shared" si="8"/>
        <v>1</v>
      </c>
      <c r="AE125" s="67">
        <f>IFERROR(NETWORKDAYS(B125,I125,Hoja1!$A$1:$A$29),"N/A")</f>
        <v>7</v>
      </c>
      <c r="AF125" s="21">
        <f>IFERROR(NETWORKDAYS(B125,W125,Hoja1!$A$1:$A$29),"N/A")</f>
        <v>22</v>
      </c>
      <c r="AG125" s="78">
        <v>7</v>
      </c>
      <c r="AH125" s="21">
        <f t="shared" si="6"/>
        <v>15</v>
      </c>
      <c r="AI125" s="21">
        <f>IFERROR(NETWORKDAYS(X125,Y125,Hoja1!$A$1:$A$29),"N/A")</f>
        <v>9</v>
      </c>
      <c r="AJ125" s="67">
        <v>4</v>
      </c>
      <c r="AK125" s="75">
        <f t="shared" si="12"/>
        <v>5</v>
      </c>
      <c r="AL125" s="21">
        <f>IFERROR(NETWORKDAYS(B125,Y125,Hoja1!$A$1:$A$29),"N/A")</f>
        <v>31</v>
      </c>
      <c r="AM125" s="21">
        <f t="shared" si="9"/>
        <v>20</v>
      </c>
      <c r="AN125" s="46" t="s">
        <v>453</v>
      </c>
      <c r="AO125" s="46"/>
      <c r="AP125" s="46"/>
      <c r="AQ125" s="1"/>
      <c r="AR125" s="1"/>
      <c r="AS125" s="1" t="s">
        <v>1888</v>
      </c>
      <c r="AT125" s="1" t="s">
        <v>1995</v>
      </c>
      <c r="AU125" s="1" t="s">
        <v>2211</v>
      </c>
      <c r="AV125" s="315" t="s">
        <v>2308</v>
      </c>
      <c r="AW125" s="403" t="s">
        <v>2712</v>
      </c>
      <c r="AY125" s="414"/>
    </row>
    <row r="126" spans="1:51" ht="15" customHeight="1" x14ac:dyDescent="0.25">
      <c r="A126" s="301">
        <v>15318</v>
      </c>
      <c r="B126" s="28">
        <v>46003</v>
      </c>
      <c r="C126" s="28">
        <v>45979</v>
      </c>
      <c r="D126" s="33">
        <v>1</v>
      </c>
      <c r="E126" s="45" t="s">
        <v>54</v>
      </c>
      <c r="F126" s="21" t="s">
        <v>55</v>
      </c>
      <c r="G126" s="33">
        <v>8</v>
      </c>
      <c r="H126" s="33" t="s">
        <v>56</v>
      </c>
      <c r="I126" s="53">
        <v>46013</v>
      </c>
      <c r="J126" s="53">
        <v>46021</v>
      </c>
      <c r="K126" s="88">
        <v>3</v>
      </c>
      <c r="L126" s="36" t="s">
        <v>55</v>
      </c>
      <c r="M126" s="36" t="s">
        <v>55</v>
      </c>
      <c r="N126" s="36" t="s">
        <v>55</v>
      </c>
      <c r="O126" s="36" t="s">
        <v>55</v>
      </c>
      <c r="P126" s="36" t="s">
        <v>55</v>
      </c>
      <c r="Q126" s="36" t="s">
        <v>55</v>
      </c>
      <c r="R126" s="3" t="s">
        <v>55</v>
      </c>
      <c r="S126" s="88">
        <v>3</v>
      </c>
      <c r="T126" s="33">
        <v>1</v>
      </c>
      <c r="U126" s="33">
        <v>0</v>
      </c>
      <c r="V126" s="28">
        <v>46028</v>
      </c>
      <c r="W126" s="28">
        <v>46036</v>
      </c>
      <c r="X126" s="28">
        <v>46036</v>
      </c>
      <c r="Y126" s="28">
        <v>46049</v>
      </c>
      <c r="Z126" s="16">
        <v>46055</v>
      </c>
      <c r="AA126" s="3">
        <f t="shared" si="11"/>
        <v>2</v>
      </c>
      <c r="AB126" s="85" t="s">
        <v>502</v>
      </c>
      <c r="AC126" s="35" t="s">
        <v>503</v>
      </c>
      <c r="AD126" s="19">
        <f t="shared" si="8"/>
        <v>0.375</v>
      </c>
      <c r="AE126" s="67">
        <f>IFERROR(NETWORKDAYS(B126,I126,Hoja1!$A$1:$A$29),"N/A")</f>
        <v>7</v>
      </c>
      <c r="AF126" s="21">
        <f>IFERROR(NETWORKDAYS(B126,W126,Hoja1!$A$1:$A$29),"N/A")</f>
        <v>21</v>
      </c>
      <c r="AG126" s="78">
        <v>4</v>
      </c>
      <c r="AH126" s="21">
        <f t="shared" si="6"/>
        <v>17</v>
      </c>
      <c r="AI126" s="21">
        <f>IFERROR(NETWORKDAYS(X126,Y126,Hoja1!$A$1:$A$29),"N/A")</f>
        <v>10</v>
      </c>
      <c r="AJ126" s="74">
        <v>5</v>
      </c>
      <c r="AK126" s="75">
        <f t="shared" si="12"/>
        <v>5</v>
      </c>
      <c r="AL126" s="21">
        <f>IFERROR(NETWORKDAYS(B126,Y126,Hoja1!$A$1:$A$29),"N/A")</f>
        <v>30</v>
      </c>
      <c r="AM126" s="21">
        <f t="shared" si="9"/>
        <v>21</v>
      </c>
      <c r="AN126" s="46" t="s">
        <v>453</v>
      </c>
      <c r="AO126" s="46"/>
      <c r="AP126" s="46"/>
      <c r="AQ126" s="33"/>
      <c r="AR126" s="33"/>
      <c r="AS126" s="33" t="s">
        <v>1889</v>
      </c>
      <c r="AT126" s="33" t="s">
        <v>2054</v>
      </c>
      <c r="AU126" s="33" t="s">
        <v>2212</v>
      </c>
      <c r="AV126" s="318" t="s">
        <v>2309</v>
      </c>
      <c r="AW126" s="403" t="s">
        <v>2713</v>
      </c>
      <c r="AY126" s="415"/>
    </row>
    <row r="127" spans="1:51" ht="15" customHeight="1" x14ac:dyDescent="0.25">
      <c r="A127" s="301">
        <v>15319</v>
      </c>
      <c r="B127" s="28">
        <v>45981</v>
      </c>
      <c r="C127" s="28">
        <v>45979</v>
      </c>
      <c r="D127" s="33">
        <v>1</v>
      </c>
      <c r="E127" s="45" t="s">
        <v>54</v>
      </c>
      <c r="F127" s="21" t="s">
        <v>55</v>
      </c>
      <c r="G127" s="33">
        <v>8</v>
      </c>
      <c r="H127" s="33" t="s">
        <v>56</v>
      </c>
      <c r="I127" s="28">
        <v>45985</v>
      </c>
      <c r="J127" s="28">
        <v>46031</v>
      </c>
      <c r="K127" s="88">
        <v>3</v>
      </c>
      <c r="L127" s="36" t="s">
        <v>55</v>
      </c>
      <c r="M127" s="36" t="s">
        <v>55</v>
      </c>
      <c r="N127" s="36" t="s">
        <v>55</v>
      </c>
      <c r="O127" s="36" t="s">
        <v>55</v>
      </c>
      <c r="P127" s="36" t="s">
        <v>55</v>
      </c>
      <c r="Q127" s="36" t="s">
        <v>55</v>
      </c>
      <c r="R127" s="3" t="s">
        <v>55</v>
      </c>
      <c r="S127" s="88">
        <v>3</v>
      </c>
      <c r="T127" s="33">
        <v>1</v>
      </c>
      <c r="U127" s="33">
        <v>0</v>
      </c>
      <c r="V127" s="28">
        <v>46037</v>
      </c>
      <c r="W127" s="28">
        <v>46038</v>
      </c>
      <c r="X127" s="28">
        <v>46038</v>
      </c>
      <c r="Y127" s="16">
        <v>46052</v>
      </c>
      <c r="Z127" s="16">
        <v>46055</v>
      </c>
      <c r="AA127" s="3">
        <f t="shared" si="11"/>
        <v>2</v>
      </c>
      <c r="AB127" s="85" t="s">
        <v>505</v>
      </c>
      <c r="AC127" s="35" t="s">
        <v>506</v>
      </c>
      <c r="AD127" s="19">
        <f t="shared" si="8"/>
        <v>0.375</v>
      </c>
      <c r="AE127" s="67">
        <f>IFERROR(NETWORKDAYS(B127,I127,Hoja1!$A$1:$A$29),"N/A")</f>
        <v>3</v>
      </c>
      <c r="AF127" s="21">
        <f>IFERROR(NETWORKDAYS(B127,W127,Hoja1!$A$1:$A$29),"N/A")</f>
        <v>38</v>
      </c>
      <c r="AG127" s="78">
        <v>20</v>
      </c>
      <c r="AH127" s="21">
        <f t="shared" ref="AH127:AH190" si="13">AF127-AG127</f>
        <v>18</v>
      </c>
      <c r="AI127" s="21">
        <f>IFERROR(NETWORKDAYS(X127,Y127,Hoja1!$A$1:$A$29),"N/A")</f>
        <v>11</v>
      </c>
      <c r="AJ127" s="74">
        <v>6</v>
      </c>
      <c r="AK127" s="75">
        <f t="shared" si="12"/>
        <v>5</v>
      </c>
      <c r="AL127" s="21">
        <f>IFERROR(NETWORKDAYS(B127,Y127,Hoja1!$A$1:$A$29),"N/A")</f>
        <v>48</v>
      </c>
      <c r="AM127" s="21">
        <f t="shared" si="9"/>
        <v>22</v>
      </c>
      <c r="AN127" s="46"/>
      <c r="AO127" s="46"/>
      <c r="AP127" s="46"/>
      <c r="AQ127" s="33"/>
      <c r="AR127" s="33"/>
      <c r="AS127" s="33" t="s">
        <v>1889</v>
      </c>
      <c r="AT127" s="33" t="s">
        <v>1996</v>
      </c>
      <c r="AU127" s="33" t="s">
        <v>2212</v>
      </c>
      <c r="AV127" s="318" t="s">
        <v>2307</v>
      </c>
      <c r="AW127" s="403" t="s">
        <v>2714</v>
      </c>
      <c r="AY127" s="414"/>
    </row>
    <row r="128" spans="1:51" ht="15" customHeight="1" x14ac:dyDescent="0.25">
      <c r="A128" s="294">
        <v>15337</v>
      </c>
      <c r="B128" s="30">
        <v>45982</v>
      </c>
      <c r="C128" s="30">
        <v>45982</v>
      </c>
      <c r="D128" s="3">
        <v>1</v>
      </c>
      <c r="E128" s="45" t="s">
        <v>54</v>
      </c>
      <c r="F128" s="3" t="s">
        <v>55</v>
      </c>
      <c r="G128" s="3">
        <v>3</v>
      </c>
      <c r="H128" s="3" t="s">
        <v>112</v>
      </c>
      <c r="I128" s="30">
        <v>46059</v>
      </c>
      <c r="J128" s="30">
        <v>46062</v>
      </c>
      <c r="K128" s="3">
        <v>3</v>
      </c>
      <c r="L128" s="3" t="s">
        <v>55</v>
      </c>
      <c r="M128" s="3" t="s">
        <v>55</v>
      </c>
      <c r="N128" s="3" t="s">
        <v>55</v>
      </c>
      <c r="O128" s="3" t="s">
        <v>55</v>
      </c>
      <c r="P128" s="3" t="s">
        <v>55</v>
      </c>
      <c r="Q128" s="3" t="s">
        <v>55</v>
      </c>
      <c r="R128" s="3" t="s">
        <v>55</v>
      </c>
      <c r="S128" s="3">
        <v>3</v>
      </c>
      <c r="T128" s="3">
        <v>1</v>
      </c>
      <c r="U128" s="3">
        <v>0</v>
      </c>
      <c r="V128" s="30">
        <v>46062</v>
      </c>
      <c r="W128" s="30">
        <v>46062</v>
      </c>
      <c r="X128" s="30">
        <v>46063</v>
      </c>
      <c r="Y128" s="30">
        <v>46071</v>
      </c>
      <c r="Z128" s="140">
        <v>46076</v>
      </c>
      <c r="AA128" s="3">
        <f t="shared" si="11"/>
        <v>2</v>
      </c>
      <c r="AB128" s="85" t="s">
        <v>508</v>
      </c>
      <c r="AC128" s="45" t="s">
        <v>509</v>
      </c>
      <c r="AD128" s="19">
        <f t="shared" si="8"/>
        <v>1</v>
      </c>
      <c r="AE128" s="67">
        <f>IFERROR(NETWORKDAYS(B128,I128,Hoja1!$A$1:$A$29),"N/A")</f>
        <v>52</v>
      </c>
      <c r="AF128" s="21">
        <f>IFERROR(NETWORKDAYS(B128,W128,Hoja1!$A$1:$A$29),"N/A")</f>
        <v>53</v>
      </c>
      <c r="AG128" s="78">
        <v>25</v>
      </c>
      <c r="AH128" s="21">
        <f t="shared" si="13"/>
        <v>28</v>
      </c>
      <c r="AI128" s="21">
        <f>IFERROR(NETWORKDAYS(X128,Y128,Hoja1!$A$1:$A$29),"N/A")</f>
        <v>7</v>
      </c>
      <c r="AJ128" s="78">
        <v>2</v>
      </c>
      <c r="AK128" s="75">
        <f t="shared" si="12"/>
        <v>5</v>
      </c>
      <c r="AL128" s="21">
        <f>IFERROR(NETWORKDAYS(B128,Y128,Hoja1!$A$1:$A$29),"N/A")</f>
        <v>60</v>
      </c>
      <c r="AM128" s="21">
        <f t="shared" si="9"/>
        <v>33</v>
      </c>
      <c r="AN128" s="46"/>
      <c r="AO128" s="46"/>
      <c r="AP128" s="46"/>
      <c r="AQ128" s="107"/>
      <c r="AR128" s="1"/>
      <c r="AS128" s="1" t="s">
        <v>1895</v>
      </c>
      <c r="AT128" s="1" t="s">
        <v>2055</v>
      </c>
      <c r="AU128" s="1" t="s">
        <v>2219</v>
      </c>
      <c r="AV128" s="315" t="s">
        <v>2310</v>
      </c>
      <c r="AW128" s="403" t="s">
        <v>2715</v>
      </c>
      <c r="AY128" s="415"/>
    </row>
    <row r="129" spans="1:51" ht="15" customHeight="1" x14ac:dyDescent="0.25">
      <c r="A129" s="294">
        <v>15338</v>
      </c>
      <c r="B129" s="30">
        <v>45996</v>
      </c>
      <c r="C129" s="30">
        <v>45981</v>
      </c>
      <c r="D129" s="3">
        <v>1</v>
      </c>
      <c r="E129" s="45" t="s">
        <v>54</v>
      </c>
      <c r="F129" s="3" t="s">
        <v>55</v>
      </c>
      <c r="G129" s="3">
        <v>6</v>
      </c>
      <c r="H129" s="3" t="s">
        <v>112</v>
      </c>
      <c r="I129" s="30">
        <v>46008</v>
      </c>
      <c r="J129" s="53">
        <v>46009</v>
      </c>
      <c r="K129" s="3">
        <v>6</v>
      </c>
      <c r="L129" s="3" t="s">
        <v>55</v>
      </c>
      <c r="M129" s="3" t="s">
        <v>55</v>
      </c>
      <c r="N129" s="3" t="s">
        <v>55</v>
      </c>
      <c r="O129" s="3" t="s">
        <v>55</v>
      </c>
      <c r="P129" s="3" t="s">
        <v>55</v>
      </c>
      <c r="Q129" s="3" t="s">
        <v>55</v>
      </c>
      <c r="R129" s="3" t="s">
        <v>55</v>
      </c>
      <c r="S129" s="3">
        <v>6</v>
      </c>
      <c r="T129" s="3">
        <v>1</v>
      </c>
      <c r="U129" s="3">
        <v>0</v>
      </c>
      <c r="V129" s="30">
        <v>46015</v>
      </c>
      <c r="W129" s="30">
        <v>46015</v>
      </c>
      <c r="X129" s="30">
        <v>46048</v>
      </c>
      <c r="Y129" s="16">
        <v>46052</v>
      </c>
      <c r="Z129" s="16">
        <v>46055</v>
      </c>
      <c r="AA129" s="3">
        <f t="shared" si="11"/>
        <v>2</v>
      </c>
      <c r="AB129" s="85" t="s">
        <v>511</v>
      </c>
      <c r="AC129" s="45" t="s">
        <v>512</v>
      </c>
      <c r="AD129" s="19">
        <f t="shared" si="8"/>
        <v>1</v>
      </c>
      <c r="AE129" s="67">
        <f>IFERROR(NETWORKDAYS(B129,I129,Hoja1!$A$1:$A$29),"N/A")</f>
        <v>8</v>
      </c>
      <c r="AF129" s="21">
        <f>IFERROR(NETWORKDAYS(B129,W129,Hoja1!$A$1:$A$29),"N/A")</f>
        <v>13</v>
      </c>
      <c r="AG129" s="78">
        <v>0</v>
      </c>
      <c r="AH129" s="21">
        <f t="shared" si="13"/>
        <v>13</v>
      </c>
      <c r="AI129" s="21">
        <f>IFERROR(NETWORKDAYS(X129,Y129,Hoja1!$A$1:$A$29),"N/A")</f>
        <v>5</v>
      </c>
      <c r="AJ129" s="78">
        <v>0</v>
      </c>
      <c r="AK129" s="75">
        <f t="shared" si="12"/>
        <v>5</v>
      </c>
      <c r="AL129" s="21">
        <f>IFERROR(NETWORKDAYS(B129,Y129,Hoja1!$A$1:$A$29),"N/A")</f>
        <v>37</v>
      </c>
      <c r="AM129" s="21">
        <f t="shared" si="9"/>
        <v>37</v>
      </c>
      <c r="AN129" s="46" t="s">
        <v>453</v>
      </c>
      <c r="AO129" s="46"/>
      <c r="AP129" s="46"/>
      <c r="AQ129" s="107"/>
      <c r="AR129" s="1"/>
      <c r="AS129" s="1" t="s">
        <v>1895</v>
      </c>
      <c r="AT129" s="1" t="s">
        <v>2017</v>
      </c>
      <c r="AU129" s="1" t="s">
        <v>2219</v>
      </c>
      <c r="AV129" s="315" t="s">
        <v>2241</v>
      </c>
      <c r="AW129" s="403" t="s">
        <v>2716</v>
      </c>
      <c r="AY129" s="414"/>
    </row>
    <row r="130" spans="1:51" ht="15" customHeight="1" x14ac:dyDescent="0.25">
      <c r="A130" s="294">
        <v>15343</v>
      </c>
      <c r="B130" s="44">
        <v>45972</v>
      </c>
      <c r="C130" s="44">
        <v>45972</v>
      </c>
      <c r="D130" s="2">
        <v>1</v>
      </c>
      <c r="E130" s="45" t="s">
        <v>54</v>
      </c>
      <c r="F130" s="2" t="s">
        <v>55</v>
      </c>
      <c r="G130" s="2">
        <v>6</v>
      </c>
      <c r="H130" s="2" t="s">
        <v>112</v>
      </c>
      <c r="I130" s="53">
        <v>46009</v>
      </c>
      <c r="J130" s="53">
        <v>46009</v>
      </c>
      <c r="K130" s="88">
        <v>3</v>
      </c>
      <c r="L130" s="2" t="s">
        <v>55</v>
      </c>
      <c r="M130" s="2" t="s">
        <v>55</v>
      </c>
      <c r="N130" s="2" t="s">
        <v>55</v>
      </c>
      <c r="O130" s="2" t="s">
        <v>55</v>
      </c>
      <c r="P130" s="2" t="s">
        <v>55</v>
      </c>
      <c r="Q130" s="2" t="s">
        <v>55</v>
      </c>
      <c r="R130" s="3" t="s">
        <v>55</v>
      </c>
      <c r="S130" s="88">
        <v>6</v>
      </c>
      <c r="T130" s="2">
        <v>1</v>
      </c>
      <c r="U130" s="2">
        <v>0</v>
      </c>
      <c r="V130" s="28">
        <v>46041</v>
      </c>
      <c r="W130" s="16">
        <v>46049</v>
      </c>
      <c r="X130" s="16">
        <v>46049</v>
      </c>
      <c r="Y130" s="44">
        <v>46058</v>
      </c>
      <c r="Z130" s="140">
        <v>46076</v>
      </c>
      <c r="AA130" s="3">
        <f t="shared" si="11"/>
        <v>2</v>
      </c>
      <c r="AB130" s="85" t="s">
        <v>513</v>
      </c>
      <c r="AC130" s="46" t="s">
        <v>514</v>
      </c>
      <c r="AD130" s="19">
        <f t="shared" ref="AD130:AD193" si="14">IFERROR(K130/G130,"N/A")</f>
        <v>0.5</v>
      </c>
      <c r="AE130" s="67">
        <f>IFERROR(NETWORKDAYS(B130,I130,Hoja1!$A$1:$A$29),"N/A")</f>
        <v>26</v>
      </c>
      <c r="AF130" s="21">
        <f>IFERROR(NETWORKDAYS(B130,W130,Hoja1!$A$1:$A$29),"N/A")</f>
        <v>51</v>
      </c>
      <c r="AG130" s="78">
        <v>19</v>
      </c>
      <c r="AH130" s="21">
        <f t="shared" si="13"/>
        <v>32</v>
      </c>
      <c r="AI130" s="21">
        <f>IFERROR(NETWORKDAYS(X130,Y130,Hoja1!$A$1:$A$29),"N/A")</f>
        <v>8</v>
      </c>
      <c r="AJ130" s="78">
        <v>3</v>
      </c>
      <c r="AK130" s="75">
        <f t="shared" si="12"/>
        <v>5</v>
      </c>
      <c r="AL130" s="21">
        <f>IFERROR(NETWORKDAYS(B130,Y130,Hoja1!$A$1:$A$29),"N/A")</f>
        <v>58</v>
      </c>
      <c r="AM130" s="21">
        <f t="shared" ref="AM130:AM193" si="15">AL130-AG130-AJ130</f>
        <v>36</v>
      </c>
      <c r="AN130" s="46"/>
      <c r="AO130" s="46"/>
      <c r="AP130" s="46"/>
      <c r="AQ130" s="43"/>
      <c r="AR130" s="43"/>
      <c r="AS130" s="43" t="s">
        <v>1927</v>
      </c>
      <c r="AT130" s="43" t="s">
        <v>2047</v>
      </c>
      <c r="AU130" s="43" t="s">
        <v>2214</v>
      </c>
      <c r="AV130" s="317" t="s">
        <v>2311</v>
      </c>
      <c r="AW130" s="403" t="s">
        <v>2717</v>
      </c>
      <c r="AY130" s="415"/>
    </row>
    <row r="131" spans="1:51" ht="15" customHeight="1" x14ac:dyDescent="0.25">
      <c r="A131" s="301">
        <v>15374</v>
      </c>
      <c r="B131" s="28">
        <v>46043</v>
      </c>
      <c r="C131" s="28">
        <v>45985</v>
      </c>
      <c r="D131" s="33">
        <v>1</v>
      </c>
      <c r="E131" s="45" t="s">
        <v>54</v>
      </c>
      <c r="F131" s="21" t="s">
        <v>55</v>
      </c>
      <c r="G131" s="33">
        <v>0</v>
      </c>
      <c r="H131" s="33"/>
      <c r="I131" s="21" t="s">
        <v>55</v>
      </c>
      <c r="J131" s="21" t="s">
        <v>55</v>
      </c>
      <c r="K131" s="33">
        <v>0</v>
      </c>
      <c r="L131" s="36" t="s">
        <v>55</v>
      </c>
      <c r="M131" s="36" t="s">
        <v>55</v>
      </c>
      <c r="N131" s="36" t="s">
        <v>55</v>
      </c>
      <c r="O131" s="36" t="s">
        <v>55</v>
      </c>
      <c r="P131" s="36" t="s">
        <v>55</v>
      </c>
      <c r="Q131" s="36" t="s">
        <v>55</v>
      </c>
      <c r="R131" s="3" t="s">
        <v>55</v>
      </c>
      <c r="S131" s="88">
        <v>3</v>
      </c>
      <c r="T131" s="33">
        <v>1</v>
      </c>
      <c r="U131" s="33">
        <v>0</v>
      </c>
      <c r="V131" s="28">
        <v>46045</v>
      </c>
      <c r="W131" s="28">
        <v>46045</v>
      </c>
      <c r="X131" s="28">
        <v>46048</v>
      </c>
      <c r="Y131" s="28">
        <v>46058</v>
      </c>
      <c r="Z131" s="28">
        <v>46065</v>
      </c>
      <c r="AA131" s="3">
        <f t="shared" si="11"/>
        <v>2</v>
      </c>
      <c r="AB131" s="85" t="s">
        <v>517</v>
      </c>
      <c r="AC131" s="35" t="s">
        <v>518</v>
      </c>
      <c r="AD131" s="19" t="str">
        <f t="shared" si="14"/>
        <v>N/A</v>
      </c>
      <c r="AE131" s="67" t="str">
        <f>IFERROR(NETWORKDAYS(B131,I131,Hoja1!$A$1:$A$29),"N/A")</f>
        <v>N/A</v>
      </c>
      <c r="AF131" s="21">
        <f>IFERROR(NETWORKDAYS(B131,W131,Hoja1!$A$1:$A$29),"N/A")</f>
        <v>3</v>
      </c>
      <c r="AG131" s="78">
        <v>0</v>
      </c>
      <c r="AH131" s="21">
        <f t="shared" si="13"/>
        <v>3</v>
      </c>
      <c r="AI131" s="21">
        <f>IFERROR(NETWORKDAYS(X131,Y131,Hoja1!$A$1:$A$29),"N/A")</f>
        <v>9</v>
      </c>
      <c r="AJ131" s="74">
        <v>4</v>
      </c>
      <c r="AK131" s="75">
        <f t="shared" si="12"/>
        <v>5</v>
      </c>
      <c r="AL131" s="21">
        <f>IFERROR(NETWORKDAYS(B131,Y131,Hoja1!$A$1:$A$29),"N/A")</f>
        <v>12</v>
      </c>
      <c r="AM131" s="21">
        <f t="shared" si="15"/>
        <v>8</v>
      </c>
      <c r="AN131" s="46" t="s">
        <v>454</v>
      </c>
      <c r="AO131" s="46"/>
      <c r="AP131" s="46"/>
      <c r="AQ131" s="33"/>
      <c r="AR131" s="33"/>
      <c r="AS131" s="33" t="s">
        <v>1928</v>
      </c>
      <c r="AT131" s="33" t="s">
        <v>2056</v>
      </c>
      <c r="AU131" s="33" t="s">
        <v>2212</v>
      </c>
      <c r="AV131" s="318" t="s">
        <v>2235</v>
      </c>
      <c r="AW131" s="403" t="s">
        <v>2718</v>
      </c>
      <c r="AY131" s="414"/>
    </row>
    <row r="132" spans="1:51" ht="15" customHeight="1" x14ac:dyDescent="0.25">
      <c r="A132" s="298">
        <v>15377</v>
      </c>
      <c r="B132" s="15">
        <v>45986</v>
      </c>
      <c r="C132" s="15">
        <v>45986</v>
      </c>
      <c r="D132" s="1">
        <v>1</v>
      </c>
      <c r="E132" s="45" t="s">
        <v>54</v>
      </c>
      <c r="F132" s="2" t="s">
        <v>55</v>
      </c>
      <c r="G132" s="1">
        <v>6</v>
      </c>
      <c r="H132" s="1" t="s">
        <v>56</v>
      </c>
      <c r="I132" s="16">
        <v>45994</v>
      </c>
      <c r="J132" s="16">
        <v>46006</v>
      </c>
      <c r="K132" s="88">
        <v>6</v>
      </c>
      <c r="L132" s="2" t="s">
        <v>55</v>
      </c>
      <c r="M132" s="2" t="s">
        <v>55</v>
      </c>
      <c r="N132" s="2" t="s">
        <v>55</v>
      </c>
      <c r="O132" s="2" t="s">
        <v>55</v>
      </c>
      <c r="P132" s="2" t="s">
        <v>55</v>
      </c>
      <c r="Q132" s="2" t="s">
        <v>55</v>
      </c>
      <c r="R132" s="3" t="s">
        <v>55</v>
      </c>
      <c r="S132" s="88">
        <v>5</v>
      </c>
      <c r="T132" s="1">
        <v>1</v>
      </c>
      <c r="U132" s="1">
        <v>0</v>
      </c>
      <c r="V132" s="16">
        <v>46015</v>
      </c>
      <c r="W132" s="16">
        <v>46031</v>
      </c>
      <c r="X132" s="16">
        <v>46031</v>
      </c>
      <c r="Y132" s="16">
        <v>46051</v>
      </c>
      <c r="Z132" s="16">
        <v>46055</v>
      </c>
      <c r="AA132" s="3">
        <f t="shared" si="11"/>
        <v>2</v>
      </c>
      <c r="AB132" s="108" t="s">
        <v>520</v>
      </c>
      <c r="AC132" s="49" t="s">
        <v>521</v>
      </c>
      <c r="AD132" s="19">
        <f t="shared" si="14"/>
        <v>1</v>
      </c>
      <c r="AE132" s="67">
        <f>IFERROR(NETWORKDAYS(B132,I132,Hoja1!$A$1:$A$29),"N/A")</f>
        <v>7</v>
      </c>
      <c r="AF132" s="21">
        <f>IFERROR(NETWORKDAYS(B132,W132,Hoja1!$A$1:$A$29),"N/A")</f>
        <v>31</v>
      </c>
      <c r="AG132" s="78">
        <v>7</v>
      </c>
      <c r="AH132" s="21">
        <f t="shared" si="13"/>
        <v>24</v>
      </c>
      <c r="AI132" s="21">
        <f>IFERROR(NETWORKDAYS(X132,Y132,Hoja1!$A$1:$A$29),"N/A")</f>
        <v>14</v>
      </c>
      <c r="AJ132" s="74">
        <v>9</v>
      </c>
      <c r="AK132" s="75">
        <f t="shared" si="12"/>
        <v>5</v>
      </c>
      <c r="AL132" s="21">
        <f>IFERROR(NETWORKDAYS(B132,Y132,Hoja1!$A$1:$A$29),"N/A")</f>
        <v>44</v>
      </c>
      <c r="AM132" s="21">
        <f t="shared" si="15"/>
        <v>28</v>
      </c>
      <c r="AN132" s="46" t="s">
        <v>445</v>
      </c>
      <c r="AO132" s="46"/>
      <c r="AP132" s="46"/>
      <c r="AQ132" s="1"/>
      <c r="AR132" s="1"/>
      <c r="AS132" s="1" t="s">
        <v>1929</v>
      </c>
      <c r="AT132" s="1" t="s">
        <v>2017</v>
      </c>
      <c r="AU132" s="1" t="s">
        <v>2210</v>
      </c>
      <c r="AV132" s="315" t="s">
        <v>2312</v>
      </c>
      <c r="AW132" s="403" t="s">
        <v>2719</v>
      </c>
      <c r="AY132" s="415"/>
    </row>
    <row r="133" spans="1:51" ht="15" customHeight="1" x14ac:dyDescent="0.25">
      <c r="A133" s="301">
        <v>15383</v>
      </c>
      <c r="B133" s="28">
        <v>45986</v>
      </c>
      <c r="C133" s="15">
        <v>45986</v>
      </c>
      <c r="D133" s="33">
        <v>1</v>
      </c>
      <c r="E133" s="45" t="s">
        <v>54</v>
      </c>
      <c r="F133" s="21" t="s">
        <v>55</v>
      </c>
      <c r="G133" s="33">
        <v>8</v>
      </c>
      <c r="H133" s="33" t="s">
        <v>56</v>
      </c>
      <c r="I133" s="53">
        <v>46006</v>
      </c>
      <c r="J133" s="28">
        <v>46044</v>
      </c>
      <c r="K133" s="88">
        <v>6</v>
      </c>
      <c r="L133" s="36" t="s">
        <v>55</v>
      </c>
      <c r="M133" s="36" t="s">
        <v>55</v>
      </c>
      <c r="N133" s="36" t="s">
        <v>55</v>
      </c>
      <c r="O133" s="36" t="s">
        <v>55</v>
      </c>
      <c r="P133" s="36" t="s">
        <v>55</v>
      </c>
      <c r="Q133" s="36" t="s">
        <v>55</v>
      </c>
      <c r="R133" s="3" t="s">
        <v>55</v>
      </c>
      <c r="S133" s="88">
        <v>5</v>
      </c>
      <c r="T133" s="33">
        <v>2</v>
      </c>
      <c r="U133" s="33">
        <v>0</v>
      </c>
      <c r="V133" s="28">
        <v>46050</v>
      </c>
      <c r="W133" s="28">
        <v>46051</v>
      </c>
      <c r="X133" s="28">
        <v>46052</v>
      </c>
      <c r="Y133" s="28">
        <v>46062</v>
      </c>
      <c r="Z133" s="28">
        <v>46065</v>
      </c>
      <c r="AA133" s="3">
        <f t="shared" si="11"/>
        <v>2</v>
      </c>
      <c r="AB133" s="85" t="s">
        <v>523</v>
      </c>
      <c r="AC133" s="35" t="s">
        <v>524</v>
      </c>
      <c r="AD133" s="19">
        <f t="shared" si="14"/>
        <v>0.75</v>
      </c>
      <c r="AE133" s="67">
        <f>IFERROR(NETWORKDAYS(B133,I133,Hoja1!$A$1:$A$29),"N/A")</f>
        <v>14</v>
      </c>
      <c r="AF133" s="21">
        <f>IFERROR(NETWORKDAYS(B133,W133,Hoja1!$A$1:$A$29),"N/A")</f>
        <v>44</v>
      </c>
      <c r="AG133" s="78">
        <v>27</v>
      </c>
      <c r="AH133" s="21">
        <f t="shared" si="13"/>
        <v>17</v>
      </c>
      <c r="AI133" s="21">
        <f>IFERROR(NETWORKDAYS(X133,Y133,Hoja1!$A$1:$A$29),"N/A")</f>
        <v>7</v>
      </c>
      <c r="AJ133" s="74">
        <v>2</v>
      </c>
      <c r="AK133" s="75">
        <f t="shared" si="12"/>
        <v>5</v>
      </c>
      <c r="AL133" s="21">
        <f>IFERROR(NETWORKDAYS(B133,Y133,Hoja1!$A$1:$A$29),"N/A")</f>
        <v>51</v>
      </c>
      <c r="AM133" s="21">
        <f t="shared" si="15"/>
        <v>22</v>
      </c>
      <c r="AN133" s="46"/>
      <c r="AO133" s="46"/>
      <c r="AP133" s="46"/>
      <c r="AQ133" s="33"/>
      <c r="AR133" s="33"/>
      <c r="AS133" s="33" t="s">
        <v>1920</v>
      </c>
      <c r="AT133" s="33" t="s">
        <v>1994</v>
      </c>
      <c r="AU133" s="33" t="s">
        <v>2212</v>
      </c>
      <c r="AV133" s="318" t="s">
        <v>2307</v>
      </c>
      <c r="AW133" s="403" t="s">
        <v>2720</v>
      </c>
      <c r="AY133" s="414"/>
    </row>
    <row r="134" spans="1:51" ht="15" customHeight="1" x14ac:dyDescent="0.25">
      <c r="A134" s="294">
        <v>15384</v>
      </c>
      <c r="B134" s="15">
        <v>45986</v>
      </c>
      <c r="C134" s="15">
        <v>45986</v>
      </c>
      <c r="D134" s="2">
        <v>1</v>
      </c>
      <c r="E134" s="45" t="s">
        <v>54</v>
      </c>
      <c r="F134" s="2" t="s">
        <v>55</v>
      </c>
      <c r="G134" s="2">
        <v>2</v>
      </c>
      <c r="H134" s="2" t="s">
        <v>112</v>
      </c>
      <c r="I134" s="28">
        <v>46013</v>
      </c>
      <c r="J134" s="28">
        <v>46013</v>
      </c>
      <c r="K134" s="2">
        <v>2</v>
      </c>
      <c r="L134" s="2" t="s">
        <v>55</v>
      </c>
      <c r="M134" s="2" t="s">
        <v>55</v>
      </c>
      <c r="N134" s="2" t="s">
        <v>55</v>
      </c>
      <c r="O134" s="2" t="s">
        <v>55</v>
      </c>
      <c r="P134" s="2" t="s">
        <v>55</v>
      </c>
      <c r="Q134" s="2" t="s">
        <v>55</v>
      </c>
      <c r="R134" s="3" t="s">
        <v>55</v>
      </c>
      <c r="S134" s="2">
        <v>1</v>
      </c>
      <c r="T134" s="2">
        <v>1</v>
      </c>
      <c r="U134" s="2">
        <v>0</v>
      </c>
      <c r="V134" s="44">
        <v>46030</v>
      </c>
      <c r="W134" s="28">
        <v>46038</v>
      </c>
      <c r="X134" s="28">
        <v>46038</v>
      </c>
      <c r="Y134" s="28">
        <v>46048</v>
      </c>
      <c r="Z134" s="16">
        <v>46055</v>
      </c>
      <c r="AA134" s="3">
        <f t="shared" si="11"/>
        <v>2</v>
      </c>
      <c r="AB134" s="85" t="s">
        <v>525</v>
      </c>
      <c r="AC134" s="46" t="s">
        <v>526</v>
      </c>
      <c r="AD134" s="19">
        <f t="shared" si="14"/>
        <v>1</v>
      </c>
      <c r="AE134" s="67">
        <f>IFERROR(NETWORKDAYS(B134,I134,Hoja1!$A$1:$A$29),"N/A")</f>
        <v>19</v>
      </c>
      <c r="AF134" s="21">
        <f>IFERROR(NETWORKDAYS(B134,W134,Hoja1!$A$1:$A$29),"N/A")</f>
        <v>35</v>
      </c>
      <c r="AG134" s="78">
        <v>5</v>
      </c>
      <c r="AH134" s="21">
        <f t="shared" si="13"/>
        <v>30</v>
      </c>
      <c r="AI134" s="21">
        <f>IFERROR(NETWORKDAYS(X134,Y134,Hoja1!$A$1:$A$29),"N/A")</f>
        <v>7</v>
      </c>
      <c r="AJ134" s="78">
        <v>2</v>
      </c>
      <c r="AK134" s="75">
        <f t="shared" si="12"/>
        <v>5</v>
      </c>
      <c r="AL134" s="21">
        <f>IFERROR(NETWORKDAYS(B134,Y134,Hoja1!$A$1:$A$29),"N/A")</f>
        <v>41</v>
      </c>
      <c r="AM134" s="21">
        <f t="shared" si="15"/>
        <v>34</v>
      </c>
      <c r="AN134" s="46" t="s">
        <v>527</v>
      </c>
      <c r="AO134" s="46"/>
      <c r="AP134" s="46"/>
      <c r="AQ134" s="43"/>
      <c r="AR134" s="43"/>
      <c r="AS134" s="43" t="s">
        <v>1927</v>
      </c>
      <c r="AT134" s="43" t="s">
        <v>1994</v>
      </c>
      <c r="AU134" s="43" t="s">
        <v>2214</v>
      </c>
      <c r="AV134" s="317" t="s">
        <v>2239</v>
      </c>
      <c r="AW134" s="403" t="s">
        <v>2721</v>
      </c>
      <c r="AY134" s="415"/>
    </row>
    <row r="135" spans="1:51" ht="15" customHeight="1" x14ac:dyDescent="0.25">
      <c r="A135" s="301">
        <v>15386</v>
      </c>
      <c r="B135" s="28">
        <v>45986</v>
      </c>
      <c r="C135" s="15">
        <v>45986</v>
      </c>
      <c r="D135" s="33">
        <v>1</v>
      </c>
      <c r="E135" s="45" t="s">
        <v>54</v>
      </c>
      <c r="F135" s="21" t="s">
        <v>55</v>
      </c>
      <c r="G135" s="33">
        <v>17</v>
      </c>
      <c r="H135" s="33" t="s">
        <v>56</v>
      </c>
      <c r="I135" s="28">
        <v>45994</v>
      </c>
      <c r="J135" s="28">
        <v>46041</v>
      </c>
      <c r="K135" s="33">
        <v>15</v>
      </c>
      <c r="L135" s="36" t="s">
        <v>55</v>
      </c>
      <c r="M135" s="36" t="s">
        <v>55</v>
      </c>
      <c r="N135" s="36" t="s">
        <v>55</v>
      </c>
      <c r="O135" s="36" t="s">
        <v>55</v>
      </c>
      <c r="P135" s="36" t="s">
        <v>55</v>
      </c>
      <c r="Q135" s="36" t="s">
        <v>55</v>
      </c>
      <c r="R135" s="3" t="s">
        <v>55</v>
      </c>
      <c r="S135" s="33">
        <v>3</v>
      </c>
      <c r="T135" s="33">
        <v>3</v>
      </c>
      <c r="U135" s="33">
        <v>0</v>
      </c>
      <c r="V135" s="28">
        <v>46037</v>
      </c>
      <c r="W135" s="28">
        <v>46041</v>
      </c>
      <c r="X135" s="28">
        <v>46041</v>
      </c>
      <c r="Y135" s="16">
        <v>46050</v>
      </c>
      <c r="Z135" s="16">
        <v>46055</v>
      </c>
      <c r="AA135" s="3">
        <f t="shared" si="11"/>
        <v>2</v>
      </c>
      <c r="AB135" s="85" t="s">
        <v>528</v>
      </c>
      <c r="AC135" s="35" t="s">
        <v>529</v>
      </c>
      <c r="AD135" s="19">
        <f t="shared" si="14"/>
        <v>0.88235294117647056</v>
      </c>
      <c r="AE135" s="67">
        <f>IFERROR(NETWORKDAYS(B135,I135,Hoja1!$A$1:$A$29),"N/A")</f>
        <v>7</v>
      </c>
      <c r="AF135" s="21">
        <f>IFERROR(NETWORKDAYS(B135,W135,Hoja1!$A$1:$A$29),"N/A")</f>
        <v>36</v>
      </c>
      <c r="AG135" s="78">
        <v>15</v>
      </c>
      <c r="AH135" s="21">
        <f t="shared" si="13"/>
        <v>21</v>
      </c>
      <c r="AI135" s="21">
        <f>IFERROR(NETWORKDAYS(X135,Y135,Hoja1!$A$1:$A$29),"N/A")</f>
        <v>8</v>
      </c>
      <c r="AJ135" s="74">
        <v>3</v>
      </c>
      <c r="AK135" s="75">
        <f t="shared" si="12"/>
        <v>5</v>
      </c>
      <c r="AL135" s="21">
        <f>IFERROR(NETWORKDAYS(B135,Y135,Hoja1!$A$1:$A$29),"N/A")</f>
        <v>43</v>
      </c>
      <c r="AM135" s="21">
        <f t="shared" si="15"/>
        <v>25</v>
      </c>
      <c r="AN135" s="46" t="s">
        <v>464</v>
      </c>
      <c r="AO135" s="46"/>
      <c r="AP135" s="46"/>
      <c r="AQ135" s="33"/>
      <c r="AR135" s="33"/>
      <c r="AS135" s="33" t="s">
        <v>1889</v>
      </c>
      <c r="AT135" s="33" t="s">
        <v>1994</v>
      </c>
      <c r="AU135" s="33" t="s">
        <v>2212</v>
      </c>
      <c r="AV135" s="318" t="s">
        <v>2313</v>
      </c>
      <c r="AW135" s="403" t="s">
        <v>2722</v>
      </c>
      <c r="AY135" s="414"/>
    </row>
    <row r="136" spans="1:51" ht="15" customHeight="1" x14ac:dyDescent="0.25">
      <c r="A136" s="301">
        <v>15388</v>
      </c>
      <c r="B136" s="28">
        <v>45986</v>
      </c>
      <c r="C136" s="15">
        <v>45986</v>
      </c>
      <c r="D136" s="33">
        <v>1</v>
      </c>
      <c r="E136" s="45" t="s">
        <v>54</v>
      </c>
      <c r="F136" s="21" t="s">
        <v>55</v>
      </c>
      <c r="G136" s="33">
        <v>2</v>
      </c>
      <c r="H136" s="33" t="s">
        <v>112</v>
      </c>
      <c r="I136" s="28">
        <v>45990</v>
      </c>
      <c r="J136" s="28">
        <v>46006</v>
      </c>
      <c r="K136" s="33">
        <v>2</v>
      </c>
      <c r="L136" s="36" t="s">
        <v>55</v>
      </c>
      <c r="M136" s="36" t="s">
        <v>55</v>
      </c>
      <c r="N136" s="36" t="s">
        <v>55</v>
      </c>
      <c r="O136" s="36" t="s">
        <v>55</v>
      </c>
      <c r="P136" s="36" t="s">
        <v>55</v>
      </c>
      <c r="Q136" s="36" t="s">
        <v>55</v>
      </c>
      <c r="R136" s="3" t="s">
        <v>55</v>
      </c>
      <c r="S136" s="33">
        <v>1</v>
      </c>
      <c r="T136" s="33">
        <v>1</v>
      </c>
      <c r="U136" s="33">
        <v>0</v>
      </c>
      <c r="V136" s="28">
        <v>46010</v>
      </c>
      <c r="W136" s="28">
        <v>46036</v>
      </c>
      <c r="X136" s="28">
        <v>46037</v>
      </c>
      <c r="Y136" s="16">
        <v>46050</v>
      </c>
      <c r="Z136" s="16">
        <v>46055</v>
      </c>
      <c r="AA136" s="3">
        <f t="shared" si="11"/>
        <v>2</v>
      </c>
      <c r="AB136" s="85" t="s">
        <v>531</v>
      </c>
      <c r="AC136" s="35" t="s">
        <v>532</v>
      </c>
      <c r="AD136" s="19">
        <f t="shared" si="14"/>
        <v>1</v>
      </c>
      <c r="AE136" s="67">
        <f>IFERROR(NETWORKDAYS(B136,I136,Hoja1!$A$1:$A$29),"N/A")</f>
        <v>4</v>
      </c>
      <c r="AF136" s="21">
        <f>IFERROR(NETWORKDAYS(B136,W136,Hoja1!$A$1:$A$29),"N/A")</f>
        <v>33</v>
      </c>
      <c r="AG136" s="78">
        <v>16</v>
      </c>
      <c r="AH136" s="21">
        <f t="shared" si="13"/>
        <v>17</v>
      </c>
      <c r="AI136" s="21">
        <f>IFERROR(NETWORKDAYS(X136,Y136,Hoja1!$A$1:$A$29),"N/A")</f>
        <v>10</v>
      </c>
      <c r="AJ136" s="74">
        <v>5</v>
      </c>
      <c r="AK136" s="75">
        <f t="shared" si="12"/>
        <v>5</v>
      </c>
      <c r="AL136" s="21">
        <f>IFERROR(NETWORKDAYS(B136,Y136,Hoja1!$A$1:$A$29),"N/A")</f>
        <v>43</v>
      </c>
      <c r="AM136" s="21">
        <f t="shared" si="15"/>
        <v>22</v>
      </c>
      <c r="AN136" s="46"/>
      <c r="AO136" s="46"/>
      <c r="AP136" s="46"/>
      <c r="AQ136" s="33"/>
      <c r="AR136" s="33"/>
      <c r="AS136" s="33" t="s">
        <v>1889</v>
      </c>
      <c r="AT136" s="33" t="s">
        <v>1994</v>
      </c>
      <c r="AU136" s="33" t="s">
        <v>2212</v>
      </c>
      <c r="AV136" s="318" t="s">
        <v>2307</v>
      </c>
      <c r="AW136" s="403" t="s">
        <v>2723</v>
      </c>
      <c r="AY136" s="415"/>
    </row>
    <row r="137" spans="1:51" ht="15" customHeight="1" x14ac:dyDescent="0.25">
      <c r="A137" s="294">
        <v>15398</v>
      </c>
      <c r="B137" s="44">
        <v>46010</v>
      </c>
      <c r="C137" s="44">
        <v>45992</v>
      </c>
      <c r="D137" s="2">
        <v>1</v>
      </c>
      <c r="E137" s="45" t="s">
        <v>54</v>
      </c>
      <c r="F137" s="2" t="s">
        <v>55</v>
      </c>
      <c r="G137" s="2">
        <v>8</v>
      </c>
      <c r="H137" s="2" t="s">
        <v>56</v>
      </c>
      <c r="I137" s="44">
        <v>46041</v>
      </c>
      <c r="J137" s="44">
        <v>46041</v>
      </c>
      <c r="K137" s="2">
        <v>8</v>
      </c>
      <c r="L137" s="2" t="s">
        <v>55</v>
      </c>
      <c r="M137" s="2" t="s">
        <v>55</v>
      </c>
      <c r="N137" s="2" t="s">
        <v>55</v>
      </c>
      <c r="O137" s="2" t="s">
        <v>55</v>
      </c>
      <c r="P137" s="2" t="s">
        <v>55</v>
      </c>
      <c r="Q137" s="2" t="s">
        <v>55</v>
      </c>
      <c r="R137" s="3" t="s">
        <v>55</v>
      </c>
      <c r="S137" s="2">
        <v>1</v>
      </c>
      <c r="T137" s="2">
        <v>1</v>
      </c>
      <c r="U137" s="2">
        <v>0</v>
      </c>
      <c r="V137" s="44">
        <v>46058</v>
      </c>
      <c r="W137" s="44">
        <v>46058</v>
      </c>
      <c r="X137" s="44">
        <v>46058</v>
      </c>
      <c r="Y137" s="44">
        <v>46066</v>
      </c>
      <c r="Z137" s="140">
        <v>46076</v>
      </c>
      <c r="AA137" s="3">
        <f t="shared" si="11"/>
        <v>2</v>
      </c>
      <c r="AB137" s="109" t="s">
        <v>533</v>
      </c>
      <c r="AC137" s="46" t="s">
        <v>534</v>
      </c>
      <c r="AD137" s="19">
        <f t="shared" si="14"/>
        <v>1</v>
      </c>
      <c r="AE137" s="67">
        <f>IFERROR(NETWORKDAYS(B137,I137,Hoja1!$A$1:$A$29),"N/A")</f>
        <v>19</v>
      </c>
      <c r="AF137" s="21">
        <f>IFERROR(NETWORKDAYS(B137,W137,Hoja1!$A$1:$A$29),"N/A")</f>
        <v>32</v>
      </c>
      <c r="AG137" s="78">
        <v>7</v>
      </c>
      <c r="AH137" s="21">
        <f t="shared" si="13"/>
        <v>25</v>
      </c>
      <c r="AI137" s="21">
        <f>IFERROR(NETWORKDAYS(X137,Y137,Hoja1!$A$1:$A$29),"N/A")</f>
        <v>7</v>
      </c>
      <c r="AJ137" s="78">
        <v>2</v>
      </c>
      <c r="AK137" s="75">
        <f t="shared" si="12"/>
        <v>5</v>
      </c>
      <c r="AL137" s="21">
        <f>IFERROR(NETWORKDAYS(B137,Y137,Hoja1!$A$1:$A$29),"N/A")</f>
        <v>38</v>
      </c>
      <c r="AM137" s="21">
        <f t="shared" si="15"/>
        <v>29</v>
      </c>
      <c r="AN137" s="46" t="s">
        <v>453</v>
      </c>
      <c r="AO137" s="46"/>
      <c r="AP137" s="46"/>
      <c r="AQ137" s="43"/>
      <c r="AR137" s="43"/>
      <c r="AS137" s="43" t="s">
        <v>1901</v>
      </c>
      <c r="AT137" s="43" t="s">
        <v>1995</v>
      </c>
      <c r="AU137" s="43" t="s">
        <v>2217</v>
      </c>
      <c r="AV137" s="317" t="s">
        <v>2314</v>
      </c>
      <c r="AW137" s="403" t="s">
        <v>2724</v>
      </c>
      <c r="AY137" s="414"/>
    </row>
    <row r="138" spans="1:51" ht="15" customHeight="1" x14ac:dyDescent="0.25">
      <c r="A138" s="298">
        <v>15401</v>
      </c>
      <c r="B138" s="15">
        <v>45988</v>
      </c>
      <c r="C138" s="15">
        <v>45988</v>
      </c>
      <c r="D138" s="1">
        <v>1</v>
      </c>
      <c r="E138" s="45" t="s">
        <v>54</v>
      </c>
      <c r="F138" s="2" t="s">
        <v>55</v>
      </c>
      <c r="G138" s="1">
        <v>4</v>
      </c>
      <c r="H138" s="1" t="s">
        <v>56</v>
      </c>
      <c r="I138" s="16">
        <v>45992</v>
      </c>
      <c r="J138" s="16">
        <v>46014</v>
      </c>
      <c r="K138" s="1">
        <v>4</v>
      </c>
      <c r="L138" s="2" t="s">
        <v>55</v>
      </c>
      <c r="M138" s="2" t="s">
        <v>55</v>
      </c>
      <c r="N138" s="2" t="s">
        <v>55</v>
      </c>
      <c r="O138" s="2" t="s">
        <v>55</v>
      </c>
      <c r="P138" s="2" t="s">
        <v>55</v>
      </c>
      <c r="Q138" s="2" t="s">
        <v>55</v>
      </c>
      <c r="R138" s="3" t="s">
        <v>55</v>
      </c>
      <c r="S138" s="1">
        <v>2</v>
      </c>
      <c r="T138" s="1">
        <v>2</v>
      </c>
      <c r="U138" s="1">
        <v>0</v>
      </c>
      <c r="V138" s="16">
        <v>46027</v>
      </c>
      <c r="W138" s="16">
        <v>46027</v>
      </c>
      <c r="X138" s="16">
        <v>46029</v>
      </c>
      <c r="Y138" s="16">
        <v>46045</v>
      </c>
      <c r="Z138" s="16">
        <v>46055</v>
      </c>
      <c r="AA138" s="3">
        <f t="shared" si="11"/>
        <v>2</v>
      </c>
      <c r="AB138" s="108" t="s">
        <v>536</v>
      </c>
      <c r="AC138" s="49" t="s">
        <v>537</v>
      </c>
      <c r="AD138" s="19">
        <f t="shared" si="14"/>
        <v>1</v>
      </c>
      <c r="AE138" s="67">
        <f>IFERROR(NETWORKDAYS(B138,I138,Hoja1!$A$1:$A$29),"N/A")</f>
        <v>3</v>
      </c>
      <c r="AF138" s="21">
        <f>IFERROR(NETWORKDAYS(B138,W138,Hoja1!$A$1:$A$29),"N/A")</f>
        <v>25</v>
      </c>
      <c r="AG138" s="78">
        <v>10</v>
      </c>
      <c r="AH138" s="21">
        <f t="shared" si="13"/>
        <v>15</v>
      </c>
      <c r="AI138" s="21">
        <f>IFERROR(NETWORKDAYS(X138,Y138,Hoja1!$A$1:$A$29),"N/A")</f>
        <v>12</v>
      </c>
      <c r="AJ138" s="74">
        <v>6</v>
      </c>
      <c r="AK138" s="75">
        <f t="shared" si="12"/>
        <v>6</v>
      </c>
      <c r="AL138" s="21">
        <f>IFERROR(NETWORKDAYS(B138,Y138,Hoja1!$A$1:$A$29),"N/A")</f>
        <v>38</v>
      </c>
      <c r="AM138" s="21">
        <f t="shared" si="15"/>
        <v>22</v>
      </c>
      <c r="AN138" s="46" t="s">
        <v>453</v>
      </c>
      <c r="AO138" s="46"/>
      <c r="AP138" s="46"/>
      <c r="AQ138" s="1"/>
      <c r="AR138" s="1"/>
      <c r="AS138" s="1" t="s">
        <v>1911</v>
      </c>
      <c r="AT138" s="1" t="s">
        <v>1994</v>
      </c>
      <c r="AU138" s="1" t="s">
        <v>2210</v>
      </c>
      <c r="AV138" s="315" t="s">
        <v>2232</v>
      </c>
      <c r="AW138" s="403" t="s">
        <v>2725</v>
      </c>
      <c r="AY138" s="415"/>
    </row>
    <row r="139" spans="1:51" ht="15" customHeight="1" x14ac:dyDescent="0.25">
      <c r="A139" s="294">
        <v>15432</v>
      </c>
      <c r="B139" s="44">
        <v>45993</v>
      </c>
      <c r="C139" s="44">
        <v>45993</v>
      </c>
      <c r="D139" s="2">
        <v>1</v>
      </c>
      <c r="E139" s="45" t="s">
        <v>54</v>
      </c>
      <c r="F139" s="2" t="s">
        <v>55</v>
      </c>
      <c r="G139" s="2">
        <v>10</v>
      </c>
      <c r="H139" s="2" t="s">
        <v>56</v>
      </c>
      <c r="I139" s="44">
        <v>46041</v>
      </c>
      <c r="J139" s="44">
        <v>46041</v>
      </c>
      <c r="K139" s="2">
        <v>10</v>
      </c>
      <c r="L139" s="2" t="s">
        <v>55</v>
      </c>
      <c r="M139" s="2" t="s">
        <v>55</v>
      </c>
      <c r="N139" s="2" t="s">
        <v>55</v>
      </c>
      <c r="O139" s="2" t="s">
        <v>55</v>
      </c>
      <c r="P139" s="2" t="s">
        <v>55</v>
      </c>
      <c r="Q139" s="2" t="s">
        <v>55</v>
      </c>
      <c r="R139" s="3" t="s">
        <v>55</v>
      </c>
      <c r="S139" s="2">
        <v>1</v>
      </c>
      <c r="T139" s="2">
        <v>1</v>
      </c>
      <c r="U139" s="2">
        <v>0</v>
      </c>
      <c r="V139" s="44">
        <v>46058</v>
      </c>
      <c r="W139" s="44">
        <v>46058</v>
      </c>
      <c r="X139" s="44">
        <v>46063</v>
      </c>
      <c r="Y139" s="30">
        <v>46072</v>
      </c>
      <c r="Z139" s="140">
        <v>46076</v>
      </c>
      <c r="AA139" s="3">
        <f t="shared" si="11"/>
        <v>2</v>
      </c>
      <c r="AB139" s="85" t="s">
        <v>538</v>
      </c>
      <c r="AC139" s="46" t="s">
        <v>539</v>
      </c>
      <c r="AD139" s="19">
        <f t="shared" si="14"/>
        <v>1</v>
      </c>
      <c r="AE139" s="67">
        <f>IFERROR(NETWORKDAYS(B139,I139,Hoja1!$A$1:$A$29),"N/A")</f>
        <v>31</v>
      </c>
      <c r="AF139" s="21">
        <f>IFERROR(NETWORKDAYS(B139,W139,Hoja1!$A$1:$A$29),"N/A")</f>
        <v>44</v>
      </c>
      <c r="AG139" s="78">
        <v>9</v>
      </c>
      <c r="AH139" s="21">
        <f t="shared" si="13"/>
        <v>35</v>
      </c>
      <c r="AI139" s="21">
        <f>IFERROR(NETWORKDAYS(X139,Y139,Hoja1!$A$1:$A$29),"N/A")</f>
        <v>8</v>
      </c>
      <c r="AJ139" s="78">
        <v>3</v>
      </c>
      <c r="AK139" s="75">
        <f t="shared" si="12"/>
        <v>5</v>
      </c>
      <c r="AL139" s="21">
        <f>IFERROR(NETWORKDAYS(B139,Y139,Hoja1!$A$1:$A$29),"N/A")</f>
        <v>54</v>
      </c>
      <c r="AM139" s="21">
        <f t="shared" si="15"/>
        <v>42</v>
      </c>
      <c r="AN139" s="46"/>
      <c r="AO139" s="46"/>
      <c r="AP139" s="46"/>
      <c r="AQ139" s="43"/>
      <c r="AR139" s="43"/>
      <c r="AS139" s="43" t="s">
        <v>1901</v>
      </c>
      <c r="AT139" s="43" t="s">
        <v>1995</v>
      </c>
      <c r="AU139" s="43" t="s">
        <v>2217</v>
      </c>
      <c r="AV139" s="317" t="s">
        <v>2234</v>
      </c>
      <c r="AW139" s="403" t="s">
        <v>2726</v>
      </c>
      <c r="AY139" s="414"/>
    </row>
    <row r="140" spans="1:51" ht="15" customHeight="1" x14ac:dyDescent="0.25">
      <c r="A140" s="301">
        <v>15449</v>
      </c>
      <c r="B140" s="28">
        <v>46000</v>
      </c>
      <c r="C140" s="28">
        <v>46000</v>
      </c>
      <c r="D140" s="33">
        <v>1</v>
      </c>
      <c r="E140" s="45" t="s">
        <v>54</v>
      </c>
      <c r="F140" s="21" t="s">
        <v>55</v>
      </c>
      <c r="G140" s="33">
        <v>5</v>
      </c>
      <c r="H140" s="33" t="s">
        <v>112</v>
      </c>
      <c r="I140" s="53">
        <v>46007</v>
      </c>
      <c r="J140" s="53">
        <v>46028</v>
      </c>
      <c r="K140" s="33">
        <v>5</v>
      </c>
      <c r="L140" s="21" t="s">
        <v>55</v>
      </c>
      <c r="M140" s="21" t="s">
        <v>55</v>
      </c>
      <c r="N140" s="21" t="s">
        <v>55</v>
      </c>
      <c r="O140" s="21" t="s">
        <v>55</v>
      </c>
      <c r="P140" s="21" t="s">
        <v>55</v>
      </c>
      <c r="Q140" s="21" t="s">
        <v>55</v>
      </c>
      <c r="R140" s="3" t="s">
        <v>55</v>
      </c>
      <c r="S140" s="33">
        <v>3</v>
      </c>
      <c r="T140" s="33">
        <v>3</v>
      </c>
      <c r="U140" s="33">
        <v>0</v>
      </c>
      <c r="V140" s="28">
        <v>46041</v>
      </c>
      <c r="W140" s="28">
        <v>46057</v>
      </c>
      <c r="X140" s="28">
        <v>46058</v>
      </c>
      <c r="Y140" s="28">
        <v>46063</v>
      </c>
      <c r="Z140" s="28">
        <v>46065</v>
      </c>
      <c r="AA140" s="3">
        <f t="shared" si="11"/>
        <v>2</v>
      </c>
      <c r="AB140" s="85" t="s">
        <v>540</v>
      </c>
      <c r="AC140" s="35" t="s">
        <v>541</v>
      </c>
      <c r="AD140" s="19">
        <f t="shared" si="14"/>
        <v>1</v>
      </c>
      <c r="AE140" s="67">
        <f>IFERROR(NETWORKDAYS(B140,I140,Hoja1!$A$1:$A$29),"N/A")</f>
        <v>6</v>
      </c>
      <c r="AF140" s="21">
        <f>IFERROR(NETWORKDAYS(B140,W140,Hoja1!$A$1:$A$29),"N/A")</f>
        <v>39</v>
      </c>
      <c r="AG140" s="78">
        <v>20</v>
      </c>
      <c r="AH140" s="21">
        <f t="shared" si="13"/>
        <v>19</v>
      </c>
      <c r="AI140" s="21">
        <f>IFERROR(NETWORKDAYS(X140,Y140,Hoja1!$A$1:$A$29),"N/A")</f>
        <v>4</v>
      </c>
      <c r="AJ140" s="74">
        <v>0</v>
      </c>
      <c r="AK140" s="75">
        <f t="shared" si="12"/>
        <v>4</v>
      </c>
      <c r="AL140" s="21">
        <f>IFERROR(NETWORKDAYS(B140,Y140,Hoja1!$A$1:$A$29),"N/A")</f>
        <v>43</v>
      </c>
      <c r="AM140" s="21">
        <f t="shared" si="15"/>
        <v>23</v>
      </c>
      <c r="AN140" s="46" t="s">
        <v>453</v>
      </c>
      <c r="AO140" s="46"/>
      <c r="AP140" s="46"/>
      <c r="AQ140" s="33"/>
      <c r="AR140" s="33"/>
      <c r="AS140" s="33" t="s">
        <v>1908</v>
      </c>
      <c r="AT140" s="33" t="s">
        <v>1996</v>
      </c>
      <c r="AU140" s="33" t="s">
        <v>2220</v>
      </c>
      <c r="AV140" s="318" t="s">
        <v>2232</v>
      </c>
      <c r="AW140" s="403" t="s">
        <v>2727</v>
      </c>
      <c r="AY140" s="415"/>
    </row>
    <row r="141" spans="1:51" ht="15" customHeight="1" x14ac:dyDescent="0.25">
      <c r="A141" s="301">
        <v>15450</v>
      </c>
      <c r="B141" s="16">
        <v>46000</v>
      </c>
      <c r="C141" s="16">
        <v>46000</v>
      </c>
      <c r="D141" s="1">
        <v>1</v>
      </c>
      <c r="E141" s="45" t="s">
        <v>54</v>
      </c>
      <c r="F141" s="2" t="s">
        <v>55</v>
      </c>
      <c r="G141" s="1">
        <v>7</v>
      </c>
      <c r="H141" s="1" t="s">
        <v>56</v>
      </c>
      <c r="I141" s="16">
        <v>46037</v>
      </c>
      <c r="J141" s="16">
        <v>46045</v>
      </c>
      <c r="K141" s="1">
        <v>7</v>
      </c>
      <c r="L141" s="18" t="s">
        <v>55</v>
      </c>
      <c r="M141" s="18" t="s">
        <v>55</v>
      </c>
      <c r="N141" s="18" t="s">
        <v>55</v>
      </c>
      <c r="O141" s="18" t="s">
        <v>55</v>
      </c>
      <c r="P141" s="18" t="s">
        <v>55</v>
      </c>
      <c r="Q141" s="18" t="s">
        <v>55</v>
      </c>
      <c r="R141" s="3" t="s">
        <v>55</v>
      </c>
      <c r="S141" s="1">
        <v>2</v>
      </c>
      <c r="T141" s="1">
        <v>1</v>
      </c>
      <c r="U141" s="1">
        <v>0</v>
      </c>
      <c r="V141" s="16">
        <v>46051</v>
      </c>
      <c r="W141" s="16">
        <v>46051</v>
      </c>
      <c r="X141" s="16">
        <v>46055</v>
      </c>
      <c r="Y141" s="16">
        <v>46064</v>
      </c>
      <c r="Z141" s="140">
        <v>46065</v>
      </c>
      <c r="AA141" s="3">
        <f t="shared" si="11"/>
        <v>2</v>
      </c>
      <c r="AB141" s="249" t="s">
        <v>542</v>
      </c>
      <c r="AC141" s="49" t="s">
        <v>543</v>
      </c>
      <c r="AD141" s="19">
        <f t="shared" si="14"/>
        <v>1</v>
      </c>
      <c r="AE141" s="67">
        <f>IFERROR(NETWORKDAYS(B141,I141,Hoja1!$A$1:$A$29),"N/A")</f>
        <v>25</v>
      </c>
      <c r="AF141" s="21">
        <f>IFERROR(NETWORKDAYS(B141,W141,Hoja1!$A$1:$A$29),"N/A")</f>
        <v>35</v>
      </c>
      <c r="AG141" s="78">
        <v>13</v>
      </c>
      <c r="AH141" s="21">
        <f t="shared" si="13"/>
        <v>22</v>
      </c>
      <c r="AI141" s="21">
        <f>IFERROR(NETWORKDAYS(X141,Y141,Hoja1!$A$1:$A$29),"N/A")</f>
        <v>8</v>
      </c>
      <c r="AJ141" s="67">
        <v>3</v>
      </c>
      <c r="AK141" s="75">
        <f t="shared" si="12"/>
        <v>5</v>
      </c>
      <c r="AL141" s="21">
        <f>IFERROR(NETWORKDAYS(B141,Y141,Hoja1!$A$1:$A$29),"N/A")</f>
        <v>44</v>
      </c>
      <c r="AM141" s="21">
        <f t="shared" si="15"/>
        <v>28</v>
      </c>
      <c r="AN141" s="46" t="s">
        <v>464</v>
      </c>
      <c r="AO141" s="46"/>
      <c r="AP141" s="46"/>
      <c r="AQ141" s="1"/>
      <c r="AR141" s="1"/>
      <c r="AS141" s="1" t="s">
        <v>1891</v>
      </c>
      <c r="AT141" s="1" t="s">
        <v>1996</v>
      </c>
      <c r="AU141" s="1" t="s">
        <v>2211</v>
      </c>
      <c r="AV141" s="315" t="s">
        <v>2231</v>
      </c>
      <c r="AW141" s="403" t="s">
        <v>2728</v>
      </c>
      <c r="AY141" s="414"/>
    </row>
    <row r="142" spans="1:51" ht="15" customHeight="1" x14ac:dyDescent="0.25">
      <c r="A142" s="296">
        <v>15456</v>
      </c>
      <c r="B142" s="37">
        <v>46024</v>
      </c>
      <c r="C142" s="37">
        <v>46000</v>
      </c>
      <c r="D142" s="3">
        <v>1</v>
      </c>
      <c r="E142" s="45" t="s">
        <v>54</v>
      </c>
      <c r="F142" s="18" t="s">
        <v>55</v>
      </c>
      <c r="G142" s="3">
        <v>10</v>
      </c>
      <c r="H142" s="3" t="s">
        <v>56</v>
      </c>
      <c r="I142" s="30">
        <v>46030</v>
      </c>
      <c r="J142" s="30">
        <v>46030</v>
      </c>
      <c r="K142" s="3">
        <v>10</v>
      </c>
      <c r="L142" s="18" t="s">
        <v>55</v>
      </c>
      <c r="M142" s="18" t="s">
        <v>55</v>
      </c>
      <c r="N142" s="18" t="s">
        <v>55</v>
      </c>
      <c r="O142" s="18" t="s">
        <v>55</v>
      </c>
      <c r="P142" s="18" t="s">
        <v>55</v>
      </c>
      <c r="Q142" s="18" t="s">
        <v>55</v>
      </c>
      <c r="R142" s="3" t="s">
        <v>55</v>
      </c>
      <c r="S142" s="3">
        <v>7</v>
      </c>
      <c r="T142" s="3">
        <v>2</v>
      </c>
      <c r="U142" s="3">
        <v>0</v>
      </c>
      <c r="V142" s="16">
        <v>46044</v>
      </c>
      <c r="W142" s="16">
        <v>46044</v>
      </c>
      <c r="X142" s="16">
        <v>46044</v>
      </c>
      <c r="Y142" s="37">
        <v>46062</v>
      </c>
      <c r="Z142" s="37">
        <v>46062</v>
      </c>
      <c r="AA142" s="3">
        <f t="shared" si="11"/>
        <v>2</v>
      </c>
      <c r="AB142" s="85" t="s">
        <v>544</v>
      </c>
      <c r="AC142" s="35" t="s">
        <v>545</v>
      </c>
      <c r="AD142" s="19">
        <f t="shared" si="14"/>
        <v>1</v>
      </c>
      <c r="AE142" s="67">
        <f>IFERROR(NETWORKDAYS(B142,I142,Hoja1!$A$1:$A$29),"N/A")</f>
        <v>5</v>
      </c>
      <c r="AF142" s="21">
        <f>IFERROR(NETWORKDAYS(B142,W142,Hoja1!$A$1:$A$29),"N/A")</f>
        <v>14</v>
      </c>
      <c r="AG142" s="78">
        <v>0</v>
      </c>
      <c r="AH142" s="21">
        <f t="shared" si="13"/>
        <v>14</v>
      </c>
      <c r="AI142" s="21">
        <f>IFERROR(NETWORKDAYS(X142,Y142,Hoja1!$A$1:$A$29),"N/A")</f>
        <v>13</v>
      </c>
      <c r="AJ142" s="74">
        <v>8</v>
      </c>
      <c r="AK142" s="75">
        <f t="shared" si="12"/>
        <v>5</v>
      </c>
      <c r="AL142" s="21">
        <f>IFERROR(NETWORKDAYS(B142,Y142,Hoja1!$A$1:$A$29),"N/A")</f>
        <v>26</v>
      </c>
      <c r="AM142" s="21">
        <f t="shared" si="15"/>
        <v>18</v>
      </c>
      <c r="AN142" s="46" t="s">
        <v>453</v>
      </c>
      <c r="AO142" s="46"/>
      <c r="AP142" s="46"/>
      <c r="AQ142" s="3"/>
      <c r="AR142" s="3"/>
      <c r="AS142" s="3" t="s">
        <v>1893</v>
      </c>
      <c r="AT142" s="3" t="s">
        <v>2020</v>
      </c>
      <c r="AU142" s="3" t="s">
        <v>2215</v>
      </c>
      <c r="AV142" s="316" t="s">
        <v>2315</v>
      </c>
      <c r="AW142" s="403" t="s">
        <v>2729</v>
      </c>
      <c r="AY142" s="415"/>
    </row>
    <row r="143" spans="1:51" ht="15" customHeight="1" x14ac:dyDescent="0.25">
      <c r="A143" s="296">
        <v>15457</v>
      </c>
      <c r="B143" s="37">
        <v>46058</v>
      </c>
      <c r="C143" s="37">
        <v>46000</v>
      </c>
      <c r="D143" s="3">
        <v>1</v>
      </c>
      <c r="E143" s="45" t="s">
        <v>54</v>
      </c>
      <c r="F143" s="18" t="s">
        <v>55</v>
      </c>
      <c r="G143" s="3">
        <v>7</v>
      </c>
      <c r="H143" s="3" t="s">
        <v>56</v>
      </c>
      <c r="I143" s="30">
        <v>46063</v>
      </c>
      <c r="J143" s="30">
        <v>46063</v>
      </c>
      <c r="K143" s="3">
        <v>7</v>
      </c>
      <c r="L143" s="18" t="s">
        <v>55</v>
      </c>
      <c r="M143" s="18" t="s">
        <v>55</v>
      </c>
      <c r="N143" s="18" t="s">
        <v>55</v>
      </c>
      <c r="O143" s="18" t="s">
        <v>55</v>
      </c>
      <c r="P143" s="18" t="s">
        <v>55</v>
      </c>
      <c r="Q143" s="18" t="s">
        <v>55</v>
      </c>
      <c r="R143" s="3" t="s">
        <v>55</v>
      </c>
      <c r="S143" s="3">
        <v>3</v>
      </c>
      <c r="T143" s="3">
        <v>3</v>
      </c>
      <c r="U143" s="3">
        <v>0</v>
      </c>
      <c r="V143" s="30">
        <v>46070</v>
      </c>
      <c r="W143" s="30">
        <v>46070</v>
      </c>
      <c r="X143" s="30">
        <v>46070</v>
      </c>
      <c r="Y143" s="16">
        <v>46073</v>
      </c>
      <c r="Z143" s="140">
        <v>46076</v>
      </c>
      <c r="AA143" s="3">
        <f t="shared" si="11"/>
        <v>2</v>
      </c>
      <c r="AB143" s="85" t="s">
        <v>548</v>
      </c>
      <c r="AC143" s="35" t="s">
        <v>549</v>
      </c>
      <c r="AD143" s="19">
        <f t="shared" si="14"/>
        <v>1</v>
      </c>
      <c r="AE143" s="67">
        <f>IFERROR(NETWORKDAYS(B143,I143,Hoja1!$A$1:$A$29),"N/A")</f>
        <v>4</v>
      </c>
      <c r="AF143" s="21">
        <f>IFERROR(NETWORKDAYS(B143,W143,Hoja1!$A$1:$A$29),"N/A")</f>
        <v>9</v>
      </c>
      <c r="AG143" s="78">
        <v>0</v>
      </c>
      <c r="AH143" s="21">
        <f t="shared" si="13"/>
        <v>9</v>
      </c>
      <c r="AI143" s="21">
        <f>IFERROR(NETWORKDAYS(X143,Y143,Hoja1!$A$1:$A$29),"N/A")</f>
        <v>4</v>
      </c>
      <c r="AJ143" s="74">
        <v>0</v>
      </c>
      <c r="AK143" s="75">
        <f t="shared" si="12"/>
        <v>4</v>
      </c>
      <c r="AL143" s="21">
        <f>IFERROR(NETWORKDAYS(B143,Y143,Hoja1!$A$1:$A$29),"N/A")</f>
        <v>12</v>
      </c>
      <c r="AM143" s="21">
        <f t="shared" si="15"/>
        <v>12</v>
      </c>
      <c r="AN143" s="46" t="s">
        <v>881</v>
      </c>
      <c r="AO143" s="46"/>
      <c r="AP143" s="46"/>
      <c r="AQ143" s="3"/>
      <c r="AR143" s="3"/>
      <c r="AS143" s="3" t="s">
        <v>1893</v>
      </c>
      <c r="AT143" s="3" t="s">
        <v>2057</v>
      </c>
      <c r="AU143" s="3" t="s">
        <v>2215</v>
      </c>
      <c r="AV143" s="316" t="s">
        <v>2316</v>
      </c>
      <c r="AW143" s="403" t="s">
        <v>2730</v>
      </c>
      <c r="AY143" s="414"/>
    </row>
    <row r="144" spans="1:51" ht="15" customHeight="1" x14ac:dyDescent="0.25">
      <c r="A144" s="294">
        <v>15465</v>
      </c>
      <c r="B144" s="30">
        <v>46044</v>
      </c>
      <c r="C144" s="30">
        <v>46001</v>
      </c>
      <c r="D144" s="3">
        <v>1</v>
      </c>
      <c r="E144" s="45" t="s">
        <v>54</v>
      </c>
      <c r="F144" s="3" t="s">
        <v>55</v>
      </c>
      <c r="G144" s="3">
        <v>4</v>
      </c>
      <c r="H144" s="3" t="s">
        <v>112</v>
      </c>
      <c r="I144" s="30">
        <v>46068</v>
      </c>
      <c r="J144" s="30">
        <v>46068</v>
      </c>
      <c r="K144" s="3">
        <v>4</v>
      </c>
      <c r="L144" s="3" t="s">
        <v>55</v>
      </c>
      <c r="M144" s="3" t="s">
        <v>55</v>
      </c>
      <c r="N144" s="3" t="s">
        <v>55</v>
      </c>
      <c r="O144" s="3" t="s">
        <v>55</v>
      </c>
      <c r="P144" s="3" t="s">
        <v>55</v>
      </c>
      <c r="Q144" s="3" t="s">
        <v>55</v>
      </c>
      <c r="R144" s="3" t="s">
        <v>55</v>
      </c>
      <c r="S144" s="3">
        <v>4</v>
      </c>
      <c r="T144" s="3">
        <v>1</v>
      </c>
      <c r="U144" s="3">
        <v>0</v>
      </c>
      <c r="V144" s="70">
        <v>46069</v>
      </c>
      <c r="W144" s="16">
        <v>46069</v>
      </c>
      <c r="X144" s="16">
        <v>46069</v>
      </c>
      <c r="Y144" s="16">
        <v>46073</v>
      </c>
      <c r="Z144" s="140">
        <v>46076</v>
      </c>
      <c r="AA144" s="3">
        <f t="shared" si="11"/>
        <v>2</v>
      </c>
      <c r="AB144" s="85" t="s">
        <v>552</v>
      </c>
      <c r="AC144" s="45" t="s">
        <v>553</v>
      </c>
      <c r="AD144" s="19">
        <f t="shared" si="14"/>
        <v>1</v>
      </c>
      <c r="AE144" s="67">
        <f>IFERROR(NETWORKDAYS(B144,I144,Hoja1!$A$1:$A$29),"N/A")</f>
        <v>17</v>
      </c>
      <c r="AF144" s="21">
        <f>IFERROR(NETWORKDAYS(B144,W144,Hoja1!$A$1:$A$29),"N/A")</f>
        <v>18</v>
      </c>
      <c r="AG144" s="78">
        <v>0</v>
      </c>
      <c r="AH144" s="21">
        <f t="shared" si="13"/>
        <v>18</v>
      </c>
      <c r="AI144" s="21">
        <f>IFERROR(NETWORKDAYS(X144,Y144,Hoja1!$A$1:$A$29),"N/A")</f>
        <v>5</v>
      </c>
      <c r="AJ144" s="78">
        <v>0</v>
      </c>
      <c r="AK144" s="75">
        <f t="shared" si="12"/>
        <v>5</v>
      </c>
      <c r="AL144" s="21">
        <f>IFERROR(NETWORKDAYS(B144,Y144,Hoja1!$A$1:$A$29),"N/A")</f>
        <v>22</v>
      </c>
      <c r="AM144" s="21">
        <f t="shared" si="15"/>
        <v>22</v>
      </c>
      <c r="AN144" s="46" t="s">
        <v>453</v>
      </c>
      <c r="AO144" s="46" t="s">
        <v>551</v>
      </c>
      <c r="AP144" s="46"/>
      <c r="AQ144" s="107"/>
      <c r="AR144" s="1"/>
      <c r="AS144" s="1" t="s">
        <v>1890</v>
      </c>
      <c r="AT144" s="1" t="s">
        <v>2020</v>
      </c>
      <c r="AU144" s="1" t="s">
        <v>2216</v>
      </c>
      <c r="AV144" s="315" t="s">
        <v>2317</v>
      </c>
      <c r="AW144" s="403" t="s">
        <v>2731</v>
      </c>
      <c r="AY144" s="415"/>
    </row>
    <row r="145" spans="1:51" ht="15" customHeight="1" x14ac:dyDescent="0.25">
      <c r="A145" s="301">
        <v>15470</v>
      </c>
      <c r="B145" s="28">
        <v>46001</v>
      </c>
      <c r="C145" s="28">
        <v>46001</v>
      </c>
      <c r="D145" s="33">
        <v>1</v>
      </c>
      <c r="E145" s="45" t="s">
        <v>54</v>
      </c>
      <c r="F145" s="21" t="s">
        <v>55</v>
      </c>
      <c r="G145" s="33">
        <v>4</v>
      </c>
      <c r="H145" s="33" t="s">
        <v>112</v>
      </c>
      <c r="I145" s="28">
        <v>46010</v>
      </c>
      <c r="J145" s="28">
        <v>46037</v>
      </c>
      <c r="K145" s="33">
        <v>2</v>
      </c>
      <c r="L145" s="36" t="s">
        <v>55</v>
      </c>
      <c r="M145" s="36" t="s">
        <v>55</v>
      </c>
      <c r="N145" s="36" t="s">
        <v>55</v>
      </c>
      <c r="O145" s="36" t="s">
        <v>55</v>
      </c>
      <c r="P145" s="36" t="s">
        <v>55</v>
      </c>
      <c r="Q145" s="36" t="s">
        <v>55</v>
      </c>
      <c r="R145" s="3" t="s">
        <v>55</v>
      </c>
      <c r="S145" s="33">
        <v>1</v>
      </c>
      <c r="T145" s="33">
        <v>1</v>
      </c>
      <c r="U145" s="33">
        <v>0</v>
      </c>
      <c r="V145" s="28">
        <v>46041</v>
      </c>
      <c r="W145" s="28">
        <v>46041</v>
      </c>
      <c r="X145" s="28">
        <v>46041</v>
      </c>
      <c r="Y145" s="28">
        <v>46055</v>
      </c>
      <c r="Z145" s="16">
        <v>46055</v>
      </c>
      <c r="AA145" s="3">
        <f t="shared" si="11"/>
        <v>2</v>
      </c>
      <c r="AB145" s="85" t="s">
        <v>555</v>
      </c>
      <c r="AC145" s="35" t="s">
        <v>556</v>
      </c>
      <c r="AD145" s="19">
        <f t="shared" si="14"/>
        <v>0.5</v>
      </c>
      <c r="AE145" s="67">
        <f>IFERROR(NETWORKDAYS(B145,I145,Hoja1!$A$1:$A$29),"N/A")</f>
        <v>8</v>
      </c>
      <c r="AF145" s="21">
        <f>IFERROR(NETWORKDAYS(B145,W145,Hoja1!$A$1:$A$29),"N/A")</f>
        <v>26</v>
      </c>
      <c r="AG145" s="78">
        <v>10</v>
      </c>
      <c r="AH145" s="21">
        <f t="shared" si="13"/>
        <v>16</v>
      </c>
      <c r="AI145" s="21">
        <f>IFERROR(NETWORKDAYS(X145,Y145,Hoja1!$A$1:$A$29),"N/A")</f>
        <v>11</v>
      </c>
      <c r="AJ145" s="74">
        <v>6</v>
      </c>
      <c r="AK145" s="75">
        <f t="shared" si="12"/>
        <v>5</v>
      </c>
      <c r="AL145" s="21">
        <f>IFERROR(NETWORKDAYS(B145,Y145,Hoja1!$A$1:$A$29),"N/A")</f>
        <v>36</v>
      </c>
      <c r="AM145" s="21">
        <f t="shared" si="15"/>
        <v>20</v>
      </c>
      <c r="AN145" s="46" t="s">
        <v>453</v>
      </c>
      <c r="AO145" s="46"/>
      <c r="AP145" s="46"/>
      <c r="AQ145" s="33"/>
      <c r="AR145" s="33"/>
      <c r="AS145" s="33" t="s">
        <v>1889</v>
      </c>
      <c r="AT145" s="33" t="s">
        <v>1994</v>
      </c>
      <c r="AU145" s="33" t="s">
        <v>2212</v>
      </c>
      <c r="AV145" s="318" t="s">
        <v>2307</v>
      </c>
      <c r="AW145" s="403" t="s">
        <v>2732</v>
      </c>
      <c r="AY145" s="414"/>
    </row>
    <row r="146" spans="1:51" ht="15" customHeight="1" x14ac:dyDescent="0.25">
      <c r="A146" s="294">
        <v>15476</v>
      </c>
      <c r="B146" s="30">
        <v>46003</v>
      </c>
      <c r="C146" s="30">
        <v>46003</v>
      </c>
      <c r="D146" s="3">
        <v>1</v>
      </c>
      <c r="E146" s="45" t="s">
        <v>54</v>
      </c>
      <c r="F146" s="3" t="s">
        <v>55</v>
      </c>
      <c r="G146" s="3">
        <v>6</v>
      </c>
      <c r="H146" s="3" t="s">
        <v>112</v>
      </c>
      <c r="I146" s="16">
        <v>46042</v>
      </c>
      <c r="J146" s="16">
        <v>46042</v>
      </c>
      <c r="K146" s="3">
        <v>6</v>
      </c>
      <c r="L146" s="3" t="s">
        <v>55</v>
      </c>
      <c r="M146" s="3" t="s">
        <v>55</v>
      </c>
      <c r="N146" s="3" t="s">
        <v>55</v>
      </c>
      <c r="O146" s="3" t="s">
        <v>55</v>
      </c>
      <c r="P146" s="3" t="s">
        <v>55</v>
      </c>
      <c r="Q146" s="3" t="s">
        <v>55</v>
      </c>
      <c r="R146" s="3" t="s">
        <v>55</v>
      </c>
      <c r="S146" s="3">
        <v>6</v>
      </c>
      <c r="T146" s="3">
        <v>1</v>
      </c>
      <c r="U146" s="3">
        <v>0</v>
      </c>
      <c r="V146" s="30">
        <v>46066</v>
      </c>
      <c r="W146" s="30">
        <v>46066</v>
      </c>
      <c r="X146" s="30">
        <v>46066</v>
      </c>
      <c r="Y146" s="30">
        <v>46072</v>
      </c>
      <c r="Z146" s="140">
        <v>46076</v>
      </c>
      <c r="AA146" s="3">
        <f t="shared" si="11"/>
        <v>2</v>
      </c>
      <c r="AB146" s="85" t="s">
        <v>557</v>
      </c>
      <c r="AC146" s="45" t="s">
        <v>558</v>
      </c>
      <c r="AD146" s="19">
        <f t="shared" si="14"/>
        <v>1</v>
      </c>
      <c r="AE146" s="67">
        <f>IFERROR(NETWORKDAYS(B146,I146,Hoja1!$A$1:$A$29),"N/A")</f>
        <v>25</v>
      </c>
      <c r="AF146" s="21">
        <f>IFERROR(NETWORKDAYS(B146,W146,Hoja1!$A$1:$A$29),"N/A")</f>
        <v>43</v>
      </c>
      <c r="AG146" s="78">
        <v>28</v>
      </c>
      <c r="AH146" s="21">
        <f t="shared" si="13"/>
        <v>15</v>
      </c>
      <c r="AI146" s="21">
        <f>IFERROR(NETWORKDAYS(X146,Y146,Hoja1!$A$1:$A$29),"N/A")</f>
        <v>5</v>
      </c>
      <c r="AJ146" s="78">
        <v>0</v>
      </c>
      <c r="AK146" s="75">
        <f t="shared" si="12"/>
        <v>5</v>
      </c>
      <c r="AL146" s="21">
        <f>IFERROR(NETWORKDAYS(B146,Y146,Hoja1!$A$1:$A$29),"N/A")</f>
        <v>47</v>
      </c>
      <c r="AM146" s="21">
        <f t="shared" si="15"/>
        <v>19</v>
      </c>
      <c r="AN146" s="46"/>
      <c r="AO146" s="46"/>
      <c r="AP146" s="46"/>
      <c r="AQ146" s="107"/>
      <c r="AR146" s="1"/>
      <c r="AS146" s="1" t="s">
        <v>1894</v>
      </c>
      <c r="AT146" s="1" t="s">
        <v>1992</v>
      </c>
      <c r="AU146" s="1" t="s">
        <v>2219</v>
      </c>
      <c r="AV146" s="315" t="s">
        <v>2318</v>
      </c>
      <c r="AW146" s="403" t="s">
        <v>2733</v>
      </c>
      <c r="AY146" s="415"/>
    </row>
    <row r="147" spans="1:51" ht="15" customHeight="1" x14ac:dyDescent="0.25">
      <c r="A147" s="294">
        <v>15481</v>
      </c>
      <c r="B147" s="30">
        <v>46003</v>
      </c>
      <c r="C147" s="30">
        <v>46003</v>
      </c>
      <c r="D147" s="3">
        <v>1</v>
      </c>
      <c r="E147" s="45" t="s">
        <v>54</v>
      </c>
      <c r="F147" s="3" t="s">
        <v>55</v>
      </c>
      <c r="G147" s="3">
        <v>9</v>
      </c>
      <c r="H147" s="3" t="s">
        <v>56</v>
      </c>
      <c r="I147" s="30">
        <v>46035</v>
      </c>
      <c r="J147" s="30">
        <v>46035</v>
      </c>
      <c r="K147" s="3">
        <v>9</v>
      </c>
      <c r="L147" s="3" t="s">
        <v>55</v>
      </c>
      <c r="M147" s="3" t="s">
        <v>55</v>
      </c>
      <c r="N147" s="3" t="s">
        <v>55</v>
      </c>
      <c r="O147" s="3" t="s">
        <v>55</v>
      </c>
      <c r="P147" s="3" t="s">
        <v>55</v>
      </c>
      <c r="Q147" s="3" t="s">
        <v>55</v>
      </c>
      <c r="R147" s="3" t="s">
        <v>55</v>
      </c>
      <c r="S147" s="3">
        <v>2</v>
      </c>
      <c r="T147" s="3">
        <v>2</v>
      </c>
      <c r="U147" s="3">
        <v>0</v>
      </c>
      <c r="V147" s="30">
        <v>46051</v>
      </c>
      <c r="W147" s="30">
        <v>46052</v>
      </c>
      <c r="X147" s="30">
        <v>46052</v>
      </c>
      <c r="Y147" s="30">
        <v>46065</v>
      </c>
      <c r="Z147" s="30">
        <v>46065</v>
      </c>
      <c r="AA147" s="3">
        <f t="shared" si="11"/>
        <v>2</v>
      </c>
      <c r="AB147" s="85" t="s">
        <v>560</v>
      </c>
      <c r="AC147" s="35" t="s">
        <v>561</v>
      </c>
      <c r="AD147" s="19">
        <f t="shared" si="14"/>
        <v>1</v>
      </c>
      <c r="AE147" s="67">
        <f>IFERROR(NETWORKDAYS(B147,I147,Hoja1!$A$1:$A$29),"N/A")</f>
        <v>20</v>
      </c>
      <c r="AF147" s="21">
        <f>IFERROR(NETWORKDAYS(B147,W147,Hoja1!$A$1:$A$29),"N/A")</f>
        <v>33</v>
      </c>
      <c r="AG147" s="78">
        <v>17</v>
      </c>
      <c r="AH147" s="21">
        <f t="shared" si="13"/>
        <v>16</v>
      </c>
      <c r="AI147" s="21">
        <f>IFERROR(NETWORKDAYS(X147,Y147,Hoja1!$A$1:$A$29),"N/A")</f>
        <v>10</v>
      </c>
      <c r="AJ147" s="74">
        <v>5</v>
      </c>
      <c r="AK147" s="75">
        <f t="shared" si="12"/>
        <v>5</v>
      </c>
      <c r="AL147" s="21">
        <f>IFERROR(NETWORKDAYS(B147,Y147,Hoja1!$A$1:$A$29),"N/A")</f>
        <v>42</v>
      </c>
      <c r="AM147" s="21">
        <f t="shared" si="15"/>
        <v>20</v>
      </c>
      <c r="AN147" s="46"/>
      <c r="AO147" s="46"/>
      <c r="AP147" s="46"/>
      <c r="AQ147" s="3"/>
      <c r="AR147" s="3"/>
      <c r="AS147" s="3" t="s">
        <v>1930</v>
      </c>
      <c r="AT147" s="3" t="s">
        <v>1996</v>
      </c>
      <c r="AU147" s="3" t="s">
        <v>2209</v>
      </c>
      <c r="AV147" s="316" t="s">
        <v>2232</v>
      </c>
      <c r="AW147" s="403" t="s">
        <v>2734</v>
      </c>
      <c r="AY147" s="414"/>
    </row>
    <row r="148" spans="1:51" ht="15" customHeight="1" x14ac:dyDescent="0.25">
      <c r="A148" s="301">
        <v>15485</v>
      </c>
      <c r="B148" s="28">
        <v>46006</v>
      </c>
      <c r="C148" s="28">
        <v>46006</v>
      </c>
      <c r="D148" s="33">
        <v>1</v>
      </c>
      <c r="E148" s="45" t="s">
        <v>54</v>
      </c>
      <c r="F148" s="21" t="s">
        <v>55</v>
      </c>
      <c r="G148" s="33">
        <v>21</v>
      </c>
      <c r="H148" s="33" t="s">
        <v>56</v>
      </c>
      <c r="I148" s="28">
        <v>46048</v>
      </c>
      <c r="J148" s="28">
        <v>46057</v>
      </c>
      <c r="K148" s="33">
        <v>10</v>
      </c>
      <c r="L148" s="36" t="s">
        <v>55</v>
      </c>
      <c r="M148" s="36" t="s">
        <v>55</v>
      </c>
      <c r="N148" s="36" t="s">
        <v>55</v>
      </c>
      <c r="O148" s="36" t="s">
        <v>55</v>
      </c>
      <c r="P148" s="36" t="s">
        <v>55</v>
      </c>
      <c r="Q148" s="36" t="s">
        <v>55</v>
      </c>
      <c r="R148" s="3" t="s">
        <v>55</v>
      </c>
      <c r="S148" s="33">
        <v>3</v>
      </c>
      <c r="T148" s="33">
        <v>3</v>
      </c>
      <c r="U148" s="33">
        <v>0</v>
      </c>
      <c r="V148" s="28">
        <v>46062</v>
      </c>
      <c r="W148" s="28">
        <v>46064</v>
      </c>
      <c r="X148" s="28">
        <v>46065</v>
      </c>
      <c r="Y148" s="28">
        <v>46070</v>
      </c>
      <c r="Z148" s="140">
        <v>46076</v>
      </c>
      <c r="AA148" s="3">
        <f t="shared" si="11"/>
        <v>2</v>
      </c>
      <c r="AB148" s="85" t="s">
        <v>563</v>
      </c>
      <c r="AC148" s="35" t="s">
        <v>564</v>
      </c>
      <c r="AD148" s="19">
        <f t="shared" si="14"/>
        <v>0.47619047619047616</v>
      </c>
      <c r="AE148" s="67">
        <f>IFERROR(NETWORKDAYS(B148,I148,Hoja1!$A$1:$A$29),"N/A")</f>
        <v>28</v>
      </c>
      <c r="AF148" s="21">
        <f>IFERROR(NETWORKDAYS(B148,W148,Hoja1!$A$1:$A$29),"N/A")</f>
        <v>40</v>
      </c>
      <c r="AG148" s="78">
        <v>11</v>
      </c>
      <c r="AH148" s="21">
        <f t="shared" si="13"/>
        <v>29</v>
      </c>
      <c r="AI148" s="21">
        <f>IFERROR(NETWORKDAYS(X148,Y148,Hoja1!$A$1:$A$29),"N/A")</f>
        <v>4</v>
      </c>
      <c r="AJ148" s="74">
        <v>0</v>
      </c>
      <c r="AK148" s="75">
        <f t="shared" si="12"/>
        <v>4</v>
      </c>
      <c r="AL148" s="21">
        <f>IFERROR(NETWORKDAYS(B148,Y148,Hoja1!$A$1:$A$29),"N/A")</f>
        <v>44</v>
      </c>
      <c r="AM148" s="21">
        <f t="shared" si="15"/>
        <v>33</v>
      </c>
      <c r="AN148" s="46"/>
      <c r="AO148" s="46"/>
      <c r="AP148" s="46"/>
      <c r="AQ148" s="33"/>
      <c r="AR148" s="33"/>
      <c r="AS148" s="33" t="s">
        <v>1920</v>
      </c>
      <c r="AT148" s="33" t="s">
        <v>2058</v>
      </c>
      <c r="AU148" s="33" t="s">
        <v>2212</v>
      </c>
      <c r="AV148" s="318" t="s">
        <v>2319</v>
      </c>
      <c r="AW148" s="403" t="s">
        <v>2735</v>
      </c>
      <c r="AY148" s="415"/>
    </row>
    <row r="149" spans="1:51" ht="15" customHeight="1" x14ac:dyDescent="0.25">
      <c r="A149" s="301">
        <v>15489</v>
      </c>
      <c r="B149" s="28">
        <v>46007</v>
      </c>
      <c r="C149" s="28">
        <v>46006</v>
      </c>
      <c r="D149" s="33">
        <v>1</v>
      </c>
      <c r="E149" s="45" t="s">
        <v>54</v>
      </c>
      <c r="F149" s="21" t="s">
        <v>55</v>
      </c>
      <c r="G149" s="33">
        <v>4</v>
      </c>
      <c r="H149" s="33" t="s">
        <v>112</v>
      </c>
      <c r="I149" s="53">
        <v>46009</v>
      </c>
      <c r="J149" s="53">
        <v>46038</v>
      </c>
      <c r="K149" s="33">
        <v>4</v>
      </c>
      <c r="L149" s="21" t="s">
        <v>55</v>
      </c>
      <c r="M149" s="21" t="s">
        <v>55</v>
      </c>
      <c r="N149" s="21" t="s">
        <v>55</v>
      </c>
      <c r="O149" s="21" t="s">
        <v>55</v>
      </c>
      <c r="P149" s="21" t="s">
        <v>55</v>
      </c>
      <c r="Q149" s="21" t="s">
        <v>55</v>
      </c>
      <c r="R149" s="3" t="s">
        <v>55</v>
      </c>
      <c r="S149" s="33">
        <v>2</v>
      </c>
      <c r="T149" s="33">
        <v>2</v>
      </c>
      <c r="U149" s="33">
        <v>0</v>
      </c>
      <c r="V149" s="16">
        <v>46044</v>
      </c>
      <c r="W149" s="28">
        <v>46045</v>
      </c>
      <c r="X149" s="28">
        <v>46048</v>
      </c>
      <c r="Y149" s="16">
        <v>46052</v>
      </c>
      <c r="Z149" s="16">
        <v>46055</v>
      </c>
      <c r="AA149" s="3">
        <f t="shared" si="11"/>
        <v>2</v>
      </c>
      <c r="AB149" s="85" t="s">
        <v>566</v>
      </c>
      <c r="AC149" s="35" t="s">
        <v>567</v>
      </c>
      <c r="AD149" s="19">
        <f t="shared" si="14"/>
        <v>1</v>
      </c>
      <c r="AE149" s="67">
        <f>IFERROR(NETWORKDAYS(B149,I149,Hoja1!$A$1:$A$29),"N/A")</f>
        <v>3</v>
      </c>
      <c r="AF149" s="21">
        <f>IFERROR(NETWORKDAYS(B149,W149,Hoja1!$A$1:$A$29),"N/A")</f>
        <v>26</v>
      </c>
      <c r="AG149" s="78">
        <v>13</v>
      </c>
      <c r="AH149" s="21">
        <f t="shared" si="13"/>
        <v>13</v>
      </c>
      <c r="AI149" s="21">
        <f>IFERROR(NETWORKDAYS(X149,Y149,Hoja1!$A$1:$A$29),"N/A")</f>
        <v>5</v>
      </c>
      <c r="AJ149" s="74">
        <v>0</v>
      </c>
      <c r="AK149" s="75">
        <f t="shared" si="12"/>
        <v>5</v>
      </c>
      <c r="AL149" s="21">
        <f>IFERROR(NETWORKDAYS(B149,Y149,Hoja1!$A$1:$A$29),"N/A")</f>
        <v>31</v>
      </c>
      <c r="AM149" s="21">
        <f t="shared" si="15"/>
        <v>18</v>
      </c>
      <c r="AN149" s="46" t="s">
        <v>464</v>
      </c>
      <c r="AO149" s="46"/>
      <c r="AP149" s="46"/>
      <c r="AQ149" s="33"/>
      <c r="AR149" s="33"/>
      <c r="AS149" s="33" t="s">
        <v>1908</v>
      </c>
      <c r="AT149" s="33" t="s">
        <v>1996</v>
      </c>
      <c r="AU149" s="33" t="s">
        <v>2220</v>
      </c>
      <c r="AV149" s="318" t="s">
        <v>2232</v>
      </c>
      <c r="AW149" s="403" t="s">
        <v>2736</v>
      </c>
      <c r="AY149" s="414"/>
    </row>
    <row r="150" spans="1:51" ht="15" customHeight="1" x14ac:dyDescent="0.25">
      <c r="A150" s="301">
        <v>15491</v>
      </c>
      <c r="B150" s="16">
        <v>46006</v>
      </c>
      <c r="C150" s="16">
        <v>46006</v>
      </c>
      <c r="D150" s="1">
        <v>1</v>
      </c>
      <c r="E150" s="45" t="s">
        <v>54</v>
      </c>
      <c r="F150" s="2" t="s">
        <v>55</v>
      </c>
      <c r="G150" s="1">
        <v>10</v>
      </c>
      <c r="H150" s="1" t="s">
        <v>56</v>
      </c>
      <c r="I150" s="16">
        <v>46044</v>
      </c>
      <c r="J150" s="16">
        <v>46050</v>
      </c>
      <c r="K150" s="1">
        <v>10</v>
      </c>
      <c r="L150" s="18" t="s">
        <v>55</v>
      </c>
      <c r="M150" s="18" t="s">
        <v>55</v>
      </c>
      <c r="N150" s="18" t="s">
        <v>55</v>
      </c>
      <c r="O150" s="18" t="s">
        <v>55</v>
      </c>
      <c r="P150" s="18" t="s">
        <v>55</v>
      </c>
      <c r="Q150" s="18" t="s">
        <v>55</v>
      </c>
      <c r="R150" s="3" t="s">
        <v>55</v>
      </c>
      <c r="S150" s="1">
        <v>1</v>
      </c>
      <c r="T150" s="1">
        <v>1</v>
      </c>
      <c r="U150" s="1">
        <v>0</v>
      </c>
      <c r="V150" s="16">
        <v>46057</v>
      </c>
      <c r="W150" s="16">
        <v>46059</v>
      </c>
      <c r="X150" s="16">
        <v>46064</v>
      </c>
      <c r="Y150" s="16">
        <v>46070</v>
      </c>
      <c r="Z150" s="140">
        <v>46076</v>
      </c>
      <c r="AA150" s="3">
        <f t="shared" si="11"/>
        <v>2</v>
      </c>
      <c r="AB150" s="249" t="s">
        <v>568</v>
      </c>
      <c r="AC150" s="49" t="s">
        <v>569</v>
      </c>
      <c r="AD150" s="19">
        <f t="shared" si="14"/>
        <v>1</v>
      </c>
      <c r="AE150" s="67">
        <f>IFERROR(NETWORKDAYS(B150,I150,Hoja1!$A$1:$A$29),"N/A")</f>
        <v>26</v>
      </c>
      <c r="AF150" s="21">
        <f>IFERROR(NETWORKDAYS(B150,W150,Hoja1!$A$1:$A$29),"N/A")</f>
        <v>37</v>
      </c>
      <c r="AG150" s="78">
        <v>8</v>
      </c>
      <c r="AH150" s="21">
        <f t="shared" si="13"/>
        <v>29</v>
      </c>
      <c r="AI150" s="21">
        <f>IFERROR(NETWORKDAYS(X150,Y150,Hoja1!$A$1:$A$29),"N/A")</f>
        <v>5</v>
      </c>
      <c r="AJ150" s="74">
        <v>0</v>
      </c>
      <c r="AK150" s="75">
        <f t="shared" si="12"/>
        <v>5</v>
      </c>
      <c r="AL150" s="21">
        <f>IFERROR(NETWORKDAYS(B150,Y150,Hoja1!$A$1:$A$29),"N/A")</f>
        <v>44</v>
      </c>
      <c r="AM150" s="21">
        <f t="shared" si="15"/>
        <v>36</v>
      </c>
      <c r="AN150" s="46"/>
      <c r="AO150" s="46"/>
      <c r="AP150" s="46"/>
      <c r="AQ150" s="1"/>
      <c r="AR150" s="1"/>
      <c r="AS150" s="1" t="s">
        <v>1931</v>
      </c>
      <c r="AT150" s="1" t="s">
        <v>1994</v>
      </c>
      <c r="AU150" s="1" t="s">
        <v>2211</v>
      </c>
      <c r="AV150" s="315" t="s">
        <v>2231</v>
      </c>
      <c r="AW150" s="403" t="s">
        <v>2737</v>
      </c>
      <c r="AY150" s="415"/>
    </row>
    <row r="151" spans="1:51" ht="15" customHeight="1" x14ac:dyDescent="0.25">
      <c r="A151" s="301">
        <v>15495</v>
      </c>
      <c r="B151" s="28">
        <v>46057</v>
      </c>
      <c r="C151" s="28">
        <v>46006</v>
      </c>
      <c r="D151" s="33">
        <v>1</v>
      </c>
      <c r="E151" s="45" t="s">
        <v>54</v>
      </c>
      <c r="F151" s="21" t="s">
        <v>55</v>
      </c>
      <c r="G151" s="33">
        <v>0</v>
      </c>
      <c r="H151" s="33"/>
      <c r="I151" s="21" t="s">
        <v>55</v>
      </c>
      <c r="J151" s="21" t="s">
        <v>55</v>
      </c>
      <c r="K151" s="33">
        <v>0</v>
      </c>
      <c r="L151" s="21" t="s">
        <v>55</v>
      </c>
      <c r="M151" s="21" t="s">
        <v>55</v>
      </c>
      <c r="N151" s="21" t="s">
        <v>55</v>
      </c>
      <c r="O151" s="21" t="s">
        <v>55</v>
      </c>
      <c r="P151" s="21" t="s">
        <v>55</v>
      </c>
      <c r="Q151" s="21" t="s">
        <v>55</v>
      </c>
      <c r="R151" s="3" t="s">
        <v>55</v>
      </c>
      <c r="S151" s="33">
        <v>2</v>
      </c>
      <c r="T151" s="33">
        <v>2</v>
      </c>
      <c r="U151" s="33">
        <v>0</v>
      </c>
      <c r="V151" s="28">
        <v>46062</v>
      </c>
      <c r="W151" s="28">
        <v>46064</v>
      </c>
      <c r="X151" s="28">
        <v>46065</v>
      </c>
      <c r="Y151" s="30">
        <v>46072</v>
      </c>
      <c r="Z151" s="140">
        <v>46076</v>
      </c>
      <c r="AA151" s="3">
        <f t="shared" si="11"/>
        <v>2</v>
      </c>
      <c r="AB151" s="85" t="s">
        <v>570</v>
      </c>
      <c r="AC151" s="35" t="s">
        <v>571</v>
      </c>
      <c r="AD151" s="19" t="str">
        <f t="shared" si="14"/>
        <v>N/A</v>
      </c>
      <c r="AE151" s="67" t="str">
        <f>IFERROR(NETWORKDAYS(B151,I151,Hoja1!$A$1:$A$29),"N/A")</f>
        <v>N/A</v>
      </c>
      <c r="AF151" s="21">
        <f>IFERROR(NETWORKDAYS(B151,W151,Hoja1!$A$1:$A$29),"N/A")</f>
        <v>6</v>
      </c>
      <c r="AG151" s="78">
        <v>0</v>
      </c>
      <c r="AH151" s="21">
        <f t="shared" si="13"/>
        <v>6</v>
      </c>
      <c r="AI151" s="21">
        <f>IFERROR(NETWORKDAYS(X151,Y151,Hoja1!$A$1:$A$29),"N/A")</f>
        <v>6</v>
      </c>
      <c r="AJ151" s="74">
        <v>0</v>
      </c>
      <c r="AK151" s="75">
        <f t="shared" si="12"/>
        <v>6</v>
      </c>
      <c r="AL151" s="21">
        <f>IFERROR(NETWORKDAYS(B151,Y151,Hoja1!$A$1:$A$29),"N/A")</f>
        <v>12</v>
      </c>
      <c r="AM151" s="21">
        <f t="shared" si="15"/>
        <v>12</v>
      </c>
      <c r="AN151" s="46"/>
      <c r="AO151" s="46"/>
      <c r="AP151" s="46"/>
      <c r="AQ151" s="33"/>
      <c r="AR151" s="33"/>
      <c r="AS151" s="33" t="s">
        <v>1908</v>
      </c>
      <c r="AT151" s="33" t="s">
        <v>2004</v>
      </c>
      <c r="AU151" s="33" t="s">
        <v>2220</v>
      </c>
      <c r="AV151" s="318" t="s">
        <v>2258</v>
      </c>
      <c r="AW151" s="403" t="s">
        <v>2738</v>
      </c>
      <c r="AY151" s="414"/>
    </row>
    <row r="152" spans="1:51" ht="15" customHeight="1" x14ac:dyDescent="0.25">
      <c r="A152" s="294">
        <v>15499</v>
      </c>
      <c r="B152" s="30">
        <v>46029</v>
      </c>
      <c r="C152" s="30">
        <v>46006</v>
      </c>
      <c r="D152" s="3">
        <v>1</v>
      </c>
      <c r="E152" s="45" t="s">
        <v>54</v>
      </c>
      <c r="F152" s="3" t="s">
        <v>55</v>
      </c>
      <c r="G152" s="3">
        <v>3</v>
      </c>
      <c r="H152" s="3" t="s">
        <v>112</v>
      </c>
      <c r="I152" s="30">
        <v>46062</v>
      </c>
      <c r="J152" s="30">
        <v>46038</v>
      </c>
      <c r="K152" s="88">
        <v>3</v>
      </c>
      <c r="L152" s="88" t="s">
        <v>55</v>
      </c>
      <c r="M152" s="88" t="s">
        <v>55</v>
      </c>
      <c r="N152" s="3" t="s">
        <v>55</v>
      </c>
      <c r="O152" s="3" t="s">
        <v>55</v>
      </c>
      <c r="P152" s="3" t="s">
        <v>55</v>
      </c>
      <c r="Q152" s="3" t="s">
        <v>55</v>
      </c>
      <c r="R152" s="3" t="s">
        <v>55</v>
      </c>
      <c r="S152" s="3">
        <v>3</v>
      </c>
      <c r="T152" s="3">
        <v>1</v>
      </c>
      <c r="U152" s="3">
        <v>0</v>
      </c>
      <c r="V152" s="73">
        <v>46038</v>
      </c>
      <c r="W152" s="16">
        <v>46048</v>
      </c>
      <c r="X152" s="16">
        <v>46048</v>
      </c>
      <c r="Y152" s="16">
        <v>46052</v>
      </c>
      <c r="Z152" s="16">
        <v>46055</v>
      </c>
      <c r="AA152" s="3">
        <f t="shared" si="11"/>
        <v>2</v>
      </c>
      <c r="AB152" s="85" t="s">
        <v>572</v>
      </c>
      <c r="AC152" s="45" t="s">
        <v>573</v>
      </c>
      <c r="AD152" s="19">
        <f t="shared" si="14"/>
        <v>1</v>
      </c>
      <c r="AE152" s="67">
        <f>IFERROR(NETWORKDAYS(B152,I152,Hoja1!$A$1:$A$29),"N/A")</f>
        <v>23</v>
      </c>
      <c r="AF152" s="21">
        <f>IFERROR(NETWORKDAYS(B152,W152,Hoja1!$A$1:$A$29),"N/A")</f>
        <v>13</v>
      </c>
      <c r="AG152" s="78">
        <v>0</v>
      </c>
      <c r="AH152" s="21">
        <f t="shared" si="13"/>
        <v>13</v>
      </c>
      <c r="AI152" s="21">
        <f>IFERROR(NETWORKDAYS(X152,Y152,Hoja1!$A$1:$A$29),"N/A")</f>
        <v>5</v>
      </c>
      <c r="AJ152" s="78">
        <v>0</v>
      </c>
      <c r="AK152" s="75">
        <f t="shared" si="12"/>
        <v>5</v>
      </c>
      <c r="AL152" s="21">
        <f>IFERROR(NETWORKDAYS(B152,Y152,Hoja1!$A$1:$A$29),"N/A")</f>
        <v>17</v>
      </c>
      <c r="AM152" s="21">
        <f t="shared" si="15"/>
        <v>17</v>
      </c>
      <c r="AN152" s="46" t="s">
        <v>445</v>
      </c>
      <c r="AO152" s="46"/>
      <c r="AP152" s="46"/>
      <c r="AQ152" s="107"/>
      <c r="AR152" s="1"/>
      <c r="AS152" s="1" t="s">
        <v>1890</v>
      </c>
      <c r="AT152" s="1" t="s">
        <v>1995</v>
      </c>
      <c r="AU152" s="1" t="s">
        <v>2216</v>
      </c>
      <c r="AV152" s="315" t="s">
        <v>2320</v>
      </c>
      <c r="AW152" s="403" t="s">
        <v>2739</v>
      </c>
      <c r="AY152" s="415"/>
    </row>
    <row r="153" spans="1:51" ht="15" customHeight="1" x14ac:dyDescent="0.25">
      <c r="A153" s="298">
        <v>15501</v>
      </c>
      <c r="B153" s="15">
        <v>46051</v>
      </c>
      <c r="C153" s="16">
        <v>46007</v>
      </c>
      <c r="D153" s="1">
        <v>1</v>
      </c>
      <c r="E153" s="45" t="s">
        <v>54</v>
      </c>
      <c r="F153" s="2" t="s">
        <v>55</v>
      </c>
      <c r="G153" s="33">
        <v>0</v>
      </c>
      <c r="H153" s="1"/>
      <c r="I153" s="2" t="s">
        <v>55</v>
      </c>
      <c r="J153" s="2" t="s">
        <v>55</v>
      </c>
      <c r="K153" s="33">
        <v>0</v>
      </c>
      <c r="L153" s="2" t="s">
        <v>55</v>
      </c>
      <c r="M153" s="2" t="s">
        <v>55</v>
      </c>
      <c r="N153" s="2" t="s">
        <v>55</v>
      </c>
      <c r="O153" s="2" t="s">
        <v>55</v>
      </c>
      <c r="P153" s="2" t="s">
        <v>55</v>
      </c>
      <c r="Q153" s="2" t="s">
        <v>55</v>
      </c>
      <c r="R153" s="3" t="s">
        <v>55</v>
      </c>
      <c r="S153" s="1">
        <v>5</v>
      </c>
      <c r="T153" s="1">
        <v>5</v>
      </c>
      <c r="U153" s="1">
        <v>0</v>
      </c>
      <c r="V153" s="16">
        <v>46042</v>
      </c>
      <c r="W153" s="16">
        <v>46064</v>
      </c>
      <c r="X153" s="16">
        <v>46065</v>
      </c>
      <c r="Y153" s="16">
        <v>46070</v>
      </c>
      <c r="Z153" s="140">
        <v>46076</v>
      </c>
      <c r="AA153" s="3">
        <f t="shared" si="11"/>
        <v>2</v>
      </c>
      <c r="AB153" s="108" t="s">
        <v>575</v>
      </c>
      <c r="AC153" s="49" t="s">
        <v>576</v>
      </c>
      <c r="AD153" s="19" t="str">
        <f t="shared" si="14"/>
        <v>N/A</v>
      </c>
      <c r="AE153" s="67" t="str">
        <f>IFERROR(NETWORKDAYS(B153,I153,Hoja1!$A$1:$A$29),"N/A")</f>
        <v>N/A</v>
      </c>
      <c r="AF153" s="21">
        <f>IFERROR(NETWORKDAYS(B153,W153,Hoja1!$A$1:$A$29),"N/A")</f>
        <v>10</v>
      </c>
      <c r="AG153" s="78">
        <v>5</v>
      </c>
      <c r="AH153" s="21">
        <f t="shared" si="13"/>
        <v>5</v>
      </c>
      <c r="AI153" s="21">
        <f>IFERROR(NETWORKDAYS(X153,Y153,Hoja1!$A$1:$A$29),"N/A")</f>
        <v>4</v>
      </c>
      <c r="AJ153" s="74">
        <v>0</v>
      </c>
      <c r="AK153" s="75">
        <f t="shared" si="12"/>
        <v>4</v>
      </c>
      <c r="AL153" s="21">
        <f>IFERROR(NETWORKDAYS(B153,Y153,Hoja1!$A$1:$A$29),"N/A")</f>
        <v>14</v>
      </c>
      <c r="AM153" s="21">
        <f t="shared" si="15"/>
        <v>9</v>
      </c>
      <c r="AN153" s="46" t="s">
        <v>464</v>
      </c>
      <c r="AO153" s="46"/>
      <c r="AP153" s="46"/>
      <c r="AQ153" s="1"/>
      <c r="AR153" s="1"/>
      <c r="AS153" s="1" t="s">
        <v>1897</v>
      </c>
      <c r="AT153" s="1" t="s">
        <v>2059</v>
      </c>
      <c r="AU153" s="1" t="s">
        <v>2210</v>
      </c>
      <c r="AV153" s="315" t="s">
        <v>2321</v>
      </c>
      <c r="AW153" s="403" t="s">
        <v>2740</v>
      </c>
      <c r="AY153" s="414"/>
    </row>
    <row r="154" spans="1:51" ht="15" customHeight="1" x14ac:dyDescent="0.25">
      <c r="A154" s="301">
        <v>15508</v>
      </c>
      <c r="B154" s="28">
        <v>46007</v>
      </c>
      <c r="C154" s="28">
        <v>46007</v>
      </c>
      <c r="D154" s="33">
        <v>1</v>
      </c>
      <c r="E154" s="45" t="s">
        <v>54</v>
      </c>
      <c r="F154" s="21" t="s">
        <v>55</v>
      </c>
      <c r="G154" s="33">
        <v>0</v>
      </c>
      <c r="H154" s="33"/>
      <c r="I154" s="21" t="s">
        <v>55</v>
      </c>
      <c r="J154" s="21" t="s">
        <v>55</v>
      </c>
      <c r="K154" s="33">
        <v>0</v>
      </c>
      <c r="L154" s="36" t="s">
        <v>55</v>
      </c>
      <c r="M154" s="36" t="s">
        <v>55</v>
      </c>
      <c r="N154" s="36" t="s">
        <v>55</v>
      </c>
      <c r="O154" s="36" t="s">
        <v>55</v>
      </c>
      <c r="P154" s="36" t="s">
        <v>55</v>
      </c>
      <c r="Q154" s="36" t="s">
        <v>55</v>
      </c>
      <c r="R154" s="3" t="s">
        <v>55</v>
      </c>
      <c r="S154" s="33">
        <v>1</v>
      </c>
      <c r="T154" s="33">
        <v>1</v>
      </c>
      <c r="U154" s="33">
        <v>0</v>
      </c>
      <c r="V154" s="28">
        <v>46013</v>
      </c>
      <c r="W154" s="28">
        <v>46045</v>
      </c>
      <c r="X154" s="28">
        <v>46048</v>
      </c>
      <c r="Y154" s="28">
        <v>46051</v>
      </c>
      <c r="Z154" s="16">
        <v>46055</v>
      </c>
      <c r="AA154" s="3">
        <f t="shared" si="11"/>
        <v>2</v>
      </c>
      <c r="AB154" s="85" t="s">
        <v>579</v>
      </c>
      <c r="AC154" s="35" t="s">
        <v>580</v>
      </c>
      <c r="AD154" s="19" t="str">
        <f t="shared" si="14"/>
        <v>N/A</v>
      </c>
      <c r="AE154" s="67" t="str">
        <f>IFERROR(NETWORKDAYS(B154,I154,Hoja1!$A$1:$A$29),"N/A")</f>
        <v>N/A</v>
      </c>
      <c r="AF154" s="21">
        <f>IFERROR(NETWORKDAYS(B154,W154,Hoja1!$A$1:$A$29),"N/A")</f>
        <v>26</v>
      </c>
      <c r="AG154" s="78">
        <v>20</v>
      </c>
      <c r="AH154" s="21">
        <f t="shared" si="13"/>
        <v>6</v>
      </c>
      <c r="AI154" s="21">
        <f>IFERROR(NETWORKDAYS(X154,Y154,Hoja1!$A$1:$A$29),"N/A")</f>
        <v>4</v>
      </c>
      <c r="AJ154" s="74">
        <v>0</v>
      </c>
      <c r="AK154" s="75">
        <f t="shared" si="12"/>
        <v>4</v>
      </c>
      <c r="AL154" s="21">
        <f>IFERROR(NETWORKDAYS(B154,Y154,Hoja1!$A$1:$A$29),"N/A")</f>
        <v>30</v>
      </c>
      <c r="AM154" s="21">
        <f t="shared" si="15"/>
        <v>10</v>
      </c>
      <c r="AN154" s="46"/>
      <c r="AO154" s="46"/>
      <c r="AP154" s="46"/>
      <c r="AQ154" s="33"/>
      <c r="AR154" s="33"/>
      <c r="AS154" s="33" t="s">
        <v>1931</v>
      </c>
      <c r="AT154" s="33" t="s">
        <v>2060</v>
      </c>
      <c r="AU154" s="33" t="s">
        <v>2212</v>
      </c>
      <c r="AV154" s="318" t="s">
        <v>2322</v>
      </c>
      <c r="AW154" s="403" t="s">
        <v>2741</v>
      </c>
      <c r="AY154" s="415"/>
    </row>
    <row r="155" spans="1:51" ht="15" customHeight="1" x14ac:dyDescent="0.25">
      <c r="A155" s="298">
        <v>15511</v>
      </c>
      <c r="B155" s="15">
        <v>46037</v>
      </c>
      <c r="C155" s="16">
        <v>46007</v>
      </c>
      <c r="D155" s="1">
        <v>1</v>
      </c>
      <c r="E155" s="45" t="s">
        <v>54</v>
      </c>
      <c r="F155" s="2" t="s">
        <v>55</v>
      </c>
      <c r="G155" s="1">
        <v>6</v>
      </c>
      <c r="H155" s="1" t="s">
        <v>56</v>
      </c>
      <c r="I155" s="16">
        <v>46051</v>
      </c>
      <c r="J155" s="16">
        <v>46052</v>
      </c>
      <c r="K155" s="1">
        <v>6</v>
      </c>
      <c r="L155" s="2" t="s">
        <v>55</v>
      </c>
      <c r="M155" s="2" t="s">
        <v>55</v>
      </c>
      <c r="N155" s="2" t="s">
        <v>55</v>
      </c>
      <c r="O155" s="2" t="s">
        <v>55</v>
      </c>
      <c r="P155" s="2" t="s">
        <v>55</v>
      </c>
      <c r="Q155" s="2" t="s">
        <v>55</v>
      </c>
      <c r="R155" s="3" t="s">
        <v>55</v>
      </c>
      <c r="S155" s="1">
        <v>1</v>
      </c>
      <c r="T155" s="1">
        <v>1</v>
      </c>
      <c r="U155" s="1">
        <v>0</v>
      </c>
      <c r="V155" s="16">
        <v>46062</v>
      </c>
      <c r="W155" s="16">
        <v>46063</v>
      </c>
      <c r="X155" s="16">
        <v>46064</v>
      </c>
      <c r="Y155" s="16">
        <v>46073</v>
      </c>
      <c r="Z155" s="140">
        <v>46076</v>
      </c>
      <c r="AA155" s="3">
        <f t="shared" si="11"/>
        <v>2</v>
      </c>
      <c r="AB155" s="108" t="s">
        <v>583</v>
      </c>
      <c r="AC155" s="49" t="s">
        <v>584</v>
      </c>
      <c r="AD155" s="19">
        <f t="shared" si="14"/>
        <v>1</v>
      </c>
      <c r="AE155" s="67">
        <f>IFERROR(NETWORKDAYS(B155,I155,Hoja1!$A$1:$A$29),"N/A")</f>
        <v>11</v>
      </c>
      <c r="AF155" s="21">
        <f>IFERROR(NETWORKDAYS(B155,W155,Hoja1!$A$1:$A$29),"N/A")</f>
        <v>19</v>
      </c>
      <c r="AG155" s="78">
        <v>0</v>
      </c>
      <c r="AH155" s="21">
        <f t="shared" si="13"/>
        <v>19</v>
      </c>
      <c r="AI155" s="21">
        <f>IFERROR(NETWORKDAYS(X155,Y155,Hoja1!$A$1:$A$29),"N/A")</f>
        <v>8</v>
      </c>
      <c r="AJ155" s="74">
        <v>3</v>
      </c>
      <c r="AK155" s="75">
        <f t="shared" si="12"/>
        <v>5</v>
      </c>
      <c r="AL155" s="21">
        <f>IFERROR(NETWORKDAYS(B155,Y155,Hoja1!$A$1:$A$29),"N/A")</f>
        <v>27</v>
      </c>
      <c r="AM155" s="21">
        <f t="shared" si="15"/>
        <v>24</v>
      </c>
      <c r="AN155" s="46" t="s">
        <v>453</v>
      </c>
      <c r="AO155" s="46"/>
      <c r="AP155" s="46"/>
      <c r="AQ155" s="1"/>
      <c r="AR155" s="1"/>
      <c r="AS155" s="1" t="s">
        <v>1911</v>
      </c>
      <c r="AT155" s="1" t="s">
        <v>2061</v>
      </c>
      <c r="AU155" s="1" t="s">
        <v>2210</v>
      </c>
      <c r="AV155" s="315" t="s">
        <v>2323</v>
      </c>
      <c r="AW155" s="403" t="s">
        <v>2742</v>
      </c>
      <c r="AY155" s="414"/>
    </row>
    <row r="156" spans="1:51" ht="15" customHeight="1" x14ac:dyDescent="0.25">
      <c r="A156" s="298">
        <v>15512</v>
      </c>
      <c r="B156" s="15">
        <v>46008</v>
      </c>
      <c r="C156" s="16">
        <v>46007</v>
      </c>
      <c r="D156" s="1">
        <v>1</v>
      </c>
      <c r="E156" s="45" t="s">
        <v>54</v>
      </c>
      <c r="F156" s="2" t="s">
        <v>55</v>
      </c>
      <c r="G156" s="1">
        <v>3</v>
      </c>
      <c r="H156" s="1" t="s">
        <v>112</v>
      </c>
      <c r="I156" s="16">
        <v>46027</v>
      </c>
      <c r="J156" s="16">
        <v>46027</v>
      </c>
      <c r="K156" s="1">
        <v>3</v>
      </c>
      <c r="L156" s="2" t="s">
        <v>55</v>
      </c>
      <c r="M156" s="2" t="s">
        <v>55</v>
      </c>
      <c r="N156" s="2" t="s">
        <v>55</v>
      </c>
      <c r="O156" s="2" t="s">
        <v>55</v>
      </c>
      <c r="P156" s="2" t="s">
        <v>55</v>
      </c>
      <c r="Q156" s="2" t="s">
        <v>55</v>
      </c>
      <c r="R156" s="3" t="s">
        <v>55</v>
      </c>
      <c r="S156" s="1">
        <v>1</v>
      </c>
      <c r="T156" s="1">
        <v>1</v>
      </c>
      <c r="U156" s="1">
        <v>0</v>
      </c>
      <c r="V156" s="16">
        <v>46043</v>
      </c>
      <c r="W156" s="16">
        <v>46048</v>
      </c>
      <c r="X156" s="16">
        <v>46048</v>
      </c>
      <c r="Y156" s="16">
        <v>46055</v>
      </c>
      <c r="Z156" s="16">
        <v>46056</v>
      </c>
      <c r="AA156" s="3">
        <f t="shared" si="11"/>
        <v>2</v>
      </c>
      <c r="AB156" s="108" t="s">
        <v>586</v>
      </c>
      <c r="AC156" s="49" t="s">
        <v>587</v>
      </c>
      <c r="AD156" s="19">
        <f t="shared" si="14"/>
        <v>1</v>
      </c>
      <c r="AE156" s="67">
        <f>IFERROR(NETWORKDAYS(B156,I156,Hoja1!$A$1:$A$29),"N/A")</f>
        <v>12</v>
      </c>
      <c r="AF156" s="21">
        <f>IFERROR(NETWORKDAYS(B156,W156,Hoja1!$A$1:$A$29),"N/A")</f>
        <v>26</v>
      </c>
      <c r="AG156" s="78">
        <v>2</v>
      </c>
      <c r="AH156" s="21">
        <f t="shared" si="13"/>
        <v>24</v>
      </c>
      <c r="AI156" s="21">
        <f>IFERROR(NETWORKDAYS(X156,Y156,Hoja1!$A$1:$A$29),"N/A")</f>
        <v>6</v>
      </c>
      <c r="AJ156" s="74">
        <v>1</v>
      </c>
      <c r="AK156" s="75">
        <f t="shared" si="12"/>
        <v>5</v>
      </c>
      <c r="AL156" s="21">
        <f>IFERROR(NETWORKDAYS(B156,Y156,Hoja1!$A$1:$A$29),"N/A")</f>
        <v>31</v>
      </c>
      <c r="AM156" s="21">
        <f t="shared" si="15"/>
        <v>28</v>
      </c>
      <c r="AN156" s="46" t="s">
        <v>881</v>
      </c>
      <c r="AO156" s="46"/>
      <c r="AP156" s="46"/>
      <c r="AQ156" s="1"/>
      <c r="AR156" s="1"/>
      <c r="AS156" s="1" t="s">
        <v>1911</v>
      </c>
      <c r="AT156" s="1" t="s">
        <v>2061</v>
      </c>
      <c r="AU156" s="1" t="s">
        <v>2210</v>
      </c>
      <c r="AV156" s="315" t="s">
        <v>2324</v>
      </c>
      <c r="AW156" s="403" t="s">
        <v>2743</v>
      </c>
      <c r="AY156" s="415"/>
    </row>
    <row r="157" spans="1:51" ht="15" customHeight="1" x14ac:dyDescent="0.25">
      <c r="A157" s="301">
        <v>15516</v>
      </c>
      <c r="B157" s="15">
        <v>46007</v>
      </c>
      <c r="C157" s="15">
        <v>46007</v>
      </c>
      <c r="D157" s="1">
        <v>1</v>
      </c>
      <c r="E157" s="45" t="s">
        <v>54</v>
      </c>
      <c r="F157" s="18" t="s">
        <v>55</v>
      </c>
      <c r="G157" s="1">
        <v>16</v>
      </c>
      <c r="H157" s="1" t="s">
        <v>56</v>
      </c>
      <c r="I157" s="16">
        <v>46059</v>
      </c>
      <c r="J157" s="16">
        <v>46064</v>
      </c>
      <c r="K157" s="1">
        <v>16</v>
      </c>
      <c r="L157" s="18" t="s">
        <v>55</v>
      </c>
      <c r="M157" s="18" t="s">
        <v>55</v>
      </c>
      <c r="N157" s="18" t="s">
        <v>55</v>
      </c>
      <c r="O157" s="18" t="s">
        <v>55</v>
      </c>
      <c r="P157" s="18" t="s">
        <v>55</v>
      </c>
      <c r="Q157" s="18" t="s">
        <v>55</v>
      </c>
      <c r="R157" s="3" t="s">
        <v>55</v>
      </c>
      <c r="S157" s="1">
        <v>1</v>
      </c>
      <c r="T157" s="1">
        <v>1</v>
      </c>
      <c r="U157" s="1">
        <v>0</v>
      </c>
      <c r="V157" s="16">
        <v>46072</v>
      </c>
      <c r="W157" s="16">
        <v>46071</v>
      </c>
      <c r="X157" s="16">
        <v>46071</v>
      </c>
      <c r="Y157" s="16">
        <v>46073</v>
      </c>
      <c r="Z157" s="140">
        <v>46076</v>
      </c>
      <c r="AA157" s="3">
        <f t="shared" si="11"/>
        <v>2</v>
      </c>
      <c r="AB157" s="249" t="s">
        <v>589</v>
      </c>
      <c r="AC157" s="49" t="s">
        <v>590</v>
      </c>
      <c r="AD157" s="19">
        <f t="shared" si="14"/>
        <v>1</v>
      </c>
      <c r="AE157" s="67">
        <f>IFERROR(NETWORKDAYS(B157,I157,Hoja1!$A$1:$A$29),"N/A")</f>
        <v>36</v>
      </c>
      <c r="AF157" s="21">
        <f>IFERROR(NETWORKDAYS(B157,W157,Hoja1!$A$1:$A$29),"N/A")</f>
        <v>44</v>
      </c>
      <c r="AG157" s="78">
        <v>14</v>
      </c>
      <c r="AH157" s="21">
        <f t="shared" si="13"/>
        <v>30</v>
      </c>
      <c r="AI157" s="21">
        <f>IFERROR(NETWORKDAYS(X157,Y157,Hoja1!$A$1:$A$29),"N/A")</f>
        <v>3</v>
      </c>
      <c r="AJ157" s="78">
        <v>0</v>
      </c>
      <c r="AK157" s="75">
        <f t="shared" si="12"/>
        <v>3</v>
      </c>
      <c r="AL157" s="21">
        <f>IFERROR(NETWORKDAYS(B157,Y157,Hoja1!$A$1:$A$29),"N/A")</f>
        <v>46</v>
      </c>
      <c r="AM157" s="21">
        <f t="shared" si="15"/>
        <v>32</v>
      </c>
      <c r="AN157" s="46" t="s">
        <v>464</v>
      </c>
      <c r="AO157" s="46" t="s">
        <v>551</v>
      </c>
      <c r="AP157" s="46"/>
      <c r="AQ157" s="46"/>
      <c r="AR157" s="1"/>
      <c r="AS157" s="1" t="s">
        <v>1888</v>
      </c>
      <c r="AT157" s="1" t="s">
        <v>1995</v>
      </c>
      <c r="AU157" s="1" t="s">
        <v>2211</v>
      </c>
      <c r="AV157" s="315" t="s">
        <v>2308</v>
      </c>
      <c r="AW157" s="403" t="s">
        <v>2744</v>
      </c>
      <c r="AY157" s="414"/>
    </row>
    <row r="158" spans="1:51" ht="15" customHeight="1" x14ac:dyDescent="0.25">
      <c r="A158" s="301">
        <v>15517</v>
      </c>
      <c r="B158" s="15">
        <v>46059</v>
      </c>
      <c r="C158" s="15">
        <v>46007</v>
      </c>
      <c r="D158" s="1">
        <v>1</v>
      </c>
      <c r="E158" s="45" t="s">
        <v>54</v>
      </c>
      <c r="F158" s="18" t="s">
        <v>55</v>
      </c>
      <c r="G158" s="33">
        <v>0</v>
      </c>
      <c r="H158" s="1"/>
      <c r="I158" s="2" t="s">
        <v>55</v>
      </c>
      <c r="J158" s="2" t="s">
        <v>55</v>
      </c>
      <c r="K158" s="33">
        <v>0</v>
      </c>
      <c r="L158" s="18" t="s">
        <v>55</v>
      </c>
      <c r="M158" s="18" t="s">
        <v>55</v>
      </c>
      <c r="N158" s="18" t="s">
        <v>55</v>
      </c>
      <c r="O158" s="18" t="s">
        <v>55</v>
      </c>
      <c r="P158" s="18" t="s">
        <v>55</v>
      </c>
      <c r="Q158" s="18" t="s">
        <v>55</v>
      </c>
      <c r="R158" s="3" t="s">
        <v>55</v>
      </c>
      <c r="S158" s="1">
        <v>1</v>
      </c>
      <c r="T158" s="1">
        <v>1</v>
      </c>
      <c r="U158" s="1">
        <v>0</v>
      </c>
      <c r="V158" s="16">
        <v>46072</v>
      </c>
      <c r="W158" s="16">
        <v>46071</v>
      </c>
      <c r="X158" s="16">
        <v>46071</v>
      </c>
      <c r="Y158" s="16">
        <v>46073</v>
      </c>
      <c r="Z158" s="140">
        <v>46076</v>
      </c>
      <c r="AA158" s="3">
        <f t="shared" si="11"/>
        <v>2</v>
      </c>
      <c r="AB158" s="249" t="s">
        <v>591</v>
      </c>
      <c r="AC158" s="49" t="s">
        <v>592</v>
      </c>
      <c r="AD158" s="19" t="str">
        <f t="shared" si="14"/>
        <v>N/A</v>
      </c>
      <c r="AE158" s="67" t="str">
        <f>IFERROR(NETWORKDAYS(B158,I158,Hoja1!$A$1:$A$29),"N/A")</f>
        <v>N/A</v>
      </c>
      <c r="AF158" s="21">
        <f>IFERROR(NETWORKDAYS(B158,W158,Hoja1!$A$1:$A$29),"N/A")</f>
        <v>9</v>
      </c>
      <c r="AG158" s="78">
        <v>3</v>
      </c>
      <c r="AH158" s="21">
        <f t="shared" si="13"/>
        <v>6</v>
      </c>
      <c r="AI158" s="21">
        <f>IFERROR(NETWORKDAYS(X158,Y158,Hoja1!$A$1:$A$29),"N/A")</f>
        <v>3</v>
      </c>
      <c r="AJ158" s="78">
        <v>0</v>
      </c>
      <c r="AK158" s="75">
        <f t="shared" si="12"/>
        <v>3</v>
      </c>
      <c r="AL158" s="21">
        <f>IFERROR(NETWORKDAYS(B158,Y158,Hoja1!$A$1:$A$29),"N/A")</f>
        <v>11</v>
      </c>
      <c r="AM158" s="21">
        <f t="shared" si="15"/>
        <v>8</v>
      </c>
      <c r="AN158" s="46"/>
      <c r="AO158" s="46"/>
      <c r="AP158" s="46"/>
      <c r="AQ158" s="1"/>
      <c r="AR158" s="27"/>
      <c r="AS158" s="27" t="s">
        <v>1888</v>
      </c>
      <c r="AT158" s="27" t="s">
        <v>2062</v>
      </c>
      <c r="AU158" s="27" t="s">
        <v>2211</v>
      </c>
      <c r="AV158" s="310" t="s">
        <v>2325</v>
      </c>
      <c r="AW158" s="403" t="s">
        <v>2745</v>
      </c>
      <c r="AY158" s="415"/>
    </row>
    <row r="159" spans="1:51" ht="15" customHeight="1" x14ac:dyDescent="0.25">
      <c r="A159" s="294">
        <v>15522</v>
      </c>
      <c r="B159" s="30">
        <v>46008</v>
      </c>
      <c r="C159" s="30">
        <v>46008</v>
      </c>
      <c r="D159" s="3">
        <v>1</v>
      </c>
      <c r="E159" s="45" t="s">
        <v>54</v>
      </c>
      <c r="F159" s="3" t="s">
        <v>55</v>
      </c>
      <c r="G159" s="3">
        <v>6</v>
      </c>
      <c r="H159" s="3" t="s">
        <v>112</v>
      </c>
      <c r="I159" s="30">
        <v>46027</v>
      </c>
      <c r="J159" s="30">
        <v>46027</v>
      </c>
      <c r="K159" s="3">
        <v>6</v>
      </c>
      <c r="L159" s="3" t="s">
        <v>55</v>
      </c>
      <c r="M159" s="3" t="s">
        <v>55</v>
      </c>
      <c r="N159" s="3" t="s">
        <v>55</v>
      </c>
      <c r="O159" s="3" t="s">
        <v>55</v>
      </c>
      <c r="P159" s="3" t="s">
        <v>55</v>
      </c>
      <c r="Q159" s="3" t="s">
        <v>55</v>
      </c>
      <c r="R159" s="3" t="s">
        <v>55</v>
      </c>
      <c r="S159" s="3">
        <v>6</v>
      </c>
      <c r="T159" s="3">
        <v>1</v>
      </c>
      <c r="U159" s="3">
        <v>0</v>
      </c>
      <c r="V159" s="30">
        <v>46030</v>
      </c>
      <c r="W159" s="30">
        <v>46030</v>
      </c>
      <c r="X159" s="30">
        <v>46044</v>
      </c>
      <c r="Y159" s="16">
        <v>46050</v>
      </c>
      <c r="Z159" s="16">
        <v>46055</v>
      </c>
      <c r="AA159" s="3">
        <f t="shared" si="11"/>
        <v>2</v>
      </c>
      <c r="AB159" s="85" t="s">
        <v>594</v>
      </c>
      <c r="AC159" s="45" t="s">
        <v>595</v>
      </c>
      <c r="AD159" s="19">
        <f t="shared" si="14"/>
        <v>1</v>
      </c>
      <c r="AE159" s="67">
        <f>IFERROR(NETWORKDAYS(B159,I159,Hoja1!$A$1:$A$29),"N/A")</f>
        <v>12</v>
      </c>
      <c r="AF159" s="21">
        <f>IFERROR(NETWORKDAYS(B159,W159,Hoja1!$A$1:$A$29),"N/A")</f>
        <v>15</v>
      </c>
      <c r="AG159" s="78">
        <v>3</v>
      </c>
      <c r="AH159" s="21">
        <f t="shared" si="13"/>
        <v>12</v>
      </c>
      <c r="AI159" s="21">
        <f>IFERROR(NETWORKDAYS(X159,Y159,Hoja1!$A$1:$A$29),"N/A")</f>
        <v>5</v>
      </c>
      <c r="AJ159" s="78">
        <v>0</v>
      </c>
      <c r="AK159" s="75">
        <f t="shared" si="12"/>
        <v>5</v>
      </c>
      <c r="AL159" s="21">
        <f>IFERROR(NETWORKDAYS(B159,Y159,Hoja1!$A$1:$A$29),"N/A")</f>
        <v>28</v>
      </c>
      <c r="AM159" s="21">
        <f t="shared" si="15"/>
        <v>25</v>
      </c>
      <c r="AN159" s="46"/>
      <c r="AO159" s="46"/>
      <c r="AP159" s="46"/>
      <c r="AQ159" s="107"/>
      <c r="AR159" s="1"/>
      <c r="AS159" s="1" t="s">
        <v>1905</v>
      </c>
      <c r="AT159" s="1" t="s">
        <v>2063</v>
      </c>
      <c r="AU159" s="1" t="s">
        <v>2219</v>
      </c>
      <c r="AV159" s="315" t="s">
        <v>2326</v>
      </c>
      <c r="AW159" s="403" t="s">
        <v>2746</v>
      </c>
      <c r="AY159" s="414"/>
    </row>
    <row r="160" spans="1:51" ht="15" customHeight="1" x14ac:dyDescent="0.25">
      <c r="A160" s="301">
        <v>15526</v>
      </c>
      <c r="B160" s="28">
        <v>46008</v>
      </c>
      <c r="C160" s="28">
        <v>46008</v>
      </c>
      <c r="D160" s="33">
        <v>1</v>
      </c>
      <c r="E160" s="45" t="s">
        <v>54</v>
      </c>
      <c r="F160" s="21" t="s">
        <v>55</v>
      </c>
      <c r="G160" s="33">
        <v>7</v>
      </c>
      <c r="H160" s="33" t="s">
        <v>56</v>
      </c>
      <c r="I160" s="53">
        <v>46037</v>
      </c>
      <c r="J160" s="53">
        <v>46043</v>
      </c>
      <c r="K160" s="33">
        <v>7</v>
      </c>
      <c r="L160" s="21" t="s">
        <v>55</v>
      </c>
      <c r="M160" s="21" t="s">
        <v>55</v>
      </c>
      <c r="N160" s="21" t="s">
        <v>55</v>
      </c>
      <c r="O160" s="21" t="s">
        <v>55</v>
      </c>
      <c r="P160" s="21" t="s">
        <v>55</v>
      </c>
      <c r="Q160" s="21" t="s">
        <v>55</v>
      </c>
      <c r="R160" s="3" t="s">
        <v>55</v>
      </c>
      <c r="S160" s="33">
        <v>2</v>
      </c>
      <c r="T160" s="33">
        <v>2</v>
      </c>
      <c r="U160" s="33">
        <v>0</v>
      </c>
      <c r="V160" s="28">
        <v>46050</v>
      </c>
      <c r="W160" s="28">
        <v>46064</v>
      </c>
      <c r="X160" s="28">
        <v>46065</v>
      </c>
      <c r="Y160" s="28">
        <v>46070</v>
      </c>
      <c r="Z160" s="140">
        <v>46076</v>
      </c>
      <c r="AA160" s="3">
        <f t="shared" si="11"/>
        <v>2</v>
      </c>
      <c r="AB160" s="85" t="s">
        <v>598</v>
      </c>
      <c r="AC160" s="35" t="s">
        <v>599</v>
      </c>
      <c r="AD160" s="19">
        <f t="shared" si="14"/>
        <v>1</v>
      </c>
      <c r="AE160" s="67">
        <f>IFERROR(NETWORKDAYS(B160,I160,Hoja1!$A$1:$A$29),"N/A")</f>
        <v>19</v>
      </c>
      <c r="AF160" s="21">
        <f>IFERROR(NETWORKDAYS(B160,W160,Hoja1!$A$1:$A$29),"N/A")</f>
        <v>38</v>
      </c>
      <c r="AG160" s="78">
        <v>18</v>
      </c>
      <c r="AH160" s="21">
        <f t="shared" si="13"/>
        <v>20</v>
      </c>
      <c r="AI160" s="21">
        <f>IFERROR(NETWORKDAYS(X160,Y160,Hoja1!$A$1:$A$29),"N/A")</f>
        <v>4</v>
      </c>
      <c r="AJ160" s="74">
        <v>0</v>
      </c>
      <c r="AK160" s="75">
        <f t="shared" si="12"/>
        <v>4</v>
      </c>
      <c r="AL160" s="21">
        <f>IFERROR(NETWORKDAYS(B160,Y160,Hoja1!$A$1:$A$29),"N/A")</f>
        <v>42</v>
      </c>
      <c r="AM160" s="21">
        <f t="shared" si="15"/>
        <v>24</v>
      </c>
      <c r="AN160" s="46"/>
      <c r="AO160" s="46"/>
      <c r="AP160" s="46"/>
      <c r="AQ160" s="33"/>
      <c r="AR160" s="33"/>
      <c r="AS160" s="33" t="s">
        <v>1932</v>
      </c>
      <c r="AT160" s="33" t="s">
        <v>1994</v>
      </c>
      <c r="AU160" s="33" t="s">
        <v>2220</v>
      </c>
      <c r="AV160" s="318" t="s">
        <v>2232</v>
      </c>
      <c r="AW160" s="403" t="s">
        <v>2747</v>
      </c>
      <c r="AY160" s="415"/>
    </row>
    <row r="161" spans="1:51" ht="15" customHeight="1" x14ac:dyDescent="0.25">
      <c r="A161" s="301">
        <v>15527</v>
      </c>
      <c r="B161" s="28">
        <v>46008</v>
      </c>
      <c r="C161" s="28">
        <v>46008</v>
      </c>
      <c r="D161" s="33">
        <v>1</v>
      </c>
      <c r="E161" s="45" t="s">
        <v>54</v>
      </c>
      <c r="F161" s="21" t="s">
        <v>55</v>
      </c>
      <c r="G161" s="33">
        <v>3</v>
      </c>
      <c r="H161" s="33" t="s">
        <v>112</v>
      </c>
      <c r="I161" s="53">
        <v>46015</v>
      </c>
      <c r="J161" s="53">
        <v>46038</v>
      </c>
      <c r="K161" s="33">
        <v>3</v>
      </c>
      <c r="L161" s="21" t="s">
        <v>55</v>
      </c>
      <c r="M161" s="21" t="s">
        <v>55</v>
      </c>
      <c r="N161" s="21" t="s">
        <v>55</v>
      </c>
      <c r="O161" s="21" t="s">
        <v>55</v>
      </c>
      <c r="P161" s="21" t="s">
        <v>55</v>
      </c>
      <c r="Q161" s="21" t="s">
        <v>55</v>
      </c>
      <c r="R161" s="3" t="s">
        <v>55</v>
      </c>
      <c r="S161" s="33">
        <v>1</v>
      </c>
      <c r="T161" s="33">
        <v>1</v>
      </c>
      <c r="U161" s="33">
        <v>0</v>
      </c>
      <c r="V161" s="28">
        <v>46045</v>
      </c>
      <c r="W161" s="16">
        <v>46049</v>
      </c>
      <c r="X161" s="16">
        <v>46049</v>
      </c>
      <c r="Y161" s="16">
        <v>46052</v>
      </c>
      <c r="Z161" s="16">
        <v>46055</v>
      </c>
      <c r="AA161" s="3">
        <f t="shared" si="11"/>
        <v>2</v>
      </c>
      <c r="AB161" s="85" t="s">
        <v>600</v>
      </c>
      <c r="AC161" s="35" t="s">
        <v>601</v>
      </c>
      <c r="AD161" s="19">
        <f t="shared" si="14"/>
        <v>1</v>
      </c>
      <c r="AE161" s="67">
        <f>IFERROR(NETWORKDAYS(B161,I161,Hoja1!$A$1:$A$29),"N/A")</f>
        <v>6</v>
      </c>
      <c r="AF161" s="21">
        <f>IFERROR(NETWORKDAYS(B161,W161,Hoja1!$A$1:$A$29),"N/A")</f>
        <v>27</v>
      </c>
      <c r="AG161" s="78">
        <v>9</v>
      </c>
      <c r="AH161" s="21">
        <f t="shared" si="13"/>
        <v>18</v>
      </c>
      <c r="AI161" s="21">
        <f>IFERROR(NETWORKDAYS(X161,Y161,Hoja1!$A$1:$A$29),"N/A")</f>
        <v>4</v>
      </c>
      <c r="AJ161" s="74">
        <v>0</v>
      </c>
      <c r="AK161" s="75">
        <f t="shared" si="12"/>
        <v>4</v>
      </c>
      <c r="AL161" s="21">
        <f>IFERROR(NETWORKDAYS(B161,Y161,Hoja1!$A$1:$A$29),"N/A")</f>
        <v>30</v>
      </c>
      <c r="AM161" s="21">
        <f t="shared" si="15"/>
        <v>21</v>
      </c>
      <c r="AN161" s="46"/>
      <c r="AO161" s="46"/>
      <c r="AP161" s="46"/>
      <c r="AQ161" s="33"/>
      <c r="AR161" s="33"/>
      <c r="AS161" s="33" t="s">
        <v>1908</v>
      </c>
      <c r="AT161" s="33" t="s">
        <v>1996</v>
      </c>
      <c r="AU161" s="33" t="s">
        <v>2220</v>
      </c>
      <c r="AV161" s="318" t="s">
        <v>2327</v>
      </c>
      <c r="AW161" s="403" t="s">
        <v>2748</v>
      </c>
      <c r="AY161" s="414"/>
    </row>
    <row r="162" spans="1:51" ht="15" customHeight="1" x14ac:dyDescent="0.25">
      <c r="A162" s="301">
        <v>15538</v>
      </c>
      <c r="B162" s="15">
        <v>46059</v>
      </c>
      <c r="C162" s="16">
        <v>46008</v>
      </c>
      <c r="D162" s="1">
        <v>1</v>
      </c>
      <c r="E162" s="45" t="s">
        <v>54</v>
      </c>
      <c r="F162" s="2" t="s">
        <v>55</v>
      </c>
      <c r="G162" s="33">
        <v>0</v>
      </c>
      <c r="H162" s="1"/>
      <c r="I162" s="2" t="s">
        <v>55</v>
      </c>
      <c r="J162" s="2" t="s">
        <v>55</v>
      </c>
      <c r="K162" s="33">
        <v>0</v>
      </c>
      <c r="L162" s="18" t="s">
        <v>55</v>
      </c>
      <c r="M162" s="18" t="s">
        <v>55</v>
      </c>
      <c r="N162" s="18" t="s">
        <v>55</v>
      </c>
      <c r="O162" s="18" t="s">
        <v>55</v>
      </c>
      <c r="P162" s="18" t="s">
        <v>55</v>
      </c>
      <c r="Q162" s="18" t="s">
        <v>55</v>
      </c>
      <c r="R162" s="3" t="s">
        <v>55</v>
      </c>
      <c r="S162" s="1">
        <v>1</v>
      </c>
      <c r="T162" s="1">
        <v>1</v>
      </c>
      <c r="U162" s="1">
        <v>0</v>
      </c>
      <c r="V162" s="16">
        <v>46065</v>
      </c>
      <c r="W162" s="16">
        <v>46065</v>
      </c>
      <c r="X162" s="16">
        <v>46069</v>
      </c>
      <c r="Y162" s="16">
        <v>46073</v>
      </c>
      <c r="Z162" s="140">
        <v>46076</v>
      </c>
      <c r="AA162" s="3">
        <f t="shared" si="11"/>
        <v>2</v>
      </c>
      <c r="AB162" s="249" t="s">
        <v>602</v>
      </c>
      <c r="AC162" s="49" t="s">
        <v>603</v>
      </c>
      <c r="AD162" s="19" t="str">
        <f t="shared" si="14"/>
        <v>N/A</v>
      </c>
      <c r="AE162" s="67" t="str">
        <f>IFERROR(NETWORKDAYS(B162,I162,Hoja1!$A$1:$A$29),"N/A")</f>
        <v>N/A</v>
      </c>
      <c r="AF162" s="21">
        <f>IFERROR(NETWORKDAYS(B162,W162,Hoja1!$A$1:$A$29),"N/A")</f>
        <v>5</v>
      </c>
      <c r="AG162" s="78">
        <v>0</v>
      </c>
      <c r="AH162" s="21">
        <f t="shared" si="13"/>
        <v>5</v>
      </c>
      <c r="AI162" s="21">
        <f>IFERROR(NETWORKDAYS(X162,Y162,Hoja1!$A$1:$A$29),"N/A")</f>
        <v>5</v>
      </c>
      <c r="AJ162" s="78">
        <v>0</v>
      </c>
      <c r="AK162" s="75">
        <f t="shared" si="12"/>
        <v>5</v>
      </c>
      <c r="AL162" s="21">
        <f>IFERROR(NETWORKDAYS(B162,Y162,Hoja1!$A$1:$A$29),"N/A")</f>
        <v>11</v>
      </c>
      <c r="AM162" s="21">
        <f t="shared" si="15"/>
        <v>11</v>
      </c>
      <c r="AN162" s="46" t="s">
        <v>453</v>
      </c>
      <c r="AO162" s="46" t="s">
        <v>551</v>
      </c>
      <c r="AP162" s="46"/>
      <c r="AQ162" s="1"/>
      <c r="AR162" s="1"/>
      <c r="AS162" s="1" t="s">
        <v>1888</v>
      </c>
      <c r="AT162" s="1" t="s">
        <v>2035</v>
      </c>
      <c r="AU162" s="1" t="s">
        <v>2211</v>
      </c>
      <c r="AV162" s="315" t="s">
        <v>2328</v>
      </c>
      <c r="AW162" s="403" t="s">
        <v>2749</v>
      </c>
      <c r="AY162" s="415"/>
    </row>
    <row r="163" spans="1:51" ht="15" customHeight="1" x14ac:dyDescent="0.25">
      <c r="A163" s="294">
        <v>15541</v>
      </c>
      <c r="B163" s="30">
        <v>46008</v>
      </c>
      <c r="C163" s="30">
        <v>46008</v>
      </c>
      <c r="D163" s="3">
        <v>1</v>
      </c>
      <c r="E163" s="45" t="s">
        <v>54</v>
      </c>
      <c r="F163" s="3" t="s">
        <v>55</v>
      </c>
      <c r="G163" s="3">
        <v>4</v>
      </c>
      <c r="H163" s="3" t="s">
        <v>112</v>
      </c>
      <c r="I163" s="30">
        <v>46062</v>
      </c>
      <c r="J163" s="30">
        <v>46062</v>
      </c>
      <c r="K163" s="3">
        <v>4</v>
      </c>
      <c r="L163" s="3" t="s">
        <v>55</v>
      </c>
      <c r="M163" s="3" t="s">
        <v>55</v>
      </c>
      <c r="N163" s="3" t="s">
        <v>55</v>
      </c>
      <c r="O163" s="3" t="s">
        <v>55</v>
      </c>
      <c r="P163" s="3" t="s">
        <v>55</v>
      </c>
      <c r="Q163" s="3" t="s">
        <v>55</v>
      </c>
      <c r="R163" s="3" t="s">
        <v>55</v>
      </c>
      <c r="S163" s="3">
        <v>4</v>
      </c>
      <c r="T163" s="3">
        <v>1</v>
      </c>
      <c r="U163" s="3">
        <v>0</v>
      </c>
      <c r="V163" s="30">
        <v>46069</v>
      </c>
      <c r="W163" s="30">
        <v>46069</v>
      </c>
      <c r="X163" s="30">
        <v>46069</v>
      </c>
      <c r="Y163" s="16">
        <v>46073</v>
      </c>
      <c r="Z163" s="140">
        <v>46076</v>
      </c>
      <c r="AA163" s="3">
        <f t="shared" si="11"/>
        <v>2</v>
      </c>
      <c r="AB163" s="85" t="s">
        <v>605</v>
      </c>
      <c r="AC163" s="45" t="s">
        <v>606</v>
      </c>
      <c r="AD163" s="19">
        <f t="shared" si="14"/>
        <v>1</v>
      </c>
      <c r="AE163" s="67">
        <f>IFERROR(NETWORKDAYS(B163,I163,Hoja1!$A$1:$A$29),"N/A")</f>
        <v>36</v>
      </c>
      <c r="AF163" s="21">
        <f>IFERROR(NETWORKDAYS(B163,W163,Hoja1!$A$1:$A$29),"N/A")</f>
        <v>41</v>
      </c>
      <c r="AG163" s="78">
        <v>20</v>
      </c>
      <c r="AH163" s="21">
        <f t="shared" si="13"/>
        <v>21</v>
      </c>
      <c r="AI163" s="21">
        <f>IFERROR(NETWORKDAYS(X163,Y163,Hoja1!$A$1:$A$29),"N/A")</f>
        <v>5</v>
      </c>
      <c r="AJ163" s="78">
        <v>0</v>
      </c>
      <c r="AK163" s="75">
        <f t="shared" si="12"/>
        <v>5</v>
      </c>
      <c r="AL163" s="21">
        <f>IFERROR(NETWORKDAYS(B163,Y163,Hoja1!$A$1:$A$29),"N/A")</f>
        <v>45</v>
      </c>
      <c r="AM163" s="21">
        <f t="shared" si="15"/>
        <v>25</v>
      </c>
      <c r="AN163" s="46"/>
      <c r="AO163" s="46"/>
      <c r="AP163" s="46"/>
      <c r="AQ163" s="107"/>
      <c r="AR163" s="1"/>
      <c r="AS163" s="1" t="s">
        <v>1895</v>
      </c>
      <c r="AT163" s="1" t="s">
        <v>2047</v>
      </c>
      <c r="AU163" s="1" t="s">
        <v>2216</v>
      </c>
      <c r="AV163" s="315" t="s">
        <v>2320</v>
      </c>
      <c r="AW163" s="403" t="s">
        <v>2750</v>
      </c>
      <c r="AY163" s="414"/>
    </row>
    <row r="164" spans="1:51" ht="15" customHeight="1" x14ac:dyDescent="0.25">
      <c r="A164" s="301">
        <v>15545</v>
      </c>
      <c r="B164" s="28">
        <v>46013</v>
      </c>
      <c r="C164" s="28">
        <v>46009</v>
      </c>
      <c r="D164" s="33">
        <v>1</v>
      </c>
      <c r="E164" s="45" t="s">
        <v>54</v>
      </c>
      <c r="F164" s="21" t="s">
        <v>55</v>
      </c>
      <c r="G164" s="33">
        <v>4</v>
      </c>
      <c r="H164" s="33" t="s">
        <v>112</v>
      </c>
      <c r="I164" s="53">
        <v>46024</v>
      </c>
      <c r="J164" s="53">
        <v>46042</v>
      </c>
      <c r="K164" s="33">
        <v>4</v>
      </c>
      <c r="L164" s="38">
        <v>46013</v>
      </c>
      <c r="M164" s="38">
        <v>46014</v>
      </c>
      <c r="N164" s="38">
        <v>46024</v>
      </c>
      <c r="O164" s="38">
        <v>46042</v>
      </c>
      <c r="P164" s="38">
        <v>46048</v>
      </c>
      <c r="Q164" s="38">
        <v>46048</v>
      </c>
      <c r="R164" s="38">
        <v>46050</v>
      </c>
      <c r="S164" s="33">
        <v>3</v>
      </c>
      <c r="T164" s="33">
        <v>3</v>
      </c>
      <c r="U164" s="33">
        <v>0</v>
      </c>
      <c r="V164" s="28">
        <v>46057</v>
      </c>
      <c r="W164" s="28">
        <v>46058</v>
      </c>
      <c r="X164" s="28">
        <v>46059</v>
      </c>
      <c r="Y164" s="28">
        <v>46064</v>
      </c>
      <c r="Z164" s="28">
        <v>46065</v>
      </c>
      <c r="AA164" s="3">
        <f t="shared" si="11"/>
        <v>2</v>
      </c>
      <c r="AB164" s="85" t="s">
        <v>608</v>
      </c>
      <c r="AC164" s="35" t="s">
        <v>609</v>
      </c>
      <c r="AD164" s="19">
        <f t="shared" si="14"/>
        <v>1</v>
      </c>
      <c r="AE164" s="67">
        <f>IFERROR(NETWORKDAYS(B164,I164,Hoja1!$A$1:$A$29),"N/A")</f>
        <v>8</v>
      </c>
      <c r="AF164" s="21">
        <f>IFERROR(NETWORKDAYS(B164,W164,Hoja1!$A$1:$A$29),"N/A")</f>
        <v>31</v>
      </c>
      <c r="AG164" s="78">
        <v>8</v>
      </c>
      <c r="AH164" s="21">
        <f t="shared" si="13"/>
        <v>23</v>
      </c>
      <c r="AI164" s="21">
        <f>IFERROR(NETWORKDAYS(X164,Y164,Hoja1!$A$1:$A$29),"N/A")</f>
        <v>4</v>
      </c>
      <c r="AJ164" s="74">
        <v>0</v>
      </c>
      <c r="AK164" s="75">
        <f t="shared" si="12"/>
        <v>4</v>
      </c>
      <c r="AL164" s="21">
        <f>IFERROR(NETWORKDAYS(B164,Y164,Hoja1!$A$1:$A$29),"N/A")</f>
        <v>35</v>
      </c>
      <c r="AM164" s="21">
        <f t="shared" si="15"/>
        <v>27</v>
      </c>
      <c r="AN164" s="46"/>
      <c r="AO164" s="46"/>
      <c r="AP164" s="46"/>
      <c r="AQ164" s="33"/>
      <c r="AR164" s="33"/>
      <c r="AS164" s="33" t="s">
        <v>1932</v>
      </c>
      <c r="AT164" s="33" t="s">
        <v>2064</v>
      </c>
      <c r="AU164" s="33" t="s">
        <v>2220</v>
      </c>
      <c r="AV164" s="318" t="s">
        <v>2329</v>
      </c>
      <c r="AW164" s="403" t="s">
        <v>2751</v>
      </c>
      <c r="AY164" s="415"/>
    </row>
    <row r="165" spans="1:51" ht="15" customHeight="1" x14ac:dyDescent="0.25">
      <c r="A165" s="294">
        <v>15546</v>
      </c>
      <c r="B165" s="30">
        <v>46038</v>
      </c>
      <c r="C165" s="30">
        <v>46009</v>
      </c>
      <c r="D165" s="3">
        <v>1</v>
      </c>
      <c r="E165" s="45" t="s">
        <v>54</v>
      </c>
      <c r="F165" s="3" t="s">
        <v>55</v>
      </c>
      <c r="G165" s="3">
        <v>3</v>
      </c>
      <c r="H165" s="3" t="s">
        <v>112</v>
      </c>
      <c r="I165" s="30">
        <v>46050</v>
      </c>
      <c r="J165" s="30">
        <v>46050</v>
      </c>
      <c r="K165" s="3">
        <v>3</v>
      </c>
      <c r="L165" s="3" t="s">
        <v>55</v>
      </c>
      <c r="M165" s="3" t="s">
        <v>55</v>
      </c>
      <c r="N165" s="3" t="s">
        <v>55</v>
      </c>
      <c r="O165" s="3" t="s">
        <v>55</v>
      </c>
      <c r="P165" s="3" t="s">
        <v>55</v>
      </c>
      <c r="Q165" s="3" t="s">
        <v>55</v>
      </c>
      <c r="R165" s="3" t="s">
        <v>55</v>
      </c>
      <c r="S165" s="3">
        <v>3</v>
      </c>
      <c r="T165" s="3">
        <v>1</v>
      </c>
      <c r="U165" s="3">
        <v>0</v>
      </c>
      <c r="V165" s="30">
        <v>46058</v>
      </c>
      <c r="W165" s="30">
        <v>46058</v>
      </c>
      <c r="X165" s="30">
        <v>46058</v>
      </c>
      <c r="Y165" s="30">
        <v>46063</v>
      </c>
      <c r="Z165" s="30">
        <v>46065</v>
      </c>
      <c r="AA165" s="3">
        <f t="shared" si="11"/>
        <v>2</v>
      </c>
      <c r="AB165" s="85" t="s">
        <v>611</v>
      </c>
      <c r="AC165" s="45" t="s">
        <v>612</v>
      </c>
      <c r="AD165" s="19">
        <f t="shared" si="14"/>
        <v>1</v>
      </c>
      <c r="AE165" s="67">
        <f>IFERROR(NETWORKDAYS(B165,I165,Hoja1!$A$1:$A$29),"N/A")</f>
        <v>9</v>
      </c>
      <c r="AF165" s="21">
        <f>IFERROR(NETWORKDAYS(B165,W165,Hoja1!$A$1:$A$29),"N/A")</f>
        <v>15</v>
      </c>
      <c r="AG165" s="78">
        <v>0</v>
      </c>
      <c r="AH165" s="21">
        <f t="shared" si="13"/>
        <v>15</v>
      </c>
      <c r="AI165" s="21">
        <f>IFERROR(NETWORKDAYS(X165,Y165,Hoja1!$A$1:$A$29),"N/A")</f>
        <v>4</v>
      </c>
      <c r="AJ165" s="78">
        <v>0</v>
      </c>
      <c r="AK165" s="75">
        <f t="shared" si="12"/>
        <v>4</v>
      </c>
      <c r="AL165" s="21">
        <f>IFERROR(NETWORKDAYS(B165,Y165,Hoja1!$A$1:$A$29),"N/A")</f>
        <v>18</v>
      </c>
      <c r="AM165" s="21">
        <f t="shared" si="15"/>
        <v>18</v>
      </c>
      <c r="AN165" s="46" t="s">
        <v>453</v>
      </c>
      <c r="AO165" s="46" t="s">
        <v>464</v>
      </c>
      <c r="AP165" s="46"/>
      <c r="AQ165" s="107"/>
      <c r="AR165" s="1"/>
      <c r="AS165" s="1" t="s">
        <v>1890</v>
      </c>
      <c r="AT165" s="1" t="s">
        <v>1996</v>
      </c>
      <c r="AU165" s="1" t="s">
        <v>2216</v>
      </c>
      <c r="AV165" s="315" t="s">
        <v>2297</v>
      </c>
      <c r="AW165" s="403" t="s">
        <v>2752</v>
      </c>
      <c r="AY165" s="414"/>
    </row>
    <row r="166" spans="1:51" ht="15" customHeight="1" x14ac:dyDescent="0.25">
      <c r="A166" s="301">
        <v>15551</v>
      </c>
      <c r="B166" s="28">
        <v>46009</v>
      </c>
      <c r="C166" s="28">
        <v>46009</v>
      </c>
      <c r="D166" s="33">
        <v>1</v>
      </c>
      <c r="E166" s="45" t="s">
        <v>54</v>
      </c>
      <c r="F166" s="53">
        <v>46009</v>
      </c>
      <c r="G166" s="33">
        <v>6</v>
      </c>
      <c r="H166" s="33" t="s">
        <v>112</v>
      </c>
      <c r="I166" s="28">
        <v>46013</v>
      </c>
      <c r="J166" s="28">
        <v>46044</v>
      </c>
      <c r="K166" s="33">
        <v>6</v>
      </c>
      <c r="L166" s="36" t="s">
        <v>55</v>
      </c>
      <c r="M166" s="36" t="s">
        <v>55</v>
      </c>
      <c r="N166" s="36" t="s">
        <v>55</v>
      </c>
      <c r="O166" s="36" t="s">
        <v>55</v>
      </c>
      <c r="P166" s="36" t="s">
        <v>55</v>
      </c>
      <c r="Q166" s="36" t="s">
        <v>55</v>
      </c>
      <c r="R166" s="3" t="s">
        <v>55</v>
      </c>
      <c r="S166" s="33">
        <v>3</v>
      </c>
      <c r="T166" s="33">
        <v>3</v>
      </c>
      <c r="U166" s="33">
        <v>0</v>
      </c>
      <c r="V166" s="28">
        <v>46050</v>
      </c>
      <c r="W166" s="28">
        <v>46056</v>
      </c>
      <c r="X166" s="28">
        <v>46057</v>
      </c>
      <c r="Y166" s="28">
        <v>46064</v>
      </c>
      <c r="Z166" s="28">
        <v>46065</v>
      </c>
      <c r="AA166" s="3">
        <f t="shared" si="11"/>
        <v>2</v>
      </c>
      <c r="AB166" s="85" t="s">
        <v>614</v>
      </c>
      <c r="AC166" s="35" t="s">
        <v>615</v>
      </c>
      <c r="AD166" s="19">
        <f t="shared" si="14"/>
        <v>1</v>
      </c>
      <c r="AE166" s="67">
        <f>IFERROR(NETWORKDAYS(B166,I166,Hoja1!$A$1:$A$29),"N/A")</f>
        <v>3</v>
      </c>
      <c r="AF166" s="21">
        <f>IFERROR(NETWORKDAYS(B166,W166,Hoja1!$A$1:$A$29),"N/A")</f>
        <v>31</v>
      </c>
      <c r="AG166" s="78">
        <v>15</v>
      </c>
      <c r="AH166" s="21">
        <f t="shared" si="13"/>
        <v>16</v>
      </c>
      <c r="AI166" s="21">
        <f>IFERROR(NETWORKDAYS(X166,Y166,Hoja1!$A$1:$A$29),"N/A")</f>
        <v>6</v>
      </c>
      <c r="AJ166" s="74">
        <v>1</v>
      </c>
      <c r="AK166" s="75">
        <f t="shared" si="12"/>
        <v>5</v>
      </c>
      <c r="AL166" s="21">
        <f>IFERROR(NETWORKDAYS(B166,Y166,Hoja1!$A$1:$A$29),"N/A")</f>
        <v>37</v>
      </c>
      <c r="AM166" s="21">
        <f t="shared" si="15"/>
        <v>21</v>
      </c>
      <c r="AN166" s="46"/>
      <c r="AO166" s="46"/>
      <c r="AP166" s="46"/>
      <c r="AQ166" s="33"/>
      <c r="AR166" s="33"/>
      <c r="AS166" s="33" t="s">
        <v>1889</v>
      </c>
      <c r="AT166" s="33" t="s">
        <v>2065</v>
      </c>
      <c r="AU166" s="33" t="s">
        <v>2212</v>
      </c>
      <c r="AV166" s="318" t="s">
        <v>2330</v>
      </c>
      <c r="AW166" s="403" t="s">
        <v>2753</v>
      </c>
      <c r="AY166" s="415"/>
    </row>
    <row r="167" spans="1:51" ht="15" customHeight="1" x14ac:dyDescent="0.25">
      <c r="A167" s="294">
        <v>15558</v>
      </c>
      <c r="B167" s="30">
        <v>46049</v>
      </c>
      <c r="C167" s="30">
        <v>46010</v>
      </c>
      <c r="D167" s="3">
        <v>1</v>
      </c>
      <c r="E167" s="45" t="s">
        <v>54</v>
      </c>
      <c r="F167" s="3" t="s">
        <v>55</v>
      </c>
      <c r="G167" s="3">
        <v>3</v>
      </c>
      <c r="H167" s="3" t="s">
        <v>112</v>
      </c>
      <c r="I167" s="30">
        <v>46056</v>
      </c>
      <c r="J167" s="30">
        <v>46056</v>
      </c>
      <c r="K167" s="3">
        <v>2</v>
      </c>
      <c r="L167" s="3" t="s">
        <v>55</v>
      </c>
      <c r="M167" s="3" t="s">
        <v>55</v>
      </c>
      <c r="N167" s="3" t="s">
        <v>55</v>
      </c>
      <c r="O167" s="3" t="s">
        <v>55</v>
      </c>
      <c r="P167" s="3" t="s">
        <v>55</v>
      </c>
      <c r="Q167" s="3" t="s">
        <v>55</v>
      </c>
      <c r="R167" s="3" t="s">
        <v>55</v>
      </c>
      <c r="S167" s="3">
        <v>2</v>
      </c>
      <c r="T167" s="3">
        <v>1</v>
      </c>
      <c r="U167" s="3">
        <v>0</v>
      </c>
      <c r="V167" s="30">
        <v>46058</v>
      </c>
      <c r="W167" s="30">
        <v>46058</v>
      </c>
      <c r="X167" s="30">
        <v>46058</v>
      </c>
      <c r="Y167" s="30">
        <v>46064</v>
      </c>
      <c r="Z167" s="30">
        <v>46065</v>
      </c>
      <c r="AA167" s="3">
        <f t="shared" si="11"/>
        <v>2</v>
      </c>
      <c r="AB167" s="85" t="s">
        <v>617</v>
      </c>
      <c r="AC167" s="45" t="s">
        <v>618</v>
      </c>
      <c r="AD167" s="19">
        <f t="shared" si="14"/>
        <v>0.66666666666666663</v>
      </c>
      <c r="AE167" s="67">
        <f>IFERROR(NETWORKDAYS(B167,I167,Hoja1!$A$1:$A$29),"N/A")</f>
        <v>6</v>
      </c>
      <c r="AF167" s="21">
        <f>IFERROR(NETWORKDAYS(B167,W167,Hoja1!$A$1:$A$29),"N/A")</f>
        <v>8</v>
      </c>
      <c r="AG167" s="78">
        <v>0</v>
      </c>
      <c r="AH167" s="21">
        <f t="shared" si="13"/>
        <v>8</v>
      </c>
      <c r="AI167" s="21">
        <f>IFERROR(NETWORKDAYS(X167,Y167,Hoja1!$A$1:$A$29),"N/A")</f>
        <v>5</v>
      </c>
      <c r="AJ167" s="78">
        <v>0</v>
      </c>
      <c r="AK167" s="75">
        <f t="shared" si="12"/>
        <v>5</v>
      </c>
      <c r="AL167" s="21">
        <f>IFERROR(NETWORKDAYS(B167,Y167,Hoja1!$A$1:$A$29),"N/A")</f>
        <v>12</v>
      </c>
      <c r="AM167" s="21">
        <f t="shared" si="15"/>
        <v>12</v>
      </c>
      <c r="AN167" s="46" t="s">
        <v>445</v>
      </c>
      <c r="AO167" s="46"/>
      <c r="AP167" s="46"/>
      <c r="AQ167" s="107"/>
      <c r="AR167" s="1"/>
      <c r="AS167" s="1" t="s">
        <v>1890</v>
      </c>
      <c r="AT167" s="1" t="s">
        <v>2020</v>
      </c>
      <c r="AU167" s="1" t="s">
        <v>2216</v>
      </c>
      <c r="AV167" s="315" t="s">
        <v>2331</v>
      </c>
      <c r="AW167" s="403" t="s">
        <v>2754</v>
      </c>
      <c r="AY167" s="414"/>
    </row>
    <row r="168" spans="1:51" ht="15" customHeight="1" x14ac:dyDescent="0.25">
      <c r="A168" s="294">
        <v>15559</v>
      </c>
      <c r="B168" s="44">
        <v>46051</v>
      </c>
      <c r="C168" s="44">
        <v>46010</v>
      </c>
      <c r="D168" s="3">
        <v>1</v>
      </c>
      <c r="E168" s="45" t="s">
        <v>54</v>
      </c>
      <c r="F168" s="3" t="s">
        <v>55</v>
      </c>
      <c r="G168" s="3">
        <v>6</v>
      </c>
      <c r="H168" s="3" t="s">
        <v>112</v>
      </c>
      <c r="I168" s="30">
        <v>46062</v>
      </c>
      <c r="J168" s="30">
        <v>46062</v>
      </c>
      <c r="K168" s="3">
        <v>4</v>
      </c>
      <c r="L168" s="3" t="s">
        <v>55</v>
      </c>
      <c r="M168" s="3" t="s">
        <v>55</v>
      </c>
      <c r="N168" s="3" t="s">
        <v>55</v>
      </c>
      <c r="O168" s="3" t="s">
        <v>55</v>
      </c>
      <c r="P168" s="3" t="s">
        <v>55</v>
      </c>
      <c r="Q168" s="3" t="s">
        <v>55</v>
      </c>
      <c r="R168" s="3" t="s">
        <v>55</v>
      </c>
      <c r="S168" s="3">
        <v>4</v>
      </c>
      <c r="T168" s="3">
        <v>1</v>
      </c>
      <c r="U168" s="3">
        <v>0</v>
      </c>
      <c r="V168" s="70">
        <v>46069</v>
      </c>
      <c r="W168" s="16">
        <v>46069</v>
      </c>
      <c r="X168" s="16">
        <v>46069</v>
      </c>
      <c r="Y168" s="16">
        <v>46073</v>
      </c>
      <c r="Z168" s="140">
        <v>46076</v>
      </c>
      <c r="AA168" s="3">
        <f t="shared" si="11"/>
        <v>2</v>
      </c>
      <c r="AB168" s="85" t="s">
        <v>620</v>
      </c>
      <c r="AC168" s="45" t="s">
        <v>621</v>
      </c>
      <c r="AD168" s="19">
        <f t="shared" si="14"/>
        <v>0.66666666666666663</v>
      </c>
      <c r="AE168" s="67">
        <f>IFERROR(NETWORKDAYS(B168,I168,Hoja1!$A$1:$A$29),"N/A")</f>
        <v>8</v>
      </c>
      <c r="AF168" s="21">
        <f>IFERROR(NETWORKDAYS(B168,W168,Hoja1!$A$1:$A$29),"N/A")</f>
        <v>13</v>
      </c>
      <c r="AG168" s="78">
        <v>0</v>
      </c>
      <c r="AH168" s="21">
        <f t="shared" si="13"/>
        <v>13</v>
      </c>
      <c r="AI168" s="21">
        <f>IFERROR(NETWORKDAYS(X168,Y168,Hoja1!$A$1:$A$29),"N/A")</f>
        <v>5</v>
      </c>
      <c r="AJ168" s="78">
        <v>0</v>
      </c>
      <c r="AK168" s="75">
        <f t="shared" si="12"/>
        <v>5</v>
      </c>
      <c r="AL168" s="21">
        <f>IFERROR(NETWORKDAYS(B168,Y168,Hoja1!$A$1:$A$29),"N/A")</f>
        <v>17</v>
      </c>
      <c r="AM168" s="21">
        <f t="shared" si="15"/>
        <v>17</v>
      </c>
      <c r="AN168" s="46" t="s">
        <v>445</v>
      </c>
      <c r="AO168" s="46"/>
      <c r="AP168" s="46"/>
      <c r="AQ168" s="107"/>
      <c r="AR168" s="1"/>
      <c r="AS168" s="1" t="s">
        <v>1890</v>
      </c>
      <c r="AT168" s="1" t="s">
        <v>2020</v>
      </c>
      <c r="AU168" s="1" t="s">
        <v>2216</v>
      </c>
      <c r="AV168" s="315" t="s">
        <v>2268</v>
      </c>
      <c r="AW168" s="403" t="s">
        <v>2755</v>
      </c>
      <c r="AY168" s="415"/>
    </row>
    <row r="169" spans="1:51" ht="15" customHeight="1" x14ac:dyDescent="0.25">
      <c r="A169" s="294">
        <v>15563</v>
      </c>
      <c r="B169" s="44">
        <v>46036</v>
      </c>
      <c r="C169" s="30">
        <v>46013</v>
      </c>
      <c r="D169" s="3">
        <v>1</v>
      </c>
      <c r="E169" s="45" t="s">
        <v>54</v>
      </c>
      <c r="F169" s="3" t="s">
        <v>55</v>
      </c>
      <c r="G169" s="3">
        <v>4</v>
      </c>
      <c r="H169" s="3" t="s">
        <v>112</v>
      </c>
      <c r="I169" s="30">
        <v>46051</v>
      </c>
      <c r="J169" s="30">
        <v>46051</v>
      </c>
      <c r="K169" s="3">
        <v>4</v>
      </c>
      <c r="L169" s="3" t="s">
        <v>55</v>
      </c>
      <c r="M169" s="3" t="s">
        <v>55</v>
      </c>
      <c r="N169" s="3" t="s">
        <v>55</v>
      </c>
      <c r="O169" s="3" t="s">
        <v>55</v>
      </c>
      <c r="P169" s="3" t="s">
        <v>55</v>
      </c>
      <c r="Q169" s="3" t="s">
        <v>55</v>
      </c>
      <c r="R169" s="3" t="s">
        <v>55</v>
      </c>
      <c r="S169" s="3">
        <v>4</v>
      </c>
      <c r="T169" s="3">
        <v>1</v>
      </c>
      <c r="U169" s="3">
        <v>0</v>
      </c>
      <c r="V169" s="70">
        <v>46069</v>
      </c>
      <c r="W169" s="16">
        <v>46069</v>
      </c>
      <c r="X169" s="16">
        <v>46069</v>
      </c>
      <c r="Y169" s="16">
        <v>46073</v>
      </c>
      <c r="Z169" s="140">
        <v>46076</v>
      </c>
      <c r="AA169" s="3">
        <f t="shared" si="11"/>
        <v>2</v>
      </c>
      <c r="AB169" s="85" t="s">
        <v>622</v>
      </c>
      <c r="AC169" s="45" t="s">
        <v>623</v>
      </c>
      <c r="AD169" s="19">
        <f t="shared" si="14"/>
        <v>1</v>
      </c>
      <c r="AE169" s="67">
        <f>IFERROR(NETWORKDAYS(B169,I169,Hoja1!$A$1:$A$29),"N/A")</f>
        <v>12</v>
      </c>
      <c r="AF169" s="21">
        <f>IFERROR(NETWORKDAYS(B169,W169,Hoja1!$A$1:$A$29),"N/A")</f>
        <v>24</v>
      </c>
      <c r="AG169" s="78">
        <v>13</v>
      </c>
      <c r="AH169" s="21">
        <f t="shared" si="13"/>
        <v>11</v>
      </c>
      <c r="AI169" s="21">
        <f>IFERROR(NETWORKDAYS(X169,Y169,Hoja1!$A$1:$A$29),"N/A")</f>
        <v>5</v>
      </c>
      <c r="AJ169" s="78">
        <v>0</v>
      </c>
      <c r="AK169" s="75">
        <f t="shared" si="12"/>
        <v>5</v>
      </c>
      <c r="AL169" s="21">
        <f>IFERROR(NETWORKDAYS(B169,Y169,Hoja1!$A$1:$A$29),"N/A")</f>
        <v>28</v>
      </c>
      <c r="AM169" s="21">
        <f t="shared" si="15"/>
        <v>15</v>
      </c>
      <c r="AN169" s="46"/>
      <c r="AO169" s="46"/>
      <c r="AP169" s="46"/>
      <c r="AQ169" s="107"/>
      <c r="AR169" s="1"/>
      <c r="AS169" s="1" t="s">
        <v>1890</v>
      </c>
      <c r="AT169" s="1" t="s">
        <v>1995</v>
      </c>
      <c r="AU169" s="1" t="s">
        <v>2216</v>
      </c>
      <c r="AV169" s="315" t="s">
        <v>2320</v>
      </c>
      <c r="AW169" s="403" t="s">
        <v>2756</v>
      </c>
      <c r="AY169" s="414"/>
    </row>
    <row r="170" spans="1:51" ht="15" customHeight="1" x14ac:dyDescent="0.25">
      <c r="A170" s="296">
        <v>15571</v>
      </c>
      <c r="B170" s="37">
        <v>46048</v>
      </c>
      <c r="C170" s="37">
        <v>46013</v>
      </c>
      <c r="D170" s="3">
        <v>1</v>
      </c>
      <c r="E170" s="45" t="s">
        <v>54</v>
      </c>
      <c r="F170" s="18" t="s">
        <v>55</v>
      </c>
      <c r="G170" s="3">
        <v>3</v>
      </c>
      <c r="H170" s="3" t="s">
        <v>112</v>
      </c>
      <c r="I170" s="30">
        <v>46051</v>
      </c>
      <c r="J170" s="30">
        <v>46051</v>
      </c>
      <c r="K170" s="3">
        <v>3</v>
      </c>
      <c r="L170" s="18" t="s">
        <v>55</v>
      </c>
      <c r="M170" s="18" t="s">
        <v>55</v>
      </c>
      <c r="N170" s="18" t="s">
        <v>55</v>
      </c>
      <c r="O170" s="18" t="s">
        <v>55</v>
      </c>
      <c r="P170" s="18" t="s">
        <v>55</v>
      </c>
      <c r="Q170" s="18" t="s">
        <v>55</v>
      </c>
      <c r="R170" s="3" t="s">
        <v>55</v>
      </c>
      <c r="S170" s="3">
        <v>3</v>
      </c>
      <c r="T170" s="3">
        <v>3</v>
      </c>
      <c r="U170" s="3">
        <v>0</v>
      </c>
      <c r="V170" s="28">
        <v>46065</v>
      </c>
      <c r="W170" s="28">
        <v>46065</v>
      </c>
      <c r="X170" s="28">
        <v>46065</v>
      </c>
      <c r="Y170" s="37">
        <v>46071</v>
      </c>
      <c r="Z170" s="140">
        <v>46076</v>
      </c>
      <c r="AA170" s="3">
        <f t="shared" si="11"/>
        <v>2</v>
      </c>
      <c r="AB170" s="85" t="s">
        <v>626</v>
      </c>
      <c r="AC170" s="35" t="s">
        <v>627</v>
      </c>
      <c r="AD170" s="19">
        <f t="shared" si="14"/>
        <v>1</v>
      </c>
      <c r="AE170" s="67">
        <f>IFERROR(NETWORKDAYS(B170,I170,Hoja1!$A$1:$A$29),"N/A")</f>
        <v>4</v>
      </c>
      <c r="AF170" s="21">
        <f>IFERROR(NETWORKDAYS(B170,W170,Hoja1!$A$1:$A$29),"N/A")</f>
        <v>14</v>
      </c>
      <c r="AG170" s="78">
        <v>0</v>
      </c>
      <c r="AH170" s="21">
        <f t="shared" si="13"/>
        <v>14</v>
      </c>
      <c r="AI170" s="21">
        <f>IFERROR(NETWORKDAYS(X170,Y170,Hoja1!$A$1:$A$29),"N/A")</f>
        <v>5</v>
      </c>
      <c r="AJ170" s="74">
        <v>0</v>
      </c>
      <c r="AK170" s="75">
        <f t="shared" si="12"/>
        <v>5</v>
      </c>
      <c r="AL170" s="21">
        <f>IFERROR(NETWORKDAYS(B170,Y170,Hoja1!$A$1:$A$29),"N/A")</f>
        <v>18</v>
      </c>
      <c r="AM170" s="21">
        <f t="shared" si="15"/>
        <v>18</v>
      </c>
      <c r="AN170" s="46" t="s">
        <v>445</v>
      </c>
      <c r="AO170" s="46" t="s">
        <v>445</v>
      </c>
      <c r="AP170" s="46"/>
      <c r="AQ170" s="3"/>
      <c r="AR170" s="3"/>
      <c r="AS170" s="3" t="s">
        <v>1923</v>
      </c>
      <c r="AT170" s="3" t="s">
        <v>2066</v>
      </c>
      <c r="AU170" s="3" t="s">
        <v>2215</v>
      </c>
      <c r="AV170" s="316" t="s">
        <v>2332</v>
      </c>
      <c r="AW170" s="403" t="s">
        <v>2757</v>
      </c>
      <c r="AY170" s="415"/>
    </row>
    <row r="171" spans="1:51" ht="15" customHeight="1" x14ac:dyDescent="0.25">
      <c r="A171" s="298">
        <v>15576</v>
      </c>
      <c r="B171" s="15">
        <v>46014</v>
      </c>
      <c r="C171" s="16">
        <v>46014</v>
      </c>
      <c r="D171" s="1">
        <v>1</v>
      </c>
      <c r="E171" s="45" t="s">
        <v>54</v>
      </c>
      <c r="F171" s="21" t="s">
        <v>55</v>
      </c>
      <c r="G171" s="1">
        <v>5</v>
      </c>
      <c r="H171" s="1" t="s">
        <v>112</v>
      </c>
      <c r="I171" s="16">
        <v>46027</v>
      </c>
      <c r="J171" s="16">
        <v>46051</v>
      </c>
      <c r="K171" s="1">
        <v>5</v>
      </c>
      <c r="L171" s="36" t="s">
        <v>55</v>
      </c>
      <c r="M171" s="36" t="s">
        <v>55</v>
      </c>
      <c r="N171" s="36" t="s">
        <v>55</v>
      </c>
      <c r="O171" s="36" t="s">
        <v>55</v>
      </c>
      <c r="P171" s="36" t="s">
        <v>55</v>
      </c>
      <c r="Q171" s="36" t="s">
        <v>55</v>
      </c>
      <c r="R171" s="3" t="s">
        <v>55</v>
      </c>
      <c r="S171" s="1">
        <v>3</v>
      </c>
      <c r="T171" s="1">
        <v>3</v>
      </c>
      <c r="U171" s="1">
        <v>0</v>
      </c>
      <c r="V171" s="16">
        <v>46052</v>
      </c>
      <c r="W171" s="16">
        <v>46052</v>
      </c>
      <c r="X171" s="16">
        <v>46059</v>
      </c>
      <c r="Y171" s="16">
        <v>46071</v>
      </c>
      <c r="Z171" s="140">
        <v>46076</v>
      </c>
      <c r="AA171" s="3">
        <f t="shared" si="11"/>
        <v>2</v>
      </c>
      <c r="AB171" s="85" t="s">
        <v>629</v>
      </c>
      <c r="AC171" s="49" t="s">
        <v>630</v>
      </c>
      <c r="AD171" s="19">
        <f t="shared" si="14"/>
        <v>1</v>
      </c>
      <c r="AE171" s="67">
        <f>IFERROR(NETWORKDAYS(B171,I171,Hoja1!$A$1:$A$29),"N/A")</f>
        <v>8</v>
      </c>
      <c r="AF171" s="21">
        <f>IFERROR(NETWORKDAYS(B171,W171,Hoja1!$A$1:$A$29),"N/A")</f>
        <v>26</v>
      </c>
      <c r="AG171" s="78">
        <v>14</v>
      </c>
      <c r="AH171" s="21">
        <f t="shared" si="13"/>
        <v>12</v>
      </c>
      <c r="AI171" s="21">
        <f>IFERROR(NETWORKDAYS(X171,Y171,Hoja1!$A$1:$A$29),"N/A")</f>
        <v>9</v>
      </c>
      <c r="AJ171" s="74">
        <v>4</v>
      </c>
      <c r="AK171" s="75">
        <f t="shared" si="12"/>
        <v>5</v>
      </c>
      <c r="AL171" s="21">
        <f>IFERROR(NETWORKDAYS(B171,Y171,Hoja1!$A$1:$A$29),"N/A")</f>
        <v>39</v>
      </c>
      <c r="AM171" s="21">
        <f t="shared" si="15"/>
        <v>21</v>
      </c>
      <c r="AN171" s="33"/>
      <c r="AO171" s="33"/>
      <c r="AP171" s="33"/>
      <c r="AQ171" s="33"/>
      <c r="AR171" s="33"/>
      <c r="AS171" s="33" t="s">
        <v>1933</v>
      </c>
      <c r="AT171" s="33" t="s">
        <v>2028</v>
      </c>
      <c r="AU171" s="33" t="s">
        <v>2218</v>
      </c>
      <c r="AV171" s="318" t="s">
        <v>2333</v>
      </c>
      <c r="AW171" s="403" t="s">
        <v>2758</v>
      </c>
      <c r="AY171" s="414"/>
    </row>
    <row r="172" spans="1:51" ht="15" customHeight="1" x14ac:dyDescent="0.25">
      <c r="A172" s="296">
        <v>15579</v>
      </c>
      <c r="B172" s="37">
        <v>46049</v>
      </c>
      <c r="C172" s="37">
        <v>46015</v>
      </c>
      <c r="D172" s="3">
        <v>1</v>
      </c>
      <c r="E172" s="45" t="s">
        <v>54</v>
      </c>
      <c r="F172" s="18" t="s">
        <v>55</v>
      </c>
      <c r="G172" s="3">
        <v>5</v>
      </c>
      <c r="H172" s="3" t="s">
        <v>56</v>
      </c>
      <c r="I172" s="30">
        <v>46051</v>
      </c>
      <c r="J172" s="30">
        <v>46051</v>
      </c>
      <c r="K172" s="3">
        <v>5</v>
      </c>
      <c r="L172" s="18" t="s">
        <v>55</v>
      </c>
      <c r="M172" s="18" t="s">
        <v>55</v>
      </c>
      <c r="N172" s="18" t="s">
        <v>55</v>
      </c>
      <c r="O172" s="18" t="s">
        <v>55</v>
      </c>
      <c r="P172" s="18" t="s">
        <v>55</v>
      </c>
      <c r="Q172" s="18" t="s">
        <v>55</v>
      </c>
      <c r="R172" s="3" t="s">
        <v>55</v>
      </c>
      <c r="S172" s="3">
        <v>3</v>
      </c>
      <c r="T172" s="3">
        <v>2</v>
      </c>
      <c r="U172" s="3">
        <v>0</v>
      </c>
      <c r="V172" s="30">
        <v>46059</v>
      </c>
      <c r="W172" s="30">
        <v>46059</v>
      </c>
      <c r="X172" s="30">
        <v>46059</v>
      </c>
      <c r="Y172" s="30">
        <v>46072</v>
      </c>
      <c r="Z172" s="140">
        <v>46076</v>
      </c>
      <c r="AA172" s="3">
        <f t="shared" si="11"/>
        <v>2</v>
      </c>
      <c r="AB172" s="85" t="s">
        <v>633</v>
      </c>
      <c r="AC172" s="35" t="s">
        <v>634</v>
      </c>
      <c r="AD172" s="19">
        <f t="shared" si="14"/>
        <v>1</v>
      </c>
      <c r="AE172" s="67">
        <f>IFERROR(NETWORKDAYS(B172,I172,Hoja1!$A$1:$A$29),"N/A")</f>
        <v>3</v>
      </c>
      <c r="AF172" s="21">
        <f>IFERROR(NETWORKDAYS(B172,W172,Hoja1!$A$1:$A$29),"N/A")</f>
        <v>9</v>
      </c>
      <c r="AG172" s="78">
        <v>0</v>
      </c>
      <c r="AH172" s="21">
        <f t="shared" si="13"/>
        <v>9</v>
      </c>
      <c r="AI172" s="21">
        <f>IFERROR(NETWORKDAYS(X172,Y172,Hoja1!$A$1:$A$29),"N/A")</f>
        <v>10</v>
      </c>
      <c r="AJ172" s="74">
        <v>5</v>
      </c>
      <c r="AK172" s="75">
        <f t="shared" si="12"/>
        <v>5</v>
      </c>
      <c r="AL172" s="21">
        <f>IFERROR(NETWORKDAYS(B172,Y172,Hoja1!$A$1:$A$29),"N/A")</f>
        <v>18</v>
      </c>
      <c r="AM172" s="21">
        <f t="shared" si="15"/>
        <v>13</v>
      </c>
      <c r="AN172" s="87" t="s">
        <v>453</v>
      </c>
      <c r="AO172" s="3"/>
      <c r="AP172" s="3"/>
      <c r="AQ172" s="3"/>
      <c r="AR172" s="3"/>
      <c r="AS172" s="3" t="s">
        <v>1934</v>
      </c>
      <c r="AT172" s="3" t="s">
        <v>1994</v>
      </c>
      <c r="AU172" s="3" t="s">
        <v>2215</v>
      </c>
      <c r="AV172" s="316" t="s">
        <v>2307</v>
      </c>
      <c r="AW172" s="403" t="s">
        <v>2759</v>
      </c>
      <c r="AY172" s="415"/>
    </row>
    <row r="173" spans="1:51" ht="15" customHeight="1" x14ac:dyDescent="0.25">
      <c r="A173" s="294">
        <v>15580</v>
      </c>
      <c r="B173" s="44">
        <v>46017</v>
      </c>
      <c r="C173" s="44">
        <v>46017</v>
      </c>
      <c r="D173" s="2">
        <v>1</v>
      </c>
      <c r="E173" s="45" t="s">
        <v>54</v>
      </c>
      <c r="F173" s="2" t="s">
        <v>55</v>
      </c>
      <c r="G173" s="2">
        <v>3</v>
      </c>
      <c r="H173" s="2" t="s">
        <v>56</v>
      </c>
      <c r="I173" s="44">
        <v>46052</v>
      </c>
      <c r="J173" s="44">
        <v>46052</v>
      </c>
      <c r="K173" s="2">
        <v>3</v>
      </c>
      <c r="L173" s="2" t="s">
        <v>55</v>
      </c>
      <c r="M173" s="2" t="s">
        <v>55</v>
      </c>
      <c r="N173" s="2" t="s">
        <v>55</v>
      </c>
      <c r="O173" s="2" t="s">
        <v>55</v>
      </c>
      <c r="P173" s="2" t="s">
        <v>55</v>
      </c>
      <c r="Q173" s="2" t="s">
        <v>55</v>
      </c>
      <c r="R173" s="3" t="s">
        <v>55</v>
      </c>
      <c r="S173" s="2">
        <v>1</v>
      </c>
      <c r="T173" s="2">
        <v>1</v>
      </c>
      <c r="U173" s="2">
        <v>0</v>
      </c>
      <c r="V173" s="44">
        <v>46059</v>
      </c>
      <c r="W173" s="44">
        <v>46059</v>
      </c>
      <c r="X173" s="44">
        <v>46062</v>
      </c>
      <c r="Y173" s="44">
        <v>46064</v>
      </c>
      <c r="Z173" s="44">
        <v>46065</v>
      </c>
      <c r="AA173" s="3">
        <f t="shared" ref="AA173:AA236" si="16">MONTH(Z173)</f>
        <v>2</v>
      </c>
      <c r="AB173" s="85" t="s">
        <v>635</v>
      </c>
      <c r="AC173" s="46" t="s">
        <v>636</v>
      </c>
      <c r="AD173" s="19">
        <f t="shared" si="14"/>
        <v>1</v>
      </c>
      <c r="AE173" s="67">
        <f>IFERROR(NETWORKDAYS(B173,I173,Hoja1!$A$1:$A$29),"N/A")</f>
        <v>24</v>
      </c>
      <c r="AF173" s="21">
        <f>IFERROR(NETWORKDAYS(B173,W173,Hoja1!$A$1:$A$29),"N/A")</f>
        <v>29</v>
      </c>
      <c r="AG173" s="78">
        <v>0</v>
      </c>
      <c r="AH173" s="21">
        <f t="shared" si="13"/>
        <v>29</v>
      </c>
      <c r="AI173" s="21">
        <f>IFERROR(NETWORKDAYS(X173,Y173,Hoja1!$A$1:$A$29),"N/A")</f>
        <v>3</v>
      </c>
      <c r="AJ173" s="74">
        <v>0</v>
      </c>
      <c r="AK173" s="75">
        <f t="shared" si="12"/>
        <v>3</v>
      </c>
      <c r="AL173" s="21">
        <f>IFERROR(NETWORKDAYS(B173,Y173,Hoja1!$A$1:$A$29),"N/A")</f>
        <v>32</v>
      </c>
      <c r="AM173" s="21">
        <f t="shared" si="15"/>
        <v>32</v>
      </c>
      <c r="AN173" s="46" t="s">
        <v>453</v>
      </c>
      <c r="AO173" s="43" t="s">
        <v>453</v>
      </c>
      <c r="AP173" s="43"/>
      <c r="AQ173" s="43"/>
      <c r="AR173" s="43"/>
      <c r="AS173" s="43" t="s">
        <v>1935</v>
      </c>
      <c r="AT173" s="43" t="s">
        <v>1994</v>
      </c>
      <c r="AU173" s="43" t="s">
        <v>2217</v>
      </c>
      <c r="AV173" s="317" t="s">
        <v>2307</v>
      </c>
      <c r="AW173" s="403" t="s">
        <v>2760</v>
      </c>
      <c r="AY173" s="414"/>
    </row>
    <row r="174" spans="1:51" ht="15" customHeight="1" x14ac:dyDescent="0.25">
      <c r="A174" s="301">
        <v>15583</v>
      </c>
      <c r="B174" s="28">
        <v>46017</v>
      </c>
      <c r="C174" s="28">
        <v>46017</v>
      </c>
      <c r="D174" s="33">
        <v>1</v>
      </c>
      <c r="E174" s="45" t="s">
        <v>54</v>
      </c>
      <c r="F174" s="21" t="s">
        <v>55</v>
      </c>
      <c r="G174" s="33">
        <v>5</v>
      </c>
      <c r="H174" s="33" t="s">
        <v>112</v>
      </c>
      <c r="I174" s="28">
        <v>46027</v>
      </c>
      <c r="J174" s="28">
        <v>46030</v>
      </c>
      <c r="K174" s="33">
        <v>5</v>
      </c>
      <c r="L174" s="36" t="s">
        <v>55</v>
      </c>
      <c r="M174" s="36" t="s">
        <v>55</v>
      </c>
      <c r="N174" s="36" t="s">
        <v>55</v>
      </c>
      <c r="O174" s="36" t="s">
        <v>55</v>
      </c>
      <c r="P174" s="36" t="s">
        <v>55</v>
      </c>
      <c r="Q174" s="36" t="s">
        <v>55</v>
      </c>
      <c r="R174" s="3" t="s">
        <v>55</v>
      </c>
      <c r="S174" s="33">
        <v>2</v>
      </c>
      <c r="T174" s="33">
        <v>1</v>
      </c>
      <c r="U174" s="33">
        <v>0</v>
      </c>
      <c r="V174" s="28">
        <v>46036</v>
      </c>
      <c r="W174" s="28">
        <v>46045</v>
      </c>
      <c r="X174" s="28">
        <v>46048</v>
      </c>
      <c r="Y174" s="16">
        <v>46052</v>
      </c>
      <c r="Z174" s="16">
        <v>46055</v>
      </c>
      <c r="AA174" s="3">
        <f t="shared" si="16"/>
        <v>2</v>
      </c>
      <c r="AB174" s="85" t="s">
        <v>637</v>
      </c>
      <c r="AC174" s="35" t="s">
        <v>638</v>
      </c>
      <c r="AD174" s="19">
        <f t="shared" si="14"/>
        <v>1</v>
      </c>
      <c r="AE174" s="67">
        <f>IFERROR(NETWORKDAYS(B174,I174,Hoja1!$A$1:$A$29),"N/A")</f>
        <v>6</v>
      </c>
      <c r="AF174" s="21">
        <f>IFERROR(NETWORKDAYS(B174,W174,Hoja1!$A$1:$A$29),"N/A")</f>
        <v>19</v>
      </c>
      <c r="AG174" s="78">
        <v>0</v>
      </c>
      <c r="AH174" s="21">
        <f t="shared" si="13"/>
        <v>19</v>
      </c>
      <c r="AI174" s="21">
        <f>IFERROR(NETWORKDAYS(X174,Y174,Hoja1!$A$1:$A$29),"N/A")</f>
        <v>5</v>
      </c>
      <c r="AJ174" s="74">
        <v>0</v>
      </c>
      <c r="AK174" s="75">
        <f t="shared" si="12"/>
        <v>5</v>
      </c>
      <c r="AL174" s="21">
        <f>IFERROR(NETWORKDAYS(B174,Y174,Hoja1!$A$1:$A$29),"N/A")</f>
        <v>24</v>
      </c>
      <c r="AM174" s="21">
        <f t="shared" si="15"/>
        <v>24</v>
      </c>
      <c r="AN174" s="33"/>
      <c r="AO174" s="33"/>
      <c r="AP174" s="33"/>
      <c r="AQ174" s="33"/>
      <c r="AR174" s="33"/>
      <c r="AS174" s="33" t="s">
        <v>1907</v>
      </c>
      <c r="AT174" s="33" t="s">
        <v>2048</v>
      </c>
      <c r="AU174" s="33" t="s">
        <v>2212</v>
      </c>
      <c r="AV174" s="318" t="s">
        <v>2334</v>
      </c>
      <c r="AW174" s="403" t="s">
        <v>2761</v>
      </c>
      <c r="AY174" s="415"/>
    </row>
    <row r="175" spans="1:51" ht="15" customHeight="1" x14ac:dyDescent="0.25">
      <c r="A175" s="294">
        <v>15585</v>
      </c>
      <c r="B175" s="30">
        <v>46017</v>
      </c>
      <c r="C175" s="30">
        <v>46017</v>
      </c>
      <c r="D175" s="3">
        <v>1</v>
      </c>
      <c r="E175" s="45" t="s">
        <v>54</v>
      </c>
      <c r="F175" s="3" t="s">
        <v>55</v>
      </c>
      <c r="G175" s="3">
        <v>11</v>
      </c>
      <c r="H175" s="3" t="s">
        <v>56</v>
      </c>
      <c r="I175" s="73">
        <v>46049</v>
      </c>
      <c r="J175" s="73">
        <v>46049</v>
      </c>
      <c r="K175" s="3">
        <v>11</v>
      </c>
      <c r="L175" s="3" t="s">
        <v>55</v>
      </c>
      <c r="M175" s="3" t="s">
        <v>55</v>
      </c>
      <c r="N175" s="3" t="s">
        <v>55</v>
      </c>
      <c r="O175" s="3" t="s">
        <v>55</v>
      </c>
      <c r="P175" s="3" t="s">
        <v>55</v>
      </c>
      <c r="Q175" s="3" t="s">
        <v>55</v>
      </c>
      <c r="R175" s="3" t="s">
        <v>55</v>
      </c>
      <c r="S175" s="3">
        <v>6</v>
      </c>
      <c r="T175" s="3">
        <v>3</v>
      </c>
      <c r="U175" s="3">
        <v>0</v>
      </c>
      <c r="V175" s="30">
        <v>46057</v>
      </c>
      <c r="W175" s="30">
        <v>46057</v>
      </c>
      <c r="X175" s="30">
        <v>46057</v>
      </c>
      <c r="Y175" s="30">
        <v>46076</v>
      </c>
      <c r="Z175" s="140">
        <v>46076</v>
      </c>
      <c r="AA175" s="3">
        <f t="shared" si="16"/>
        <v>2</v>
      </c>
      <c r="AB175" s="85" t="s">
        <v>641</v>
      </c>
      <c r="AC175" s="35" t="s">
        <v>642</v>
      </c>
      <c r="AD175" s="19">
        <f t="shared" si="14"/>
        <v>1</v>
      </c>
      <c r="AE175" s="67">
        <f>IFERROR(NETWORKDAYS(B175,I175,Hoja1!$A$1:$A$29),"N/A")</f>
        <v>21</v>
      </c>
      <c r="AF175" s="21">
        <f>IFERROR(NETWORKDAYS(B175,W175,Hoja1!$A$1:$A$29),"N/A")</f>
        <v>27</v>
      </c>
      <c r="AG175" s="78">
        <v>4</v>
      </c>
      <c r="AH175" s="21">
        <f t="shared" si="13"/>
        <v>23</v>
      </c>
      <c r="AI175" s="21">
        <f>IFERROR(NETWORKDAYS(X175,Y175,Hoja1!$A$1:$A$29),"N/A")</f>
        <v>14</v>
      </c>
      <c r="AJ175" s="74">
        <v>9</v>
      </c>
      <c r="AK175" s="75">
        <f t="shared" si="12"/>
        <v>5</v>
      </c>
      <c r="AL175" s="21">
        <f>IFERROR(NETWORKDAYS(B175,Y175,Hoja1!$A$1:$A$29),"N/A")</f>
        <v>40</v>
      </c>
      <c r="AM175" s="21">
        <f t="shared" si="15"/>
        <v>27</v>
      </c>
      <c r="AN175" s="3"/>
      <c r="AO175" s="3"/>
      <c r="AP175" s="3"/>
      <c r="AQ175" s="3"/>
      <c r="AR175" s="3"/>
      <c r="AS175" s="3" t="s">
        <v>1913</v>
      </c>
      <c r="AT175" s="3" t="s">
        <v>2067</v>
      </c>
      <c r="AU175" s="3" t="s">
        <v>2209</v>
      </c>
      <c r="AV175" s="316" t="s">
        <v>2335</v>
      </c>
      <c r="AW175" s="403" t="s">
        <v>2762</v>
      </c>
      <c r="AY175" s="414"/>
    </row>
    <row r="176" spans="1:51" ht="15" customHeight="1" x14ac:dyDescent="0.25">
      <c r="A176" s="296">
        <v>15586</v>
      </c>
      <c r="B176" s="37">
        <v>46020</v>
      </c>
      <c r="C176" s="37">
        <v>46020</v>
      </c>
      <c r="D176" s="3">
        <v>1</v>
      </c>
      <c r="E176" s="45" t="s">
        <v>54</v>
      </c>
      <c r="F176" s="18" t="s">
        <v>55</v>
      </c>
      <c r="G176" s="3">
        <v>3</v>
      </c>
      <c r="H176" s="3" t="s">
        <v>112</v>
      </c>
      <c r="I176" s="30">
        <v>46028</v>
      </c>
      <c r="J176" s="30">
        <v>46028</v>
      </c>
      <c r="K176" s="3">
        <v>3</v>
      </c>
      <c r="L176" s="18" t="s">
        <v>55</v>
      </c>
      <c r="M176" s="18" t="s">
        <v>55</v>
      </c>
      <c r="N176" s="18" t="s">
        <v>55</v>
      </c>
      <c r="O176" s="18" t="s">
        <v>55</v>
      </c>
      <c r="P176" s="18" t="s">
        <v>55</v>
      </c>
      <c r="Q176" s="18" t="s">
        <v>55</v>
      </c>
      <c r="R176" s="3" t="s">
        <v>55</v>
      </c>
      <c r="S176" s="3">
        <v>3</v>
      </c>
      <c r="T176" s="3">
        <v>3</v>
      </c>
      <c r="U176" s="3">
        <v>0</v>
      </c>
      <c r="V176" s="30">
        <v>46038</v>
      </c>
      <c r="W176" s="30">
        <v>46051</v>
      </c>
      <c r="X176" s="30">
        <v>46051</v>
      </c>
      <c r="Y176" s="16">
        <v>46073</v>
      </c>
      <c r="Z176" s="140">
        <v>46076</v>
      </c>
      <c r="AA176" s="3">
        <f t="shared" si="16"/>
        <v>2</v>
      </c>
      <c r="AB176" s="85" t="s">
        <v>644</v>
      </c>
      <c r="AC176" s="35" t="s">
        <v>645</v>
      </c>
      <c r="AD176" s="19">
        <f t="shared" si="14"/>
        <v>1</v>
      </c>
      <c r="AE176" s="67">
        <f>IFERROR(NETWORKDAYS(B176,I176,Hoja1!$A$1:$A$29),"N/A")</f>
        <v>6</v>
      </c>
      <c r="AF176" s="21">
        <f>IFERROR(NETWORKDAYS(B176,W176,Hoja1!$A$1:$A$29),"N/A")</f>
        <v>22</v>
      </c>
      <c r="AG176" s="78">
        <v>10</v>
      </c>
      <c r="AH176" s="21">
        <f t="shared" si="13"/>
        <v>12</v>
      </c>
      <c r="AI176" s="21">
        <f>IFERROR(NETWORKDAYS(X176,Y176,Hoja1!$A$1:$A$29),"N/A")</f>
        <v>17</v>
      </c>
      <c r="AJ176" s="74">
        <v>10</v>
      </c>
      <c r="AK176" s="75">
        <f t="shared" si="12"/>
        <v>7</v>
      </c>
      <c r="AL176" s="21">
        <f>IFERROR(NETWORKDAYS(B176,Y176,Hoja1!$A$1:$A$29),"N/A")</f>
        <v>38</v>
      </c>
      <c r="AM176" s="21">
        <f t="shared" si="15"/>
        <v>18</v>
      </c>
      <c r="AN176" s="87" t="s">
        <v>453</v>
      </c>
      <c r="AO176" s="3"/>
      <c r="AP176" s="3"/>
      <c r="AQ176" s="3"/>
      <c r="AR176" s="3"/>
      <c r="AS176" s="3" t="s">
        <v>1923</v>
      </c>
      <c r="AT176" s="3" t="s">
        <v>2066</v>
      </c>
      <c r="AU176" s="3" t="s">
        <v>2215</v>
      </c>
      <c r="AV176" s="316" t="s">
        <v>2336</v>
      </c>
      <c r="AW176" s="403" t="s">
        <v>2763</v>
      </c>
      <c r="AY176" s="415"/>
    </row>
    <row r="177" spans="1:51" ht="15" customHeight="1" x14ac:dyDescent="0.25">
      <c r="A177" s="294">
        <v>15588</v>
      </c>
      <c r="B177" s="30">
        <v>46013</v>
      </c>
      <c r="C177" s="30">
        <v>46020</v>
      </c>
      <c r="D177" s="3">
        <v>1</v>
      </c>
      <c r="E177" s="45" t="s">
        <v>54</v>
      </c>
      <c r="F177" s="3" t="s">
        <v>55</v>
      </c>
      <c r="G177" s="3">
        <v>3</v>
      </c>
      <c r="H177" s="3" t="s">
        <v>112</v>
      </c>
      <c r="I177" s="30">
        <v>46029</v>
      </c>
      <c r="J177" s="30">
        <v>46029</v>
      </c>
      <c r="K177" s="3">
        <v>3</v>
      </c>
      <c r="L177" s="3" t="s">
        <v>55</v>
      </c>
      <c r="M177" s="3" t="s">
        <v>55</v>
      </c>
      <c r="N177" s="3" t="s">
        <v>55</v>
      </c>
      <c r="O177" s="3" t="s">
        <v>55</v>
      </c>
      <c r="P177" s="3" t="s">
        <v>55</v>
      </c>
      <c r="Q177" s="3" t="s">
        <v>55</v>
      </c>
      <c r="R177" s="3" t="s">
        <v>55</v>
      </c>
      <c r="S177" s="3">
        <v>3</v>
      </c>
      <c r="T177" s="3">
        <v>1</v>
      </c>
      <c r="U177" s="3">
        <v>0</v>
      </c>
      <c r="V177" s="30">
        <v>46024</v>
      </c>
      <c r="W177" s="30">
        <v>46024</v>
      </c>
      <c r="X177" s="30">
        <v>46049</v>
      </c>
      <c r="Y177" s="30">
        <v>46055</v>
      </c>
      <c r="Z177" s="16">
        <v>46055</v>
      </c>
      <c r="AA177" s="3">
        <f t="shared" si="16"/>
        <v>2</v>
      </c>
      <c r="AB177" s="85" t="s">
        <v>649</v>
      </c>
      <c r="AC177" s="45" t="s">
        <v>650</v>
      </c>
      <c r="AD177" s="19">
        <f t="shared" si="14"/>
        <v>1</v>
      </c>
      <c r="AE177" s="67">
        <f>IFERROR(NETWORKDAYS(B177,I177,Hoja1!$A$1:$A$29),"N/A")</f>
        <v>11</v>
      </c>
      <c r="AF177" s="21">
        <f>IFERROR(NETWORKDAYS(B177,W177,Hoja1!$A$1:$A$29),"N/A")</f>
        <v>8</v>
      </c>
      <c r="AG177" s="78">
        <v>0</v>
      </c>
      <c r="AH177" s="21">
        <f t="shared" si="13"/>
        <v>8</v>
      </c>
      <c r="AI177" s="21">
        <f>IFERROR(NETWORKDAYS(X177,Y177,Hoja1!$A$1:$A$29),"N/A")</f>
        <v>5</v>
      </c>
      <c r="AJ177" s="74">
        <v>0</v>
      </c>
      <c r="AK177" s="75">
        <f t="shared" si="12"/>
        <v>5</v>
      </c>
      <c r="AL177" s="21">
        <f>IFERROR(NETWORKDAYS(B177,Y177,Hoja1!$A$1:$A$29),"N/A")</f>
        <v>28</v>
      </c>
      <c r="AM177" s="21">
        <f t="shared" si="15"/>
        <v>28</v>
      </c>
      <c r="AN177" s="107"/>
      <c r="AO177" s="107"/>
      <c r="AP177" s="107"/>
      <c r="AQ177" s="107"/>
      <c r="AR177" s="1"/>
      <c r="AS177" s="1" t="s">
        <v>1936</v>
      </c>
      <c r="AT177" s="1" t="s">
        <v>2068</v>
      </c>
      <c r="AU177" s="1" t="s">
        <v>2219</v>
      </c>
      <c r="AV177" s="315" t="s">
        <v>2337</v>
      </c>
      <c r="AW177" s="403" t="s">
        <v>2764</v>
      </c>
      <c r="AY177" s="414"/>
    </row>
    <row r="178" spans="1:51" ht="15" customHeight="1" x14ac:dyDescent="0.25">
      <c r="A178" s="298">
        <v>15589</v>
      </c>
      <c r="B178" s="15">
        <v>46050</v>
      </c>
      <c r="C178" s="16">
        <v>46020</v>
      </c>
      <c r="D178" s="1">
        <v>1</v>
      </c>
      <c r="E178" s="45" t="s">
        <v>54</v>
      </c>
      <c r="F178" s="2" t="s">
        <v>55</v>
      </c>
      <c r="G178" s="33">
        <v>0</v>
      </c>
      <c r="H178" s="1"/>
      <c r="I178" s="2" t="s">
        <v>55</v>
      </c>
      <c r="J178" s="2" t="s">
        <v>55</v>
      </c>
      <c r="K178" s="33">
        <v>0</v>
      </c>
      <c r="L178" s="2" t="s">
        <v>55</v>
      </c>
      <c r="M178" s="2" t="s">
        <v>55</v>
      </c>
      <c r="N178" s="2" t="s">
        <v>55</v>
      </c>
      <c r="O178" s="2" t="s">
        <v>55</v>
      </c>
      <c r="P178" s="2" t="s">
        <v>55</v>
      </c>
      <c r="Q178" s="2" t="s">
        <v>55</v>
      </c>
      <c r="R178" s="3" t="s">
        <v>55</v>
      </c>
      <c r="S178" s="1">
        <v>1</v>
      </c>
      <c r="T178" s="1">
        <v>1</v>
      </c>
      <c r="U178" s="1">
        <v>0</v>
      </c>
      <c r="V178" s="16">
        <v>46056</v>
      </c>
      <c r="W178" s="16">
        <v>46056</v>
      </c>
      <c r="X178" s="16">
        <v>46062</v>
      </c>
      <c r="Y178" s="30">
        <v>46072</v>
      </c>
      <c r="Z178" s="140">
        <v>46076</v>
      </c>
      <c r="AA178" s="3">
        <f t="shared" si="16"/>
        <v>2</v>
      </c>
      <c r="AB178" s="108" t="s">
        <v>652</v>
      </c>
      <c r="AC178" s="49" t="s">
        <v>653</v>
      </c>
      <c r="AD178" s="19" t="str">
        <f t="shared" si="14"/>
        <v>N/A</v>
      </c>
      <c r="AE178" s="67" t="str">
        <f>IFERROR(NETWORKDAYS(B178,I178,Hoja1!$A$1:$A$29),"N/A")</f>
        <v>N/A</v>
      </c>
      <c r="AF178" s="21">
        <f>IFERROR(NETWORKDAYS(B178,W178,Hoja1!$A$1:$A$29),"N/A")</f>
        <v>5</v>
      </c>
      <c r="AG178" s="78">
        <v>0</v>
      </c>
      <c r="AH178" s="21">
        <f t="shared" si="13"/>
        <v>5</v>
      </c>
      <c r="AI178" s="21">
        <f>IFERROR(NETWORKDAYS(X178,Y178,Hoja1!$A$1:$A$29),"N/A")</f>
        <v>9</v>
      </c>
      <c r="AJ178" s="74">
        <v>4</v>
      </c>
      <c r="AK178" s="75">
        <f t="shared" si="12"/>
        <v>5</v>
      </c>
      <c r="AL178" s="21">
        <f>IFERROR(NETWORKDAYS(B178,Y178,Hoja1!$A$1:$A$29),"N/A")</f>
        <v>17</v>
      </c>
      <c r="AM178" s="21">
        <f t="shared" si="15"/>
        <v>13</v>
      </c>
      <c r="AN178" s="1"/>
      <c r="AO178" s="1"/>
      <c r="AP178" s="1"/>
      <c r="AQ178" s="1"/>
      <c r="AR178" s="1"/>
      <c r="AS178" s="1" t="s">
        <v>1937</v>
      </c>
      <c r="AT178" s="1" t="s">
        <v>2069</v>
      </c>
      <c r="AU178" s="1" t="s">
        <v>2210</v>
      </c>
      <c r="AV178" s="315" t="s">
        <v>2338</v>
      </c>
      <c r="AW178" s="403" t="s">
        <v>2765</v>
      </c>
      <c r="AY178" s="415"/>
    </row>
    <row r="179" spans="1:51" ht="15" customHeight="1" x14ac:dyDescent="0.25">
      <c r="A179" s="301">
        <v>15594</v>
      </c>
      <c r="B179" s="28">
        <v>46021</v>
      </c>
      <c r="C179" s="28">
        <v>46020</v>
      </c>
      <c r="D179" s="33">
        <v>1</v>
      </c>
      <c r="E179" s="45" t="s">
        <v>54</v>
      </c>
      <c r="F179" s="21" t="s">
        <v>55</v>
      </c>
      <c r="G179" s="33">
        <v>0</v>
      </c>
      <c r="H179" s="33"/>
      <c r="I179" s="21" t="s">
        <v>55</v>
      </c>
      <c r="J179" s="21" t="s">
        <v>55</v>
      </c>
      <c r="K179" s="33">
        <v>0</v>
      </c>
      <c r="L179" s="36" t="s">
        <v>55</v>
      </c>
      <c r="M179" s="36" t="s">
        <v>55</v>
      </c>
      <c r="N179" s="36" t="s">
        <v>55</v>
      </c>
      <c r="O179" s="36" t="s">
        <v>55</v>
      </c>
      <c r="P179" s="36" t="s">
        <v>55</v>
      </c>
      <c r="Q179" s="36" t="s">
        <v>55</v>
      </c>
      <c r="R179" s="3" t="s">
        <v>55</v>
      </c>
      <c r="S179" s="33">
        <v>1</v>
      </c>
      <c r="T179" s="33">
        <v>1</v>
      </c>
      <c r="U179" s="33">
        <v>0</v>
      </c>
      <c r="V179" s="28">
        <v>46028</v>
      </c>
      <c r="W179" s="28">
        <v>46029</v>
      </c>
      <c r="X179" s="28">
        <v>46029</v>
      </c>
      <c r="Y179" s="28">
        <v>46065</v>
      </c>
      <c r="Z179" s="140">
        <v>46076</v>
      </c>
      <c r="AA179" s="3">
        <f t="shared" si="16"/>
        <v>2</v>
      </c>
      <c r="AB179" s="85" t="s">
        <v>655</v>
      </c>
      <c r="AC179" s="35" t="s">
        <v>656</v>
      </c>
      <c r="AD179" s="19" t="str">
        <f t="shared" si="14"/>
        <v>N/A</v>
      </c>
      <c r="AE179" s="67" t="str">
        <f>IFERROR(NETWORKDAYS(B179,I179,Hoja1!$A$1:$A$29),"N/A")</f>
        <v>N/A</v>
      </c>
      <c r="AF179" s="21">
        <f>IFERROR(NETWORKDAYS(B179,W179,Hoja1!$A$1:$A$29),"N/A")</f>
        <v>6</v>
      </c>
      <c r="AG179" s="78">
        <v>0</v>
      </c>
      <c r="AH179" s="21">
        <f t="shared" si="13"/>
        <v>6</v>
      </c>
      <c r="AI179" s="21">
        <f>IFERROR(NETWORKDAYS(X179,Y179,Hoja1!$A$1:$A$29),"N/A")</f>
        <v>26</v>
      </c>
      <c r="AJ179" s="74">
        <v>21</v>
      </c>
      <c r="AK179" s="75">
        <f t="shared" si="12"/>
        <v>5</v>
      </c>
      <c r="AL179" s="21">
        <f>IFERROR(NETWORKDAYS(B179,Y179,Hoja1!$A$1:$A$29),"N/A")</f>
        <v>31</v>
      </c>
      <c r="AM179" s="21">
        <f t="shared" si="15"/>
        <v>10</v>
      </c>
      <c r="AN179" s="33"/>
      <c r="AO179" s="33"/>
      <c r="AP179" s="33"/>
      <c r="AQ179" s="33"/>
      <c r="AR179" s="33"/>
      <c r="AS179" s="33" t="s">
        <v>1889</v>
      </c>
      <c r="AT179" s="33" t="s">
        <v>2004</v>
      </c>
      <c r="AU179" s="33" t="s">
        <v>2212</v>
      </c>
      <c r="AV179" s="318" t="s">
        <v>2339</v>
      </c>
      <c r="AW179" s="403" t="s">
        <v>2766</v>
      </c>
      <c r="AY179" s="414"/>
    </row>
    <row r="180" spans="1:51" ht="15" customHeight="1" x14ac:dyDescent="0.25">
      <c r="A180" s="301">
        <v>15597</v>
      </c>
      <c r="B180" s="28">
        <v>46051</v>
      </c>
      <c r="C180" s="28">
        <v>46021</v>
      </c>
      <c r="D180" s="33">
        <v>1</v>
      </c>
      <c r="E180" s="45" t="s">
        <v>54</v>
      </c>
      <c r="F180" s="21" t="s">
        <v>55</v>
      </c>
      <c r="G180" s="33">
        <v>0</v>
      </c>
      <c r="H180" s="33"/>
      <c r="I180" s="21" t="s">
        <v>55</v>
      </c>
      <c r="J180" s="21" t="s">
        <v>55</v>
      </c>
      <c r="K180" s="33">
        <v>0</v>
      </c>
      <c r="L180" s="36" t="s">
        <v>55</v>
      </c>
      <c r="M180" s="36" t="s">
        <v>55</v>
      </c>
      <c r="N180" s="36" t="s">
        <v>55</v>
      </c>
      <c r="O180" s="36" t="s">
        <v>55</v>
      </c>
      <c r="P180" s="36" t="s">
        <v>55</v>
      </c>
      <c r="Q180" s="36" t="s">
        <v>55</v>
      </c>
      <c r="R180" s="3" t="s">
        <v>55</v>
      </c>
      <c r="S180" s="33">
        <v>1</v>
      </c>
      <c r="T180" s="33">
        <v>1</v>
      </c>
      <c r="U180" s="33">
        <v>0</v>
      </c>
      <c r="V180" s="28">
        <v>46056</v>
      </c>
      <c r="W180" s="28">
        <v>46056</v>
      </c>
      <c r="X180" s="28">
        <v>46057</v>
      </c>
      <c r="Y180" s="28">
        <v>46065</v>
      </c>
      <c r="Z180" s="140">
        <v>46076</v>
      </c>
      <c r="AA180" s="3">
        <f t="shared" si="16"/>
        <v>2</v>
      </c>
      <c r="AB180" s="85" t="s">
        <v>659</v>
      </c>
      <c r="AC180" s="35" t="s">
        <v>660</v>
      </c>
      <c r="AD180" s="19" t="str">
        <f t="shared" si="14"/>
        <v>N/A</v>
      </c>
      <c r="AE180" s="67" t="str">
        <f>IFERROR(NETWORKDAYS(B180,I180,Hoja1!$A$1:$A$29),"N/A")</f>
        <v>N/A</v>
      </c>
      <c r="AF180" s="21">
        <f>IFERROR(NETWORKDAYS(B180,W180,Hoja1!$A$1:$A$29),"N/A")</f>
        <v>4</v>
      </c>
      <c r="AG180" s="78">
        <v>0</v>
      </c>
      <c r="AH180" s="21">
        <f t="shared" si="13"/>
        <v>4</v>
      </c>
      <c r="AI180" s="21">
        <f>IFERROR(NETWORKDAYS(X180,Y180,Hoja1!$A$1:$A$29),"N/A")</f>
        <v>7</v>
      </c>
      <c r="AJ180" s="74">
        <v>2</v>
      </c>
      <c r="AK180" s="75">
        <f t="shared" si="12"/>
        <v>5</v>
      </c>
      <c r="AL180" s="21">
        <f>IFERROR(NETWORKDAYS(B180,Y180,Hoja1!$A$1:$A$29),"N/A")</f>
        <v>11</v>
      </c>
      <c r="AM180" s="21">
        <f t="shared" si="15"/>
        <v>9</v>
      </c>
      <c r="AN180" s="33"/>
      <c r="AO180" s="33"/>
      <c r="AP180" s="33"/>
      <c r="AQ180" s="33"/>
      <c r="AR180" s="33"/>
      <c r="AS180" s="33" t="s">
        <v>1938</v>
      </c>
      <c r="AT180" s="33" t="s">
        <v>2070</v>
      </c>
      <c r="AU180" s="33" t="s">
        <v>2212</v>
      </c>
      <c r="AV180" s="318" t="s">
        <v>2340</v>
      </c>
      <c r="AW180" s="403" t="s">
        <v>2767</v>
      </c>
      <c r="AY180" s="415"/>
    </row>
    <row r="181" spans="1:51" ht="15" customHeight="1" x14ac:dyDescent="0.25">
      <c r="A181" s="296">
        <v>15603</v>
      </c>
      <c r="B181" s="37">
        <v>46021</v>
      </c>
      <c r="C181" s="37">
        <v>46021</v>
      </c>
      <c r="D181" s="3">
        <v>1</v>
      </c>
      <c r="E181" s="45" t="s">
        <v>54</v>
      </c>
      <c r="F181" s="18" t="s">
        <v>55</v>
      </c>
      <c r="G181" s="3">
        <v>8</v>
      </c>
      <c r="H181" s="3" t="s">
        <v>112</v>
      </c>
      <c r="I181" s="30">
        <v>46051</v>
      </c>
      <c r="J181" s="30">
        <v>46051</v>
      </c>
      <c r="K181" s="3">
        <v>8</v>
      </c>
      <c r="L181" s="18" t="s">
        <v>55</v>
      </c>
      <c r="M181" s="18" t="s">
        <v>55</v>
      </c>
      <c r="N181" s="18" t="s">
        <v>55</v>
      </c>
      <c r="O181" s="18" t="s">
        <v>55</v>
      </c>
      <c r="P181" s="18" t="s">
        <v>55</v>
      </c>
      <c r="Q181" s="18" t="s">
        <v>55</v>
      </c>
      <c r="R181" s="3" t="s">
        <v>55</v>
      </c>
      <c r="S181" s="3">
        <v>2</v>
      </c>
      <c r="T181" s="3">
        <v>2</v>
      </c>
      <c r="U181" s="3">
        <v>0</v>
      </c>
      <c r="V181" s="30">
        <v>46058</v>
      </c>
      <c r="W181" s="30">
        <v>46065</v>
      </c>
      <c r="X181" s="30">
        <v>46065</v>
      </c>
      <c r="Y181" s="30">
        <v>46072</v>
      </c>
      <c r="Z181" s="140">
        <v>46076</v>
      </c>
      <c r="AA181" s="3">
        <f t="shared" si="16"/>
        <v>2</v>
      </c>
      <c r="AB181" s="85" t="s">
        <v>662</v>
      </c>
      <c r="AC181" s="35" t="s">
        <v>663</v>
      </c>
      <c r="AD181" s="19">
        <f t="shared" si="14"/>
        <v>1</v>
      </c>
      <c r="AE181" s="67">
        <f>IFERROR(NETWORKDAYS(B181,I181,Hoja1!$A$1:$A$29),"N/A")</f>
        <v>21</v>
      </c>
      <c r="AF181" s="21">
        <f>IFERROR(NETWORKDAYS(B181,W181,Hoja1!$A$1:$A$29),"N/A")</f>
        <v>31</v>
      </c>
      <c r="AG181" s="78">
        <v>13</v>
      </c>
      <c r="AH181" s="21">
        <f t="shared" si="13"/>
        <v>18</v>
      </c>
      <c r="AI181" s="21">
        <f>IFERROR(NETWORKDAYS(X181,Y181,Hoja1!$A$1:$A$29),"N/A")</f>
        <v>6</v>
      </c>
      <c r="AJ181" s="74">
        <v>1</v>
      </c>
      <c r="AK181" s="75">
        <f t="shared" si="12"/>
        <v>5</v>
      </c>
      <c r="AL181" s="21">
        <f>IFERROR(NETWORKDAYS(B181,Y181,Hoja1!$A$1:$A$29),"N/A")</f>
        <v>36</v>
      </c>
      <c r="AM181" s="21">
        <f t="shared" si="15"/>
        <v>22</v>
      </c>
      <c r="AN181" s="3"/>
      <c r="AO181" s="3"/>
      <c r="AP181" s="3"/>
      <c r="AQ181" s="3"/>
      <c r="AR181" s="3"/>
      <c r="AS181" s="3" t="s">
        <v>1921</v>
      </c>
      <c r="AT181" s="3" t="s">
        <v>1995</v>
      </c>
      <c r="AU181" s="3" t="s">
        <v>2215</v>
      </c>
      <c r="AV181" s="316" t="s">
        <v>2341</v>
      </c>
      <c r="AW181" s="403" t="s">
        <v>2768</v>
      </c>
      <c r="AY181" s="414"/>
    </row>
    <row r="182" spans="1:51" ht="15" customHeight="1" x14ac:dyDescent="0.25">
      <c r="A182" s="296">
        <v>15605</v>
      </c>
      <c r="B182" s="37">
        <v>46021</v>
      </c>
      <c r="C182" s="37">
        <v>46021</v>
      </c>
      <c r="D182" s="3">
        <v>1</v>
      </c>
      <c r="E182" s="45" t="s">
        <v>54</v>
      </c>
      <c r="F182" s="18" t="s">
        <v>55</v>
      </c>
      <c r="G182" s="3">
        <v>6</v>
      </c>
      <c r="H182" s="3" t="s">
        <v>56</v>
      </c>
      <c r="I182" s="16">
        <v>46042</v>
      </c>
      <c r="J182" s="16">
        <v>46042</v>
      </c>
      <c r="K182" s="3">
        <v>6</v>
      </c>
      <c r="L182" s="18" t="s">
        <v>55</v>
      </c>
      <c r="M182" s="18" t="s">
        <v>55</v>
      </c>
      <c r="N182" s="18" t="s">
        <v>55</v>
      </c>
      <c r="O182" s="18" t="s">
        <v>55</v>
      </c>
      <c r="P182" s="18" t="s">
        <v>55</v>
      </c>
      <c r="Q182" s="18" t="s">
        <v>55</v>
      </c>
      <c r="R182" s="3" t="s">
        <v>55</v>
      </c>
      <c r="S182" s="3">
        <v>1</v>
      </c>
      <c r="T182" s="3">
        <v>1</v>
      </c>
      <c r="U182" s="3">
        <v>0</v>
      </c>
      <c r="V182" s="30">
        <v>46043</v>
      </c>
      <c r="W182" s="30">
        <v>46043</v>
      </c>
      <c r="X182" s="16">
        <v>46044</v>
      </c>
      <c r="Y182" s="37">
        <v>46049</v>
      </c>
      <c r="Z182" s="16">
        <v>46055</v>
      </c>
      <c r="AA182" s="3">
        <f t="shared" si="16"/>
        <v>2</v>
      </c>
      <c r="AB182" s="85" t="s">
        <v>665</v>
      </c>
      <c r="AC182" s="35" t="s">
        <v>666</v>
      </c>
      <c r="AD182" s="19">
        <f t="shared" si="14"/>
        <v>1</v>
      </c>
      <c r="AE182" s="67">
        <f>IFERROR(NETWORKDAYS(B182,I182,Hoja1!$A$1:$A$29),"N/A")</f>
        <v>14</v>
      </c>
      <c r="AF182" s="21">
        <f>IFERROR(NETWORKDAYS(B182,W182,Hoja1!$A$1:$A$29),"N/A")</f>
        <v>15</v>
      </c>
      <c r="AG182" s="78">
        <v>5</v>
      </c>
      <c r="AH182" s="21">
        <f t="shared" si="13"/>
        <v>10</v>
      </c>
      <c r="AI182" s="21">
        <f>IFERROR(NETWORKDAYS(X182,Y182,Hoja1!$A$1:$A$29),"N/A")</f>
        <v>4</v>
      </c>
      <c r="AJ182" s="74">
        <v>0</v>
      </c>
      <c r="AK182" s="75">
        <f t="shared" si="12"/>
        <v>4</v>
      </c>
      <c r="AL182" s="21">
        <f>IFERROR(NETWORKDAYS(B182,Y182,Hoja1!$A$1:$A$29),"N/A")</f>
        <v>19</v>
      </c>
      <c r="AM182" s="21">
        <f t="shared" si="15"/>
        <v>14</v>
      </c>
      <c r="AN182" s="3"/>
      <c r="AO182" s="3"/>
      <c r="AP182" s="3"/>
      <c r="AQ182" s="3"/>
      <c r="AR182" s="3"/>
      <c r="AS182" s="3" t="s">
        <v>1893</v>
      </c>
      <c r="AT182" s="3" t="s">
        <v>1995</v>
      </c>
      <c r="AU182" s="3" t="s">
        <v>2215</v>
      </c>
      <c r="AV182" s="316" t="s">
        <v>2342</v>
      </c>
      <c r="AW182" s="403" t="s">
        <v>2769</v>
      </c>
      <c r="AY182" s="415"/>
    </row>
    <row r="183" spans="1:51" ht="15" customHeight="1" x14ac:dyDescent="0.25">
      <c r="A183" s="296">
        <v>15606</v>
      </c>
      <c r="B183" s="37">
        <v>46021</v>
      </c>
      <c r="C183" s="37">
        <v>46021</v>
      </c>
      <c r="D183" s="3">
        <v>1</v>
      </c>
      <c r="E183" s="45" t="s">
        <v>54</v>
      </c>
      <c r="F183" s="18" t="s">
        <v>55</v>
      </c>
      <c r="G183" s="3">
        <v>6</v>
      </c>
      <c r="H183" s="3" t="s">
        <v>56</v>
      </c>
      <c r="I183" s="30">
        <v>46044</v>
      </c>
      <c r="J183" s="30">
        <v>46044</v>
      </c>
      <c r="K183" s="3">
        <v>6</v>
      </c>
      <c r="L183" s="18" t="s">
        <v>55</v>
      </c>
      <c r="M183" s="18" t="s">
        <v>55</v>
      </c>
      <c r="N183" s="18" t="s">
        <v>55</v>
      </c>
      <c r="O183" s="18" t="s">
        <v>55</v>
      </c>
      <c r="P183" s="18" t="s">
        <v>55</v>
      </c>
      <c r="Q183" s="18" t="s">
        <v>55</v>
      </c>
      <c r="R183" s="3" t="s">
        <v>55</v>
      </c>
      <c r="S183" s="3">
        <v>1</v>
      </c>
      <c r="T183" s="3">
        <v>1</v>
      </c>
      <c r="U183" s="3">
        <v>0</v>
      </c>
      <c r="V183" s="30">
        <v>46050</v>
      </c>
      <c r="W183" s="30">
        <v>46058</v>
      </c>
      <c r="X183" s="30">
        <v>46058</v>
      </c>
      <c r="Y183" s="16">
        <v>46073</v>
      </c>
      <c r="Z183" s="140">
        <v>46076</v>
      </c>
      <c r="AA183" s="3">
        <f t="shared" si="16"/>
        <v>2</v>
      </c>
      <c r="AB183" s="85" t="s">
        <v>668</v>
      </c>
      <c r="AC183" s="35" t="s">
        <v>669</v>
      </c>
      <c r="AD183" s="19">
        <f t="shared" si="14"/>
        <v>1</v>
      </c>
      <c r="AE183" s="67">
        <f>IFERROR(NETWORKDAYS(B183,I183,Hoja1!$A$1:$A$29),"N/A")</f>
        <v>16</v>
      </c>
      <c r="AF183" s="21">
        <f>IFERROR(NETWORKDAYS(B183,W183,Hoja1!$A$1:$A$29),"N/A")</f>
        <v>26</v>
      </c>
      <c r="AG183" s="78">
        <v>11</v>
      </c>
      <c r="AH183" s="21">
        <f t="shared" si="13"/>
        <v>15</v>
      </c>
      <c r="AI183" s="21">
        <f>IFERROR(NETWORKDAYS(X183,Y183,Hoja1!$A$1:$A$29),"N/A")</f>
        <v>12</v>
      </c>
      <c r="AJ183" s="74">
        <v>7</v>
      </c>
      <c r="AK183" s="75">
        <f t="shared" ref="AK183:AK187" si="17">AI183-AJ183</f>
        <v>5</v>
      </c>
      <c r="AL183" s="21">
        <f>IFERROR(NETWORKDAYS(B183,Y183,Hoja1!$A$1:$A$29),"N/A")</f>
        <v>37</v>
      </c>
      <c r="AM183" s="21">
        <f t="shared" si="15"/>
        <v>19</v>
      </c>
      <c r="AN183" s="87" t="s">
        <v>881</v>
      </c>
      <c r="AO183" s="3"/>
      <c r="AP183" s="3"/>
      <c r="AQ183" s="3"/>
      <c r="AR183" s="3"/>
      <c r="AS183" s="3" t="s">
        <v>1893</v>
      </c>
      <c r="AT183" s="3" t="s">
        <v>1995</v>
      </c>
      <c r="AU183" s="3" t="s">
        <v>2215</v>
      </c>
      <c r="AV183" s="316" t="s">
        <v>2343</v>
      </c>
      <c r="AW183" s="403" t="s">
        <v>2770</v>
      </c>
      <c r="AY183" s="414"/>
    </row>
    <row r="184" spans="1:51" ht="15" customHeight="1" x14ac:dyDescent="0.25">
      <c r="A184" s="301">
        <v>15610</v>
      </c>
      <c r="B184" s="28">
        <v>46027</v>
      </c>
      <c r="C184" s="28">
        <v>46022</v>
      </c>
      <c r="D184" s="33">
        <v>1</v>
      </c>
      <c r="E184" s="45" t="s">
        <v>54</v>
      </c>
      <c r="F184" s="21" t="s">
        <v>55</v>
      </c>
      <c r="G184" s="33">
        <v>3</v>
      </c>
      <c r="H184" s="33" t="s">
        <v>112</v>
      </c>
      <c r="I184" s="28">
        <v>46027</v>
      </c>
      <c r="J184" s="28">
        <v>46035</v>
      </c>
      <c r="K184" s="33">
        <v>3</v>
      </c>
      <c r="L184" s="36" t="s">
        <v>55</v>
      </c>
      <c r="M184" s="36" t="s">
        <v>55</v>
      </c>
      <c r="N184" s="36" t="s">
        <v>55</v>
      </c>
      <c r="O184" s="36" t="s">
        <v>55</v>
      </c>
      <c r="P184" s="36" t="s">
        <v>55</v>
      </c>
      <c r="Q184" s="36" t="s">
        <v>55</v>
      </c>
      <c r="R184" s="3" t="s">
        <v>55</v>
      </c>
      <c r="S184" s="33">
        <v>2</v>
      </c>
      <c r="T184" s="33">
        <v>1</v>
      </c>
      <c r="U184" s="33">
        <v>0</v>
      </c>
      <c r="V184" s="28">
        <v>46041</v>
      </c>
      <c r="W184" s="28">
        <v>46041</v>
      </c>
      <c r="X184" s="28">
        <v>46042</v>
      </c>
      <c r="Y184" s="16">
        <v>46052</v>
      </c>
      <c r="Z184" s="16">
        <v>46055</v>
      </c>
      <c r="AA184" s="3">
        <f t="shared" si="16"/>
        <v>2</v>
      </c>
      <c r="AB184" s="85" t="s">
        <v>671</v>
      </c>
      <c r="AC184" s="35" t="s">
        <v>672</v>
      </c>
      <c r="AD184" s="19">
        <f t="shared" si="14"/>
        <v>1</v>
      </c>
      <c r="AE184" s="67">
        <f>IFERROR(NETWORKDAYS(B184,I184,Hoja1!$A$1:$A$29),"N/A")</f>
        <v>1</v>
      </c>
      <c r="AF184" s="21">
        <f>IFERROR(NETWORKDAYS(B184,W184,Hoja1!$A$1:$A$29),"N/A")</f>
        <v>10</v>
      </c>
      <c r="AG184" s="78">
        <v>0</v>
      </c>
      <c r="AH184" s="21">
        <f t="shared" si="13"/>
        <v>10</v>
      </c>
      <c r="AI184" s="21">
        <f>IFERROR(NETWORKDAYS(X184,Y184,Hoja1!$A$1:$A$29),"N/A")</f>
        <v>9</v>
      </c>
      <c r="AJ184" s="74">
        <v>4</v>
      </c>
      <c r="AK184" s="75">
        <f t="shared" si="17"/>
        <v>5</v>
      </c>
      <c r="AL184" s="21">
        <f>IFERROR(NETWORKDAYS(B184,Y184,Hoja1!$A$1:$A$29),"N/A")</f>
        <v>19</v>
      </c>
      <c r="AM184" s="21">
        <f t="shared" si="15"/>
        <v>15</v>
      </c>
      <c r="AN184" s="33"/>
      <c r="AO184" s="33"/>
      <c r="AP184" s="33"/>
      <c r="AQ184" s="33"/>
      <c r="AR184" s="33"/>
      <c r="AS184" s="33" t="s">
        <v>1906</v>
      </c>
      <c r="AT184" s="33" t="s">
        <v>1996</v>
      </c>
      <c r="AU184" s="33" t="s">
        <v>2212</v>
      </c>
      <c r="AV184" s="318" t="s">
        <v>2307</v>
      </c>
      <c r="AW184" s="403" t="s">
        <v>2771</v>
      </c>
      <c r="AY184" s="415"/>
    </row>
    <row r="185" spans="1:51" ht="15" customHeight="1" x14ac:dyDescent="0.25">
      <c r="A185" s="301">
        <v>15611</v>
      </c>
      <c r="B185" s="28">
        <v>46027</v>
      </c>
      <c r="C185" s="28">
        <v>46022</v>
      </c>
      <c r="D185" s="33">
        <v>1</v>
      </c>
      <c r="E185" s="45" t="s">
        <v>54</v>
      </c>
      <c r="F185" s="21" t="s">
        <v>55</v>
      </c>
      <c r="G185" s="33">
        <v>5</v>
      </c>
      <c r="H185" s="33" t="s">
        <v>56</v>
      </c>
      <c r="I185" s="28">
        <v>46037</v>
      </c>
      <c r="J185" s="28">
        <v>46048</v>
      </c>
      <c r="K185" s="33">
        <v>5</v>
      </c>
      <c r="L185" s="36" t="s">
        <v>55</v>
      </c>
      <c r="M185" s="36" t="s">
        <v>55</v>
      </c>
      <c r="N185" s="36" t="s">
        <v>55</v>
      </c>
      <c r="O185" s="36" t="s">
        <v>55</v>
      </c>
      <c r="P185" s="36" t="s">
        <v>55</v>
      </c>
      <c r="Q185" s="36" t="s">
        <v>55</v>
      </c>
      <c r="R185" s="3" t="s">
        <v>55</v>
      </c>
      <c r="S185" s="33">
        <v>2</v>
      </c>
      <c r="T185" s="33">
        <v>2</v>
      </c>
      <c r="U185" s="33">
        <v>0</v>
      </c>
      <c r="V185" s="28">
        <v>46049</v>
      </c>
      <c r="W185" s="16">
        <v>46049</v>
      </c>
      <c r="X185" s="16">
        <v>46049</v>
      </c>
      <c r="Y185" s="16">
        <v>46052</v>
      </c>
      <c r="Z185" s="16">
        <v>46055</v>
      </c>
      <c r="AA185" s="3">
        <f t="shared" si="16"/>
        <v>2</v>
      </c>
      <c r="AB185" s="85" t="s">
        <v>673</v>
      </c>
      <c r="AC185" s="35" t="s">
        <v>674</v>
      </c>
      <c r="AD185" s="19">
        <f t="shared" si="14"/>
        <v>1</v>
      </c>
      <c r="AE185" s="67">
        <f>IFERROR(NETWORKDAYS(B185,I185,Hoja1!$A$1:$A$29),"N/A")</f>
        <v>8</v>
      </c>
      <c r="AF185" s="21">
        <f>IFERROR(NETWORKDAYS(B185,W185,Hoja1!$A$1:$A$29),"N/A")</f>
        <v>16</v>
      </c>
      <c r="AG185" s="78">
        <v>0</v>
      </c>
      <c r="AH185" s="21">
        <f t="shared" si="13"/>
        <v>16</v>
      </c>
      <c r="AI185" s="21">
        <f>IFERROR(NETWORKDAYS(X185,Y185,Hoja1!$A$1:$A$29),"N/A")</f>
        <v>4</v>
      </c>
      <c r="AJ185" s="74">
        <v>0</v>
      </c>
      <c r="AK185" s="75">
        <f t="shared" si="17"/>
        <v>4</v>
      </c>
      <c r="AL185" s="21">
        <f>IFERROR(NETWORKDAYS(B185,Y185,Hoja1!$A$1:$A$29),"N/A")</f>
        <v>19</v>
      </c>
      <c r="AM185" s="21">
        <f t="shared" si="15"/>
        <v>19</v>
      </c>
      <c r="AN185" s="33"/>
      <c r="AO185" s="33"/>
      <c r="AP185" s="33"/>
      <c r="AQ185" s="33"/>
      <c r="AR185" s="33"/>
      <c r="AS185" s="33" t="s">
        <v>1906</v>
      </c>
      <c r="AT185" s="33" t="s">
        <v>1996</v>
      </c>
      <c r="AU185" s="33" t="s">
        <v>2212</v>
      </c>
      <c r="AV185" s="318" t="s">
        <v>2307</v>
      </c>
      <c r="AW185" s="403" t="s">
        <v>2772</v>
      </c>
      <c r="AY185" s="414"/>
    </row>
    <row r="186" spans="1:51" ht="15" customHeight="1" x14ac:dyDescent="0.25">
      <c r="A186" s="301">
        <v>15612</v>
      </c>
      <c r="B186" s="28">
        <v>46048</v>
      </c>
      <c r="C186" s="28">
        <v>46024</v>
      </c>
      <c r="D186" s="33">
        <v>1</v>
      </c>
      <c r="E186" s="45" t="s">
        <v>54</v>
      </c>
      <c r="F186" s="21" t="s">
        <v>55</v>
      </c>
      <c r="G186" s="33">
        <v>0</v>
      </c>
      <c r="H186" s="33"/>
      <c r="I186" s="21" t="s">
        <v>55</v>
      </c>
      <c r="J186" s="21" t="s">
        <v>55</v>
      </c>
      <c r="K186" s="33">
        <v>0</v>
      </c>
      <c r="L186" s="36" t="s">
        <v>55</v>
      </c>
      <c r="M186" s="36" t="s">
        <v>55</v>
      </c>
      <c r="N186" s="36" t="s">
        <v>55</v>
      </c>
      <c r="O186" s="36" t="s">
        <v>55</v>
      </c>
      <c r="P186" s="36" t="s">
        <v>55</v>
      </c>
      <c r="Q186" s="36" t="s">
        <v>55</v>
      </c>
      <c r="R186" s="3" t="s">
        <v>55</v>
      </c>
      <c r="S186" s="33">
        <v>1</v>
      </c>
      <c r="T186" s="33">
        <v>1</v>
      </c>
      <c r="U186" s="33">
        <v>0</v>
      </c>
      <c r="V186" s="28">
        <v>46052</v>
      </c>
      <c r="W186" s="28">
        <v>46055</v>
      </c>
      <c r="X186" s="28">
        <v>46055</v>
      </c>
      <c r="Y186" s="28">
        <v>46063</v>
      </c>
      <c r="Z186" s="28">
        <v>46065</v>
      </c>
      <c r="AA186" s="3">
        <f t="shared" si="16"/>
        <v>2</v>
      </c>
      <c r="AB186" s="85" t="s">
        <v>676</v>
      </c>
      <c r="AC186" s="35" t="s">
        <v>677</v>
      </c>
      <c r="AD186" s="19" t="str">
        <f t="shared" si="14"/>
        <v>N/A</v>
      </c>
      <c r="AE186" s="67" t="str">
        <f>IFERROR(NETWORKDAYS(B186,I186,Hoja1!$A$1:$A$29),"N/A")</f>
        <v>N/A</v>
      </c>
      <c r="AF186" s="21">
        <f>IFERROR(NETWORKDAYS(B186,W186,Hoja1!$A$1:$A$29),"N/A")</f>
        <v>6</v>
      </c>
      <c r="AG186" s="78">
        <v>0</v>
      </c>
      <c r="AH186" s="21">
        <f t="shared" si="13"/>
        <v>6</v>
      </c>
      <c r="AI186" s="21">
        <f>IFERROR(NETWORKDAYS(X186,Y186,Hoja1!$A$1:$A$29),"N/A")</f>
        <v>7</v>
      </c>
      <c r="AJ186" s="74">
        <v>2</v>
      </c>
      <c r="AK186" s="75">
        <f t="shared" si="17"/>
        <v>5</v>
      </c>
      <c r="AL186" s="21">
        <f>IFERROR(NETWORKDAYS(B186,Y186,Hoja1!$A$1:$A$29),"N/A")</f>
        <v>12</v>
      </c>
      <c r="AM186" s="21">
        <f t="shared" si="15"/>
        <v>10</v>
      </c>
      <c r="AN186" s="33"/>
      <c r="AO186" s="33"/>
      <c r="AP186" s="33"/>
      <c r="AQ186" s="33"/>
      <c r="AR186" s="33"/>
      <c r="AS186" s="33" t="s">
        <v>1906</v>
      </c>
      <c r="AT186" s="33" t="s">
        <v>2071</v>
      </c>
      <c r="AU186" s="33" t="s">
        <v>2212</v>
      </c>
      <c r="AV186" s="318" t="s">
        <v>2344</v>
      </c>
      <c r="AW186" s="403" t="s">
        <v>2773</v>
      </c>
      <c r="AY186" s="415"/>
    </row>
    <row r="187" spans="1:51" ht="15" customHeight="1" x14ac:dyDescent="0.25">
      <c r="A187" s="294">
        <v>15616</v>
      </c>
      <c r="B187" s="30">
        <v>46026</v>
      </c>
      <c r="C187" s="30">
        <v>46026</v>
      </c>
      <c r="D187" s="3">
        <v>1</v>
      </c>
      <c r="E187" s="45" t="s">
        <v>54</v>
      </c>
      <c r="F187" s="3" t="s">
        <v>55</v>
      </c>
      <c r="G187" s="3">
        <v>3</v>
      </c>
      <c r="H187" s="3" t="s">
        <v>112</v>
      </c>
      <c r="I187" s="30">
        <v>46035</v>
      </c>
      <c r="J187" s="30">
        <v>46035</v>
      </c>
      <c r="K187" s="3">
        <v>3</v>
      </c>
      <c r="L187" s="3" t="s">
        <v>55</v>
      </c>
      <c r="M187" s="3" t="s">
        <v>55</v>
      </c>
      <c r="N187" s="3" t="s">
        <v>55</v>
      </c>
      <c r="O187" s="3" t="s">
        <v>55</v>
      </c>
      <c r="P187" s="3" t="s">
        <v>55</v>
      </c>
      <c r="Q187" s="3" t="s">
        <v>55</v>
      </c>
      <c r="R187" s="3" t="s">
        <v>55</v>
      </c>
      <c r="S187" s="3">
        <v>3</v>
      </c>
      <c r="T187" s="3">
        <v>1</v>
      </c>
      <c r="U187" s="3">
        <v>0</v>
      </c>
      <c r="V187" s="16">
        <v>46044</v>
      </c>
      <c r="W187" s="16">
        <v>46044</v>
      </c>
      <c r="X187" s="30">
        <v>46045</v>
      </c>
      <c r="Y187" s="30">
        <v>46055</v>
      </c>
      <c r="Z187" s="16">
        <v>46055</v>
      </c>
      <c r="AA187" s="3">
        <f t="shared" si="16"/>
        <v>2</v>
      </c>
      <c r="AB187" s="85" t="s">
        <v>678</v>
      </c>
      <c r="AC187" s="45" t="s">
        <v>679</v>
      </c>
      <c r="AD187" s="19">
        <f t="shared" si="14"/>
        <v>1</v>
      </c>
      <c r="AE187" s="67">
        <f>IFERROR(NETWORKDAYS(B187,I187,Hoja1!$A$1:$A$29),"N/A")</f>
        <v>6</v>
      </c>
      <c r="AF187" s="21">
        <f>IFERROR(NETWORKDAYS(B187,W187,Hoja1!$A$1:$A$29),"N/A")</f>
        <v>13</v>
      </c>
      <c r="AG187" s="78">
        <v>0</v>
      </c>
      <c r="AH187" s="21">
        <f t="shared" si="13"/>
        <v>13</v>
      </c>
      <c r="AI187" s="21">
        <f>IFERROR(NETWORKDAYS(X187,Y187,Hoja1!$A$1:$A$29),"N/A")</f>
        <v>7</v>
      </c>
      <c r="AJ187" s="74">
        <v>0</v>
      </c>
      <c r="AK187" s="75">
        <f t="shared" si="17"/>
        <v>7</v>
      </c>
      <c r="AL187" s="21">
        <f>IFERROR(NETWORKDAYS(B187,Y187,Hoja1!$A$1:$A$29),"N/A")</f>
        <v>20</v>
      </c>
      <c r="AM187" s="21">
        <f t="shared" si="15"/>
        <v>20</v>
      </c>
      <c r="AN187" s="107"/>
      <c r="AO187" s="107"/>
      <c r="AP187" s="107"/>
      <c r="AQ187" s="107"/>
      <c r="AR187" s="1"/>
      <c r="AS187" s="1" t="s">
        <v>1890</v>
      </c>
      <c r="AT187" s="1" t="s">
        <v>1995</v>
      </c>
      <c r="AU187" s="1" t="s">
        <v>2216</v>
      </c>
      <c r="AV187" s="315" t="s">
        <v>2345</v>
      </c>
      <c r="AW187" s="403" t="s">
        <v>2774</v>
      </c>
      <c r="AY187" s="414"/>
    </row>
    <row r="188" spans="1:51" ht="15" customHeight="1" x14ac:dyDescent="0.25">
      <c r="A188" s="301">
        <v>15618</v>
      </c>
      <c r="B188" s="16">
        <v>46062</v>
      </c>
      <c r="C188" s="16">
        <v>46027</v>
      </c>
      <c r="D188" s="1">
        <v>1</v>
      </c>
      <c r="E188" s="159" t="s">
        <v>247</v>
      </c>
      <c r="F188" s="21" t="s">
        <v>55</v>
      </c>
      <c r="G188" s="1">
        <v>0</v>
      </c>
      <c r="H188" s="1"/>
      <c r="I188" s="16" t="s">
        <v>55</v>
      </c>
      <c r="J188" s="16" t="s">
        <v>55</v>
      </c>
      <c r="K188" s="1">
        <v>0</v>
      </c>
      <c r="L188" s="36" t="s">
        <v>55</v>
      </c>
      <c r="M188" s="36" t="s">
        <v>55</v>
      </c>
      <c r="N188" s="36" t="s">
        <v>55</v>
      </c>
      <c r="O188" s="36" t="s">
        <v>55</v>
      </c>
      <c r="P188" s="36" t="s">
        <v>55</v>
      </c>
      <c r="Q188" s="36" t="s">
        <v>55</v>
      </c>
      <c r="R188" s="3" t="s">
        <v>55</v>
      </c>
      <c r="S188" s="1">
        <v>1</v>
      </c>
      <c r="T188" s="1">
        <v>1</v>
      </c>
      <c r="U188" s="1">
        <v>0</v>
      </c>
      <c r="V188" s="28">
        <v>46066</v>
      </c>
      <c r="W188" s="28">
        <v>46066</v>
      </c>
      <c r="X188" s="16" t="s">
        <v>55</v>
      </c>
      <c r="Y188" s="16">
        <v>46066</v>
      </c>
      <c r="Z188" s="16">
        <v>46066</v>
      </c>
      <c r="AA188" s="3">
        <f t="shared" si="16"/>
        <v>2</v>
      </c>
      <c r="AB188" s="85" t="s">
        <v>681</v>
      </c>
      <c r="AC188" s="49" t="s">
        <v>682</v>
      </c>
      <c r="AD188" s="19" t="str">
        <f t="shared" si="14"/>
        <v>N/A</v>
      </c>
      <c r="AE188" s="67" t="str">
        <f>IFERROR(NETWORKDAYS(B188,I188,Hoja1!$A$1:$A$29),"N/A")</f>
        <v>N/A</v>
      </c>
      <c r="AF188" s="21">
        <f>IFERROR(NETWORKDAYS(B188,W188,Hoja1!$A$1:$A$29),"N/A")</f>
        <v>5</v>
      </c>
      <c r="AG188" s="78">
        <v>0</v>
      </c>
      <c r="AH188" s="21">
        <f t="shared" si="13"/>
        <v>5</v>
      </c>
      <c r="AI188" s="21" t="str">
        <f>IFERROR(NETWORKDAYS(X188,Y188,Hoja1!$A$1:$A$29),"N/A")</f>
        <v>N/A</v>
      </c>
      <c r="AJ188" s="67">
        <v>0</v>
      </c>
      <c r="AK188" s="21" t="s">
        <v>82</v>
      </c>
      <c r="AL188" s="21">
        <f>IFERROR(NETWORKDAYS(B188,Y188,Hoja1!$A$1:$A$29),"N/A")</f>
        <v>5</v>
      </c>
      <c r="AM188" s="21">
        <f t="shared" si="15"/>
        <v>5</v>
      </c>
      <c r="AN188" s="33"/>
      <c r="AO188" s="33"/>
      <c r="AP188" s="33"/>
      <c r="AQ188" s="33"/>
      <c r="AR188" s="33"/>
      <c r="AS188" s="33" t="s">
        <v>1911</v>
      </c>
      <c r="AT188" s="33" t="s">
        <v>2072</v>
      </c>
      <c r="AU188" s="33" t="s">
        <v>2210</v>
      </c>
      <c r="AV188" s="318" t="s">
        <v>2242</v>
      </c>
      <c r="AW188" s="403" t="s">
        <v>2775</v>
      </c>
      <c r="AY188" s="415"/>
    </row>
    <row r="189" spans="1:51" ht="15" customHeight="1" x14ac:dyDescent="0.25">
      <c r="A189" s="294">
        <v>15620</v>
      </c>
      <c r="B189" s="15">
        <v>46027</v>
      </c>
      <c r="C189" s="16">
        <v>46027</v>
      </c>
      <c r="D189" s="1">
        <v>1</v>
      </c>
      <c r="E189" s="45" t="s">
        <v>54</v>
      </c>
      <c r="F189" s="21" t="s">
        <v>55</v>
      </c>
      <c r="G189" s="1">
        <v>1</v>
      </c>
      <c r="H189" s="1" t="s">
        <v>112</v>
      </c>
      <c r="I189" s="16">
        <v>46037</v>
      </c>
      <c r="J189" s="16">
        <v>46038</v>
      </c>
      <c r="K189" s="1">
        <v>1</v>
      </c>
      <c r="L189" s="36" t="s">
        <v>55</v>
      </c>
      <c r="M189" s="36" t="s">
        <v>55</v>
      </c>
      <c r="N189" s="36" t="s">
        <v>55</v>
      </c>
      <c r="O189" s="36" t="s">
        <v>55</v>
      </c>
      <c r="P189" s="36" t="s">
        <v>55</v>
      </c>
      <c r="Q189" s="36" t="s">
        <v>55</v>
      </c>
      <c r="R189" s="3" t="s">
        <v>55</v>
      </c>
      <c r="S189" s="1">
        <v>1</v>
      </c>
      <c r="T189" s="1">
        <v>1</v>
      </c>
      <c r="U189" s="1">
        <v>0</v>
      </c>
      <c r="V189" s="28">
        <v>46041</v>
      </c>
      <c r="W189" s="28">
        <v>46041</v>
      </c>
      <c r="X189" s="16">
        <v>46041</v>
      </c>
      <c r="Y189" s="16">
        <v>46049</v>
      </c>
      <c r="Z189" s="16">
        <v>46055</v>
      </c>
      <c r="AA189" s="3">
        <f t="shared" si="16"/>
        <v>2</v>
      </c>
      <c r="AB189" s="85" t="s">
        <v>683</v>
      </c>
      <c r="AC189" s="49" t="s">
        <v>684</v>
      </c>
      <c r="AD189" s="19">
        <f t="shared" si="14"/>
        <v>1</v>
      </c>
      <c r="AE189" s="67">
        <f>IFERROR(NETWORKDAYS(B189,I189,Hoja1!$A$1:$A$29),"N/A")</f>
        <v>8</v>
      </c>
      <c r="AF189" s="21">
        <f>IFERROR(NETWORKDAYS(B189,W189,Hoja1!$A$1:$A$29),"N/A")</f>
        <v>10</v>
      </c>
      <c r="AG189" s="78">
        <v>0</v>
      </c>
      <c r="AH189" s="21">
        <f t="shared" si="13"/>
        <v>10</v>
      </c>
      <c r="AI189" s="21">
        <f>IFERROR(NETWORKDAYS(X189,Y189,Hoja1!$A$1:$A$29),"N/A")</f>
        <v>7</v>
      </c>
      <c r="AJ189" s="113">
        <v>3</v>
      </c>
      <c r="AK189" s="75">
        <f t="shared" ref="AK189:AK252" si="18">AI189-AJ189</f>
        <v>4</v>
      </c>
      <c r="AL189" s="21">
        <f>IFERROR(NETWORKDAYS(B189,Y189,Hoja1!$A$1:$A$29),"N/A")</f>
        <v>16</v>
      </c>
      <c r="AM189" s="21">
        <f t="shared" si="15"/>
        <v>13</v>
      </c>
      <c r="AN189" s="33"/>
      <c r="AO189" s="33"/>
      <c r="AP189" s="33"/>
      <c r="AQ189" s="33"/>
      <c r="AR189" s="33"/>
      <c r="AS189" s="33" t="s">
        <v>1933</v>
      </c>
      <c r="AT189" s="33" t="s">
        <v>1994</v>
      </c>
      <c r="AU189" s="33" t="s">
        <v>2218</v>
      </c>
      <c r="AV189" s="318" t="s">
        <v>2239</v>
      </c>
      <c r="AW189" s="403" t="s">
        <v>2776</v>
      </c>
      <c r="AY189" s="414"/>
    </row>
    <row r="190" spans="1:51" ht="15" customHeight="1" x14ac:dyDescent="0.25">
      <c r="A190" s="294">
        <v>15621</v>
      </c>
      <c r="B190" s="44">
        <v>46027</v>
      </c>
      <c r="C190" s="44">
        <v>46027</v>
      </c>
      <c r="D190" s="2">
        <v>1</v>
      </c>
      <c r="E190" s="45" t="s">
        <v>54</v>
      </c>
      <c r="F190" s="2" t="s">
        <v>55</v>
      </c>
      <c r="G190" s="2">
        <v>3</v>
      </c>
      <c r="H190" s="2" t="s">
        <v>112</v>
      </c>
      <c r="I190" s="44">
        <v>46030</v>
      </c>
      <c r="J190" s="44">
        <v>46030</v>
      </c>
      <c r="K190" s="2">
        <v>3</v>
      </c>
      <c r="L190" s="2" t="s">
        <v>55</v>
      </c>
      <c r="M190" s="2" t="s">
        <v>55</v>
      </c>
      <c r="N190" s="2" t="s">
        <v>55</v>
      </c>
      <c r="O190" s="2" t="s">
        <v>55</v>
      </c>
      <c r="P190" s="2" t="s">
        <v>55</v>
      </c>
      <c r="Q190" s="2" t="s">
        <v>55</v>
      </c>
      <c r="R190" s="3" t="s">
        <v>55</v>
      </c>
      <c r="S190" s="2">
        <v>1</v>
      </c>
      <c r="T190" s="2">
        <v>1</v>
      </c>
      <c r="U190" s="2">
        <v>0</v>
      </c>
      <c r="V190" s="16">
        <v>46044</v>
      </c>
      <c r="W190" s="16">
        <v>46049</v>
      </c>
      <c r="X190" s="16">
        <v>46050</v>
      </c>
      <c r="Y190" s="16">
        <v>46058</v>
      </c>
      <c r="Z190" s="104">
        <v>46065</v>
      </c>
      <c r="AA190" s="3">
        <f t="shared" si="16"/>
        <v>2</v>
      </c>
      <c r="AB190" s="85" t="s">
        <v>685</v>
      </c>
      <c r="AC190" s="46" t="s">
        <v>686</v>
      </c>
      <c r="AD190" s="19">
        <f t="shared" si="14"/>
        <v>1</v>
      </c>
      <c r="AE190" s="67">
        <f>IFERROR(NETWORKDAYS(B190,I190,Hoja1!$A$1:$A$29),"N/A")</f>
        <v>4</v>
      </c>
      <c r="AF190" s="21">
        <f>IFERROR(NETWORKDAYS(B190,W190,Hoja1!$A$1:$A$29),"N/A")</f>
        <v>16</v>
      </c>
      <c r="AG190" s="78">
        <v>2</v>
      </c>
      <c r="AH190" s="21">
        <f t="shared" si="13"/>
        <v>14</v>
      </c>
      <c r="AI190" s="21">
        <f>IFERROR(NETWORKDAYS(X190,Y190,Hoja1!$A$1:$A$29),"N/A")</f>
        <v>7</v>
      </c>
      <c r="AJ190" s="78">
        <v>2</v>
      </c>
      <c r="AK190" s="75">
        <f t="shared" si="18"/>
        <v>5</v>
      </c>
      <c r="AL190" s="21">
        <f>IFERROR(NETWORKDAYS(B190,Y190,Hoja1!$A$1:$A$29),"N/A")</f>
        <v>23</v>
      </c>
      <c r="AM190" s="21">
        <f t="shared" si="15"/>
        <v>19</v>
      </c>
      <c r="AN190" s="114"/>
      <c r="AO190" s="43"/>
      <c r="AP190" s="43"/>
      <c r="AQ190" s="43"/>
      <c r="AR190" s="43"/>
      <c r="AS190" s="43" t="s">
        <v>1939</v>
      </c>
      <c r="AT190" s="43" t="s">
        <v>1995</v>
      </c>
      <c r="AU190" s="43" t="s">
        <v>2217</v>
      </c>
      <c r="AV190" s="317" t="s">
        <v>2346</v>
      </c>
      <c r="AW190" s="403" t="s">
        <v>2777</v>
      </c>
      <c r="AY190" s="415"/>
    </row>
    <row r="191" spans="1:51" ht="15" customHeight="1" x14ac:dyDescent="0.25">
      <c r="A191" s="294">
        <v>15622</v>
      </c>
      <c r="B191" s="15">
        <v>46027</v>
      </c>
      <c r="C191" s="16">
        <v>46027</v>
      </c>
      <c r="D191" s="1">
        <v>1</v>
      </c>
      <c r="E191" s="45" t="s">
        <v>54</v>
      </c>
      <c r="F191" s="21" t="s">
        <v>55</v>
      </c>
      <c r="G191" s="1">
        <v>3</v>
      </c>
      <c r="H191" s="1" t="s">
        <v>112</v>
      </c>
      <c r="I191" s="16">
        <v>46043</v>
      </c>
      <c r="J191" s="16">
        <v>46049</v>
      </c>
      <c r="K191" s="1">
        <v>3</v>
      </c>
      <c r="L191" s="36" t="s">
        <v>55</v>
      </c>
      <c r="M191" s="36" t="s">
        <v>55</v>
      </c>
      <c r="N191" s="36" t="s">
        <v>55</v>
      </c>
      <c r="O191" s="36" t="s">
        <v>55</v>
      </c>
      <c r="P191" s="36" t="s">
        <v>55</v>
      </c>
      <c r="Q191" s="36" t="s">
        <v>55</v>
      </c>
      <c r="R191" s="3" t="s">
        <v>55</v>
      </c>
      <c r="S191" s="1">
        <v>3</v>
      </c>
      <c r="T191" s="1">
        <v>3</v>
      </c>
      <c r="U191" s="1">
        <v>0</v>
      </c>
      <c r="V191" s="16">
        <v>46052</v>
      </c>
      <c r="W191" s="16">
        <v>46052</v>
      </c>
      <c r="X191" s="16">
        <v>46052</v>
      </c>
      <c r="Y191" s="16">
        <v>46058</v>
      </c>
      <c r="Z191" s="16">
        <v>46065</v>
      </c>
      <c r="AA191" s="3">
        <f t="shared" si="16"/>
        <v>2</v>
      </c>
      <c r="AB191" s="85" t="s">
        <v>689</v>
      </c>
      <c r="AC191" s="49" t="s">
        <v>690</v>
      </c>
      <c r="AD191" s="19">
        <f t="shared" si="14"/>
        <v>1</v>
      </c>
      <c r="AE191" s="67">
        <f>IFERROR(NETWORKDAYS(B191,I191,Hoja1!$A$1:$A$29),"N/A")</f>
        <v>12</v>
      </c>
      <c r="AF191" s="21">
        <f>IFERROR(NETWORKDAYS(B191,W191,Hoja1!$A$1:$A$29),"N/A")</f>
        <v>19</v>
      </c>
      <c r="AG191" s="78">
        <v>0</v>
      </c>
      <c r="AH191" s="21">
        <f t="shared" ref="AH191:AH224" si="19">AF191-AG191</f>
        <v>19</v>
      </c>
      <c r="AI191" s="21">
        <f>IFERROR(NETWORKDAYS(X191,Y191,Hoja1!$A$1:$A$29),"N/A")</f>
        <v>5</v>
      </c>
      <c r="AJ191" s="113">
        <v>0</v>
      </c>
      <c r="AK191" s="75">
        <f t="shared" si="18"/>
        <v>5</v>
      </c>
      <c r="AL191" s="21">
        <f>IFERROR(NETWORKDAYS(B191,Y191,Hoja1!$A$1:$A$29),"N/A")</f>
        <v>23</v>
      </c>
      <c r="AM191" s="21">
        <f t="shared" si="15"/>
        <v>23</v>
      </c>
      <c r="AN191" s="33"/>
      <c r="AO191" s="33"/>
      <c r="AP191" s="33"/>
      <c r="AQ191" s="33"/>
      <c r="AR191" s="33"/>
      <c r="AS191" s="33" t="s">
        <v>1940</v>
      </c>
      <c r="AT191" s="33" t="s">
        <v>1996</v>
      </c>
      <c r="AU191" s="33" t="s">
        <v>2218</v>
      </c>
      <c r="AV191" s="318" t="s">
        <v>2239</v>
      </c>
      <c r="AW191" s="403" t="s">
        <v>2778</v>
      </c>
      <c r="AY191" s="414"/>
    </row>
    <row r="192" spans="1:51" ht="15" customHeight="1" x14ac:dyDescent="0.25">
      <c r="A192" s="296">
        <v>15623</v>
      </c>
      <c r="B192" s="37">
        <v>46027</v>
      </c>
      <c r="C192" s="37">
        <v>46027</v>
      </c>
      <c r="D192" s="3">
        <v>1</v>
      </c>
      <c r="E192" s="45" t="s">
        <v>54</v>
      </c>
      <c r="F192" s="18" t="s">
        <v>55</v>
      </c>
      <c r="G192" s="3">
        <v>3</v>
      </c>
      <c r="H192" s="3" t="s">
        <v>112</v>
      </c>
      <c r="I192" s="30">
        <v>46038</v>
      </c>
      <c r="J192" s="30">
        <v>46038</v>
      </c>
      <c r="K192" s="3">
        <v>3</v>
      </c>
      <c r="L192" s="18" t="s">
        <v>55</v>
      </c>
      <c r="M192" s="18" t="s">
        <v>55</v>
      </c>
      <c r="N192" s="18" t="s">
        <v>55</v>
      </c>
      <c r="O192" s="18" t="s">
        <v>55</v>
      </c>
      <c r="P192" s="18" t="s">
        <v>55</v>
      </c>
      <c r="Q192" s="18" t="s">
        <v>55</v>
      </c>
      <c r="R192" s="3" t="s">
        <v>55</v>
      </c>
      <c r="S192" s="3">
        <v>1</v>
      </c>
      <c r="T192" s="3">
        <v>1</v>
      </c>
      <c r="U192" s="3">
        <v>0</v>
      </c>
      <c r="V192" s="30">
        <v>46042</v>
      </c>
      <c r="W192" s="30">
        <v>46043</v>
      </c>
      <c r="X192" s="16">
        <v>46044</v>
      </c>
      <c r="Y192" s="16">
        <v>46052</v>
      </c>
      <c r="Z192" s="16">
        <v>46055</v>
      </c>
      <c r="AA192" s="3">
        <f t="shared" si="16"/>
        <v>2</v>
      </c>
      <c r="AB192" s="85" t="s">
        <v>691</v>
      </c>
      <c r="AC192" s="35" t="s">
        <v>692</v>
      </c>
      <c r="AD192" s="19">
        <f t="shared" si="14"/>
        <v>1</v>
      </c>
      <c r="AE192" s="67">
        <f>IFERROR(NETWORKDAYS(B192,I192,Hoja1!$A$1:$A$29),"N/A")</f>
        <v>9</v>
      </c>
      <c r="AF192" s="21">
        <f>IFERROR(NETWORKDAYS(B192,W192,Hoja1!$A$1:$A$29),"N/A")</f>
        <v>12</v>
      </c>
      <c r="AG192" s="78">
        <v>2</v>
      </c>
      <c r="AH192" s="21">
        <f t="shared" si="19"/>
        <v>10</v>
      </c>
      <c r="AI192" s="21">
        <f>IFERROR(NETWORKDAYS(X192,Y192,Hoja1!$A$1:$A$29),"N/A")</f>
        <v>7</v>
      </c>
      <c r="AJ192" s="67">
        <v>1</v>
      </c>
      <c r="AK192" s="75">
        <f t="shared" si="18"/>
        <v>6</v>
      </c>
      <c r="AL192" s="21">
        <f>IFERROR(NETWORKDAYS(B192,Y192,Hoja1!$A$1:$A$29),"N/A")</f>
        <v>19</v>
      </c>
      <c r="AM192" s="21">
        <f t="shared" si="15"/>
        <v>16</v>
      </c>
      <c r="AN192" s="3"/>
      <c r="AO192" s="3"/>
      <c r="AP192" s="3"/>
      <c r="AQ192" s="3"/>
      <c r="AR192" s="3"/>
      <c r="AS192" s="3" t="s">
        <v>1923</v>
      </c>
      <c r="AT192" s="3" t="s">
        <v>2063</v>
      </c>
      <c r="AU192" s="3" t="s">
        <v>2215</v>
      </c>
      <c r="AV192" s="316" t="s">
        <v>2347</v>
      </c>
      <c r="AW192" s="403" t="s">
        <v>2779</v>
      </c>
      <c r="AY192" s="415"/>
    </row>
    <row r="193" spans="1:51" ht="15" customHeight="1" x14ac:dyDescent="0.25">
      <c r="A193" s="296">
        <v>15624</v>
      </c>
      <c r="B193" s="37">
        <v>46027</v>
      </c>
      <c r="C193" s="37">
        <v>46027</v>
      </c>
      <c r="D193" s="3">
        <v>1</v>
      </c>
      <c r="E193" s="45" t="s">
        <v>54</v>
      </c>
      <c r="F193" s="18" t="s">
        <v>55</v>
      </c>
      <c r="G193" s="3">
        <v>6</v>
      </c>
      <c r="H193" s="3" t="s">
        <v>112</v>
      </c>
      <c r="I193" s="30">
        <v>46030</v>
      </c>
      <c r="J193" s="30">
        <v>46030</v>
      </c>
      <c r="K193" s="3">
        <v>6</v>
      </c>
      <c r="L193" s="18" t="s">
        <v>55</v>
      </c>
      <c r="M193" s="18" t="s">
        <v>55</v>
      </c>
      <c r="N193" s="18" t="s">
        <v>55</v>
      </c>
      <c r="O193" s="18" t="s">
        <v>55</v>
      </c>
      <c r="P193" s="18" t="s">
        <v>55</v>
      </c>
      <c r="Q193" s="18" t="s">
        <v>55</v>
      </c>
      <c r="R193" s="3" t="s">
        <v>55</v>
      </c>
      <c r="S193" s="3">
        <v>1</v>
      </c>
      <c r="T193" s="3">
        <v>1</v>
      </c>
      <c r="U193" s="3">
        <v>0</v>
      </c>
      <c r="V193" s="30">
        <v>46038</v>
      </c>
      <c r="W193" s="28">
        <v>46038</v>
      </c>
      <c r="X193" s="37">
        <v>46042</v>
      </c>
      <c r="Y193" s="44">
        <v>46059</v>
      </c>
      <c r="Z193" s="104">
        <v>46065</v>
      </c>
      <c r="AA193" s="3">
        <f t="shared" si="16"/>
        <v>2</v>
      </c>
      <c r="AB193" s="85" t="s">
        <v>694</v>
      </c>
      <c r="AC193" s="35" t="s">
        <v>695</v>
      </c>
      <c r="AD193" s="19">
        <f t="shared" si="14"/>
        <v>1</v>
      </c>
      <c r="AE193" s="67">
        <f>IFERROR(NETWORKDAYS(B193,I193,Hoja1!$A$1:$A$29),"N/A")</f>
        <v>4</v>
      </c>
      <c r="AF193" s="21">
        <f>IFERROR(NETWORKDAYS(B193,W193,Hoja1!$A$1:$A$29),"N/A")</f>
        <v>9</v>
      </c>
      <c r="AG193" s="78">
        <v>0</v>
      </c>
      <c r="AH193" s="21">
        <f t="shared" si="19"/>
        <v>9</v>
      </c>
      <c r="AI193" s="21">
        <f>IFERROR(NETWORKDAYS(X193,Y193,Hoja1!$A$1:$A$29),"N/A")</f>
        <v>14</v>
      </c>
      <c r="AJ193" s="67">
        <v>8</v>
      </c>
      <c r="AK193" s="75">
        <f t="shared" si="18"/>
        <v>6</v>
      </c>
      <c r="AL193" s="21">
        <f>IFERROR(NETWORKDAYS(B193,Y193,Hoja1!$A$1:$A$29),"N/A")</f>
        <v>24</v>
      </c>
      <c r="AM193" s="21">
        <f t="shared" si="15"/>
        <v>16</v>
      </c>
      <c r="AN193" s="3"/>
      <c r="AO193" s="3"/>
      <c r="AP193" s="3"/>
      <c r="AQ193" s="3"/>
      <c r="AR193" s="3"/>
      <c r="AS193" s="3" t="s">
        <v>1923</v>
      </c>
      <c r="AT193" s="3" t="s">
        <v>2063</v>
      </c>
      <c r="AU193" s="3" t="s">
        <v>2215</v>
      </c>
      <c r="AV193" s="316" t="s">
        <v>2348</v>
      </c>
      <c r="AW193" s="403" t="s">
        <v>2780</v>
      </c>
      <c r="AY193" s="414"/>
    </row>
    <row r="194" spans="1:51" ht="15" customHeight="1" x14ac:dyDescent="0.25">
      <c r="A194" s="301">
        <v>15626</v>
      </c>
      <c r="B194" s="28">
        <v>46028</v>
      </c>
      <c r="C194" s="28">
        <v>46028</v>
      </c>
      <c r="D194" s="33">
        <v>1</v>
      </c>
      <c r="E194" s="45" t="s">
        <v>54</v>
      </c>
      <c r="F194" s="21" t="s">
        <v>55</v>
      </c>
      <c r="G194" s="33">
        <v>0</v>
      </c>
      <c r="H194" s="33"/>
      <c r="I194" s="21" t="s">
        <v>55</v>
      </c>
      <c r="J194" s="21" t="s">
        <v>55</v>
      </c>
      <c r="K194" s="33">
        <v>0</v>
      </c>
      <c r="L194" s="36" t="s">
        <v>55</v>
      </c>
      <c r="M194" s="36" t="s">
        <v>55</v>
      </c>
      <c r="N194" s="36" t="s">
        <v>55</v>
      </c>
      <c r="O194" s="36" t="s">
        <v>55</v>
      </c>
      <c r="P194" s="36" t="s">
        <v>55</v>
      </c>
      <c r="Q194" s="36" t="s">
        <v>55</v>
      </c>
      <c r="R194" s="3" t="s">
        <v>55</v>
      </c>
      <c r="S194" s="33">
        <v>1</v>
      </c>
      <c r="T194" s="33">
        <v>1</v>
      </c>
      <c r="U194" s="33">
        <v>0</v>
      </c>
      <c r="V194" s="28">
        <v>46037</v>
      </c>
      <c r="W194" s="28">
        <v>46037</v>
      </c>
      <c r="X194" s="28">
        <v>46038</v>
      </c>
      <c r="Y194" s="28">
        <v>46049</v>
      </c>
      <c r="Z194" s="16">
        <v>46055</v>
      </c>
      <c r="AA194" s="3">
        <f t="shared" si="16"/>
        <v>2</v>
      </c>
      <c r="AB194" s="85" t="s">
        <v>697</v>
      </c>
      <c r="AC194" s="35" t="s">
        <v>698</v>
      </c>
      <c r="AD194" s="19" t="str">
        <f t="shared" ref="AD194:AD257" si="20">IFERROR(K194/G194,"N/A")</f>
        <v>N/A</v>
      </c>
      <c r="AE194" s="67" t="str">
        <f>IFERROR(NETWORKDAYS(B194,I194,Hoja1!$A$1:$A$29),"N/A")</f>
        <v>N/A</v>
      </c>
      <c r="AF194" s="21">
        <f>IFERROR(NETWORKDAYS(B194,W194,Hoja1!$A$1:$A$29),"N/A")</f>
        <v>7</v>
      </c>
      <c r="AG194" s="78">
        <v>2</v>
      </c>
      <c r="AH194" s="21">
        <f t="shared" si="19"/>
        <v>5</v>
      </c>
      <c r="AI194" s="21">
        <f>IFERROR(NETWORKDAYS(X194,Y194,Hoja1!$A$1:$A$29),"N/A")</f>
        <v>8</v>
      </c>
      <c r="AJ194" s="67">
        <v>3</v>
      </c>
      <c r="AK194" s="75">
        <f t="shared" si="18"/>
        <v>5</v>
      </c>
      <c r="AL194" s="21">
        <f>IFERROR(NETWORKDAYS(B194,Y194,Hoja1!$A$1:$A$29),"N/A")</f>
        <v>15</v>
      </c>
      <c r="AM194" s="21">
        <f t="shared" ref="AM194:AM257" si="21">AL194-AG194-AJ194</f>
        <v>10</v>
      </c>
      <c r="AN194" s="33"/>
      <c r="AO194" s="33"/>
      <c r="AP194" s="33"/>
      <c r="AQ194" s="33"/>
      <c r="AR194" s="33"/>
      <c r="AS194" s="33" t="s">
        <v>1888</v>
      </c>
      <c r="AT194" s="33" t="s">
        <v>2062</v>
      </c>
      <c r="AU194" s="33" t="s">
        <v>2211</v>
      </c>
      <c r="AV194" s="318" t="s">
        <v>2349</v>
      </c>
      <c r="AW194" s="403" t="s">
        <v>2781</v>
      </c>
      <c r="AY194" s="415"/>
    </row>
    <row r="195" spans="1:51" ht="15" customHeight="1" x14ac:dyDescent="0.25">
      <c r="A195" s="301">
        <v>15629</v>
      </c>
      <c r="B195" s="28">
        <v>46063</v>
      </c>
      <c r="C195" s="28">
        <v>46028</v>
      </c>
      <c r="D195" s="33">
        <v>1</v>
      </c>
      <c r="E195" s="45" t="s">
        <v>54</v>
      </c>
      <c r="F195" s="21" t="s">
        <v>55</v>
      </c>
      <c r="G195" s="33">
        <v>0</v>
      </c>
      <c r="H195" s="33"/>
      <c r="I195" s="21" t="s">
        <v>55</v>
      </c>
      <c r="J195" s="21" t="s">
        <v>55</v>
      </c>
      <c r="K195" s="33">
        <v>0</v>
      </c>
      <c r="L195" s="36" t="s">
        <v>55</v>
      </c>
      <c r="M195" s="36" t="s">
        <v>55</v>
      </c>
      <c r="N195" s="36" t="s">
        <v>55</v>
      </c>
      <c r="O195" s="36" t="s">
        <v>55</v>
      </c>
      <c r="P195" s="36" t="s">
        <v>55</v>
      </c>
      <c r="Q195" s="36" t="s">
        <v>55</v>
      </c>
      <c r="R195" s="3" t="s">
        <v>55</v>
      </c>
      <c r="S195" s="33">
        <v>1</v>
      </c>
      <c r="T195" s="33">
        <v>1</v>
      </c>
      <c r="U195" s="33">
        <v>0</v>
      </c>
      <c r="V195" s="28">
        <v>46069</v>
      </c>
      <c r="W195" s="28">
        <v>46070</v>
      </c>
      <c r="X195" s="28">
        <v>46070</v>
      </c>
      <c r="Y195" s="16">
        <v>46073</v>
      </c>
      <c r="Z195" s="140">
        <v>46076</v>
      </c>
      <c r="AA195" s="3">
        <f t="shared" si="16"/>
        <v>2</v>
      </c>
      <c r="AB195" s="85" t="s">
        <v>700</v>
      </c>
      <c r="AC195" s="35" t="s">
        <v>701</v>
      </c>
      <c r="AD195" s="19" t="str">
        <f t="shared" si="20"/>
        <v>N/A</v>
      </c>
      <c r="AE195" s="67" t="str">
        <f>IFERROR(NETWORKDAYS(B195,I195,Hoja1!$A$1:$A$29),"N/A")</f>
        <v>N/A</v>
      </c>
      <c r="AF195" s="21">
        <f>IFERROR(NETWORKDAYS(B195,W195,Hoja1!$A$1:$A$29),"N/A")</f>
        <v>6</v>
      </c>
      <c r="AG195" s="78">
        <v>0</v>
      </c>
      <c r="AH195" s="21">
        <f t="shared" si="19"/>
        <v>6</v>
      </c>
      <c r="AI195" s="21">
        <f>IFERROR(NETWORKDAYS(X195,Y195,Hoja1!$A$1:$A$29),"N/A")</f>
        <v>4</v>
      </c>
      <c r="AJ195" s="74">
        <v>0</v>
      </c>
      <c r="AK195" s="75">
        <f t="shared" si="18"/>
        <v>4</v>
      </c>
      <c r="AL195" s="21">
        <f>IFERROR(NETWORKDAYS(B195,Y195,Hoja1!$A$1:$A$29),"N/A")</f>
        <v>9</v>
      </c>
      <c r="AM195" s="21">
        <f t="shared" si="21"/>
        <v>9</v>
      </c>
      <c r="AN195" s="33"/>
      <c r="AO195" s="33"/>
      <c r="AP195" s="33"/>
      <c r="AQ195" s="33"/>
      <c r="AR195" s="33"/>
      <c r="AS195" s="33" t="s">
        <v>1889</v>
      </c>
      <c r="AT195" s="33" t="s">
        <v>2073</v>
      </c>
      <c r="AU195" s="33" t="s">
        <v>2212</v>
      </c>
      <c r="AV195" s="318" t="s">
        <v>2350</v>
      </c>
      <c r="AW195" s="403" t="s">
        <v>2782</v>
      </c>
      <c r="AY195" s="414"/>
    </row>
    <row r="196" spans="1:51" ht="15" customHeight="1" x14ac:dyDescent="0.25">
      <c r="A196" s="294">
        <v>15632</v>
      </c>
      <c r="B196" s="44">
        <v>46029</v>
      </c>
      <c r="C196" s="44">
        <v>46029</v>
      </c>
      <c r="D196" s="2">
        <v>1</v>
      </c>
      <c r="E196" s="45" t="s">
        <v>54</v>
      </c>
      <c r="F196" s="2" t="s">
        <v>55</v>
      </c>
      <c r="G196" s="2">
        <v>7</v>
      </c>
      <c r="H196" s="2" t="s">
        <v>112</v>
      </c>
      <c r="I196" s="16">
        <v>46042</v>
      </c>
      <c r="J196" s="16">
        <v>46042</v>
      </c>
      <c r="K196" s="2">
        <v>7</v>
      </c>
      <c r="L196" s="2" t="s">
        <v>55</v>
      </c>
      <c r="M196" s="2" t="s">
        <v>55</v>
      </c>
      <c r="N196" s="2" t="s">
        <v>55</v>
      </c>
      <c r="O196" s="2" t="s">
        <v>55</v>
      </c>
      <c r="P196" s="2" t="s">
        <v>55</v>
      </c>
      <c r="Q196" s="2" t="s">
        <v>55</v>
      </c>
      <c r="R196" s="3" t="s">
        <v>55</v>
      </c>
      <c r="S196" s="2">
        <v>1</v>
      </c>
      <c r="T196" s="2">
        <v>1</v>
      </c>
      <c r="U196" s="2">
        <v>0</v>
      </c>
      <c r="V196" s="44">
        <v>46065</v>
      </c>
      <c r="W196" s="16">
        <v>46071</v>
      </c>
      <c r="X196" s="16">
        <v>46071</v>
      </c>
      <c r="Y196" s="16">
        <v>46073</v>
      </c>
      <c r="Z196" s="140">
        <v>46076</v>
      </c>
      <c r="AA196" s="3">
        <f t="shared" si="16"/>
        <v>2</v>
      </c>
      <c r="AB196" s="85" t="s">
        <v>703</v>
      </c>
      <c r="AC196" s="46" t="s">
        <v>704</v>
      </c>
      <c r="AD196" s="19">
        <f t="shared" si="20"/>
        <v>1</v>
      </c>
      <c r="AE196" s="67">
        <f>IFERROR(NETWORKDAYS(B196,I196,Hoja1!$A$1:$A$29),"N/A")</f>
        <v>9</v>
      </c>
      <c r="AF196" s="21">
        <f>IFERROR(NETWORKDAYS(B196,W196,Hoja1!$A$1:$A$29),"N/A")</f>
        <v>30</v>
      </c>
      <c r="AG196" s="78">
        <v>7</v>
      </c>
      <c r="AH196" s="21">
        <f t="shared" si="19"/>
        <v>23</v>
      </c>
      <c r="AI196" s="21">
        <f>IFERROR(NETWORKDAYS(X196,Y196,Hoja1!$A$1:$A$29),"N/A")</f>
        <v>3</v>
      </c>
      <c r="AJ196" s="74">
        <v>0</v>
      </c>
      <c r="AK196" s="75">
        <f t="shared" si="18"/>
        <v>3</v>
      </c>
      <c r="AL196" s="21">
        <f>IFERROR(NETWORKDAYS(B196,Y196,Hoja1!$A$1:$A$29),"N/A")</f>
        <v>32</v>
      </c>
      <c r="AM196" s="21">
        <f t="shared" si="21"/>
        <v>25</v>
      </c>
      <c r="AN196" s="46" t="s">
        <v>453</v>
      </c>
      <c r="AO196" s="43"/>
      <c r="AP196" s="43"/>
      <c r="AQ196" s="43"/>
      <c r="AR196" s="43"/>
      <c r="AS196" s="43" t="s">
        <v>1925</v>
      </c>
      <c r="AT196" s="43" t="s">
        <v>2066</v>
      </c>
      <c r="AU196" s="43" t="s">
        <v>2217</v>
      </c>
      <c r="AV196" s="317" t="s">
        <v>2351</v>
      </c>
      <c r="AW196" s="403" t="s">
        <v>2783</v>
      </c>
      <c r="AY196" s="415"/>
    </row>
    <row r="197" spans="1:51" ht="15" customHeight="1" x14ac:dyDescent="0.25">
      <c r="A197" s="296">
        <v>15635</v>
      </c>
      <c r="B197" s="37">
        <v>46024</v>
      </c>
      <c r="C197" s="37">
        <v>46024</v>
      </c>
      <c r="D197" s="3">
        <v>1</v>
      </c>
      <c r="E197" s="45" t="s">
        <v>54</v>
      </c>
      <c r="F197" s="18" t="s">
        <v>55</v>
      </c>
      <c r="G197" s="3">
        <v>4</v>
      </c>
      <c r="H197" s="3" t="s">
        <v>112</v>
      </c>
      <c r="I197" s="30">
        <v>46029</v>
      </c>
      <c r="J197" s="30">
        <v>46029</v>
      </c>
      <c r="K197" s="3">
        <v>4</v>
      </c>
      <c r="L197" s="18" t="s">
        <v>55</v>
      </c>
      <c r="M197" s="18" t="s">
        <v>55</v>
      </c>
      <c r="N197" s="18" t="s">
        <v>55</v>
      </c>
      <c r="O197" s="18" t="s">
        <v>55</v>
      </c>
      <c r="P197" s="18" t="s">
        <v>55</v>
      </c>
      <c r="Q197" s="18" t="s">
        <v>55</v>
      </c>
      <c r="R197" s="3" t="s">
        <v>55</v>
      </c>
      <c r="S197" s="3">
        <v>2</v>
      </c>
      <c r="T197" s="3">
        <v>2</v>
      </c>
      <c r="U197" s="3">
        <v>0</v>
      </c>
      <c r="V197" s="16">
        <v>46044</v>
      </c>
      <c r="W197" s="30">
        <v>46051</v>
      </c>
      <c r="X197" s="30">
        <v>46051</v>
      </c>
      <c r="Y197" s="30">
        <v>46072</v>
      </c>
      <c r="Z197" s="140">
        <v>46076</v>
      </c>
      <c r="AA197" s="3">
        <f t="shared" si="16"/>
        <v>2</v>
      </c>
      <c r="AB197" s="85" t="s">
        <v>706</v>
      </c>
      <c r="AC197" s="35" t="s">
        <v>707</v>
      </c>
      <c r="AD197" s="19">
        <f t="shared" si="20"/>
        <v>1</v>
      </c>
      <c r="AE197" s="67">
        <f>IFERROR(NETWORKDAYS(B197,I197,Hoja1!$A$1:$A$29),"N/A")</f>
        <v>4</v>
      </c>
      <c r="AF197" s="21">
        <f>IFERROR(NETWORKDAYS(B197,W197,Hoja1!$A$1:$A$29),"N/A")</f>
        <v>19</v>
      </c>
      <c r="AG197" s="78">
        <v>0</v>
      </c>
      <c r="AH197" s="21">
        <f t="shared" si="19"/>
        <v>19</v>
      </c>
      <c r="AI197" s="21">
        <f>IFERROR(NETWORKDAYS(X197,Y197,Hoja1!$A$1:$A$29),"N/A")</f>
        <v>16</v>
      </c>
      <c r="AJ197" s="33">
        <v>9</v>
      </c>
      <c r="AK197" s="75">
        <f t="shared" si="18"/>
        <v>7</v>
      </c>
      <c r="AL197" s="21">
        <f>IFERROR(NETWORKDAYS(B197,Y197,Hoja1!$A$1:$A$29),"N/A")</f>
        <v>34</v>
      </c>
      <c r="AM197" s="21">
        <f t="shared" si="21"/>
        <v>25</v>
      </c>
      <c r="AN197" s="3"/>
      <c r="AO197" s="3"/>
      <c r="AP197" s="3"/>
      <c r="AQ197" s="3"/>
      <c r="AR197" s="3"/>
      <c r="AS197" s="3" t="s">
        <v>1923</v>
      </c>
      <c r="AT197" s="3" t="s">
        <v>2048</v>
      </c>
      <c r="AU197" s="3" t="s">
        <v>2215</v>
      </c>
      <c r="AV197" s="316" t="s">
        <v>2352</v>
      </c>
      <c r="AW197" s="403" t="s">
        <v>2784</v>
      </c>
      <c r="AY197" s="414"/>
    </row>
    <row r="198" spans="1:51" ht="15" customHeight="1" x14ac:dyDescent="0.25">
      <c r="A198" s="294">
        <v>15636</v>
      </c>
      <c r="B198" s="30">
        <v>46029</v>
      </c>
      <c r="C198" s="30">
        <v>46029</v>
      </c>
      <c r="D198" s="3">
        <v>1</v>
      </c>
      <c r="E198" s="45" t="s">
        <v>54</v>
      </c>
      <c r="F198" s="3" t="s">
        <v>55</v>
      </c>
      <c r="G198" s="3">
        <v>3</v>
      </c>
      <c r="H198" s="3" t="s">
        <v>112</v>
      </c>
      <c r="I198" s="30">
        <v>46037</v>
      </c>
      <c r="J198" s="30">
        <v>46037</v>
      </c>
      <c r="K198" s="3">
        <v>3</v>
      </c>
      <c r="L198" s="3" t="s">
        <v>55</v>
      </c>
      <c r="M198" s="3" t="s">
        <v>55</v>
      </c>
      <c r="N198" s="3" t="s">
        <v>55</v>
      </c>
      <c r="O198" s="3" t="s">
        <v>55</v>
      </c>
      <c r="P198" s="3" t="s">
        <v>55</v>
      </c>
      <c r="Q198" s="3" t="s">
        <v>55</v>
      </c>
      <c r="R198" s="3" t="s">
        <v>55</v>
      </c>
      <c r="S198" s="3">
        <v>3</v>
      </c>
      <c r="T198" s="3">
        <v>1</v>
      </c>
      <c r="U198" s="3">
        <v>0</v>
      </c>
      <c r="V198" s="30">
        <v>46057</v>
      </c>
      <c r="W198" s="30">
        <v>46057</v>
      </c>
      <c r="X198" s="30">
        <v>46058</v>
      </c>
      <c r="Y198" s="30">
        <v>46063</v>
      </c>
      <c r="Z198" s="30">
        <v>46065</v>
      </c>
      <c r="AA198" s="3">
        <f t="shared" si="16"/>
        <v>2</v>
      </c>
      <c r="AB198" s="85" t="s">
        <v>709</v>
      </c>
      <c r="AC198" s="45" t="s">
        <v>710</v>
      </c>
      <c r="AD198" s="19">
        <f t="shared" si="20"/>
        <v>1</v>
      </c>
      <c r="AE198" s="67">
        <f>IFERROR(NETWORKDAYS(B198,I198,Hoja1!$A$1:$A$29),"N/A")</f>
        <v>6</v>
      </c>
      <c r="AF198" s="21">
        <f>IFERROR(NETWORKDAYS(B198,W198,Hoja1!$A$1:$A$29),"N/A")</f>
        <v>20</v>
      </c>
      <c r="AG198" s="78">
        <v>4</v>
      </c>
      <c r="AH198" s="21">
        <f t="shared" si="19"/>
        <v>16</v>
      </c>
      <c r="AI198" s="21">
        <f>IFERROR(NETWORKDAYS(X198,Y198,Hoja1!$A$1:$A$29),"N/A")</f>
        <v>4</v>
      </c>
      <c r="AJ198" s="123">
        <v>0</v>
      </c>
      <c r="AK198" s="75">
        <f t="shared" si="18"/>
        <v>4</v>
      </c>
      <c r="AL198" s="21">
        <f>IFERROR(NETWORKDAYS(B198,Y198,Hoja1!$A$1:$A$29),"N/A")</f>
        <v>24</v>
      </c>
      <c r="AM198" s="21">
        <f t="shared" si="21"/>
        <v>20</v>
      </c>
      <c r="AN198" s="107"/>
      <c r="AO198" s="107"/>
      <c r="AP198" s="107"/>
      <c r="AQ198" s="107"/>
      <c r="AR198" s="1"/>
      <c r="AS198" s="1" t="s">
        <v>1890</v>
      </c>
      <c r="AT198" s="1" t="s">
        <v>2008</v>
      </c>
      <c r="AU198" s="1" t="s">
        <v>2216</v>
      </c>
      <c r="AV198" s="315" t="s">
        <v>2353</v>
      </c>
      <c r="AW198" s="403" t="s">
        <v>2785</v>
      </c>
      <c r="AY198" s="415"/>
    </row>
    <row r="199" spans="1:51" ht="15" customHeight="1" x14ac:dyDescent="0.25">
      <c r="A199" s="298">
        <v>15637</v>
      </c>
      <c r="B199" s="15">
        <v>46031</v>
      </c>
      <c r="C199" s="16">
        <v>46029</v>
      </c>
      <c r="D199" s="1">
        <v>1</v>
      </c>
      <c r="E199" s="45" t="s">
        <v>54</v>
      </c>
      <c r="F199" s="2" t="s">
        <v>55</v>
      </c>
      <c r="G199" s="33">
        <v>0</v>
      </c>
      <c r="H199" s="1"/>
      <c r="I199" s="2" t="s">
        <v>55</v>
      </c>
      <c r="J199" s="2" t="s">
        <v>55</v>
      </c>
      <c r="K199" s="33">
        <v>0</v>
      </c>
      <c r="L199" s="2" t="s">
        <v>55</v>
      </c>
      <c r="M199" s="2" t="s">
        <v>55</v>
      </c>
      <c r="N199" s="2" t="s">
        <v>55</v>
      </c>
      <c r="O199" s="2" t="s">
        <v>55</v>
      </c>
      <c r="P199" s="2" t="s">
        <v>55</v>
      </c>
      <c r="Q199" s="2" t="s">
        <v>55</v>
      </c>
      <c r="R199" s="3" t="s">
        <v>55</v>
      </c>
      <c r="S199" s="1">
        <v>1</v>
      </c>
      <c r="T199" s="1">
        <v>1</v>
      </c>
      <c r="U199" s="1">
        <v>0</v>
      </c>
      <c r="V199" s="16">
        <v>46037</v>
      </c>
      <c r="W199" s="16">
        <v>46044</v>
      </c>
      <c r="X199" s="16">
        <v>46044</v>
      </c>
      <c r="Y199" s="16">
        <v>46050</v>
      </c>
      <c r="Z199" s="16">
        <v>46055</v>
      </c>
      <c r="AA199" s="3">
        <f t="shared" si="16"/>
        <v>2</v>
      </c>
      <c r="AB199" s="108" t="s">
        <v>713</v>
      </c>
      <c r="AC199" s="49" t="s">
        <v>714</v>
      </c>
      <c r="AD199" s="19" t="str">
        <f t="shared" si="20"/>
        <v>N/A</v>
      </c>
      <c r="AE199" s="67" t="str">
        <f>IFERROR(NETWORKDAYS(B199,I199,Hoja1!$A$1:$A$29),"N/A")</f>
        <v>N/A</v>
      </c>
      <c r="AF199" s="21">
        <f>IFERROR(NETWORKDAYS(B199,W199,Hoja1!$A$1:$A$29),"N/A")</f>
        <v>9</v>
      </c>
      <c r="AG199" s="78">
        <v>4</v>
      </c>
      <c r="AH199" s="21">
        <f t="shared" si="19"/>
        <v>5</v>
      </c>
      <c r="AI199" s="21">
        <f>IFERROR(NETWORKDAYS(X199,Y199,Hoja1!$A$1:$A$29),"N/A")</f>
        <v>5</v>
      </c>
      <c r="AJ199" s="67">
        <v>0</v>
      </c>
      <c r="AK199" s="75">
        <f t="shared" si="18"/>
        <v>5</v>
      </c>
      <c r="AL199" s="21">
        <f>IFERROR(NETWORKDAYS(B199,Y199,Hoja1!$A$1:$A$29),"N/A")</f>
        <v>13</v>
      </c>
      <c r="AM199" s="21">
        <f t="shared" si="21"/>
        <v>9</v>
      </c>
      <c r="AN199" s="1"/>
      <c r="AO199" s="1"/>
      <c r="AP199" s="1"/>
      <c r="AQ199" s="1"/>
      <c r="AR199" s="1"/>
      <c r="AS199" s="1" t="s">
        <v>1903</v>
      </c>
      <c r="AT199" s="1" t="s">
        <v>2074</v>
      </c>
      <c r="AU199" s="1" t="s">
        <v>2210</v>
      </c>
      <c r="AV199" s="315" t="s">
        <v>2354</v>
      </c>
      <c r="AW199" s="403" t="s">
        <v>2786</v>
      </c>
      <c r="AY199" s="414"/>
    </row>
    <row r="200" spans="1:51" ht="15" customHeight="1" x14ac:dyDescent="0.25">
      <c r="A200" s="301">
        <v>15639</v>
      </c>
      <c r="B200" s="15">
        <v>46030</v>
      </c>
      <c r="C200" s="15">
        <v>46029</v>
      </c>
      <c r="D200" s="1">
        <v>1</v>
      </c>
      <c r="E200" s="45" t="s">
        <v>54</v>
      </c>
      <c r="F200" s="2" t="s">
        <v>55</v>
      </c>
      <c r="G200" s="1">
        <v>2</v>
      </c>
      <c r="H200" s="1" t="s">
        <v>112</v>
      </c>
      <c r="I200" s="16">
        <v>46042</v>
      </c>
      <c r="J200" s="16">
        <v>46045</v>
      </c>
      <c r="K200" s="1">
        <v>2</v>
      </c>
      <c r="L200" s="18" t="s">
        <v>55</v>
      </c>
      <c r="M200" s="18" t="s">
        <v>55</v>
      </c>
      <c r="N200" s="18" t="s">
        <v>55</v>
      </c>
      <c r="O200" s="18" t="s">
        <v>55</v>
      </c>
      <c r="P200" s="18" t="s">
        <v>55</v>
      </c>
      <c r="Q200" s="18" t="s">
        <v>55</v>
      </c>
      <c r="R200" s="3" t="s">
        <v>55</v>
      </c>
      <c r="S200" s="1">
        <v>1</v>
      </c>
      <c r="T200" s="1">
        <v>1</v>
      </c>
      <c r="U200" s="1">
        <v>0</v>
      </c>
      <c r="V200" s="16">
        <v>46051</v>
      </c>
      <c r="W200" s="16">
        <v>46055</v>
      </c>
      <c r="X200" s="16">
        <v>46058</v>
      </c>
      <c r="Y200" s="16">
        <v>46064</v>
      </c>
      <c r="Z200" s="140">
        <v>46076</v>
      </c>
      <c r="AA200" s="3">
        <f t="shared" si="16"/>
        <v>2</v>
      </c>
      <c r="AB200" s="249" t="s">
        <v>716</v>
      </c>
      <c r="AC200" s="49" t="s">
        <v>717</v>
      </c>
      <c r="AD200" s="19">
        <f t="shared" si="20"/>
        <v>1</v>
      </c>
      <c r="AE200" s="67">
        <f>IFERROR(NETWORKDAYS(B200,I200,Hoja1!$A$1:$A$29),"N/A")</f>
        <v>8</v>
      </c>
      <c r="AF200" s="21">
        <f>IFERROR(NETWORKDAYS(B200,W200,Hoja1!$A$1:$A$29),"N/A")</f>
        <v>17</v>
      </c>
      <c r="AG200" s="78">
        <v>2</v>
      </c>
      <c r="AH200" s="21">
        <f t="shared" si="19"/>
        <v>15</v>
      </c>
      <c r="AI200" s="21">
        <f>IFERROR(NETWORKDAYS(X200,Y200,Hoja1!$A$1:$A$29),"N/A")</f>
        <v>5</v>
      </c>
      <c r="AJ200" s="74">
        <v>0</v>
      </c>
      <c r="AK200" s="75">
        <f t="shared" si="18"/>
        <v>5</v>
      </c>
      <c r="AL200" s="21">
        <f>IFERROR(NETWORKDAYS(B200,Y200,Hoja1!$A$1:$A$29),"N/A")</f>
        <v>24</v>
      </c>
      <c r="AM200" s="21">
        <f t="shared" si="21"/>
        <v>22</v>
      </c>
      <c r="AN200" s="251"/>
      <c r="AO200" s="1"/>
      <c r="AP200" s="1"/>
      <c r="AQ200" s="1"/>
      <c r="AR200" s="1"/>
      <c r="AS200" s="1" t="s">
        <v>1891</v>
      </c>
      <c r="AT200" s="1" t="s">
        <v>1996</v>
      </c>
      <c r="AU200" s="1" t="s">
        <v>2211</v>
      </c>
      <c r="AV200" s="315" t="s">
        <v>2231</v>
      </c>
      <c r="AW200" s="403" t="s">
        <v>2787</v>
      </c>
      <c r="AY200" s="415"/>
    </row>
    <row r="201" spans="1:51" ht="15" customHeight="1" x14ac:dyDescent="0.25">
      <c r="A201" s="301">
        <v>15640</v>
      </c>
      <c r="B201" s="15">
        <v>46030</v>
      </c>
      <c r="C201" s="15">
        <v>46029</v>
      </c>
      <c r="D201" s="1">
        <v>1</v>
      </c>
      <c r="E201" s="45" t="s">
        <v>54</v>
      </c>
      <c r="F201" s="18" t="s">
        <v>55</v>
      </c>
      <c r="G201" s="1">
        <v>3</v>
      </c>
      <c r="H201" s="1" t="s">
        <v>112</v>
      </c>
      <c r="I201" s="16">
        <v>46037</v>
      </c>
      <c r="J201" s="16">
        <v>46045</v>
      </c>
      <c r="K201" s="1">
        <v>3</v>
      </c>
      <c r="L201" s="18" t="s">
        <v>55</v>
      </c>
      <c r="M201" s="18" t="s">
        <v>55</v>
      </c>
      <c r="N201" s="18" t="s">
        <v>55</v>
      </c>
      <c r="O201" s="18" t="s">
        <v>55</v>
      </c>
      <c r="P201" s="18" t="s">
        <v>55</v>
      </c>
      <c r="Q201" s="18" t="s">
        <v>55</v>
      </c>
      <c r="R201" s="3" t="s">
        <v>55</v>
      </c>
      <c r="S201" s="1">
        <v>1</v>
      </c>
      <c r="T201" s="1">
        <v>1</v>
      </c>
      <c r="U201" s="1">
        <v>0</v>
      </c>
      <c r="V201" s="16">
        <v>46051</v>
      </c>
      <c r="W201" s="16">
        <v>46055</v>
      </c>
      <c r="X201" s="16">
        <v>46058</v>
      </c>
      <c r="Y201" s="16">
        <v>46065</v>
      </c>
      <c r="Z201" s="140">
        <v>46076</v>
      </c>
      <c r="AA201" s="3">
        <f t="shared" si="16"/>
        <v>2</v>
      </c>
      <c r="AB201" s="249" t="s">
        <v>718</v>
      </c>
      <c r="AC201" s="49" t="s">
        <v>719</v>
      </c>
      <c r="AD201" s="19">
        <f t="shared" si="20"/>
        <v>1</v>
      </c>
      <c r="AE201" s="67">
        <f>IFERROR(NETWORKDAYS(B201,I201,Hoja1!$A$1:$A$29),"N/A")</f>
        <v>5</v>
      </c>
      <c r="AF201" s="21">
        <f>IFERROR(NETWORKDAYS(B201,W201,Hoja1!$A$1:$A$29),"N/A")</f>
        <v>17</v>
      </c>
      <c r="AG201" s="78">
        <v>2</v>
      </c>
      <c r="AH201" s="21">
        <f t="shared" si="19"/>
        <v>15</v>
      </c>
      <c r="AI201" s="21">
        <f>IFERROR(NETWORKDAYS(X201,Y201,Hoja1!$A$1:$A$29),"N/A")</f>
        <v>6</v>
      </c>
      <c r="AJ201" s="67">
        <v>1</v>
      </c>
      <c r="AK201" s="75">
        <f t="shared" si="18"/>
        <v>5</v>
      </c>
      <c r="AL201" s="21">
        <f>IFERROR(NETWORKDAYS(B201,Y201,Hoja1!$A$1:$A$29),"N/A")</f>
        <v>25</v>
      </c>
      <c r="AM201" s="21">
        <f t="shared" si="21"/>
        <v>22</v>
      </c>
      <c r="AN201" s="251"/>
      <c r="AO201" s="1"/>
      <c r="AP201" s="1"/>
      <c r="AQ201" s="1"/>
      <c r="AR201" s="1"/>
      <c r="AS201" s="1" t="s">
        <v>1891</v>
      </c>
      <c r="AT201" s="1" t="s">
        <v>1996</v>
      </c>
      <c r="AU201" s="1" t="s">
        <v>2211</v>
      </c>
      <c r="AV201" s="315" t="s">
        <v>2231</v>
      </c>
      <c r="AW201" s="403" t="s">
        <v>2788</v>
      </c>
      <c r="AY201" s="414"/>
    </row>
    <row r="202" spans="1:51" ht="15" customHeight="1" x14ac:dyDescent="0.25">
      <c r="A202" s="301">
        <v>15641</v>
      </c>
      <c r="B202" s="15">
        <v>46030</v>
      </c>
      <c r="C202" s="15">
        <v>46029</v>
      </c>
      <c r="D202" s="1">
        <v>1</v>
      </c>
      <c r="E202" s="45" t="s">
        <v>54</v>
      </c>
      <c r="F202" s="2" t="s">
        <v>55</v>
      </c>
      <c r="G202" s="1">
        <v>3</v>
      </c>
      <c r="H202" s="1" t="s">
        <v>112</v>
      </c>
      <c r="I202" s="16">
        <v>46037</v>
      </c>
      <c r="J202" s="16">
        <v>46045</v>
      </c>
      <c r="K202" s="1">
        <v>3</v>
      </c>
      <c r="L202" s="18" t="s">
        <v>55</v>
      </c>
      <c r="M202" s="18" t="s">
        <v>55</v>
      </c>
      <c r="N202" s="18" t="s">
        <v>55</v>
      </c>
      <c r="O202" s="18" t="s">
        <v>55</v>
      </c>
      <c r="P202" s="18" t="s">
        <v>55</v>
      </c>
      <c r="Q202" s="18" t="s">
        <v>55</v>
      </c>
      <c r="R202" s="3" t="s">
        <v>55</v>
      </c>
      <c r="S202" s="1">
        <v>1</v>
      </c>
      <c r="T202" s="1">
        <v>1</v>
      </c>
      <c r="U202" s="1">
        <v>0</v>
      </c>
      <c r="V202" s="16">
        <v>46051</v>
      </c>
      <c r="W202" s="16">
        <v>46055</v>
      </c>
      <c r="X202" s="16">
        <v>46058</v>
      </c>
      <c r="Y202" s="16">
        <v>46064</v>
      </c>
      <c r="Z202" s="140">
        <v>46076</v>
      </c>
      <c r="AA202" s="3">
        <f t="shared" si="16"/>
        <v>2</v>
      </c>
      <c r="AB202" s="249" t="s">
        <v>720</v>
      </c>
      <c r="AC202" s="49" t="s">
        <v>721</v>
      </c>
      <c r="AD202" s="19">
        <f t="shared" si="20"/>
        <v>1</v>
      </c>
      <c r="AE202" s="67">
        <f>IFERROR(NETWORKDAYS(B202,I202,Hoja1!$A$1:$A$29),"N/A")</f>
        <v>5</v>
      </c>
      <c r="AF202" s="21">
        <f>IFERROR(NETWORKDAYS(B202,W202,Hoja1!$A$1:$A$29),"N/A")</f>
        <v>17</v>
      </c>
      <c r="AG202" s="78">
        <v>2</v>
      </c>
      <c r="AH202" s="21">
        <f t="shared" si="19"/>
        <v>15</v>
      </c>
      <c r="AI202" s="21">
        <f>IFERROR(NETWORKDAYS(X202,Y202,Hoja1!$A$1:$A$29),"N/A")</f>
        <v>5</v>
      </c>
      <c r="AJ202" s="74">
        <v>0</v>
      </c>
      <c r="AK202" s="75">
        <f t="shared" si="18"/>
        <v>5</v>
      </c>
      <c r="AL202" s="21">
        <f>IFERROR(NETWORKDAYS(B202,Y202,Hoja1!$A$1:$A$29),"N/A")</f>
        <v>24</v>
      </c>
      <c r="AM202" s="21">
        <f t="shared" si="21"/>
        <v>22</v>
      </c>
      <c r="AN202" s="251"/>
      <c r="AO202" s="1"/>
      <c r="AP202" s="1"/>
      <c r="AQ202" s="1"/>
      <c r="AR202" s="1"/>
      <c r="AS202" s="1" t="s">
        <v>1891</v>
      </c>
      <c r="AT202" s="1" t="s">
        <v>1996</v>
      </c>
      <c r="AU202" s="1" t="s">
        <v>2211</v>
      </c>
      <c r="AV202" s="315" t="s">
        <v>2231</v>
      </c>
      <c r="AW202" s="403" t="s">
        <v>2789</v>
      </c>
      <c r="AY202" s="415"/>
    </row>
    <row r="203" spans="1:51" ht="15" customHeight="1" x14ac:dyDescent="0.25">
      <c r="A203" s="298">
        <v>15646</v>
      </c>
      <c r="B203" s="15">
        <v>46030</v>
      </c>
      <c r="C203" s="16">
        <v>46030</v>
      </c>
      <c r="D203" s="1">
        <v>1</v>
      </c>
      <c r="E203" s="45" t="s">
        <v>54</v>
      </c>
      <c r="F203" s="2" t="s">
        <v>55</v>
      </c>
      <c r="G203" s="33">
        <v>0</v>
      </c>
      <c r="H203" s="1"/>
      <c r="I203" s="2" t="s">
        <v>55</v>
      </c>
      <c r="J203" s="2" t="s">
        <v>55</v>
      </c>
      <c r="K203" s="33">
        <v>0</v>
      </c>
      <c r="L203" s="2" t="s">
        <v>55</v>
      </c>
      <c r="M203" s="116" t="s">
        <v>55</v>
      </c>
      <c r="N203" s="2" t="s">
        <v>55</v>
      </c>
      <c r="O203" s="2" t="s">
        <v>55</v>
      </c>
      <c r="P203" s="2" t="s">
        <v>55</v>
      </c>
      <c r="Q203" s="2" t="s">
        <v>55</v>
      </c>
      <c r="R203" s="3" t="s">
        <v>55</v>
      </c>
      <c r="S203" s="1">
        <v>1</v>
      </c>
      <c r="T203" s="1">
        <v>1</v>
      </c>
      <c r="U203" s="1">
        <v>0</v>
      </c>
      <c r="V203" s="16">
        <v>46042</v>
      </c>
      <c r="W203" s="16">
        <v>46043</v>
      </c>
      <c r="X203" s="16">
        <v>46045</v>
      </c>
      <c r="Y203" s="16">
        <v>46051</v>
      </c>
      <c r="Z203" s="16">
        <v>46055</v>
      </c>
      <c r="AA203" s="3">
        <f t="shared" si="16"/>
        <v>2</v>
      </c>
      <c r="AB203" s="108" t="s">
        <v>722</v>
      </c>
      <c r="AC203" s="49" t="s">
        <v>723</v>
      </c>
      <c r="AD203" s="19" t="str">
        <f t="shared" si="20"/>
        <v>N/A</v>
      </c>
      <c r="AE203" s="67" t="str">
        <f>IFERROR(NETWORKDAYS(B203,I203,Hoja1!$A$1:$A$29),"N/A")</f>
        <v>N/A</v>
      </c>
      <c r="AF203" s="21">
        <f>IFERROR(NETWORKDAYS(B203,W203,Hoja1!$A$1:$A$29),"N/A")</f>
        <v>9</v>
      </c>
      <c r="AG203" s="78">
        <v>0</v>
      </c>
      <c r="AH203" s="21">
        <f t="shared" si="19"/>
        <v>9</v>
      </c>
      <c r="AI203" s="21">
        <f>IFERROR(NETWORKDAYS(X203,Y203,Hoja1!$A$1:$A$29),"N/A")</f>
        <v>5</v>
      </c>
      <c r="AJ203" s="67">
        <v>0</v>
      </c>
      <c r="AK203" s="75">
        <f t="shared" si="18"/>
        <v>5</v>
      </c>
      <c r="AL203" s="21">
        <f>IFERROR(NETWORKDAYS(B203,Y203,Hoja1!$A$1:$A$29),"N/A")</f>
        <v>15</v>
      </c>
      <c r="AM203" s="21">
        <f t="shared" si="21"/>
        <v>15</v>
      </c>
      <c r="AN203" s="1"/>
      <c r="AO203" s="1"/>
      <c r="AP203" s="1"/>
      <c r="AQ203" s="1"/>
      <c r="AR203" s="1"/>
      <c r="AS203" s="1" t="s">
        <v>1886</v>
      </c>
      <c r="AT203" s="1" t="s">
        <v>2075</v>
      </c>
      <c r="AU203" s="1" t="s">
        <v>2210</v>
      </c>
      <c r="AV203" s="315" t="s">
        <v>2258</v>
      </c>
      <c r="AW203" s="403" t="s">
        <v>2790</v>
      </c>
      <c r="AY203" s="414"/>
    </row>
    <row r="204" spans="1:51" ht="15" customHeight="1" x14ac:dyDescent="0.25">
      <c r="A204" s="294">
        <v>15651</v>
      </c>
      <c r="B204" s="15">
        <v>46050</v>
      </c>
      <c r="C204" s="44">
        <v>46030</v>
      </c>
      <c r="D204" s="2">
        <v>1</v>
      </c>
      <c r="E204" s="45" t="s">
        <v>54</v>
      </c>
      <c r="F204" s="2" t="s">
        <v>55</v>
      </c>
      <c r="G204" s="2">
        <v>0</v>
      </c>
      <c r="H204" s="2"/>
      <c r="I204" s="2" t="s">
        <v>55</v>
      </c>
      <c r="J204" s="2" t="s">
        <v>55</v>
      </c>
      <c r="K204" s="2">
        <v>0</v>
      </c>
      <c r="L204" s="2" t="s">
        <v>55</v>
      </c>
      <c r="M204" s="2" t="s">
        <v>55</v>
      </c>
      <c r="N204" s="2" t="s">
        <v>55</v>
      </c>
      <c r="O204" s="2" t="s">
        <v>55</v>
      </c>
      <c r="P204" s="2" t="s">
        <v>55</v>
      </c>
      <c r="Q204" s="2" t="s">
        <v>55</v>
      </c>
      <c r="R204" s="3" t="s">
        <v>55</v>
      </c>
      <c r="S204" s="2">
        <v>1</v>
      </c>
      <c r="T204" s="2">
        <v>1</v>
      </c>
      <c r="U204" s="2">
        <v>0</v>
      </c>
      <c r="V204" s="44">
        <v>46058</v>
      </c>
      <c r="W204" s="44">
        <v>46058</v>
      </c>
      <c r="X204" s="44">
        <v>46057</v>
      </c>
      <c r="Y204" s="44">
        <v>46059</v>
      </c>
      <c r="Z204" s="104">
        <v>46065</v>
      </c>
      <c r="AA204" s="3">
        <f t="shared" si="16"/>
        <v>2</v>
      </c>
      <c r="AB204" s="85" t="s">
        <v>725</v>
      </c>
      <c r="AC204" s="46" t="s">
        <v>726</v>
      </c>
      <c r="AD204" s="19" t="str">
        <f t="shared" si="20"/>
        <v>N/A</v>
      </c>
      <c r="AE204" s="67" t="str">
        <f>IFERROR(NETWORKDAYS(B204,I204,Hoja1!$A$1:$A$29),"N/A")</f>
        <v>N/A</v>
      </c>
      <c r="AF204" s="21">
        <f>IFERROR(NETWORKDAYS(B204,W204,Hoja1!$A$1:$A$29),"N/A")</f>
        <v>7</v>
      </c>
      <c r="AG204" s="78">
        <v>0</v>
      </c>
      <c r="AH204" s="21">
        <f t="shared" si="19"/>
        <v>7</v>
      </c>
      <c r="AI204" s="21">
        <f>IFERROR(NETWORKDAYS(X204,Y204,Hoja1!$A$1:$A$29),"N/A")</f>
        <v>3</v>
      </c>
      <c r="AJ204" s="78">
        <v>0</v>
      </c>
      <c r="AK204" s="75">
        <f t="shared" si="18"/>
        <v>3</v>
      </c>
      <c r="AL204" s="21">
        <f>IFERROR(NETWORKDAYS(B204,Y204,Hoja1!$A$1:$A$29),"N/A")</f>
        <v>8</v>
      </c>
      <c r="AM204" s="21">
        <f t="shared" si="21"/>
        <v>8</v>
      </c>
      <c r="AN204" s="46" t="s">
        <v>453</v>
      </c>
      <c r="AO204" s="43"/>
      <c r="AP204" s="43"/>
      <c r="AQ204" s="43"/>
      <c r="AR204" s="43"/>
      <c r="AS204" s="43" t="s">
        <v>1901</v>
      </c>
      <c r="AT204" s="43" t="s">
        <v>2076</v>
      </c>
      <c r="AU204" s="43" t="s">
        <v>2217</v>
      </c>
      <c r="AV204" s="317" t="s">
        <v>2355</v>
      </c>
      <c r="AW204" s="403" t="s">
        <v>2791</v>
      </c>
      <c r="AY204" s="415"/>
    </row>
    <row r="205" spans="1:51" ht="15" customHeight="1" x14ac:dyDescent="0.25">
      <c r="A205" s="294">
        <v>15654</v>
      </c>
      <c r="B205" s="15">
        <v>46050</v>
      </c>
      <c r="C205" s="44">
        <v>46031</v>
      </c>
      <c r="D205" s="2">
        <v>1</v>
      </c>
      <c r="E205" s="45" t="s">
        <v>54</v>
      </c>
      <c r="F205" s="2" t="s">
        <v>55</v>
      </c>
      <c r="G205" s="2">
        <v>0</v>
      </c>
      <c r="H205" s="2"/>
      <c r="I205" s="2" t="s">
        <v>55</v>
      </c>
      <c r="J205" s="2" t="s">
        <v>55</v>
      </c>
      <c r="K205" s="2">
        <v>0</v>
      </c>
      <c r="L205" s="2" t="s">
        <v>55</v>
      </c>
      <c r="M205" s="2" t="s">
        <v>55</v>
      </c>
      <c r="N205" s="2" t="s">
        <v>55</v>
      </c>
      <c r="O205" s="2" t="s">
        <v>55</v>
      </c>
      <c r="P205" s="2" t="s">
        <v>55</v>
      </c>
      <c r="Q205" s="2" t="s">
        <v>55</v>
      </c>
      <c r="R205" s="3" t="s">
        <v>55</v>
      </c>
      <c r="S205" s="2">
        <v>2</v>
      </c>
      <c r="T205" s="2">
        <v>2</v>
      </c>
      <c r="U205" s="2">
        <v>0</v>
      </c>
      <c r="V205" s="44">
        <v>46059</v>
      </c>
      <c r="W205" s="44">
        <v>46059</v>
      </c>
      <c r="X205" s="44">
        <v>46059</v>
      </c>
      <c r="Y205" s="44">
        <v>46064</v>
      </c>
      <c r="Z205" s="44">
        <v>46065</v>
      </c>
      <c r="AA205" s="3">
        <f t="shared" si="16"/>
        <v>2</v>
      </c>
      <c r="AB205" s="85" t="s">
        <v>728</v>
      </c>
      <c r="AC205" s="46" t="s">
        <v>729</v>
      </c>
      <c r="AD205" s="19" t="str">
        <f t="shared" si="20"/>
        <v>N/A</v>
      </c>
      <c r="AE205" s="67" t="str">
        <f>IFERROR(NETWORKDAYS(B205,I205,Hoja1!$A$1:$A$29),"N/A")</f>
        <v>N/A</v>
      </c>
      <c r="AF205" s="21">
        <f>IFERROR(NETWORKDAYS(B205,W205,Hoja1!$A$1:$A$29),"N/A")</f>
        <v>8</v>
      </c>
      <c r="AG205" s="78">
        <v>0</v>
      </c>
      <c r="AH205" s="21">
        <f t="shared" si="19"/>
        <v>8</v>
      </c>
      <c r="AI205" s="21">
        <f>IFERROR(NETWORKDAYS(X205,Y205,Hoja1!$A$1:$A$29),"N/A")</f>
        <v>4</v>
      </c>
      <c r="AJ205" s="78">
        <v>0</v>
      </c>
      <c r="AK205" s="75">
        <f t="shared" si="18"/>
        <v>4</v>
      </c>
      <c r="AL205" s="21">
        <f>IFERROR(NETWORKDAYS(B205,Y205,Hoja1!$A$1:$A$29),"N/A")</f>
        <v>11</v>
      </c>
      <c r="AM205" s="21">
        <f t="shared" si="21"/>
        <v>11</v>
      </c>
      <c r="AN205" s="114" t="s">
        <v>445</v>
      </c>
      <c r="AO205" s="43"/>
      <c r="AP205" s="43"/>
      <c r="AQ205" s="43"/>
      <c r="AR205" s="43"/>
      <c r="AS205" s="43" t="s">
        <v>1901</v>
      </c>
      <c r="AT205" s="43" t="s">
        <v>2077</v>
      </c>
      <c r="AU205" s="43" t="s">
        <v>2217</v>
      </c>
      <c r="AV205" s="317" t="s">
        <v>2356</v>
      </c>
      <c r="AW205" s="403" t="s">
        <v>2792</v>
      </c>
      <c r="AY205" s="414"/>
    </row>
    <row r="206" spans="1:51" ht="15" customHeight="1" x14ac:dyDescent="0.25">
      <c r="A206" s="294">
        <v>15662</v>
      </c>
      <c r="B206" s="15">
        <v>46036</v>
      </c>
      <c r="C206" s="16">
        <v>46036</v>
      </c>
      <c r="D206" s="1">
        <v>1</v>
      </c>
      <c r="E206" s="45" t="s">
        <v>54</v>
      </c>
      <c r="F206" s="21" t="s">
        <v>55</v>
      </c>
      <c r="G206" s="1">
        <v>4</v>
      </c>
      <c r="H206" s="1" t="s">
        <v>56</v>
      </c>
      <c r="I206" s="16">
        <v>46045</v>
      </c>
      <c r="J206" s="16">
        <v>46048</v>
      </c>
      <c r="K206" s="1">
        <v>4</v>
      </c>
      <c r="L206" s="36" t="s">
        <v>55</v>
      </c>
      <c r="M206" s="36" t="s">
        <v>55</v>
      </c>
      <c r="N206" s="36" t="s">
        <v>55</v>
      </c>
      <c r="O206" s="36" t="s">
        <v>55</v>
      </c>
      <c r="P206" s="36" t="s">
        <v>55</v>
      </c>
      <c r="Q206" s="36" t="s">
        <v>55</v>
      </c>
      <c r="R206" s="3" t="s">
        <v>55</v>
      </c>
      <c r="S206" s="1">
        <v>1</v>
      </c>
      <c r="T206" s="1">
        <v>1</v>
      </c>
      <c r="U206" s="1">
        <v>0</v>
      </c>
      <c r="V206" s="16">
        <v>46049</v>
      </c>
      <c r="W206" s="16">
        <v>46049</v>
      </c>
      <c r="X206" s="16">
        <v>46049</v>
      </c>
      <c r="Y206" s="16">
        <v>46052</v>
      </c>
      <c r="Z206" s="16">
        <v>46055</v>
      </c>
      <c r="AA206" s="3">
        <f t="shared" si="16"/>
        <v>2</v>
      </c>
      <c r="AB206" s="85" t="s">
        <v>730</v>
      </c>
      <c r="AC206" s="49" t="s">
        <v>731</v>
      </c>
      <c r="AD206" s="19">
        <f t="shared" si="20"/>
        <v>1</v>
      </c>
      <c r="AE206" s="67">
        <f>IFERROR(NETWORKDAYS(B206,I206,Hoja1!$A$1:$A$29),"N/A")</f>
        <v>8</v>
      </c>
      <c r="AF206" s="21">
        <f>IFERROR(NETWORKDAYS(B206,W206,Hoja1!$A$1:$A$29),"N/A")</f>
        <v>10</v>
      </c>
      <c r="AG206" s="78">
        <v>0</v>
      </c>
      <c r="AH206" s="21">
        <f t="shared" si="19"/>
        <v>10</v>
      </c>
      <c r="AI206" s="21">
        <f>IFERROR(NETWORKDAYS(X206,Y206,Hoja1!$A$1:$A$29),"N/A")</f>
        <v>4</v>
      </c>
      <c r="AJ206" s="113">
        <v>0</v>
      </c>
      <c r="AK206" s="75">
        <f t="shared" si="18"/>
        <v>4</v>
      </c>
      <c r="AL206" s="21">
        <f>IFERROR(NETWORKDAYS(B206,Y206,Hoja1!$A$1:$A$29),"N/A")</f>
        <v>13</v>
      </c>
      <c r="AM206" s="21">
        <f t="shared" si="21"/>
        <v>13</v>
      </c>
      <c r="AN206" s="46" t="s">
        <v>453</v>
      </c>
      <c r="AO206" s="33"/>
      <c r="AP206" s="33"/>
      <c r="AQ206" s="33"/>
      <c r="AR206" s="33"/>
      <c r="AS206" s="33" t="s">
        <v>1941</v>
      </c>
      <c r="AT206" s="33" t="s">
        <v>1994</v>
      </c>
      <c r="AU206" s="33" t="s">
        <v>2218</v>
      </c>
      <c r="AV206" s="318" t="s">
        <v>2239</v>
      </c>
      <c r="AW206" s="403" t="s">
        <v>2793</v>
      </c>
      <c r="AY206" s="415"/>
    </row>
    <row r="207" spans="1:51" ht="15" customHeight="1" x14ac:dyDescent="0.25">
      <c r="A207" s="301">
        <v>15666</v>
      </c>
      <c r="B207" s="28">
        <v>46037</v>
      </c>
      <c r="C207" s="28">
        <v>46036</v>
      </c>
      <c r="D207" s="33">
        <v>1</v>
      </c>
      <c r="E207" s="45" t="s">
        <v>54</v>
      </c>
      <c r="F207" s="21" t="s">
        <v>55</v>
      </c>
      <c r="G207" s="33">
        <v>4</v>
      </c>
      <c r="H207" s="33" t="s">
        <v>112</v>
      </c>
      <c r="I207" s="16">
        <v>46042</v>
      </c>
      <c r="J207" s="53">
        <v>46044</v>
      </c>
      <c r="K207" s="33">
        <v>4</v>
      </c>
      <c r="L207" s="21" t="s">
        <v>55</v>
      </c>
      <c r="M207" s="21" t="s">
        <v>55</v>
      </c>
      <c r="N207" s="21" t="s">
        <v>55</v>
      </c>
      <c r="O207" s="21" t="s">
        <v>55</v>
      </c>
      <c r="P207" s="21" t="s">
        <v>55</v>
      </c>
      <c r="Q207" s="21" t="s">
        <v>55</v>
      </c>
      <c r="R207" s="3" t="s">
        <v>55</v>
      </c>
      <c r="S207" s="33">
        <v>3</v>
      </c>
      <c r="T207" s="33">
        <v>3</v>
      </c>
      <c r="U207" s="33">
        <v>0</v>
      </c>
      <c r="V207" s="28">
        <v>46055</v>
      </c>
      <c r="W207" s="28">
        <v>46057</v>
      </c>
      <c r="X207" s="28">
        <v>46058</v>
      </c>
      <c r="Y207" s="28">
        <v>46071</v>
      </c>
      <c r="Z207" s="140">
        <v>46076</v>
      </c>
      <c r="AA207" s="3">
        <f t="shared" si="16"/>
        <v>2</v>
      </c>
      <c r="AB207" s="85" t="s">
        <v>732</v>
      </c>
      <c r="AC207" s="35" t="s">
        <v>733</v>
      </c>
      <c r="AD207" s="19">
        <f t="shared" si="20"/>
        <v>1</v>
      </c>
      <c r="AE207" s="67">
        <f>IFERROR(NETWORKDAYS(B207,I207,Hoja1!$A$1:$A$29),"N/A")</f>
        <v>4</v>
      </c>
      <c r="AF207" s="21">
        <f>IFERROR(NETWORKDAYS(B207,W207,Hoja1!$A$1:$A$29),"N/A")</f>
        <v>15</v>
      </c>
      <c r="AG207" s="78">
        <v>0</v>
      </c>
      <c r="AH207" s="21">
        <f t="shared" si="19"/>
        <v>15</v>
      </c>
      <c r="AI207" s="21">
        <f>IFERROR(NETWORKDAYS(X207,Y207,Hoja1!$A$1:$A$29),"N/A")</f>
        <v>10</v>
      </c>
      <c r="AJ207" s="124">
        <v>5</v>
      </c>
      <c r="AK207" s="75">
        <f t="shared" si="18"/>
        <v>5</v>
      </c>
      <c r="AL207" s="21">
        <f>IFERROR(NETWORKDAYS(B207,Y207,Hoja1!$A$1:$A$29),"N/A")</f>
        <v>25</v>
      </c>
      <c r="AM207" s="21">
        <f t="shared" si="21"/>
        <v>20</v>
      </c>
      <c r="AN207" s="33"/>
      <c r="AO207" s="33"/>
      <c r="AP207" s="33"/>
      <c r="AQ207" s="33"/>
      <c r="AR207" s="33"/>
      <c r="AS207" s="33" t="s">
        <v>1932</v>
      </c>
      <c r="AT207" s="33" t="s">
        <v>1994</v>
      </c>
      <c r="AU207" s="33" t="s">
        <v>2220</v>
      </c>
      <c r="AV207" s="318" t="s">
        <v>2232</v>
      </c>
      <c r="AW207" s="403" t="s">
        <v>2794</v>
      </c>
      <c r="AY207" s="414"/>
    </row>
    <row r="208" spans="1:51" ht="15" customHeight="1" x14ac:dyDescent="0.25">
      <c r="A208" s="301">
        <v>15668</v>
      </c>
      <c r="B208" s="15">
        <v>46050</v>
      </c>
      <c r="C208" s="28">
        <v>46038</v>
      </c>
      <c r="D208" s="33">
        <v>1</v>
      </c>
      <c r="E208" s="45" t="s">
        <v>54</v>
      </c>
      <c r="F208" s="21" t="s">
        <v>55</v>
      </c>
      <c r="G208" s="33">
        <v>0</v>
      </c>
      <c r="H208" s="33"/>
      <c r="I208" s="21" t="s">
        <v>55</v>
      </c>
      <c r="J208" s="21" t="s">
        <v>55</v>
      </c>
      <c r="K208" s="33">
        <v>0</v>
      </c>
      <c r="L208" s="36" t="s">
        <v>55</v>
      </c>
      <c r="M208" s="36" t="s">
        <v>55</v>
      </c>
      <c r="N208" s="36" t="s">
        <v>55</v>
      </c>
      <c r="O208" s="36" t="s">
        <v>55</v>
      </c>
      <c r="P208" s="36" t="s">
        <v>55</v>
      </c>
      <c r="Q208" s="36" t="s">
        <v>55</v>
      </c>
      <c r="R208" s="3" t="s">
        <v>55</v>
      </c>
      <c r="S208" s="33">
        <v>1</v>
      </c>
      <c r="T208" s="33">
        <v>1</v>
      </c>
      <c r="U208" s="33">
        <v>0</v>
      </c>
      <c r="V208" s="28">
        <v>46056</v>
      </c>
      <c r="W208" s="28">
        <v>46056</v>
      </c>
      <c r="X208" s="28">
        <v>46056</v>
      </c>
      <c r="Y208" s="28">
        <v>46071</v>
      </c>
      <c r="Z208" s="140">
        <v>46076</v>
      </c>
      <c r="AA208" s="3">
        <f t="shared" si="16"/>
        <v>2</v>
      </c>
      <c r="AB208" s="85" t="s">
        <v>734</v>
      </c>
      <c r="AC208" s="35" t="s">
        <v>735</v>
      </c>
      <c r="AD208" s="19" t="str">
        <f t="shared" si="20"/>
        <v>N/A</v>
      </c>
      <c r="AE208" s="67" t="str">
        <f>IFERROR(NETWORKDAYS(B208,I208,Hoja1!$A$1:$A$29),"N/A")</f>
        <v>N/A</v>
      </c>
      <c r="AF208" s="21">
        <f>IFERROR(NETWORKDAYS(B208,W208,Hoja1!$A$1:$A$29),"N/A")</f>
        <v>5</v>
      </c>
      <c r="AG208" s="78">
        <v>0</v>
      </c>
      <c r="AH208" s="21">
        <f t="shared" si="19"/>
        <v>5</v>
      </c>
      <c r="AI208" s="21">
        <f>IFERROR(NETWORKDAYS(X208,Y208,Hoja1!$A$1:$A$29),"N/A")</f>
        <v>12</v>
      </c>
      <c r="AJ208" s="74">
        <v>7</v>
      </c>
      <c r="AK208" s="75">
        <f t="shared" si="18"/>
        <v>5</v>
      </c>
      <c r="AL208" s="21">
        <f>IFERROR(NETWORKDAYS(B208,Y208,Hoja1!$A$1:$A$29),"N/A")</f>
        <v>16</v>
      </c>
      <c r="AM208" s="21">
        <f t="shared" si="21"/>
        <v>9</v>
      </c>
      <c r="AN208" s="33"/>
      <c r="AO208" s="33"/>
      <c r="AP208" s="33"/>
      <c r="AQ208" s="33"/>
      <c r="AR208" s="33"/>
      <c r="AS208" s="33" t="s">
        <v>1906</v>
      </c>
      <c r="AT208" s="33" t="s">
        <v>2004</v>
      </c>
      <c r="AU208" s="33" t="s">
        <v>2212</v>
      </c>
      <c r="AV208" s="318" t="s">
        <v>2357</v>
      </c>
      <c r="AW208" s="403" t="s">
        <v>2795</v>
      </c>
      <c r="AY208" s="415"/>
    </row>
    <row r="209" spans="1:51" ht="15" customHeight="1" x14ac:dyDescent="0.25">
      <c r="A209" s="294">
        <v>15674</v>
      </c>
      <c r="B209" s="44">
        <v>46038</v>
      </c>
      <c r="C209" s="44">
        <v>46038</v>
      </c>
      <c r="D209" s="3">
        <v>1</v>
      </c>
      <c r="E209" s="45" t="s">
        <v>54</v>
      </c>
      <c r="F209" s="3" t="s">
        <v>55</v>
      </c>
      <c r="G209" s="3">
        <v>7</v>
      </c>
      <c r="H209" s="3" t="s">
        <v>112</v>
      </c>
      <c r="I209" s="44">
        <v>46041</v>
      </c>
      <c r="J209" s="44">
        <v>46041</v>
      </c>
      <c r="K209" s="3">
        <v>7</v>
      </c>
      <c r="L209" s="3" t="s">
        <v>55</v>
      </c>
      <c r="M209" s="3" t="s">
        <v>55</v>
      </c>
      <c r="N209" s="3" t="s">
        <v>55</v>
      </c>
      <c r="O209" s="3" t="s">
        <v>55</v>
      </c>
      <c r="P209" s="3" t="s">
        <v>55</v>
      </c>
      <c r="Q209" s="3" t="s">
        <v>55</v>
      </c>
      <c r="R209" s="3" t="s">
        <v>55</v>
      </c>
      <c r="S209" s="3">
        <v>2</v>
      </c>
      <c r="T209" s="3">
        <v>2</v>
      </c>
      <c r="U209" s="3">
        <v>0</v>
      </c>
      <c r="V209" s="30">
        <v>46049</v>
      </c>
      <c r="W209" s="16">
        <v>46049</v>
      </c>
      <c r="X209" s="16">
        <v>46049</v>
      </c>
      <c r="Y209" s="30">
        <v>46055</v>
      </c>
      <c r="Z209" s="16">
        <v>46055</v>
      </c>
      <c r="AA209" s="3">
        <f t="shared" si="16"/>
        <v>2</v>
      </c>
      <c r="AB209" s="85" t="s">
        <v>737</v>
      </c>
      <c r="AC209" s="35" t="s">
        <v>738</v>
      </c>
      <c r="AD209" s="19">
        <f t="shared" si="20"/>
        <v>1</v>
      </c>
      <c r="AE209" s="67">
        <f>IFERROR(NETWORKDAYS(B209,I209,Hoja1!$A$1:$A$29),"N/A")</f>
        <v>2</v>
      </c>
      <c r="AF209" s="21">
        <f>IFERROR(NETWORKDAYS(B209,W209,Hoja1!$A$1:$A$29),"N/A")</f>
        <v>8</v>
      </c>
      <c r="AG209" s="78">
        <v>0</v>
      </c>
      <c r="AH209" s="21">
        <f t="shared" si="19"/>
        <v>8</v>
      </c>
      <c r="AI209" s="21">
        <f>IFERROR(NETWORKDAYS(X209,Y209,Hoja1!$A$1:$A$29),"N/A")</f>
        <v>5</v>
      </c>
      <c r="AJ209" s="113">
        <v>0</v>
      </c>
      <c r="AK209" s="75">
        <f t="shared" si="18"/>
        <v>5</v>
      </c>
      <c r="AL209" s="21">
        <f>IFERROR(NETWORKDAYS(B209,Y209,Hoja1!$A$1:$A$29),"N/A")</f>
        <v>12</v>
      </c>
      <c r="AM209" s="21">
        <f t="shared" si="21"/>
        <v>12</v>
      </c>
      <c r="AN209" s="3"/>
      <c r="AO209" s="3"/>
      <c r="AP209" s="3"/>
      <c r="AQ209" s="3"/>
      <c r="AR209" s="3"/>
      <c r="AS209" s="3" t="s">
        <v>1930</v>
      </c>
      <c r="AT209" s="3" t="s">
        <v>2078</v>
      </c>
      <c r="AU209" s="3" t="s">
        <v>2209</v>
      </c>
      <c r="AV209" s="316" t="s">
        <v>2358</v>
      </c>
      <c r="AW209" s="403" t="s">
        <v>2796</v>
      </c>
      <c r="AY209" s="414"/>
    </row>
    <row r="210" spans="1:51" ht="15" customHeight="1" x14ac:dyDescent="0.25">
      <c r="A210" s="294">
        <v>15676</v>
      </c>
      <c r="B210" s="44">
        <v>46038</v>
      </c>
      <c r="C210" s="44">
        <v>46038</v>
      </c>
      <c r="D210" s="2">
        <v>1</v>
      </c>
      <c r="E210" s="45" t="s">
        <v>54</v>
      </c>
      <c r="F210" s="2" t="s">
        <v>55</v>
      </c>
      <c r="G210" s="2">
        <v>0</v>
      </c>
      <c r="H210" s="2"/>
      <c r="I210" s="2" t="s">
        <v>55</v>
      </c>
      <c r="J210" s="2" t="s">
        <v>55</v>
      </c>
      <c r="K210" s="2">
        <v>0</v>
      </c>
      <c r="L210" s="2" t="s">
        <v>55</v>
      </c>
      <c r="M210" s="2" t="s">
        <v>55</v>
      </c>
      <c r="N210" s="2" t="s">
        <v>55</v>
      </c>
      <c r="O210" s="2" t="s">
        <v>55</v>
      </c>
      <c r="P210" s="2" t="s">
        <v>55</v>
      </c>
      <c r="Q210" s="2" t="s">
        <v>55</v>
      </c>
      <c r="R210" s="3" t="s">
        <v>55</v>
      </c>
      <c r="S210" s="2">
        <v>1</v>
      </c>
      <c r="T210" s="2">
        <v>1</v>
      </c>
      <c r="U210" s="2">
        <v>0</v>
      </c>
      <c r="V210" s="16">
        <v>46044</v>
      </c>
      <c r="W210" s="28">
        <v>46050</v>
      </c>
      <c r="X210" s="28">
        <v>46050</v>
      </c>
      <c r="Y210" s="16">
        <v>46052</v>
      </c>
      <c r="Z210" s="16">
        <v>46055</v>
      </c>
      <c r="AA210" s="3">
        <f t="shared" si="16"/>
        <v>2</v>
      </c>
      <c r="AB210" s="85" t="s">
        <v>739</v>
      </c>
      <c r="AC210" s="46" t="s">
        <v>740</v>
      </c>
      <c r="AD210" s="19" t="str">
        <f t="shared" si="20"/>
        <v>N/A</v>
      </c>
      <c r="AE210" s="67" t="str">
        <f>IFERROR(NETWORKDAYS(B210,I210,Hoja1!$A$1:$A$29),"N/A")</f>
        <v>N/A</v>
      </c>
      <c r="AF210" s="21">
        <f>IFERROR(NETWORKDAYS(B210,W210,Hoja1!$A$1:$A$29),"N/A")</f>
        <v>9</v>
      </c>
      <c r="AG210" s="78">
        <v>0</v>
      </c>
      <c r="AH210" s="21">
        <f t="shared" si="19"/>
        <v>9</v>
      </c>
      <c r="AI210" s="21">
        <f>IFERROR(NETWORKDAYS(X210,Y210,Hoja1!$A$1:$A$29),"N/A")</f>
        <v>3</v>
      </c>
      <c r="AJ210" s="78">
        <v>0</v>
      </c>
      <c r="AK210" s="75">
        <f t="shared" si="18"/>
        <v>3</v>
      </c>
      <c r="AL210" s="21">
        <f>IFERROR(NETWORKDAYS(B210,Y210,Hoja1!$A$1:$A$29),"N/A")</f>
        <v>11</v>
      </c>
      <c r="AM210" s="21">
        <f t="shared" si="21"/>
        <v>11</v>
      </c>
      <c r="AN210" s="43"/>
      <c r="AO210" s="43"/>
      <c r="AP210" s="43"/>
      <c r="AQ210" s="43"/>
      <c r="AR210" s="43"/>
      <c r="AS210" s="43" t="s">
        <v>1900</v>
      </c>
      <c r="AT210" s="43" t="s">
        <v>2062</v>
      </c>
      <c r="AU210" s="43" t="s">
        <v>2217</v>
      </c>
      <c r="AV210" s="317" t="s">
        <v>2359</v>
      </c>
      <c r="AW210" s="403" t="s">
        <v>2797</v>
      </c>
      <c r="AY210" s="415"/>
    </row>
    <row r="211" spans="1:51" ht="15" customHeight="1" x14ac:dyDescent="0.25">
      <c r="A211" s="296">
        <v>15677</v>
      </c>
      <c r="B211" s="37">
        <v>46041</v>
      </c>
      <c r="C211" s="37">
        <v>46041</v>
      </c>
      <c r="D211" s="3">
        <v>1</v>
      </c>
      <c r="E211" s="45" t="s">
        <v>54</v>
      </c>
      <c r="F211" s="18" t="s">
        <v>55</v>
      </c>
      <c r="G211" s="3">
        <v>6</v>
      </c>
      <c r="H211" s="3" t="s">
        <v>112</v>
      </c>
      <c r="I211" s="44">
        <v>46042</v>
      </c>
      <c r="J211" s="44">
        <v>46042</v>
      </c>
      <c r="K211" s="3">
        <v>6</v>
      </c>
      <c r="L211" s="18" t="s">
        <v>55</v>
      </c>
      <c r="M211" s="18" t="s">
        <v>55</v>
      </c>
      <c r="N211" s="18" t="s">
        <v>55</v>
      </c>
      <c r="O211" s="18" t="s">
        <v>55</v>
      </c>
      <c r="P211" s="18" t="s">
        <v>55</v>
      </c>
      <c r="Q211" s="18" t="s">
        <v>55</v>
      </c>
      <c r="R211" s="3" t="s">
        <v>55</v>
      </c>
      <c r="S211" s="3">
        <v>2</v>
      </c>
      <c r="T211" s="3">
        <v>2</v>
      </c>
      <c r="U211" s="3">
        <v>0</v>
      </c>
      <c r="V211" s="30">
        <v>46045</v>
      </c>
      <c r="W211" s="30">
        <v>46058</v>
      </c>
      <c r="X211" s="30">
        <v>46058</v>
      </c>
      <c r="Y211" s="37">
        <v>46063</v>
      </c>
      <c r="Z211" s="37">
        <v>46063</v>
      </c>
      <c r="AA211" s="3">
        <f t="shared" si="16"/>
        <v>2</v>
      </c>
      <c r="AB211" s="85" t="s">
        <v>741</v>
      </c>
      <c r="AC211" s="35" t="s">
        <v>742</v>
      </c>
      <c r="AD211" s="19">
        <f t="shared" si="20"/>
        <v>1</v>
      </c>
      <c r="AE211" s="67">
        <f>IFERROR(NETWORKDAYS(B211,I211,Hoja1!$A$1:$A$29),"N/A")</f>
        <v>2</v>
      </c>
      <c r="AF211" s="21">
        <f>IFERROR(NETWORKDAYS(B211,W211,Hoja1!$A$1:$A$29),"N/A")</f>
        <v>14</v>
      </c>
      <c r="AG211" s="78">
        <v>7</v>
      </c>
      <c r="AH211" s="21">
        <f t="shared" si="19"/>
        <v>7</v>
      </c>
      <c r="AI211" s="21">
        <f>IFERROR(NETWORKDAYS(X211,Y211,Hoja1!$A$1:$A$29),"N/A")</f>
        <v>4</v>
      </c>
      <c r="AJ211" s="33">
        <v>0</v>
      </c>
      <c r="AK211" s="75">
        <f t="shared" si="18"/>
        <v>4</v>
      </c>
      <c r="AL211" s="21">
        <f>IFERROR(NETWORKDAYS(B211,Y211,Hoja1!$A$1:$A$29),"N/A")</f>
        <v>17</v>
      </c>
      <c r="AM211" s="21">
        <f t="shared" si="21"/>
        <v>10</v>
      </c>
      <c r="AN211" s="3"/>
      <c r="AO211" s="3"/>
      <c r="AP211" s="3"/>
      <c r="AQ211" s="3"/>
      <c r="AR211" s="3"/>
      <c r="AS211" s="3" t="s">
        <v>1893</v>
      </c>
      <c r="AT211" s="3" t="s">
        <v>1995</v>
      </c>
      <c r="AU211" s="3" t="s">
        <v>2215</v>
      </c>
      <c r="AV211" s="316" t="s">
        <v>2360</v>
      </c>
      <c r="AW211" s="403" t="s">
        <v>2798</v>
      </c>
      <c r="AY211" s="414"/>
    </row>
    <row r="212" spans="1:51" ht="15" customHeight="1" x14ac:dyDescent="0.25">
      <c r="A212" s="294">
        <v>15678</v>
      </c>
      <c r="B212" s="30">
        <v>46038</v>
      </c>
      <c r="C212" s="30">
        <v>46041</v>
      </c>
      <c r="D212" s="3">
        <v>1</v>
      </c>
      <c r="E212" s="45" t="s">
        <v>54</v>
      </c>
      <c r="F212" s="3" t="s">
        <v>55</v>
      </c>
      <c r="G212" s="3">
        <v>3</v>
      </c>
      <c r="H212" s="3" t="s">
        <v>112</v>
      </c>
      <c r="I212" s="16">
        <v>46042</v>
      </c>
      <c r="J212" s="16">
        <v>46042</v>
      </c>
      <c r="K212" s="3">
        <v>3</v>
      </c>
      <c r="L212" s="3" t="s">
        <v>55</v>
      </c>
      <c r="M212" s="3" t="s">
        <v>55</v>
      </c>
      <c r="N212" s="3" t="s">
        <v>55</v>
      </c>
      <c r="O212" s="3" t="s">
        <v>55</v>
      </c>
      <c r="P212" s="3" t="s">
        <v>55</v>
      </c>
      <c r="Q212" s="3" t="s">
        <v>55</v>
      </c>
      <c r="R212" s="3" t="s">
        <v>55</v>
      </c>
      <c r="S212" s="3">
        <v>3</v>
      </c>
      <c r="T212" s="3">
        <v>1</v>
      </c>
      <c r="U212" s="3">
        <v>0</v>
      </c>
      <c r="V212" s="30">
        <v>46042</v>
      </c>
      <c r="W212" s="30">
        <v>46057</v>
      </c>
      <c r="X212" s="30">
        <v>46064</v>
      </c>
      <c r="Y212" s="16">
        <v>46073</v>
      </c>
      <c r="Z212" s="140">
        <v>46076</v>
      </c>
      <c r="AA212" s="3">
        <f t="shared" si="16"/>
        <v>2</v>
      </c>
      <c r="AB212" s="85" t="s">
        <v>745</v>
      </c>
      <c r="AC212" s="45" t="s">
        <v>746</v>
      </c>
      <c r="AD212" s="19">
        <f t="shared" si="20"/>
        <v>1</v>
      </c>
      <c r="AE212" s="67">
        <f>IFERROR(NETWORKDAYS(B212,I212,Hoja1!$A$1:$A$29),"N/A")</f>
        <v>3</v>
      </c>
      <c r="AF212" s="21">
        <f>IFERROR(NETWORKDAYS(B212,W212,Hoja1!$A$1:$A$29),"N/A")</f>
        <v>14</v>
      </c>
      <c r="AG212" s="78">
        <v>0</v>
      </c>
      <c r="AH212" s="21">
        <f t="shared" si="19"/>
        <v>14</v>
      </c>
      <c r="AI212" s="21">
        <f>IFERROR(NETWORKDAYS(X212,Y212,Hoja1!$A$1:$A$29),"N/A")</f>
        <v>8</v>
      </c>
      <c r="AJ212" s="123">
        <v>3</v>
      </c>
      <c r="AK212" s="75">
        <f t="shared" si="18"/>
        <v>5</v>
      </c>
      <c r="AL212" s="21">
        <f>IFERROR(NETWORKDAYS(B212,Y212,Hoja1!$A$1:$A$29),"N/A")</f>
        <v>26</v>
      </c>
      <c r="AM212" s="21">
        <f t="shared" si="21"/>
        <v>23</v>
      </c>
      <c r="AN212" s="107"/>
      <c r="AO212" s="107"/>
      <c r="AP212" s="107"/>
      <c r="AQ212" s="107"/>
      <c r="AR212" s="1"/>
      <c r="AS212" s="1" t="s">
        <v>1894</v>
      </c>
      <c r="AT212" s="1" t="s">
        <v>2079</v>
      </c>
      <c r="AU212" s="1" t="s">
        <v>2219</v>
      </c>
      <c r="AV212" s="315" t="s">
        <v>2361</v>
      </c>
      <c r="AW212" s="403" t="s">
        <v>2799</v>
      </c>
      <c r="AY212" s="415"/>
    </row>
    <row r="213" spans="1:51" ht="15" customHeight="1" x14ac:dyDescent="0.25">
      <c r="A213" s="294">
        <v>15685</v>
      </c>
      <c r="B213" s="30">
        <v>46042</v>
      </c>
      <c r="C213" s="30">
        <v>46042</v>
      </c>
      <c r="D213" s="3">
        <v>1</v>
      </c>
      <c r="E213" s="45" t="s">
        <v>54</v>
      </c>
      <c r="F213" s="3" t="s">
        <v>55</v>
      </c>
      <c r="G213" s="3">
        <v>0</v>
      </c>
      <c r="H213" s="3"/>
      <c r="I213" s="3" t="s">
        <v>55</v>
      </c>
      <c r="J213" s="3" t="s">
        <v>55</v>
      </c>
      <c r="K213" s="3">
        <v>0</v>
      </c>
      <c r="L213" s="3" t="s">
        <v>55</v>
      </c>
      <c r="M213" s="3" t="s">
        <v>55</v>
      </c>
      <c r="N213" s="3" t="s">
        <v>55</v>
      </c>
      <c r="O213" s="3" t="s">
        <v>55</v>
      </c>
      <c r="P213" s="3" t="s">
        <v>55</v>
      </c>
      <c r="Q213" s="3" t="s">
        <v>55</v>
      </c>
      <c r="R213" s="3" t="s">
        <v>55</v>
      </c>
      <c r="S213" s="3">
        <v>1</v>
      </c>
      <c r="T213" s="3">
        <v>1</v>
      </c>
      <c r="U213" s="3">
        <v>0</v>
      </c>
      <c r="V213" s="30">
        <v>46050</v>
      </c>
      <c r="W213" s="28">
        <v>46050</v>
      </c>
      <c r="X213" s="30">
        <v>46051</v>
      </c>
      <c r="Y213" s="30">
        <v>46065</v>
      </c>
      <c r="Z213" s="30">
        <v>46065</v>
      </c>
      <c r="AA213" s="3">
        <f t="shared" si="16"/>
        <v>2</v>
      </c>
      <c r="AB213" s="85" t="s">
        <v>748</v>
      </c>
      <c r="AC213" s="35" t="s">
        <v>749</v>
      </c>
      <c r="AD213" s="19" t="str">
        <f t="shared" si="20"/>
        <v>N/A</v>
      </c>
      <c r="AE213" s="67" t="str">
        <f>IFERROR(NETWORKDAYS(B213,I213,Hoja1!$A$1:$A$29),"N/A")</f>
        <v>N/A</v>
      </c>
      <c r="AF213" s="21">
        <f>IFERROR(NETWORKDAYS(B213,W213,Hoja1!$A$1:$A$29),"N/A")</f>
        <v>7</v>
      </c>
      <c r="AG213" s="78">
        <v>0</v>
      </c>
      <c r="AH213" s="21">
        <f t="shared" si="19"/>
        <v>7</v>
      </c>
      <c r="AI213" s="21">
        <f>IFERROR(NETWORKDAYS(X213,Y213,Hoja1!$A$1:$A$29),"N/A")</f>
        <v>11</v>
      </c>
      <c r="AJ213" s="113">
        <v>6</v>
      </c>
      <c r="AK213" s="75">
        <f t="shared" si="18"/>
        <v>5</v>
      </c>
      <c r="AL213" s="21">
        <f>IFERROR(NETWORKDAYS(B213,Y213,Hoja1!$A$1:$A$29),"N/A")</f>
        <v>18</v>
      </c>
      <c r="AM213" s="21">
        <f t="shared" si="21"/>
        <v>12</v>
      </c>
      <c r="AN213" s="3"/>
      <c r="AO213" s="3"/>
      <c r="AP213" s="3"/>
      <c r="AQ213" s="3"/>
      <c r="AR213" s="3"/>
      <c r="AS213" s="3" t="s">
        <v>1930</v>
      </c>
      <c r="AT213" s="3" t="s">
        <v>2072</v>
      </c>
      <c r="AU213" s="3" t="s">
        <v>2209</v>
      </c>
      <c r="AV213" s="316" t="s">
        <v>2362</v>
      </c>
      <c r="AW213" s="403" t="s">
        <v>2800</v>
      </c>
      <c r="AY213" s="414"/>
    </row>
    <row r="214" spans="1:51" ht="15" customHeight="1" x14ac:dyDescent="0.25">
      <c r="A214" s="294">
        <v>15687</v>
      </c>
      <c r="B214" s="15">
        <v>46035</v>
      </c>
      <c r="C214" s="16">
        <v>46042</v>
      </c>
      <c r="D214" s="1">
        <v>1</v>
      </c>
      <c r="E214" s="45" t="s">
        <v>54</v>
      </c>
      <c r="F214" s="21" t="s">
        <v>55</v>
      </c>
      <c r="G214" s="1">
        <v>4</v>
      </c>
      <c r="H214" s="1" t="s">
        <v>112</v>
      </c>
      <c r="I214" s="16">
        <v>46044</v>
      </c>
      <c r="J214" s="16">
        <v>46045</v>
      </c>
      <c r="K214" s="1">
        <v>4</v>
      </c>
      <c r="L214" s="36" t="s">
        <v>55</v>
      </c>
      <c r="M214" s="36" t="s">
        <v>55</v>
      </c>
      <c r="N214" s="36" t="s">
        <v>55</v>
      </c>
      <c r="O214" s="36" t="s">
        <v>55</v>
      </c>
      <c r="P214" s="36" t="s">
        <v>55</v>
      </c>
      <c r="Q214" s="36" t="s">
        <v>55</v>
      </c>
      <c r="R214" s="3" t="s">
        <v>55</v>
      </c>
      <c r="S214" s="1">
        <v>2</v>
      </c>
      <c r="T214" s="1">
        <v>2</v>
      </c>
      <c r="U214" s="1">
        <v>0</v>
      </c>
      <c r="V214" s="16">
        <v>46052</v>
      </c>
      <c r="W214" s="16">
        <v>46064</v>
      </c>
      <c r="X214" s="16">
        <v>46064</v>
      </c>
      <c r="Y214" s="16">
        <v>46070</v>
      </c>
      <c r="Z214" s="140">
        <v>46076</v>
      </c>
      <c r="AA214" s="3">
        <f t="shared" si="16"/>
        <v>2</v>
      </c>
      <c r="AB214" s="85" t="s">
        <v>750</v>
      </c>
      <c r="AC214" s="49" t="s">
        <v>751</v>
      </c>
      <c r="AD214" s="19">
        <f t="shared" si="20"/>
        <v>1</v>
      </c>
      <c r="AE214" s="67">
        <f>IFERROR(NETWORKDAYS(B214,I214,Hoja1!$A$1:$A$29),"N/A")</f>
        <v>8</v>
      </c>
      <c r="AF214" s="21">
        <f>IFERROR(NETWORKDAYS(B214,W214,Hoja1!$A$1:$A$29),"N/A")</f>
        <v>22</v>
      </c>
      <c r="AG214" s="78">
        <v>8</v>
      </c>
      <c r="AH214" s="21">
        <f t="shared" si="19"/>
        <v>14</v>
      </c>
      <c r="AI214" s="21">
        <f>IFERROR(NETWORKDAYS(X214,Y214,Hoja1!$A$1:$A$29),"N/A")</f>
        <v>5</v>
      </c>
      <c r="AJ214" s="113">
        <v>0</v>
      </c>
      <c r="AK214" s="75">
        <f t="shared" si="18"/>
        <v>5</v>
      </c>
      <c r="AL214" s="21">
        <f>IFERROR(NETWORKDAYS(B214,Y214,Hoja1!$A$1:$A$29),"N/A")</f>
        <v>26</v>
      </c>
      <c r="AM214" s="21">
        <f t="shared" si="21"/>
        <v>18</v>
      </c>
      <c r="AN214" s="84" t="s">
        <v>454</v>
      </c>
      <c r="AO214" s="33"/>
      <c r="AP214" s="33"/>
      <c r="AQ214" s="33"/>
      <c r="AR214" s="33"/>
      <c r="AS214" s="33" t="s">
        <v>1941</v>
      </c>
      <c r="AT214" s="33" t="s">
        <v>2013</v>
      </c>
      <c r="AU214" s="33" t="s">
        <v>2218</v>
      </c>
      <c r="AV214" s="318" t="s">
        <v>2363</v>
      </c>
      <c r="AW214" s="403" t="s">
        <v>2801</v>
      </c>
      <c r="AY214" s="415"/>
    </row>
    <row r="215" spans="1:51" ht="15" customHeight="1" x14ac:dyDescent="0.25">
      <c r="A215" s="296">
        <v>15688</v>
      </c>
      <c r="B215" s="37">
        <v>46042</v>
      </c>
      <c r="C215" s="37">
        <v>46042</v>
      </c>
      <c r="D215" s="3">
        <v>1</v>
      </c>
      <c r="E215" s="45" t="s">
        <v>54</v>
      </c>
      <c r="F215" s="18" t="s">
        <v>55</v>
      </c>
      <c r="G215" s="3">
        <v>1</v>
      </c>
      <c r="H215" s="3" t="s">
        <v>112</v>
      </c>
      <c r="I215" s="30">
        <v>46043</v>
      </c>
      <c r="J215" s="30">
        <v>46043</v>
      </c>
      <c r="K215" s="3">
        <v>1</v>
      </c>
      <c r="L215" s="18" t="s">
        <v>55</v>
      </c>
      <c r="M215" s="18" t="s">
        <v>55</v>
      </c>
      <c r="N215" s="18" t="s">
        <v>55</v>
      </c>
      <c r="O215" s="18" t="s">
        <v>55</v>
      </c>
      <c r="P215" s="18" t="s">
        <v>55</v>
      </c>
      <c r="Q215" s="18" t="s">
        <v>55</v>
      </c>
      <c r="R215" s="3" t="s">
        <v>55</v>
      </c>
      <c r="S215" s="3">
        <v>1</v>
      </c>
      <c r="T215" s="3">
        <v>1</v>
      </c>
      <c r="U215" s="3">
        <v>0</v>
      </c>
      <c r="V215" s="30">
        <v>46045</v>
      </c>
      <c r="W215" s="30">
        <v>46065</v>
      </c>
      <c r="X215" s="30">
        <v>46065</v>
      </c>
      <c r="Y215" s="16">
        <v>46073</v>
      </c>
      <c r="Z215" s="140">
        <v>46076</v>
      </c>
      <c r="AA215" s="3">
        <f t="shared" si="16"/>
        <v>2</v>
      </c>
      <c r="AB215" s="85" t="s">
        <v>754</v>
      </c>
      <c r="AC215" s="35" t="s">
        <v>755</v>
      </c>
      <c r="AD215" s="19">
        <f t="shared" si="20"/>
        <v>1</v>
      </c>
      <c r="AE215" s="67">
        <f>IFERROR(NETWORKDAYS(B215,I215,Hoja1!$A$1:$A$29),"N/A")</f>
        <v>2</v>
      </c>
      <c r="AF215" s="21">
        <f>IFERROR(NETWORKDAYS(B215,W215,Hoja1!$A$1:$A$29),"N/A")</f>
        <v>18</v>
      </c>
      <c r="AG215" s="78">
        <v>8</v>
      </c>
      <c r="AH215" s="21">
        <f t="shared" si="19"/>
        <v>10</v>
      </c>
      <c r="AI215" s="21">
        <f>IFERROR(NETWORKDAYS(X215,Y215,Hoja1!$A$1:$A$29),"N/A")</f>
        <v>7</v>
      </c>
      <c r="AJ215" s="33">
        <v>1</v>
      </c>
      <c r="AK215" s="75">
        <f t="shared" si="18"/>
        <v>6</v>
      </c>
      <c r="AL215" s="21">
        <f>IFERROR(NETWORKDAYS(B215,Y215,Hoja1!$A$1:$A$29),"N/A")</f>
        <v>24</v>
      </c>
      <c r="AM215" s="21">
        <f t="shared" si="21"/>
        <v>15</v>
      </c>
      <c r="AN215" s="3"/>
      <c r="AO215" s="3"/>
      <c r="AP215" s="3"/>
      <c r="AQ215" s="3"/>
      <c r="AR215" s="3"/>
      <c r="AS215" s="3" t="s">
        <v>1923</v>
      </c>
      <c r="AT215" s="3" t="s">
        <v>2080</v>
      </c>
      <c r="AU215" s="3" t="s">
        <v>2215</v>
      </c>
      <c r="AV215" s="316" t="s">
        <v>2364</v>
      </c>
      <c r="AW215" s="403" t="s">
        <v>2802</v>
      </c>
      <c r="AY215" s="414"/>
    </row>
    <row r="216" spans="1:51" ht="15" customHeight="1" x14ac:dyDescent="0.25">
      <c r="A216" s="301">
        <v>15689</v>
      </c>
      <c r="B216" s="28">
        <v>46042</v>
      </c>
      <c r="C216" s="28">
        <v>46042</v>
      </c>
      <c r="D216" s="33">
        <v>1</v>
      </c>
      <c r="E216" s="45" t="s">
        <v>54</v>
      </c>
      <c r="F216" s="21" t="s">
        <v>55</v>
      </c>
      <c r="G216" s="33">
        <v>4</v>
      </c>
      <c r="H216" s="33" t="s">
        <v>112</v>
      </c>
      <c r="I216" s="28">
        <v>46044</v>
      </c>
      <c r="J216" s="28">
        <v>46048</v>
      </c>
      <c r="K216" s="33">
        <v>4</v>
      </c>
      <c r="L216" s="36" t="s">
        <v>55</v>
      </c>
      <c r="M216" s="36" t="s">
        <v>55</v>
      </c>
      <c r="N216" s="36" t="s">
        <v>55</v>
      </c>
      <c r="O216" s="36" t="s">
        <v>55</v>
      </c>
      <c r="P216" s="36" t="s">
        <v>55</v>
      </c>
      <c r="Q216" s="36" t="s">
        <v>55</v>
      </c>
      <c r="R216" s="3" t="s">
        <v>55</v>
      </c>
      <c r="S216" s="33">
        <v>1</v>
      </c>
      <c r="T216" s="33">
        <v>1</v>
      </c>
      <c r="U216" s="33">
        <v>0</v>
      </c>
      <c r="V216" s="28">
        <v>46050</v>
      </c>
      <c r="W216" s="28">
        <v>46051</v>
      </c>
      <c r="X216" s="28">
        <v>46052</v>
      </c>
      <c r="Y216" s="28">
        <v>46062</v>
      </c>
      <c r="Z216" s="28">
        <v>46065</v>
      </c>
      <c r="AA216" s="3">
        <f t="shared" si="16"/>
        <v>2</v>
      </c>
      <c r="AB216" s="85" t="s">
        <v>757</v>
      </c>
      <c r="AC216" s="35" t="s">
        <v>758</v>
      </c>
      <c r="AD216" s="19">
        <f t="shared" si="20"/>
        <v>1</v>
      </c>
      <c r="AE216" s="67">
        <f>IFERROR(NETWORKDAYS(B216,I216,Hoja1!$A$1:$A$29),"N/A")</f>
        <v>3</v>
      </c>
      <c r="AF216" s="21">
        <f>IFERROR(NETWORKDAYS(B216,W216,Hoja1!$A$1:$A$29),"N/A")</f>
        <v>8</v>
      </c>
      <c r="AG216" s="78">
        <v>0</v>
      </c>
      <c r="AH216" s="21">
        <f t="shared" si="19"/>
        <v>8</v>
      </c>
      <c r="AI216" s="21">
        <f>IFERROR(NETWORKDAYS(X216,Y216,Hoja1!$A$1:$A$29),"N/A")</f>
        <v>7</v>
      </c>
      <c r="AJ216" s="113">
        <v>2</v>
      </c>
      <c r="AK216" s="75">
        <f t="shared" si="18"/>
        <v>5</v>
      </c>
      <c r="AL216" s="21">
        <f>IFERROR(NETWORKDAYS(B216,Y216,Hoja1!$A$1:$A$29),"N/A")</f>
        <v>15</v>
      </c>
      <c r="AM216" s="21">
        <f t="shared" si="21"/>
        <v>13</v>
      </c>
      <c r="AN216" s="33"/>
      <c r="AO216" s="33"/>
      <c r="AP216" s="33"/>
      <c r="AQ216" s="33"/>
      <c r="AR216" s="33"/>
      <c r="AS216" s="33" t="s">
        <v>1889</v>
      </c>
      <c r="AT216" s="33" t="s">
        <v>1994</v>
      </c>
      <c r="AU216" s="33" t="s">
        <v>2212</v>
      </c>
      <c r="AV216" s="318" t="s">
        <v>2307</v>
      </c>
      <c r="AW216" s="403" t="s">
        <v>2803</v>
      </c>
      <c r="AY216" s="415"/>
    </row>
    <row r="217" spans="1:51" ht="15" customHeight="1" x14ac:dyDescent="0.25">
      <c r="A217" s="301">
        <v>15690</v>
      </c>
      <c r="B217" s="15">
        <v>46044</v>
      </c>
      <c r="C217" s="16">
        <v>46042</v>
      </c>
      <c r="D217" s="1">
        <v>1</v>
      </c>
      <c r="E217" s="45" t="s">
        <v>54</v>
      </c>
      <c r="F217" s="2" t="s">
        <v>55</v>
      </c>
      <c r="G217" s="33">
        <v>0</v>
      </c>
      <c r="H217" s="1"/>
      <c r="I217" s="2" t="s">
        <v>55</v>
      </c>
      <c r="J217" s="2" t="s">
        <v>55</v>
      </c>
      <c r="K217" s="33">
        <v>0</v>
      </c>
      <c r="L217" s="18" t="s">
        <v>55</v>
      </c>
      <c r="M217" s="18" t="s">
        <v>55</v>
      </c>
      <c r="N217" s="18" t="s">
        <v>55</v>
      </c>
      <c r="O217" s="18" t="s">
        <v>55</v>
      </c>
      <c r="P217" s="18" t="s">
        <v>55</v>
      </c>
      <c r="Q217" s="18" t="s">
        <v>55</v>
      </c>
      <c r="R217" s="3" t="s">
        <v>55</v>
      </c>
      <c r="S217" s="1">
        <v>1</v>
      </c>
      <c r="T217" s="1">
        <v>1</v>
      </c>
      <c r="U217" s="1">
        <v>0</v>
      </c>
      <c r="V217" s="16">
        <v>46049</v>
      </c>
      <c r="W217" s="16">
        <v>46049</v>
      </c>
      <c r="X217" s="16">
        <v>46049</v>
      </c>
      <c r="Y217" s="16">
        <v>46052</v>
      </c>
      <c r="Z217" s="16">
        <v>46055</v>
      </c>
      <c r="AA217" s="3">
        <f t="shared" si="16"/>
        <v>2</v>
      </c>
      <c r="AB217" s="249" t="s">
        <v>759</v>
      </c>
      <c r="AC217" s="49" t="s">
        <v>760</v>
      </c>
      <c r="AD217" s="19" t="str">
        <f t="shared" si="20"/>
        <v>N/A</v>
      </c>
      <c r="AE217" s="67" t="str">
        <f>IFERROR(NETWORKDAYS(B217,I217,Hoja1!$A$1:$A$29),"N/A")</f>
        <v>N/A</v>
      </c>
      <c r="AF217" s="21">
        <f>IFERROR(NETWORKDAYS(B217,W217,Hoja1!$A$1:$A$29),"N/A")</f>
        <v>4</v>
      </c>
      <c r="AG217" s="78">
        <v>0</v>
      </c>
      <c r="AH217" s="21">
        <f t="shared" si="19"/>
        <v>4</v>
      </c>
      <c r="AI217" s="21">
        <f>IFERROR(NETWORKDAYS(X217,Y217,Hoja1!$A$1:$A$29),"N/A")</f>
        <v>4</v>
      </c>
      <c r="AJ217" s="74">
        <v>0</v>
      </c>
      <c r="AK217" s="75">
        <f t="shared" si="18"/>
        <v>4</v>
      </c>
      <c r="AL217" s="21">
        <f>IFERROR(NETWORKDAYS(B217,Y217,Hoja1!$A$1:$A$29),"N/A")</f>
        <v>7</v>
      </c>
      <c r="AM217" s="21">
        <f t="shared" si="21"/>
        <v>7</v>
      </c>
      <c r="AN217" s="251"/>
      <c r="AO217" s="1"/>
      <c r="AP217" s="1"/>
      <c r="AQ217" s="1"/>
      <c r="AR217" s="1"/>
      <c r="AS217" s="1" t="s">
        <v>1942</v>
      </c>
      <c r="AT217" s="1" t="s">
        <v>2062</v>
      </c>
      <c r="AU217" s="1" t="s">
        <v>2211</v>
      </c>
      <c r="AV217" s="315" t="s">
        <v>2365</v>
      </c>
      <c r="AW217" s="403" t="s">
        <v>2804</v>
      </c>
      <c r="AY217" s="414"/>
    </row>
    <row r="218" spans="1:51" ht="15" customHeight="1" x14ac:dyDescent="0.25">
      <c r="A218" s="298">
        <v>15691</v>
      </c>
      <c r="B218" s="15">
        <v>46043</v>
      </c>
      <c r="C218" s="16">
        <v>46042</v>
      </c>
      <c r="D218" s="1">
        <v>1</v>
      </c>
      <c r="E218" s="45" t="s">
        <v>54</v>
      </c>
      <c r="F218" s="2" t="s">
        <v>55</v>
      </c>
      <c r="G218" s="1">
        <v>5</v>
      </c>
      <c r="H218" s="1" t="s">
        <v>112</v>
      </c>
      <c r="I218" s="16">
        <v>46055</v>
      </c>
      <c r="J218" s="16">
        <v>46058</v>
      </c>
      <c r="K218" s="1">
        <v>5</v>
      </c>
      <c r="L218" s="2" t="s">
        <v>55</v>
      </c>
      <c r="M218" s="2" t="s">
        <v>55</v>
      </c>
      <c r="N218" s="2" t="s">
        <v>55</v>
      </c>
      <c r="O218" s="2" t="s">
        <v>55</v>
      </c>
      <c r="P218" s="2" t="s">
        <v>55</v>
      </c>
      <c r="Q218" s="2" t="s">
        <v>55</v>
      </c>
      <c r="R218" s="3" t="s">
        <v>55</v>
      </c>
      <c r="S218" s="1">
        <v>1</v>
      </c>
      <c r="T218" s="1">
        <v>1</v>
      </c>
      <c r="U218" s="1">
        <v>0</v>
      </c>
      <c r="V218" s="16">
        <v>46058</v>
      </c>
      <c r="W218" s="16">
        <v>46058</v>
      </c>
      <c r="X218" s="16">
        <v>46058</v>
      </c>
      <c r="Y218" s="16">
        <v>46071</v>
      </c>
      <c r="Z218" s="140">
        <v>46076</v>
      </c>
      <c r="AA218" s="3">
        <f t="shared" si="16"/>
        <v>2</v>
      </c>
      <c r="AB218" s="108" t="s">
        <v>762</v>
      </c>
      <c r="AC218" s="49" t="s">
        <v>763</v>
      </c>
      <c r="AD218" s="19">
        <f t="shared" si="20"/>
        <v>1</v>
      </c>
      <c r="AE218" s="67">
        <f>IFERROR(NETWORKDAYS(B218,I218,Hoja1!$A$1:$A$29),"N/A")</f>
        <v>9</v>
      </c>
      <c r="AF218" s="21">
        <f>IFERROR(NETWORKDAYS(B218,W218,Hoja1!$A$1:$A$29),"N/A")</f>
        <v>12</v>
      </c>
      <c r="AG218" s="78">
        <v>0</v>
      </c>
      <c r="AH218" s="21">
        <f t="shared" si="19"/>
        <v>12</v>
      </c>
      <c r="AI218" s="21">
        <f>IFERROR(NETWORKDAYS(X218,Y218,Hoja1!$A$1:$A$29),"N/A")</f>
        <v>10</v>
      </c>
      <c r="AJ218" s="67">
        <v>5</v>
      </c>
      <c r="AK218" s="75">
        <f t="shared" si="18"/>
        <v>5</v>
      </c>
      <c r="AL218" s="21">
        <f>IFERROR(NETWORKDAYS(B218,Y218,Hoja1!$A$1:$A$29),"N/A")</f>
        <v>21</v>
      </c>
      <c r="AM218" s="21">
        <f t="shared" si="21"/>
        <v>16</v>
      </c>
      <c r="AN218" s="1"/>
      <c r="AO218" s="1"/>
      <c r="AP218" s="1"/>
      <c r="AQ218" s="1"/>
      <c r="AR218" s="1"/>
      <c r="AS218" s="1" t="s">
        <v>1897</v>
      </c>
      <c r="AT218" s="1" t="s">
        <v>1994</v>
      </c>
      <c r="AU218" s="1" t="s">
        <v>2210</v>
      </c>
      <c r="AV218" s="315" t="s">
        <v>2232</v>
      </c>
      <c r="AW218" s="403" t="s">
        <v>2805</v>
      </c>
      <c r="AY218" s="415"/>
    </row>
    <row r="219" spans="1:51" ht="15" customHeight="1" x14ac:dyDescent="0.25">
      <c r="A219" s="294">
        <v>15695</v>
      </c>
      <c r="B219" s="30">
        <v>46043</v>
      </c>
      <c r="C219" s="30">
        <v>46043</v>
      </c>
      <c r="D219" s="3">
        <v>1</v>
      </c>
      <c r="E219" s="45" t="s">
        <v>54</v>
      </c>
      <c r="F219" s="3" t="s">
        <v>55</v>
      </c>
      <c r="G219" s="3">
        <v>2</v>
      </c>
      <c r="H219" s="3" t="s">
        <v>56</v>
      </c>
      <c r="I219" s="30">
        <v>46057</v>
      </c>
      <c r="J219" s="30">
        <v>46057</v>
      </c>
      <c r="K219" s="3">
        <v>2</v>
      </c>
      <c r="L219" s="3" t="s">
        <v>55</v>
      </c>
      <c r="M219" s="3" t="s">
        <v>55</v>
      </c>
      <c r="N219" s="3" t="s">
        <v>55</v>
      </c>
      <c r="O219" s="3" t="s">
        <v>55</v>
      </c>
      <c r="P219" s="3" t="s">
        <v>55</v>
      </c>
      <c r="Q219" s="3" t="s">
        <v>55</v>
      </c>
      <c r="R219" s="3" t="s">
        <v>55</v>
      </c>
      <c r="S219" s="3">
        <v>2</v>
      </c>
      <c r="T219" s="3">
        <v>1</v>
      </c>
      <c r="U219" s="3">
        <v>0</v>
      </c>
      <c r="V219" s="30">
        <v>46071</v>
      </c>
      <c r="W219" s="16">
        <v>46071</v>
      </c>
      <c r="X219" s="30">
        <v>46069</v>
      </c>
      <c r="Y219" s="16">
        <v>46073</v>
      </c>
      <c r="Z219" s="140">
        <v>46076</v>
      </c>
      <c r="AA219" s="3">
        <f t="shared" si="16"/>
        <v>2</v>
      </c>
      <c r="AB219" s="85" t="s">
        <v>764</v>
      </c>
      <c r="AC219" s="45" t="s">
        <v>765</v>
      </c>
      <c r="AD219" s="19">
        <f t="shared" si="20"/>
        <v>1</v>
      </c>
      <c r="AE219" s="67">
        <f>IFERROR(NETWORKDAYS(B219,I219,Hoja1!$A$1:$A$29),"N/A")</f>
        <v>11</v>
      </c>
      <c r="AF219" s="21">
        <f>IFERROR(NETWORKDAYS(B219,W219,Hoja1!$A$1:$A$29),"N/A")</f>
        <v>21</v>
      </c>
      <c r="AG219" s="272">
        <v>0</v>
      </c>
      <c r="AH219" s="21">
        <f t="shared" si="19"/>
        <v>21</v>
      </c>
      <c r="AI219" s="21">
        <f>IFERROR(NETWORKDAYS(X219,Y219,Hoja1!$A$1:$A$29),"N/A")</f>
        <v>5</v>
      </c>
      <c r="AJ219" s="123">
        <v>0</v>
      </c>
      <c r="AK219" s="75">
        <f t="shared" si="18"/>
        <v>5</v>
      </c>
      <c r="AL219" s="21">
        <f>IFERROR(NETWORKDAYS(B219,Y219,Hoja1!$A$1:$A$29),"N/A")</f>
        <v>23</v>
      </c>
      <c r="AM219" s="21">
        <f t="shared" si="21"/>
        <v>23</v>
      </c>
      <c r="AN219" s="1"/>
      <c r="AO219" s="1"/>
      <c r="AP219" s="1"/>
      <c r="AQ219" s="1"/>
      <c r="AR219" s="1"/>
      <c r="AS219" s="1" t="s">
        <v>1895</v>
      </c>
      <c r="AT219" s="1" t="s">
        <v>2081</v>
      </c>
      <c r="AU219" s="1" t="s">
        <v>2219</v>
      </c>
      <c r="AV219" s="315" t="s">
        <v>2366</v>
      </c>
      <c r="AW219" s="403" t="s">
        <v>2806</v>
      </c>
      <c r="AY219" s="414"/>
    </row>
    <row r="220" spans="1:51" ht="15" customHeight="1" x14ac:dyDescent="0.25">
      <c r="A220" s="296">
        <v>15696</v>
      </c>
      <c r="B220" s="37">
        <v>46043</v>
      </c>
      <c r="C220" s="37">
        <v>46043</v>
      </c>
      <c r="D220" s="3">
        <v>1</v>
      </c>
      <c r="E220" s="45" t="s">
        <v>54</v>
      </c>
      <c r="F220" s="18" t="s">
        <v>55</v>
      </c>
      <c r="G220" s="3">
        <v>9</v>
      </c>
      <c r="H220" s="3" t="s">
        <v>56</v>
      </c>
      <c r="I220" s="30">
        <v>46062</v>
      </c>
      <c r="J220" s="30">
        <v>46062</v>
      </c>
      <c r="K220" s="3">
        <v>9</v>
      </c>
      <c r="L220" s="18" t="s">
        <v>55</v>
      </c>
      <c r="M220" s="18" t="s">
        <v>55</v>
      </c>
      <c r="N220" s="18" t="s">
        <v>55</v>
      </c>
      <c r="O220" s="18" t="s">
        <v>55</v>
      </c>
      <c r="P220" s="18" t="s">
        <v>55</v>
      </c>
      <c r="Q220" s="18" t="s">
        <v>55</v>
      </c>
      <c r="R220" s="3" t="s">
        <v>55</v>
      </c>
      <c r="S220" s="3">
        <v>3</v>
      </c>
      <c r="T220" s="3">
        <v>3</v>
      </c>
      <c r="U220" s="3">
        <v>0</v>
      </c>
      <c r="V220" s="30">
        <v>46065</v>
      </c>
      <c r="W220" s="30">
        <v>46066</v>
      </c>
      <c r="X220" s="28">
        <v>46066</v>
      </c>
      <c r="Y220" s="16">
        <v>46073</v>
      </c>
      <c r="Z220" s="140">
        <v>46076</v>
      </c>
      <c r="AA220" s="3">
        <f t="shared" si="16"/>
        <v>2</v>
      </c>
      <c r="AB220" s="85" t="s">
        <v>767</v>
      </c>
      <c r="AC220" s="119" t="s">
        <v>768</v>
      </c>
      <c r="AD220" s="19">
        <f t="shared" si="20"/>
        <v>1</v>
      </c>
      <c r="AE220" s="67">
        <f>IFERROR(NETWORKDAYS(B220,I220,Hoja1!$A$1:$A$29),"N/A")</f>
        <v>14</v>
      </c>
      <c r="AF220" s="21">
        <f>IFERROR(NETWORKDAYS(B220,W220,Hoja1!$A$1:$A$29),"N/A")</f>
        <v>18</v>
      </c>
      <c r="AG220" s="78">
        <v>3</v>
      </c>
      <c r="AH220" s="21">
        <f t="shared" si="19"/>
        <v>15</v>
      </c>
      <c r="AI220" s="21">
        <f>IFERROR(NETWORKDAYS(X220,Y220,Hoja1!$A$1:$A$29),"N/A")</f>
        <v>6</v>
      </c>
      <c r="AJ220" s="33">
        <v>1</v>
      </c>
      <c r="AK220" s="75">
        <f t="shared" si="18"/>
        <v>5</v>
      </c>
      <c r="AL220" s="21">
        <f>IFERROR(NETWORKDAYS(B220,Y220,Hoja1!$A$1:$A$29),"N/A")</f>
        <v>23</v>
      </c>
      <c r="AM220" s="21">
        <f t="shared" si="21"/>
        <v>19</v>
      </c>
      <c r="AN220" s="120"/>
      <c r="AO220" s="3"/>
      <c r="AP220" s="3"/>
      <c r="AQ220" s="3"/>
      <c r="AR220" s="3"/>
      <c r="AS220" s="3" t="s">
        <v>1923</v>
      </c>
      <c r="AT220" s="3" t="s">
        <v>2066</v>
      </c>
      <c r="AU220" s="3" t="s">
        <v>2215</v>
      </c>
      <c r="AV220" s="316" t="s">
        <v>2367</v>
      </c>
      <c r="AW220" s="403" t="s">
        <v>2807</v>
      </c>
      <c r="AY220" s="415"/>
    </row>
    <row r="221" spans="1:51" ht="15" customHeight="1" x14ac:dyDescent="0.25">
      <c r="A221" s="298">
        <v>15697</v>
      </c>
      <c r="B221" s="15">
        <v>46044</v>
      </c>
      <c r="C221" s="16">
        <v>46043</v>
      </c>
      <c r="D221" s="1">
        <v>1</v>
      </c>
      <c r="E221" s="45" t="s">
        <v>54</v>
      </c>
      <c r="F221" s="2" t="s">
        <v>55</v>
      </c>
      <c r="G221" s="33">
        <v>0</v>
      </c>
      <c r="H221" s="1"/>
      <c r="I221" s="2" t="s">
        <v>55</v>
      </c>
      <c r="J221" s="2" t="s">
        <v>55</v>
      </c>
      <c r="K221" s="33">
        <v>0</v>
      </c>
      <c r="L221" s="2" t="s">
        <v>55</v>
      </c>
      <c r="M221" s="2" t="s">
        <v>55</v>
      </c>
      <c r="N221" s="2" t="s">
        <v>55</v>
      </c>
      <c r="O221" s="2" t="s">
        <v>55</v>
      </c>
      <c r="P221" s="2" t="s">
        <v>55</v>
      </c>
      <c r="Q221" s="2" t="s">
        <v>55</v>
      </c>
      <c r="R221" s="3" t="s">
        <v>55</v>
      </c>
      <c r="S221" s="1">
        <v>1</v>
      </c>
      <c r="T221" s="1">
        <v>1</v>
      </c>
      <c r="U221" s="1">
        <v>0</v>
      </c>
      <c r="V221" s="16">
        <v>46052</v>
      </c>
      <c r="W221" s="16">
        <v>46052</v>
      </c>
      <c r="X221" s="16">
        <v>46052</v>
      </c>
      <c r="Y221" s="16">
        <v>46058</v>
      </c>
      <c r="Z221" s="16">
        <v>46065</v>
      </c>
      <c r="AA221" s="3">
        <f t="shared" si="16"/>
        <v>2</v>
      </c>
      <c r="AB221" s="108" t="s">
        <v>770</v>
      </c>
      <c r="AC221" s="49" t="s">
        <v>771</v>
      </c>
      <c r="AD221" s="19" t="str">
        <f t="shared" si="20"/>
        <v>N/A</v>
      </c>
      <c r="AE221" s="67" t="str">
        <f>IFERROR(NETWORKDAYS(B221,I221,Hoja1!$A$1:$A$29),"N/A")</f>
        <v>N/A</v>
      </c>
      <c r="AF221" s="21">
        <f>IFERROR(NETWORKDAYS(B221,W221,Hoja1!$A$1:$A$29),"N/A")</f>
        <v>7</v>
      </c>
      <c r="AG221" s="78">
        <v>2</v>
      </c>
      <c r="AH221" s="21">
        <f t="shared" si="19"/>
        <v>5</v>
      </c>
      <c r="AI221" s="21">
        <f>IFERROR(NETWORKDAYS(X221,Y221,Hoja1!$A$1:$A$29),"N/A")</f>
        <v>5</v>
      </c>
      <c r="AJ221" s="67">
        <v>0</v>
      </c>
      <c r="AK221" s="75">
        <f t="shared" si="18"/>
        <v>5</v>
      </c>
      <c r="AL221" s="21">
        <f>IFERROR(NETWORKDAYS(B221,Y221,Hoja1!$A$1:$A$29),"N/A")</f>
        <v>11</v>
      </c>
      <c r="AM221" s="21">
        <f t="shared" si="21"/>
        <v>9</v>
      </c>
      <c r="AN221" s="1"/>
      <c r="AO221" s="1"/>
      <c r="AP221" s="1"/>
      <c r="AQ221" s="1"/>
      <c r="AR221" s="1"/>
      <c r="AS221" s="1" t="s">
        <v>1943</v>
      </c>
      <c r="AT221" s="1" t="s">
        <v>2082</v>
      </c>
      <c r="AU221" s="1" t="s">
        <v>2210</v>
      </c>
      <c r="AV221" s="315" t="s">
        <v>2250</v>
      </c>
      <c r="AW221" s="403" t="s">
        <v>2808</v>
      </c>
      <c r="AY221" s="414"/>
    </row>
    <row r="222" spans="1:51" ht="15" customHeight="1" x14ac:dyDescent="0.25">
      <c r="A222" s="301">
        <v>15698</v>
      </c>
      <c r="B222" s="15">
        <v>46043</v>
      </c>
      <c r="C222" s="15">
        <v>46043</v>
      </c>
      <c r="D222" s="1">
        <v>1</v>
      </c>
      <c r="E222" s="45" t="s">
        <v>54</v>
      </c>
      <c r="F222" s="18" t="s">
        <v>55</v>
      </c>
      <c r="G222" s="33">
        <v>0</v>
      </c>
      <c r="H222" s="1"/>
      <c r="I222" s="2" t="s">
        <v>55</v>
      </c>
      <c r="J222" s="2" t="s">
        <v>55</v>
      </c>
      <c r="K222" s="33">
        <v>0</v>
      </c>
      <c r="L222" s="18" t="s">
        <v>55</v>
      </c>
      <c r="M222" s="18" t="s">
        <v>55</v>
      </c>
      <c r="N222" s="18" t="s">
        <v>55</v>
      </c>
      <c r="O222" s="18" t="s">
        <v>55</v>
      </c>
      <c r="P222" s="18" t="s">
        <v>55</v>
      </c>
      <c r="Q222" s="18" t="s">
        <v>55</v>
      </c>
      <c r="R222" s="3" t="s">
        <v>55</v>
      </c>
      <c r="S222" s="1">
        <v>1</v>
      </c>
      <c r="T222" s="1">
        <v>1</v>
      </c>
      <c r="U222" s="1">
        <v>0</v>
      </c>
      <c r="V222" s="16">
        <v>46052</v>
      </c>
      <c r="W222" s="16">
        <v>46052</v>
      </c>
      <c r="X222" s="16">
        <v>46056</v>
      </c>
      <c r="Y222" s="16">
        <v>46063</v>
      </c>
      <c r="Z222" s="140">
        <v>46065</v>
      </c>
      <c r="AA222" s="3">
        <f t="shared" si="16"/>
        <v>2</v>
      </c>
      <c r="AB222" s="249" t="s">
        <v>772</v>
      </c>
      <c r="AC222" s="49" t="s">
        <v>773</v>
      </c>
      <c r="AD222" s="19" t="str">
        <f t="shared" si="20"/>
        <v>N/A</v>
      </c>
      <c r="AE222" s="67" t="str">
        <f>IFERROR(NETWORKDAYS(B222,I222,Hoja1!$A$1:$A$29),"N/A")</f>
        <v>N/A</v>
      </c>
      <c r="AF222" s="21">
        <f>IFERROR(NETWORKDAYS(B222,W222,Hoja1!$A$1:$A$29),"N/A")</f>
        <v>8</v>
      </c>
      <c r="AG222" s="78">
        <v>3</v>
      </c>
      <c r="AH222" s="21">
        <f t="shared" si="19"/>
        <v>5</v>
      </c>
      <c r="AI222" s="21">
        <f>IFERROR(NETWORKDAYS(X222,Y222,Hoja1!$A$1:$A$29),"N/A")</f>
        <v>6</v>
      </c>
      <c r="AJ222" s="67">
        <v>1</v>
      </c>
      <c r="AK222" s="75">
        <f t="shared" si="18"/>
        <v>5</v>
      </c>
      <c r="AL222" s="21">
        <f>IFERROR(NETWORKDAYS(B222,Y222,Hoja1!$A$1:$A$29),"N/A")</f>
        <v>15</v>
      </c>
      <c r="AM222" s="21">
        <f t="shared" si="21"/>
        <v>11</v>
      </c>
      <c r="AN222" s="251"/>
      <c r="AO222" s="1"/>
      <c r="AP222" s="1"/>
      <c r="AQ222" s="1"/>
      <c r="AR222" s="1"/>
      <c r="AS222" s="1" t="s">
        <v>1888</v>
      </c>
      <c r="AT222" s="1" t="s">
        <v>2062</v>
      </c>
      <c r="AU222" s="1" t="s">
        <v>2211</v>
      </c>
      <c r="AV222" s="315" t="s">
        <v>2349</v>
      </c>
      <c r="AW222" s="403" t="s">
        <v>2809</v>
      </c>
      <c r="AY222" s="415"/>
    </row>
    <row r="223" spans="1:51" ht="15" customHeight="1" x14ac:dyDescent="0.25">
      <c r="A223" s="294">
        <v>15701</v>
      </c>
      <c r="B223" s="15">
        <v>46035</v>
      </c>
      <c r="C223" s="16">
        <v>46043</v>
      </c>
      <c r="D223" s="1">
        <v>1</v>
      </c>
      <c r="E223" s="45" t="s">
        <v>54</v>
      </c>
      <c r="F223" s="21" t="s">
        <v>55</v>
      </c>
      <c r="G223" s="1">
        <v>4</v>
      </c>
      <c r="H223" s="1" t="s">
        <v>112</v>
      </c>
      <c r="I223" s="16">
        <v>46044</v>
      </c>
      <c r="J223" s="16">
        <v>46045</v>
      </c>
      <c r="K223" s="1">
        <v>4</v>
      </c>
      <c r="L223" s="36" t="s">
        <v>55</v>
      </c>
      <c r="M223" s="36" t="s">
        <v>55</v>
      </c>
      <c r="N223" s="36" t="s">
        <v>55</v>
      </c>
      <c r="O223" s="36" t="s">
        <v>55</v>
      </c>
      <c r="P223" s="36" t="s">
        <v>55</v>
      </c>
      <c r="Q223" s="36" t="s">
        <v>55</v>
      </c>
      <c r="R223" s="3" t="s">
        <v>55</v>
      </c>
      <c r="S223" s="1">
        <v>1</v>
      </c>
      <c r="T223" s="1">
        <v>1</v>
      </c>
      <c r="U223" s="1">
        <v>0</v>
      </c>
      <c r="V223" s="16">
        <v>46048</v>
      </c>
      <c r="W223" s="16">
        <v>46048</v>
      </c>
      <c r="X223" s="16">
        <v>46048</v>
      </c>
      <c r="Y223" s="16">
        <v>46052</v>
      </c>
      <c r="Z223" s="16">
        <v>46055</v>
      </c>
      <c r="AA223" s="3">
        <f t="shared" si="16"/>
        <v>2</v>
      </c>
      <c r="AB223" s="85" t="s">
        <v>774</v>
      </c>
      <c r="AC223" s="49" t="s">
        <v>775</v>
      </c>
      <c r="AD223" s="19">
        <f t="shared" si="20"/>
        <v>1</v>
      </c>
      <c r="AE223" s="67">
        <f>IFERROR(NETWORKDAYS(B223,I223,Hoja1!$A$1:$A$29),"N/A")</f>
        <v>8</v>
      </c>
      <c r="AF223" s="21">
        <f>IFERROR(NETWORKDAYS(B223,W223,Hoja1!$A$1:$A$29),"N/A")</f>
        <v>10</v>
      </c>
      <c r="AG223" s="78">
        <v>0</v>
      </c>
      <c r="AH223" s="21">
        <f t="shared" si="19"/>
        <v>10</v>
      </c>
      <c r="AI223" s="21">
        <f>IFERROR(NETWORKDAYS(X223,Y223,Hoja1!$A$1:$A$29),"N/A")</f>
        <v>5</v>
      </c>
      <c r="AJ223" s="113">
        <v>0</v>
      </c>
      <c r="AK223" s="75">
        <f t="shared" si="18"/>
        <v>5</v>
      </c>
      <c r="AL223" s="21">
        <f>IFERROR(NETWORKDAYS(B223,Y223,Hoja1!$A$1:$A$29),"N/A")</f>
        <v>14</v>
      </c>
      <c r="AM223" s="21">
        <f t="shared" si="21"/>
        <v>14</v>
      </c>
      <c r="AN223" s="33"/>
      <c r="AO223" s="33"/>
      <c r="AP223" s="33"/>
      <c r="AQ223" s="33"/>
      <c r="AR223" s="33"/>
      <c r="AS223" s="33" t="s">
        <v>1941</v>
      </c>
      <c r="AT223" s="33" t="s">
        <v>2013</v>
      </c>
      <c r="AU223" s="33" t="s">
        <v>2218</v>
      </c>
      <c r="AV223" s="318" t="s">
        <v>2368</v>
      </c>
      <c r="AW223" s="403" t="s">
        <v>2810</v>
      </c>
      <c r="AY223" s="414"/>
    </row>
    <row r="224" spans="1:51" ht="15" customHeight="1" x14ac:dyDescent="0.25">
      <c r="A224" s="301">
        <v>15703</v>
      </c>
      <c r="B224" s="28">
        <v>46044</v>
      </c>
      <c r="C224" s="28">
        <v>46043</v>
      </c>
      <c r="D224" s="33">
        <v>1</v>
      </c>
      <c r="E224" s="45" t="s">
        <v>54</v>
      </c>
      <c r="F224" s="21" t="s">
        <v>55</v>
      </c>
      <c r="G224" s="33">
        <v>0</v>
      </c>
      <c r="H224" s="33"/>
      <c r="I224" s="21" t="s">
        <v>55</v>
      </c>
      <c r="J224" s="21" t="s">
        <v>55</v>
      </c>
      <c r="K224" s="33">
        <v>0</v>
      </c>
      <c r="L224" s="36" t="s">
        <v>55</v>
      </c>
      <c r="M224" s="36" t="s">
        <v>55</v>
      </c>
      <c r="N224" s="36" t="s">
        <v>55</v>
      </c>
      <c r="O224" s="36" t="s">
        <v>55</v>
      </c>
      <c r="P224" s="36" t="s">
        <v>55</v>
      </c>
      <c r="Q224" s="36" t="s">
        <v>55</v>
      </c>
      <c r="R224" s="3" t="s">
        <v>55</v>
      </c>
      <c r="S224" s="33">
        <v>1</v>
      </c>
      <c r="T224" s="33">
        <v>1</v>
      </c>
      <c r="U224" s="33">
        <v>0</v>
      </c>
      <c r="V224" s="28">
        <v>46048</v>
      </c>
      <c r="W224" s="28">
        <v>46048</v>
      </c>
      <c r="X224" s="28">
        <v>46048</v>
      </c>
      <c r="Y224" s="28">
        <v>46055</v>
      </c>
      <c r="Z224" s="16">
        <v>46055</v>
      </c>
      <c r="AA224" s="3">
        <f t="shared" si="16"/>
        <v>2</v>
      </c>
      <c r="AB224" s="85" t="s">
        <v>777</v>
      </c>
      <c r="AC224" s="35" t="s">
        <v>778</v>
      </c>
      <c r="AD224" s="19" t="str">
        <f t="shared" si="20"/>
        <v>N/A</v>
      </c>
      <c r="AE224" s="67" t="str">
        <f>IFERROR(NETWORKDAYS(B224,I224,Hoja1!$A$1:$A$29),"N/A")</f>
        <v>N/A</v>
      </c>
      <c r="AF224" s="21">
        <f>IFERROR(NETWORKDAYS(B224,W224,Hoja1!$A$1:$A$29),"N/A")</f>
        <v>3</v>
      </c>
      <c r="AG224" s="78">
        <v>0</v>
      </c>
      <c r="AH224" s="21">
        <f t="shared" si="19"/>
        <v>3</v>
      </c>
      <c r="AI224" s="21">
        <f>IFERROR(NETWORKDAYS(X224,Y224,Hoja1!$A$1:$A$29),"N/A")</f>
        <v>6</v>
      </c>
      <c r="AJ224" s="67">
        <v>1</v>
      </c>
      <c r="AK224" s="75">
        <f t="shared" si="18"/>
        <v>5</v>
      </c>
      <c r="AL224" s="21">
        <f>IFERROR(NETWORKDAYS(B224,Y224,Hoja1!$A$1:$A$29),"N/A")</f>
        <v>8</v>
      </c>
      <c r="AM224" s="21">
        <f t="shared" si="21"/>
        <v>7</v>
      </c>
      <c r="AN224" s="33"/>
      <c r="AO224" s="33"/>
      <c r="AP224" s="33"/>
      <c r="AQ224" s="33"/>
      <c r="AR224" s="33"/>
      <c r="AS224" s="33" t="s">
        <v>1928</v>
      </c>
      <c r="AT224" s="33" t="s">
        <v>2027</v>
      </c>
      <c r="AU224" s="33" t="s">
        <v>2212</v>
      </c>
      <c r="AV224" s="318" t="s">
        <v>2235</v>
      </c>
      <c r="AW224" s="403" t="s">
        <v>2811</v>
      </c>
      <c r="AY224" s="415"/>
    </row>
    <row r="225" spans="1:51" ht="15" customHeight="1" x14ac:dyDescent="0.25">
      <c r="A225" s="296">
        <v>15704</v>
      </c>
      <c r="B225" s="37">
        <v>46044</v>
      </c>
      <c r="C225" s="37">
        <v>46044</v>
      </c>
      <c r="D225" s="3">
        <v>1</v>
      </c>
      <c r="E225" s="45" t="s">
        <v>54</v>
      </c>
      <c r="F225" s="18" t="s">
        <v>55</v>
      </c>
      <c r="G225" s="3">
        <v>2</v>
      </c>
      <c r="H225" s="3" t="s">
        <v>112</v>
      </c>
      <c r="I225" s="30">
        <v>46048</v>
      </c>
      <c r="J225" s="30">
        <v>46048</v>
      </c>
      <c r="K225" s="3">
        <v>2</v>
      </c>
      <c r="L225" s="3" t="s">
        <v>55</v>
      </c>
      <c r="M225" s="18" t="s">
        <v>55</v>
      </c>
      <c r="N225" s="18" t="s">
        <v>55</v>
      </c>
      <c r="O225" s="18" t="s">
        <v>55</v>
      </c>
      <c r="P225" s="18" t="s">
        <v>55</v>
      </c>
      <c r="Q225" s="18" t="s">
        <v>55</v>
      </c>
      <c r="R225" s="3" t="s">
        <v>55</v>
      </c>
      <c r="S225" s="3">
        <v>2</v>
      </c>
      <c r="T225" s="3">
        <v>2</v>
      </c>
      <c r="U225" s="3">
        <v>0</v>
      </c>
      <c r="V225" s="30">
        <v>46049</v>
      </c>
      <c r="W225" s="30">
        <v>46051</v>
      </c>
      <c r="X225" s="30">
        <v>46051</v>
      </c>
      <c r="Y225" s="37">
        <v>46064</v>
      </c>
      <c r="Z225" s="37">
        <v>46064</v>
      </c>
      <c r="AA225" s="3">
        <f t="shared" si="16"/>
        <v>2</v>
      </c>
      <c r="AB225" s="85" t="s">
        <v>779</v>
      </c>
      <c r="AC225" s="35" t="s">
        <v>780</v>
      </c>
      <c r="AD225" s="19">
        <f t="shared" si="20"/>
        <v>1</v>
      </c>
      <c r="AE225" s="67">
        <f>IFERROR(NETWORKDAYS(B225,I225,Hoja1!$A$1:$A$29),"N/A")</f>
        <v>3</v>
      </c>
      <c r="AF225" s="21">
        <f>IFERROR(NETWORKDAYS(B225,W225,Hoja1!$A$1:$A$29),"N/A")</f>
        <v>6</v>
      </c>
      <c r="AG225" s="78">
        <v>0</v>
      </c>
      <c r="AH225" s="21">
        <v>3</v>
      </c>
      <c r="AI225" s="21">
        <f>IFERROR(NETWORKDAYS(X225,Y225,Hoja1!$A$1:$A$29),"N/A")</f>
        <v>10</v>
      </c>
      <c r="AJ225" s="33">
        <v>4</v>
      </c>
      <c r="AK225" s="75">
        <f t="shared" si="18"/>
        <v>6</v>
      </c>
      <c r="AL225" s="21">
        <f>IFERROR(NETWORKDAYS(B225,Y225,Hoja1!$A$1:$A$29),"N/A")</f>
        <v>15</v>
      </c>
      <c r="AM225" s="21">
        <f t="shared" si="21"/>
        <v>11</v>
      </c>
      <c r="AN225" s="3"/>
      <c r="AO225" s="3"/>
      <c r="AP225" s="3"/>
      <c r="AQ225" s="3"/>
      <c r="AR225" s="3"/>
      <c r="AS225" s="3" t="s">
        <v>1923</v>
      </c>
      <c r="AT225" s="3" t="s">
        <v>2083</v>
      </c>
      <c r="AU225" s="3" t="s">
        <v>2215</v>
      </c>
      <c r="AV225" s="316" t="s">
        <v>2369</v>
      </c>
      <c r="AW225" s="403" t="s">
        <v>2812</v>
      </c>
      <c r="AY225" s="414"/>
    </row>
    <row r="226" spans="1:51" ht="15" customHeight="1" x14ac:dyDescent="0.25">
      <c r="A226" s="294">
        <v>15709</v>
      </c>
      <c r="B226" s="30">
        <v>46001</v>
      </c>
      <c r="C226" s="30">
        <v>46044</v>
      </c>
      <c r="D226" s="3">
        <v>1</v>
      </c>
      <c r="E226" s="45" t="s">
        <v>54</v>
      </c>
      <c r="F226" s="3" t="s">
        <v>55</v>
      </c>
      <c r="G226" s="3">
        <v>5</v>
      </c>
      <c r="H226" s="3" t="s">
        <v>112</v>
      </c>
      <c r="I226" s="30">
        <v>46003</v>
      </c>
      <c r="J226" s="30">
        <v>46003</v>
      </c>
      <c r="K226" s="3">
        <v>5</v>
      </c>
      <c r="L226" s="3" t="s">
        <v>55</v>
      </c>
      <c r="M226" s="3" t="s">
        <v>55</v>
      </c>
      <c r="N226" s="3" t="s">
        <v>55</v>
      </c>
      <c r="O226" s="3" t="s">
        <v>55</v>
      </c>
      <c r="P226" s="3" t="s">
        <v>55</v>
      </c>
      <c r="Q226" s="3" t="s">
        <v>55</v>
      </c>
      <c r="R226" s="3" t="s">
        <v>55</v>
      </c>
      <c r="S226" s="3">
        <v>1</v>
      </c>
      <c r="T226" s="3">
        <v>1</v>
      </c>
      <c r="U226" s="3">
        <v>0</v>
      </c>
      <c r="V226" s="30">
        <v>46037</v>
      </c>
      <c r="W226" s="30">
        <v>46048</v>
      </c>
      <c r="X226" s="30">
        <v>46048</v>
      </c>
      <c r="Y226" s="30">
        <v>46055</v>
      </c>
      <c r="Z226" s="16">
        <v>46055</v>
      </c>
      <c r="AA226" s="3">
        <f t="shared" si="16"/>
        <v>2</v>
      </c>
      <c r="AB226" s="85" t="s">
        <v>782</v>
      </c>
      <c r="AC226" s="35" t="s">
        <v>783</v>
      </c>
      <c r="AD226" s="19">
        <f t="shared" si="20"/>
        <v>1</v>
      </c>
      <c r="AE226" s="67">
        <f>IFERROR(NETWORKDAYS(B226,I226,Hoja1!$A$1:$A$29),"N/A")</f>
        <v>3</v>
      </c>
      <c r="AF226" s="21">
        <f>IFERROR(NETWORKDAYS(B226,W226,Hoja1!$A$1:$A$29),"N/A")</f>
        <v>31</v>
      </c>
      <c r="AG226" s="78">
        <v>18</v>
      </c>
      <c r="AH226" s="21">
        <f t="shared" ref="AH226:AH253" si="22">AF226-AG226</f>
        <v>13</v>
      </c>
      <c r="AI226" s="21">
        <f>IFERROR(NETWORKDAYS(X226,Y226,Hoja1!$A$1:$A$29),"N/A")</f>
        <v>6</v>
      </c>
      <c r="AJ226" s="113">
        <v>1</v>
      </c>
      <c r="AK226" s="75">
        <f t="shared" si="18"/>
        <v>5</v>
      </c>
      <c r="AL226" s="21">
        <f>IFERROR(NETWORKDAYS(B226,Y226,Hoja1!$A$1:$A$29),"N/A")</f>
        <v>36</v>
      </c>
      <c r="AM226" s="21">
        <f t="shared" si="21"/>
        <v>17</v>
      </c>
      <c r="AN226" s="3"/>
      <c r="AO226" s="3"/>
      <c r="AP226" s="3"/>
      <c r="AQ226" s="3"/>
      <c r="AR226" s="3"/>
      <c r="AS226" s="3" t="s">
        <v>1930</v>
      </c>
      <c r="AT226" s="3" t="s">
        <v>2078</v>
      </c>
      <c r="AU226" s="3" t="s">
        <v>2209</v>
      </c>
      <c r="AV226" s="316" t="s">
        <v>2370</v>
      </c>
      <c r="AW226" s="403" t="s">
        <v>2813</v>
      </c>
      <c r="AY226" s="415"/>
    </row>
    <row r="227" spans="1:51" ht="15" customHeight="1" x14ac:dyDescent="0.25">
      <c r="A227" s="294">
        <v>15710</v>
      </c>
      <c r="B227" s="30">
        <v>46044</v>
      </c>
      <c r="C227" s="30">
        <v>46044</v>
      </c>
      <c r="D227" s="3">
        <v>1</v>
      </c>
      <c r="E227" s="45" t="s">
        <v>54</v>
      </c>
      <c r="F227" s="3" t="s">
        <v>55</v>
      </c>
      <c r="G227" s="3">
        <v>11</v>
      </c>
      <c r="H227" s="3" t="s">
        <v>112</v>
      </c>
      <c r="I227" s="30">
        <v>46049</v>
      </c>
      <c r="J227" s="30">
        <v>46049</v>
      </c>
      <c r="K227" s="3">
        <v>11</v>
      </c>
      <c r="L227" s="3" t="s">
        <v>55</v>
      </c>
      <c r="M227" s="3" t="s">
        <v>55</v>
      </c>
      <c r="N227" s="3" t="s">
        <v>55</v>
      </c>
      <c r="O227" s="3" t="s">
        <v>55</v>
      </c>
      <c r="P227" s="3" t="s">
        <v>55</v>
      </c>
      <c r="Q227" s="3" t="s">
        <v>55</v>
      </c>
      <c r="R227" s="3" t="s">
        <v>55</v>
      </c>
      <c r="S227" s="3">
        <v>6</v>
      </c>
      <c r="T227" s="3">
        <v>3</v>
      </c>
      <c r="U227" s="3">
        <v>0</v>
      </c>
      <c r="V227" s="30">
        <v>46056</v>
      </c>
      <c r="W227" s="30">
        <v>46063</v>
      </c>
      <c r="X227" s="30">
        <v>46064</v>
      </c>
      <c r="Y227" s="30">
        <v>46076</v>
      </c>
      <c r="Z227" s="140">
        <v>46076</v>
      </c>
      <c r="AA227" s="3">
        <f t="shared" si="16"/>
        <v>2</v>
      </c>
      <c r="AB227" s="85" t="s">
        <v>785</v>
      </c>
      <c r="AC227" s="35" t="s">
        <v>786</v>
      </c>
      <c r="AD227" s="19">
        <f t="shared" si="20"/>
        <v>1</v>
      </c>
      <c r="AE227" s="67">
        <f>IFERROR(NETWORKDAYS(B227,I227,Hoja1!$A$1:$A$29),"N/A")</f>
        <v>4</v>
      </c>
      <c r="AF227" s="21">
        <f>IFERROR(NETWORKDAYS(B227,W227,Hoja1!$A$1:$A$29),"N/A")</f>
        <v>14</v>
      </c>
      <c r="AG227" s="78">
        <v>2</v>
      </c>
      <c r="AH227" s="21">
        <f t="shared" si="22"/>
        <v>12</v>
      </c>
      <c r="AI227" s="21">
        <f>IFERROR(NETWORKDAYS(X227,Y227,Hoja1!$A$1:$A$29),"N/A")</f>
        <v>9</v>
      </c>
      <c r="AJ227" s="113">
        <v>4</v>
      </c>
      <c r="AK227" s="75">
        <f t="shared" si="18"/>
        <v>5</v>
      </c>
      <c r="AL227" s="21">
        <f>IFERROR(NETWORKDAYS(B227,Y227,Hoja1!$A$1:$A$29),"N/A")</f>
        <v>23</v>
      </c>
      <c r="AM227" s="21">
        <f t="shared" si="21"/>
        <v>17</v>
      </c>
      <c r="AN227" s="3"/>
      <c r="AO227" s="3"/>
      <c r="AP227" s="3"/>
      <c r="AQ227" s="3"/>
      <c r="AR227" s="3"/>
      <c r="AS227" s="3" t="s">
        <v>1913</v>
      </c>
      <c r="AT227" s="3" t="s">
        <v>2067</v>
      </c>
      <c r="AU227" s="3" t="s">
        <v>2209</v>
      </c>
      <c r="AV227" s="316" t="s">
        <v>2371</v>
      </c>
      <c r="AW227" s="403" t="s">
        <v>2814</v>
      </c>
      <c r="AY227" s="414"/>
    </row>
    <row r="228" spans="1:51" ht="15" customHeight="1" x14ac:dyDescent="0.25">
      <c r="A228" s="294">
        <v>15721</v>
      </c>
      <c r="B228" s="30">
        <v>46045</v>
      </c>
      <c r="C228" s="30">
        <v>46045</v>
      </c>
      <c r="D228" s="3">
        <v>1</v>
      </c>
      <c r="E228" s="45" t="s">
        <v>54</v>
      </c>
      <c r="F228" s="3" t="s">
        <v>55</v>
      </c>
      <c r="G228" s="3">
        <v>0</v>
      </c>
      <c r="H228" s="3"/>
      <c r="I228" s="3" t="s">
        <v>55</v>
      </c>
      <c r="J228" s="3" t="s">
        <v>55</v>
      </c>
      <c r="K228" s="3">
        <v>0</v>
      </c>
      <c r="L228" s="3" t="s">
        <v>55</v>
      </c>
      <c r="M228" s="3" t="s">
        <v>55</v>
      </c>
      <c r="N228" s="3" t="s">
        <v>55</v>
      </c>
      <c r="O228" s="3" t="s">
        <v>55</v>
      </c>
      <c r="P228" s="3" t="s">
        <v>55</v>
      </c>
      <c r="Q228" s="3" t="s">
        <v>55</v>
      </c>
      <c r="R228" s="3" t="s">
        <v>55</v>
      </c>
      <c r="S228" s="3">
        <v>1</v>
      </c>
      <c r="T228" s="3">
        <v>1</v>
      </c>
      <c r="U228" s="3">
        <v>0</v>
      </c>
      <c r="V228" s="30">
        <v>46050</v>
      </c>
      <c r="W228" s="28">
        <v>46050</v>
      </c>
      <c r="X228" s="28">
        <v>46050</v>
      </c>
      <c r="Y228" s="30">
        <v>46065</v>
      </c>
      <c r="Z228" s="30">
        <v>46065</v>
      </c>
      <c r="AA228" s="3">
        <f t="shared" si="16"/>
        <v>2</v>
      </c>
      <c r="AB228" s="85" t="s">
        <v>788</v>
      </c>
      <c r="AC228" s="35" t="s">
        <v>789</v>
      </c>
      <c r="AD228" s="19" t="str">
        <f t="shared" si="20"/>
        <v>N/A</v>
      </c>
      <c r="AE228" s="67" t="str">
        <f>IFERROR(NETWORKDAYS(B228,I228,Hoja1!$A$1:$A$29),"N/A")</f>
        <v>N/A</v>
      </c>
      <c r="AF228" s="21">
        <f>IFERROR(NETWORKDAYS(B228,W228,Hoja1!$A$1:$A$29),"N/A")</f>
        <v>4</v>
      </c>
      <c r="AG228" s="78">
        <v>0</v>
      </c>
      <c r="AH228" s="21">
        <f t="shared" si="22"/>
        <v>4</v>
      </c>
      <c r="AI228" s="21">
        <f>IFERROR(NETWORKDAYS(X228,Y228,Hoja1!$A$1:$A$29),"N/A")</f>
        <v>12</v>
      </c>
      <c r="AJ228" s="113">
        <v>7</v>
      </c>
      <c r="AK228" s="75">
        <f t="shared" si="18"/>
        <v>5</v>
      </c>
      <c r="AL228" s="21">
        <f>IFERROR(NETWORKDAYS(B228,Y228,Hoja1!$A$1:$A$29),"N/A")</f>
        <v>15</v>
      </c>
      <c r="AM228" s="21">
        <f t="shared" si="21"/>
        <v>8</v>
      </c>
      <c r="AN228" s="3"/>
      <c r="AO228" s="3"/>
      <c r="AP228" s="3"/>
      <c r="AQ228" s="3"/>
      <c r="AR228" s="3"/>
      <c r="AS228" s="3" t="s">
        <v>1944</v>
      </c>
      <c r="AT228" s="3" t="s">
        <v>2072</v>
      </c>
      <c r="AU228" s="3" t="s">
        <v>2209</v>
      </c>
      <c r="AV228" s="316" t="s">
        <v>2372</v>
      </c>
      <c r="AW228" s="403" t="s">
        <v>2815</v>
      </c>
      <c r="AY228" s="415"/>
    </row>
    <row r="229" spans="1:51" ht="15" customHeight="1" x14ac:dyDescent="0.25">
      <c r="A229" s="301">
        <v>15722</v>
      </c>
      <c r="B229" s="28">
        <v>46048</v>
      </c>
      <c r="C229" s="28">
        <v>46047</v>
      </c>
      <c r="D229" s="33">
        <v>1</v>
      </c>
      <c r="E229" s="45" t="s">
        <v>54</v>
      </c>
      <c r="F229" s="21" t="s">
        <v>55</v>
      </c>
      <c r="G229" s="33">
        <v>0</v>
      </c>
      <c r="H229" s="33"/>
      <c r="I229" s="21" t="s">
        <v>55</v>
      </c>
      <c r="J229" s="21" t="s">
        <v>55</v>
      </c>
      <c r="K229" s="33">
        <v>0</v>
      </c>
      <c r="L229" s="36" t="s">
        <v>55</v>
      </c>
      <c r="M229" s="36" t="s">
        <v>55</v>
      </c>
      <c r="N229" s="36" t="s">
        <v>55</v>
      </c>
      <c r="O229" s="36" t="s">
        <v>55</v>
      </c>
      <c r="P229" s="36" t="s">
        <v>55</v>
      </c>
      <c r="Q229" s="36" t="s">
        <v>55</v>
      </c>
      <c r="R229" s="3" t="s">
        <v>55</v>
      </c>
      <c r="S229" s="33">
        <v>1</v>
      </c>
      <c r="T229" s="33">
        <v>1</v>
      </c>
      <c r="U229" s="33">
        <v>0</v>
      </c>
      <c r="V229" s="28">
        <v>46052</v>
      </c>
      <c r="W229" s="28">
        <v>46052</v>
      </c>
      <c r="X229" s="28">
        <v>46055</v>
      </c>
      <c r="Y229" s="28">
        <v>46064</v>
      </c>
      <c r="Z229" s="28">
        <v>46065</v>
      </c>
      <c r="AA229" s="3">
        <f t="shared" si="16"/>
        <v>2</v>
      </c>
      <c r="AB229" s="85" t="s">
        <v>790</v>
      </c>
      <c r="AC229" s="35" t="s">
        <v>791</v>
      </c>
      <c r="AD229" s="19" t="str">
        <f t="shared" si="20"/>
        <v>N/A</v>
      </c>
      <c r="AE229" s="67" t="str">
        <f>IFERROR(NETWORKDAYS(B229,I229,Hoja1!$A$1:$A$29),"N/A")</f>
        <v>N/A</v>
      </c>
      <c r="AF229" s="21">
        <f>IFERROR(NETWORKDAYS(B229,W229,Hoja1!$A$1:$A$29),"N/A")</f>
        <v>5</v>
      </c>
      <c r="AG229" s="78">
        <v>0</v>
      </c>
      <c r="AH229" s="21">
        <f t="shared" si="22"/>
        <v>5</v>
      </c>
      <c r="AI229" s="21">
        <f>IFERROR(NETWORKDAYS(X229,Y229,Hoja1!$A$1:$A$29),"N/A")</f>
        <v>8</v>
      </c>
      <c r="AJ229" s="67">
        <v>3</v>
      </c>
      <c r="AK229" s="75">
        <f t="shared" si="18"/>
        <v>5</v>
      </c>
      <c r="AL229" s="21">
        <f>IFERROR(NETWORKDAYS(B229,Y229,Hoja1!$A$1:$A$29),"N/A")</f>
        <v>13</v>
      </c>
      <c r="AM229" s="21">
        <f t="shared" si="21"/>
        <v>10</v>
      </c>
      <c r="AN229" s="33"/>
      <c r="AO229" s="33"/>
      <c r="AP229" s="33"/>
      <c r="AQ229" s="33"/>
      <c r="AR229" s="33"/>
      <c r="AS229" s="33" t="s">
        <v>1906</v>
      </c>
      <c r="AT229" s="33" t="s">
        <v>2021</v>
      </c>
      <c r="AU229" s="33" t="s">
        <v>2212</v>
      </c>
      <c r="AV229" s="318" t="s">
        <v>2344</v>
      </c>
      <c r="AW229" s="403" t="s">
        <v>2816</v>
      </c>
      <c r="AY229" s="414"/>
    </row>
    <row r="230" spans="1:51" ht="15" customHeight="1" x14ac:dyDescent="0.25">
      <c r="A230" s="294">
        <v>15726</v>
      </c>
      <c r="B230" s="28">
        <v>46048</v>
      </c>
      <c r="C230" s="28">
        <v>46048</v>
      </c>
      <c r="D230" s="2">
        <v>1</v>
      </c>
      <c r="E230" s="45" t="s">
        <v>54</v>
      </c>
      <c r="F230" s="2" t="s">
        <v>55</v>
      </c>
      <c r="G230" s="2">
        <v>9</v>
      </c>
      <c r="H230" s="2" t="s">
        <v>112</v>
      </c>
      <c r="I230" s="44">
        <v>46052</v>
      </c>
      <c r="J230" s="44">
        <v>46052</v>
      </c>
      <c r="K230" s="2">
        <v>9</v>
      </c>
      <c r="L230" s="44">
        <v>46048</v>
      </c>
      <c r="M230" s="44">
        <v>46048</v>
      </c>
      <c r="N230" s="44">
        <v>46058</v>
      </c>
      <c r="O230" s="44">
        <v>46059</v>
      </c>
      <c r="P230" s="2" t="s">
        <v>55</v>
      </c>
      <c r="Q230" s="2" t="s">
        <v>55</v>
      </c>
      <c r="R230" s="44">
        <v>46064</v>
      </c>
      <c r="S230" s="2">
        <v>4</v>
      </c>
      <c r="T230" s="2">
        <v>4</v>
      </c>
      <c r="U230" s="2">
        <v>0</v>
      </c>
      <c r="V230" s="44">
        <v>46057</v>
      </c>
      <c r="W230" s="44">
        <v>46065</v>
      </c>
      <c r="X230" s="44">
        <v>46065</v>
      </c>
      <c r="Y230" s="30">
        <v>46072</v>
      </c>
      <c r="Z230" s="140">
        <v>46076</v>
      </c>
      <c r="AA230" s="3">
        <f t="shared" si="16"/>
        <v>2</v>
      </c>
      <c r="AB230" s="85" t="s">
        <v>793</v>
      </c>
      <c r="AC230" s="46" t="s">
        <v>794</v>
      </c>
      <c r="AD230" s="19">
        <f t="shared" si="20"/>
        <v>1</v>
      </c>
      <c r="AE230" s="67">
        <f>IFERROR(NETWORKDAYS(B230,I230,Hoja1!$A$1:$A$29),"N/A")</f>
        <v>5</v>
      </c>
      <c r="AF230" s="21">
        <f>IFERROR(NETWORKDAYS(B230,W230,Hoja1!$A$1:$A$29),"N/A")</f>
        <v>14</v>
      </c>
      <c r="AG230" s="78">
        <v>0</v>
      </c>
      <c r="AH230" s="21">
        <f t="shared" si="22"/>
        <v>14</v>
      </c>
      <c r="AI230" s="21">
        <f>IFERROR(NETWORKDAYS(X230,Y230,Hoja1!$A$1:$A$29),"N/A")</f>
        <v>6</v>
      </c>
      <c r="AJ230" s="78">
        <v>1</v>
      </c>
      <c r="AK230" s="75">
        <f t="shared" si="18"/>
        <v>5</v>
      </c>
      <c r="AL230" s="21">
        <f>IFERROR(NETWORKDAYS(B230,Y230,Hoja1!$A$1:$A$29),"N/A")</f>
        <v>19</v>
      </c>
      <c r="AM230" s="21">
        <f t="shared" si="21"/>
        <v>18</v>
      </c>
      <c r="AN230" s="43"/>
      <c r="AO230" s="43"/>
      <c r="AP230" s="43"/>
      <c r="AQ230" s="43"/>
      <c r="AR230" s="43"/>
      <c r="AS230" s="43" t="s">
        <v>1892</v>
      </c>
      <c r="AT230" s="43" t="s">
        <v>2084</v>
      </c>
      <c r="AU230" s="43" t="s">
        <v>2214</v>
      </c>
      <c r="AV230" s="317" t="s">
        <v>2373</v>
      </c>
      <c r="AW230" s="403" t="s">
        <v>2817</v>
      </c>
      <c r="AY230" s="415"/>
    </row>
    <row r="231" spans="1:51" ht="15" customHeight="1" x14ac:dyDescent="0.25">
      <c r="A231" s="301">
        <v>15733</v>
      </c>
      <c r="B231" s="28">
        <v>46049</v>
      </c>
      <c r="C231" s="28">
        <v>46048</v>
      </c>
      <c r="D231" s="33">
        <v>1</v>
      </c>
      <c r="E231" s="45" t="s">
        <v>54</v>
      </c>
      <c r="F231" s="21" t="s">
        <v>55</v>
      </c>
      <c r="G231" s="33">
        <v>0</v>
      </c>
      <c r="H231" s="33"/>
      <c r="I231" s="21" t="s">
        <v>55</v>
      </c>
      <c r="J231" s="21" t="s">
        <v>55</v>
      </c>
      <c r="K231" s="33">
        <v>0</v>
      </c>
      <c r="L231" s="36" t="s">
        <v>55</v>
      </c>
      <c r="M231" s="36" t="s">
        <v>55</v>
      </c>
      <c r="N231" s="36" t="s">
        <v>55</v>
      </c>
      <c r="O231" s="36" t="s">
        <v>55</v>
      </c>
      <c r="P231" s="36" t="s">
        <v>55</v>
      </c>
      <c r="Q231" s="36" t="s">
        <v>55</v>
      </c>
      <c r="R231" s="3" t="s">
        <v>55</v>
      </c>
      <c r="S231" s="33">
        <v>1</v>
      </c>
      <c r="T231" s="33">
        <v>1</v>
      </c>
      <c r="U231" s="33">
        <v>0</v>
      </c>
      <c r="V231" s="28">
        <v>46051</v>
      </c>
      <c r="W231" s="28">
        <v>46052</v>
      </c>
      <c r="X231" s="28">
        <v>46052</v>
      </c>
      <c r="Y231" s="28">
        <v>46071</v>
      </c>
      <c r="Z231" s="140">
        <v>46076</v>
      </c>
      <c r="AA231" s="3">
        <f t="shared" si="16"/>
        <v>2</v>
      </c>
      <c r="AB231" s="85" t="s">
        <v>797</v>
      </c>
      <c r="AC231" s="35" t="s">
        <v>798</v>
      </c>
      <c r="AD231" s="19" t="str">
        <f t="shared" si="20"/>
        <v>N/A</v>
      </c>
      <c r="AE231" s="67" t="str">
        <f>IFERROR(NETWORKDAYS(B231,I231,Hoja1!$A$1:$A$29),"N/A")</f>
        <v>N/A</v>
      </c>
      <c r="AF231" s="21">
        <f>IFERROR(NETWORKDAYS(B231,W231,Hoja1!$A$1:$A$29),"N/A")</f>
        <v>4</v>
      </c>
      <c r="AG231" s="78">
        <v>0</v>
      </c>
      <c r="AH231" s="21">
        <f t="shared" si="22"/>
        <v>4</v>
      </c>
      <c r="AI231" s="21">
        <f>IFERROR(NETWORKDAYS(X231,Y231,Hoja1!$A$1:$A$29),"N/A")</f>
        <v>14</v>
      </c>
      <c r="AJ231" s="67">
        <v>9</v>
      </c>
      <c r="AK231" s="75">
        <f t="shared" si="18"/>
        <v>5</v>
      </c>
      <c r="AL231" s="21">
        <f>IFERROR(NETWORKDAYS(B231,Y231,Hoja1!$A$1:$A$29),"N/A")</f>
        <v>17</v>
      </c>
      <c r="AM231" s="21">
        <f t="shared" si="21"/>
        <v>8</v>
      </c>
      <c r="AN231" s="33"/>
      <c r="AO231" s="33"/>
      <c r="AP231" s="33"/>
      <c r="AQ231" s="33"/>
      <c r="AR231" s="33"/>
      <c r="AS231" s="33" t="s">
        <v>1906</v>
      </c>
      <c r="AT231" s="33" t="s">
        <v>2085</v>
      </c>
      <c r="AU231" s="33" t="s">
        <v>2212</v>
      </c>
      <c r="AV231" s="318" t="s">
        <v>2374</v>
      </c>
      <c r="AW231" s="403" t="s">
        <v>2818</v>
      </c>
      <c r="AY231" s="414"/>
    </row>
    <row r="232" spans="1:51" ht="15" customHeight="1" x14ac:dyDescent="0.25">
      <c r="A232" s="294">
        <v>15735</v>
      </c>
      <c r="B232" s="30">
        <v>45940</v>
      </c>
      <c r="C232" s="30">
        <v>46044</v>
      </c>
      <c r="D232" s="3">
        <v>1</v>
      </c>
      <c r="E232" s="45" t="s">
        <v>54</v>
      </c>
      <c r="F232" s="3" t="s">
        <v>55</v>
      </c>
      <c r="G232" s="3">
        <v>6</v>
      </c>
      <c r="H232" s="3" t="s">
        <v>112</v>
      </c>
      <c r="I232" s="30">
        <v>45944</v>
      </c>
      <c r="J232" s="30">
        <v>45944</v>
      </c>
      <c r="K232" s="3">
        <v>6</v>
      </c>
      <c r="L232" s="3" t="s">
        <v>55</v>
      </c>
      <c r="M232" s="3" t="s">
        <v>55</v>
      </c>
      <c r="N232" s="3" t="s">
        <v>55</v>
      </c>
      <c r="O232" s="3" t="s">
        <v>55</v>
      </c>
      <c r="P232" s="3" t="s">
        <v>55</v>
      </c>
      <c r="Q232" s="3" t="s">
        <v>55</v>
      </c>
      <c r="R232" s="3" t="s">
        <v>55</v>
      </c>
      <c r="S232" s="3">
        <v>2</v>
      </c>
      <c r="T232" s="3">
        <v>2</v>
      </c>
      <c r="U232" s="3">
        <v>0</v>
      </c>
      <c r="V232" s="30">
        <v>45946</v>
      </c>
      <c r="W232" s="30">
        <v>46048</v>
      </c>
      <c r="X232" s="16">
        <v>46049</v>
      </c>
      <c r="Y232" s="30">
        <v>46076</v>
      </c>
      <c r="Z232" s="140">
        <v>46076</v>
      </c>
      <c r="AA232" s="3">
        <f t="shared" si="16"/>
        <v>2</v>
      </c>
      <c r="AB232" s="85" t="s">
        <v>800</v>
      </c>
      <c r="AC232" s="35" t="s">
        <v>801</v>
      </c>
      <c r="AD232" s="19">
        <f t="shared" si="20"/>
        <v>1</v>
      </c>
      <c r="AE232" s="67">
        <f>IFERROR(NETWORKDAYS(B232,I232,Hoja1!$A$1:$A$29),"N/A")</f>
        <v>2</v>
      </c>
      <c r="AF232" s="21">
        <f>IFERROR(NETWORKDAYS(B232,W232,Hoja1!$A$1:$A$29),"N/A")</f>
        <v>70</v>
      </c>
      <c r="AG232" s="78">
        <v>53</v>
      </c>
      <c r="AH232" s="21">
        <f t="shared" si="22"/>
        <v>17</v>
      </c>
      <c r="AI232" s="21">
        <f>IFERROR(NETWORKDAYS(X232,Y232,Hoja1!$A$1:$A$29),"N/A")</f>
        <v>20</v>
      </c>
      <c r="AJ232" s="113">
        <v>15</v>
      </c>
      <c r="AK232" s="75">
        <f t="shared" si="18"/>
        <v>5</v>
      </c>
      <c r="AL232" s="21">
        <f>IFERROR(NETWORKDAYS(B232,Y232,Hoja1!$A$1:$A$29),"N/A")</f>
        <v>90</v>
      </c>
      <c r="AM232" s="21">
        <f t="shared" si="21"/>
        <v>22</v>
      </c>
      <c r="AN232" s="3"/>
      <c r="AO232" s="3"/>
      <c r="AP232" s="3"/>
      <c r="AQ232" s="3"/>
      <c r="AR232" s="3"/>
      <c r="AS232" s="3" t="s">
        <v>1945</v>
      </c>
      <c r="AT232" s="3" t="s">
        <v>2017</v>
      </c>
      <c r="AU232" s="3" t="s">
        <v>2209</v>
      </c>
      <c r="AV232" s="316" t="s">
        <v>2257</v>
      </c>
      <c r="AW232" s="403" t="s">
        <v>2819</v>
      </c>
      <c r="AY232" s="415"/>
    </row>
    <row r="233" spans="1:51" ht="15" customHeight="1" x14ac:dyDescent="0.25">
      <c r="A233" s="294">
        <v>15738</v>
      </c>
      <c r="B233" s="28">
        <v>46048</v>
      </c>
      <c r="C233" s="28">
        <v>46048</v>
      </c>
      <c r="D233" s="3">
        <v>1</v>
      </c>
      <c r="E233" s="45" t="s">
        <v>54</v>
      </c>
      <c r="F233" s="3" t="s">
        <v>55</v>
      </c>
      <c r="G233" s="3">
        <v>5</v>
      </c>
      <c r="H233" s="3" t="s">
        <v>112</v>
      </c>
      <c r="I233" s="30">
        <v>46062</v>
      </c>
      <c r="J233" s="30">
        <v>46062</v>
      </c>
      <c r="K233" s="3">
        <v>5</v>
      </c>
      <c r="L233" s="3" t="s">
        <v>55</v>
      </c>
      <c r="M233" s="3" t="s">
        <v>55</v>
      </c>
      <c r="N233" s="3" t="s">
        <v>55</v>
      </c>
      <c r="O233" s="3" t="s">
        <v>55</v>
      </c>
      <c r="P233" s="3" t="s">
        <v>55</v>
      </c>
      <c r="Q233" s="3" t="s">
        <v>55</v>
      </c>
      <c r="R233" s="3" t="s">
        <v>55</v>
      </c>
      <c r="S233" s="3">
        <v>5</v>
      </c>
      <c r="T233" s="3">
        <v>1</v>
      </c>
      <c r="U233" s="3">
        <v>0</v>
      </c>
      <c r="V233" s="30">
        <v>46069</v>
      </c>
      <c r="W233" s="73">
        <v>46069</v>
      </c>
      <c r="X233" s="73">
        <v>46069</v>
      </c>
      <c r="Y233" s="16">
        <v>46073</v>
      </c>
      <c r="Z233" s="140">
        <v>46076</v>
      </c>
      <c r="AA233" s="3">
        <f t="shared" si="16"/>
        <v>2</v>
      </c>
      <c r="AB233" s="85" t="s">
        <v>802</v>
      </c>
      <c r="AC233" s="45" t="s">
        <v>803</v>
      </c>
      <c r="AD233" s="19">
        <f t="shared" si="20"/>
        <v>1</v>
      </c>
      <c r="AE233" s="67">
        <f>IFERROR(NETWORKDAYS(B233,I233,Hoja1!$A$1:$A$29),"N/A")</f>
        <v>11</v>
      </c>
      <c r="AF233" s="21">
        <f>IFERROR(NETWORKDAYS(B233,W233,Hoja1!$A$1:$A$29),"N/A")</f>
        <v>16</v>
      </c>
      <c r="AG233" s="78">
        <v>0</v>
      </c>
      <c r="AH233" s="21">
        <f t="shared" si="22"/>
        <v>16</v>
      </c>
      <c r="AI233" s="21">
        <f>IFERROR(NETWORKDAYS(X233,Y233,Hoja1!$A$1:$A$29),"N/A")</f>
        <v>5</v>
      </c>
      <c r="AJ233" s="78">
        <v>0</v>
      </c>
      <c r="AK233" s="75">
        <f t="shared" si="18"/>
        <v>5</v>
      </c>
      <c r="AL233" s="21">
        <f>IFERROR(NETWORKDAYS(B233,Y233,Hoja1!$A$1:$A$29),"N/A")</f>
        <v>20</v>
      </c>
      <c r="AM233" s="21">
        <f t="shared" si="21"/>
        <v>20</v>
      </c>
      <c r="AN233" s="114"/>
      <c r="AO233" s="1"/>
      <c r="AP233" s="1"/>
      <c r="AQ233" s="1"/>
      <c r="AR233" s="1"/>
      <c r="AS233" s="1" t="s">
        <v>1890</v>
      </c>
      <c r="AT233" s="1" t="s">
        <v>1995</v>
      </c>
      <c r="AU233" s="1" t="s">
        <v>2216</v>
      </c>
      <c r="AV233" s="315" t="s">
        <v>2375</v>
      </c>
      <c r="AW233" s="403" t="s">
        <v>2820</v>
      </c>
      <c r="AY233" s="414"/>
    </row>
    <row r="234" spans="1:51" ht="15" customHeight="1" x14ac:dyDescent="0.25">
      <c r="A234" s="296">
        <v>15746</v>
      </c>
      <c r="B234" s="37">
        <v>46038</v>
      </c>
      <c r="C234" s="37">
        <v>46049</v>
      </c>
      <c r="D234" s="3">
        <v>1</v>
      </c>
      <c r="E234" s="45" t="s">
        <v>54</v>
      </c>
      <c r="F234" s="18" t="s">
        <v>55</v>
      </c>
      <c r="G234" s="3">
        <v>5</v>
      </c>
      <c r="H234" s="3" t="s">
        <v>112</v>
      </c>
      <c r="I234" s="44">
        <v>46041</v>
      </c>
      <c r="J234" s="44">
        <v>46041</v>
      </c>
      <c r="K234" s="3">
        <v>5</v>
      </c>
      <c r="L234" s="18" t="s">
        <v>55</v>
      </c>
      <c r="M234" s="18" t="s">
        <v>55</v>
      </c>
      <c r="N234" s="18" t="s">
        <v>55</v>
      </c>
      <c r="O234" s="18" t="s">
        <v>55</v>
      </c>
      <c r="P234" s="18" t="s">
        <v>55</v>
      </c>
      <c r="Q234" s="18" t="s">
        <v>55</v>
      </c>
      <c r="R234" s="3" t="s">
        <v>55</v>
      </c>
      <c r="S234" s="3">
        <v>1</v>
      </c>
      <c r="T234" s="3">
        <v>1</v>
      </c>
      <c r="U234" s="3">
        <v>0</v>
      </c>
      <c r="V234" s="30">
        <v>46051</v>
      </c>
      <c r="W234" s="30">
        <v>46055</v>
      </c>
      <c r="X234" s="30">
        <v>46055</v>
      </c>
      <c r="Y234" s="37">
        <v>46063</v>
      </c>
      <c r="Z234" s="37">
        <v>46063</v>
      </c>
      <c r="AA234" s="3">
        <f t="shared" si="16"/>
        <v>2</v>
      </c>
      <c r="AB234" s="85" t="s">
        <v>805</v>
      </c>
      <c r="AC234" s="35" t="s">
        <v>806</v>
      </c>
      <c r="AD234" s="19">
        <f t="shared" si="20"/>
        <v>1</v>
      </c>
      <c r="AE234" s="67">
        <f>IFERROR(NETWORKDAYS(B234,I234,Hoja1!$A$1:$A$29),"N/A")</f>
        <v>2</v>
      </c>
      <c r="AF234" s="21">
        <f>IFERROR(NETWORKDAYS(B234,W234,Hoja1!$A$1:$A$29),"N/A")</f>
        <v>12</v>
      </c>
      <c r="AG234" s="78">
        <v>0</v>
      </c>
      <c r="AH234" s="21">
        <f t="shared" si="22"/>
        <v>12</v>
      </c>
      <c r="AI234" s="21">
        <f>IFERROR(NETWORKDAYS(X234,Y234,Hoja1!$A$1:$A$29),"N/A")</f>
        <v>7</v>
      </c>
      <c r="AJ234" s="33">
        <v>2</v>
      </c>
      <c r="AK234" s="75">
        <f t="shared" si="18"/>
        <v>5</v>
      </c>
      <c r="AL234" s="21">
        <f>IFERROR(NETWORKDAYS(B234,Y234,Hoja1!$A$1:$A$29),"N/A")</f>
        <v>18</v>
      </c>
      <c r="AM234" s="21">
        <f t="shared" si="21"/>
        <v>16</v>
      </c>
      <c r="AN234" s="3"/>
      <c r="AO234" s="3"/>
      <c r="AP234" s="3"/>
      <c r="AQ234" s="3"/>
      <c r="AR234" s="3"/>
      <c r="AS234" s="3" t="s">
        <v>1893</v>
      </c>
      <c r="AT234" s="3" t="s">
        <v>2010</v>
      </c>
      <c r="AU234" s="3" t="s">
        <v>2215</v>
      </c>
      <c r="AV234" s="316" t="s">
        <v>2376</v>
      </c>
      <c r="AW234" s="403" t="s">
        <v>2821</v>
      </c>
      <c r="AY234" s="415"/>
    </row>
    <row r="235" spans="1:51" ht="15" customHeight="1" x14ac:dyDescent="0.25">
      <c r="A235" s="301">
        <v>15751</v>
      </c>
      <c r="B235" s="15">
        <v>46050</v>
      </c>
      <c r="C235" s="28">
        <v>46049</v>
      </c>
      <c r="D235" s="33">
        <v>1</v>
      </c>
      <c r="E235" s="45" t="s">
        <v>54</v>
      </c>
      <c r="F235" s="21" t="s">
        <v>55</v>
      </c>
      <c r="G235" s="33">
        <v>0</v>
      </c>
      <c r="H235" s="33"/>
      <c r="I235" s="21" t="s">
        <v>55</v>
      </c>
      <c r="J235" s="21" t="s">
        <v>55</v>
      </c>
      <c r="K235" s="33">
        <v>0</v>
      </c>
      <c r="L235" s="36" t="s">
        <v>55</v>
      </c>
      <c r="M235" s="36" t="s">
        <v>55</v>
      </c>
      <c r="N235" s="36" t="s">
        <v>55</v>
      </c>
      <c r="O235" s="36" t="s">
        <v>55</v>
      </c>
      <c r="P235" s="36" t="s">
        <v>55</v>
      </c>
      <c r="Q235" s="36" t="s">
        <v>55</v>
      </c>
      <c r="R235" s="3" t="s">
        <v>55</v>
      </c>
      <c r="S235" s="33">
        <v>1</v>
      </c>
      <c r="T235" s="33">
        <v>1</v>
      </c>
      <c r="U235" s="33">
        <v>0</v>
      </c>
      <c r="V235" s="28">
        <v>46055</v>
      </c>
      <c r="W235" s="28">
        <v>46055</v>
      </c>
      <c r="X235" s="28">
        <v>46055</v>
      </c>
      <c r="Y235" s="28">
        <v>46063</v>
      </c>
      <c r="Z235" s="28">
        <v>46065</v>
      </c>
      <c r="AA235" s="3">
        <f t="shared" si="16"/>
        <v>2</v>
      </c>
      <c r="AB235" s="85" t="s">
        <v>807</v>
      </c>
      <c r="AC235" s="35" t="s">
        <v>808</v>
      </c>
      <c r="AD235" s="19" t="str">
        <f t="shared" si="20"/>
        <v>N/A</v>
      </c>
      <c r="AE235" s="67" t="str">
        <f>IFERROR(NETWORKDAYS(B235,I235,Hoja1!$A$1:$A$29),"N/A")</f>
        <v>N/A</v>
      </c>
      <c r="AF235" s="21">
        <f>IFERROR(NETWORKDAYS(B235,W235,Hoja1!$A$1:$A$29),"N/A")</f>
        <v>4</v>
      </c>
      <c r="AG235" s="78">
        <v>0</v>
      </c>
      <c r="AH235" s="21">
        <f t="shared" si="22"/>
        <v>4</v>
      </c>
      <c r="AI235" s="21">
        <f>IFERROR(NETWORKDAYS(X235,Y235,Hoja1!$A$1:$A$29),"N/A")</f>
        <v>7</v>
      </c>
      <c r="AJ235" s="67">
        <v>2</v>
      </c>
      <c r="AK235" s="75">
        <f t="shared" si="18"/>
        <v>5</v>
      </c>
      <c r="AL235" s="21">
        <f>IFERROR(NETWORKDAYS(B235,Y235,Hoja1!$A$1:$A$29),"N/A")</f>
        <v>10</v>
      </c>
      <c r="AM235" s="21">
        <f t="shared" si="21"/>
        <v>8</v>
      </c>
      <c r="AN235" s="33"/>
      <c r="AO235" s="33"/>
      <c r="AP235" s="33"/>
      <c r="AQ235" s="33"/>
      <c r="AR235" s="33"/>
      <c r="AS235" s="33" t="s">
        <v>1889</v>
      </c>
      <c r="AT235" s="33" t="s">
        <v>2052</v>
      </c>
      <c r="AU235" s="33" t="s">
        <v>2212</v>
      </c>
      <c r="AV235" s="318" t="s">
        <v>2235</v>
      </c>
      <c r="AW235" s="403" t="s">
        <v>2822</v>
      </c>
      <c r="AY235" s="414"/>
    </row>
    <row r="236" spans="1:51" ht="15" customHeight="1" x14ac:dyDescent="0.25">
      <c r="A236" s="294">
        <v>15757</v>
      </c>
      <c r="B236" s="15">
        <v>46050</v>
      </c>
      <c r="C236" s="15">
        <v>46050</v>
      </c>
      <c r="D236" s="2">
        <v>1</v>
      </c>
      <c r="E236" s="45" t="s">
        <v>54</v>
      </c>
      <c r="F236" s="2" t="s">
        <v>55</v>
      </c>
      <c r="G236" s="2">
        <v>3</v>
      </c>
      <c r="H236" s="2" t="s">
        <v>112</v>
      </c>
      <c r="I236" s="44">
        <v>46058</v>
      </c>
      <c r="J236" s="44">
        <v>46058</v>
      </c>
      <c r="K236" s="2">
        <v>3</v>
      </c>
      <c r="L236" s="2" t="s">
        <v>55</v>
      </c>
      <c r="M236" s="2" t="s">
        <v>55</v>
      </c>
      <c r="N236" s="2" t="s">
        <v>55</v>
      </c>
      <c r="O236" s="2" t="s">
        <v>55</v>
      </c>
      <c r="P236" s="2" t="s">
        <v>55</v>
      </c>
      <c r="Q236" s="2" t="s">
        <v>55</v>
      </c>
      <c r="R236" s="3" t="s">
        <v>55</v>
      </c>
      <c r="S236" s="2">
        <v>1</v>
      </c>
      <c r="T236" s="2">
        <v>1</v>
      </c>
      <c r="U236" s="2">
        <v>0</v>
      </c>
      <c r="V236" s="28">
        <v>46066</v>
      </c>
      <c r="W236" s="44">
        <v>46069</v>
      </c>
      <c r="X236" s="44">
        <v>46069</v>
      </c>
      <c r="Y236" s="16">
        <v>46073</v>
      </c>
      <c r="Z236" s="140">
        <v>46076</v>
      </c>
      <c r="AA236" s="3">
        <f t="shared" si="16"/>
        <v>2</v>
      </c>
      <c r="AB236" s="85" t="s">
        <v>809</v>
      </c>
      <c r="AC236" s="46" t="s">
        <v>810</v>
      </c>
      <c r="AD236" s="19">
        <f t="shared" si="20"/>
        <v>1</v>
      </c>
      <c r="AE236" s="67">
        <f>IFERROR(NETWORKDAYS(B236,I236,Hoja1!$A$1:$A$29),"N/A")</f>
        <v>7</v>
      </c>
      <c r="AF236" s="21">
        <f>IFERROR(NETWORKDAYS(B236,W236,Hoja1!$A$1:$A$29),"N/A")</f>
        <v>14</v>
      </c>
      <c r="AG236" s="78">
        <v>0</v>
      </c>
      <c r="AH236" s="21">
        <f t="shared" si="22"/>
        <v>14</v>
      </c>
      <c r="AI236" s="21">
        <f>IFERROR(NETWORKDAYS(X236,Y236,Hoja1!$A$1:$A$29),"N/A")</f>
        <v>5</v>
      </c>
      <c r="AJ236" s="78">
        <v>0</v>
      </c>
      <c r="AK236" s="75">
        <f t="shared" si="18"/>
        <v>5</v>
      </c>
      <c r="AL236" s="21">
        <f>IFERROR(NETWORKDAYS(B236,Y236,Hoja1!$A$1:$A$29),"N/A")</f>
        <v>18</v>
      </c>
      <c r="AM236" s="21">
        <f t="shared" si="21"/>
        <v>18</v>
      </c>
      <c r="AN236" s="43"/>
      <c r="AO236" s="43"/>
      <c r="AP236" s="43"/>
      <c r="AQ236" s="43"/>
      <c r="AR236" s="43"/>
      <c r="AS236" s="43" t="s">
        <v>1946</v>
      </c>
      <c r="AT236" s="43" t="s">
        <v>1995</v>
      </c>
      <c r="AU236" s="43" t="s">
        <v>2217</v>
      </c>
      <c r="AV236" s="317" t="s">
        <v>2377</v>
      </c>
      <c r="AW236" s="403" t="s">
        <v>2823</v>
      </c>
      <c r="AY236" s="415"/>
    </row>
    <row r="237" spans="1:51" ht="15" customHeight="1" x14ac:dyDescent="0.25">
      <c r="A237" s="294">
        <v>15759</v>
      </c>
      <c r="B237" s="15">
        <v>46050</v>
      </c>
      <c r="C237" s="15">
        <v>46050</v>
      </c>
      <c r="D237" s="2">
        <v>1</v>
      </c>
      <c r="E237" s="45" t="s">
        <v>54</v>
      </c>
      <c r="F237" s="2" t="s">
        <v>55</v>
      </c>
      <c r="G237" s="2">
        <v>3</v>
      </c>
      <c r="H237" s="2" t="s">
        <v>112</v>
      </c>
      <c r="I237" s="44">
        <v>46052</v>
      </c>
      <c r="J237" s="44">
        <v>46052</v>
      </c>
      <c r="K237" s="2">
        <v>3</v>
      </c>
      <c r="L237" s="2" t="s">
        <v>55</v>
      </c>
      <c r="M237" s="2" t="s">
        <v>55</v>
      </c>
      <c r="N237" s="2" t="s">
        <v>55</v>
      </c>
      <c r="O237" s="2" t="s">
        <v>55</v>
      </c>
      <c r="P237" s="2" t="s">
        <v>55</v>
      </c>
      <c r="Q237" s="2" t="s">
        <v>55</v>
      </c>
      <c r="R237" s="3" t="s">
        <v>55</v>
      </c>
      <c r="S237" s="2">
        <v>1</v>
      </c>
      <c r="T237" s="2">
        <v>1</v>
      </c>
      <c r="U237" s="2">
        <v>0</v>
      </c>
      <c r="V237" s="44">
        <v>46057</v>
      </c>
      <c r="W237" s="44">
        <v>46057</v>
      </c>
      <c r="X237" s="44">
        <v>46057</v>
      </c>
      <c r="Y237" s="44">
        <v>46064</v>
      </c>
      <c r="Z237" s="44">
        <v>46065</v>
      </c>
      <c r="AA237" s="3">
        <f t="shared" ref="AA237:AA269" si="23">MONTH(Z237)</f>
        <v>2</v>
      </c>
      <c r="AB237" s="85" t="s">
        <v>811</v>
      </c>
      <c r="AC237" s="46" t="s">
        <v>812</v>
      </c>
      <c r="AD237" s="19">
        <f t="shared" si="20"/>
        <v>1</v>
      </c>
      <c r="AE237" s="67">
        <f>IFERROR(NETWORKDAYS(B237,I237,Hoja1!$A$1:$A$29),"N/A")</f>
        <v>3</v>
      </c>
      <c r="AF237" s="21">
        <f>IFERROR(NETWORKDAYS(B237,W237,Hoja1!$A$1:$A$29),"N/A")</f>
        <v>6</v>
      </c>
      <c r="AG237" s="78">
        <v>0</v>
      </c>
      <c r="AH237" s="21">
        <f t="shared" si="22"/>
        <v>6</v>
      </c>
      <c r="AI237" s="21">
        <f>IFERROR(NETWORKDAYS(X237,Y237,Hoja1!$A$1:$A$29),"N/A")</f>
        <v>6</v>
      </c>
      <c r="AJ237" s="78">
        <v>2</v>
      </c>
      <c r="AK237" s="75">
        <f t="shared" si="18"/>
        <v>4</v>
      </c>
      <c r="AL237" s="21">
        <f>IFERROR(NETWORKDAYS(B237,Y237,Hoja1!$A$1:$A$29),"N/A")</f>
        <v>11</v>
      </c>
      <c r="AM237" s="21">
        <f t="shared" si="21"/>
        <v>9</v>
      </c>
      <c r="AN237" s="43"/>
      <c r="AO237" s="43"/>
      <c r="AP237" s="43"/>
      <c r="AQ237" s="43"/>
      <c r="AR237" s="43"/>
      <c r="AS237" s="43" t="s">
        <v>1900</v>
      </c>
      <c r="AT237" s="43" t="s">
        <v>1995</v>
      </c>
      <c r="AU237" s="43" t="s">
        <v>2217</v>
      </c>
      <c r="AV237" s="317" t="s">
        <v>2378</v>
      </c>
      <c r="AW237" s="403" t="s">
        <v>2824</v>
      </c>
      <c r="AY237" s="414"/>
    </row>
    <row r="238" spans="1:51" ht="15" customHeight="1" x14ac:dyDescent="0.25">
      <c r="A238" s="294">
        <v>15766</v>
      </c>
      <c r="B238" s="30">
        <v>46001</v>
      </c>
      <c r="C238" s="30">
        <v>46051</v>
      </c>
      <c r="D238" s="3">
        <v>1</v>
      </c>
      <c r="E238" s="45" t="s">
        <v>54</v>
      </c>
      <c r="F238" s="3" t="s">
        <v>55</v>
      </c>
      <c r="G238" s="3">
        <v>12</v>
      </c>
      <c r="H238" s="3" t="s">
        <v>56</v>
      </c>
      <c r="I238" s="30">
        <v>46024</v>
      </c>
      <c r="J238" s="30">
        <v>46024</v>
      </c>
      <c r="K238" s="3">
        <v>12</v>
      </c>
      <c r="L238" s="3" t="s">
        <v>55</v>
      </c>
      <c r="M238" s="3" t="s">
        <v>55</v>
      </c>
      <c r="N238" s="3" t="s">
        <v>55</v>
      </c>
      <c r="O238" s="3" t="s">
        <v>55</v>
      </c>
      <c r="P238" s="3" t="s">
        <v>55</v>
      </c>
      <c r="Q238" s="3" t="s">
        <v>55</v>
      </c>
      <c r="R238" s="3" t="s">
        <v>55</v>
      </c>
      <c r="S238" s="3">
        <v>2</v>
      </c>
      <c r="T238" s="3">
        <v>2</v>
      </c>
      <c r="U238" s="3">
        <v>0</v>
      </c>
      <c r="V238" s="30">
        <v>46042</v>
      </c>
      <c r="W238" s="28">
        <v>46050</v>
      </c>
      <c r="X238" s="28">
        <v>46050</v>
      </c>
      <c r="Y238" s="30">
        <v>46065</v>
      </c>
      <c r="Z238" s="30">
        <v>46065</v>
      </c>
      <c r="AA238" s="3">
        <f t="shared" si="23"/>
        <v>2</v>
      </c>
      <c r="AB238" s="85" t="s">
        <v>815</v>
      </c>
      <c r="AC238" s="35" t="s">
        <v>816</v>
      </c>
      <c r="AD238" s="19">
        <f t="shared" si="20"/>
        <v>1</v>
      </c>
      <c r="AE238" s="67">
        <f>IFERROR(NETWORKDAYS(B238,I238,Hoja1!$A$1:$A$29),"N/A")</f>
        <v>16</v>
      </c>
      <c r="AF238" s="21">
        <f>IFERROR(NETWORKDAYS(B238,W238,Hoja1!$A$1:$A$29),"N/A")</f>
        <v>33</v>
      </c>
      <c r="AG238" s="78">
        <v>18</v>
      </c>
      <c r="AH238" s="21">
        <f t="shared" si="22"/>
        <v>15</v>
      </c>
      <c r="AI238" s="21">
        <f>IFERROR(NETWORKDAYS(X238,Y238,Hoja1!$A$1:$A$29),"N/A")</f>
        <v>12</v>
      </c>
      <c r="AJ238" s="113">
        <v>7</v>
      </c>
      <c r="AK238" s="75">
        <f t="shared" si="18"/>
        <v>5</v>
      </c>
      <c r="AL238" s="21">
        <f>IFERROR(NETWORKDAYS(B238,Y238,Hoja1!$A$1:$A$29),"N/A")</f>
        <v>44</v>
      </c>
      <c r="AM238" s="21">
        <f t="shared" si="21"/>
        <v>19</v>
      </c>
      <c r="AN238" s="3"/>
      <c r="AO238" s="3"/>
      <c r="AP238" s="3"/>
      <c r="AQ238" s="3"/>
      <c r="AR238" s="3"/>
      <c r="AS238" s="3" t="s">
        <v>1930</v>
      </c>
      <c r="AT238" s="3" t="s">
        <v>2086</v>
      </c>
      <c r="AU238" s="3" t="s">
        <v>2209</v>
      </c>
      <c r="AV238" s="316" t="s">
        <v>2379</v>
      </c>
      <c r="AW238" s="403" t="s">
        <v>2825</v>
      </c>
      <c r="AY238" s="415"/>
    </row>
    <row r="239" spans="1:51" ht="15" customHeight="1" x14ac:dyDescent="0.25">
      <c r="A239" s="294">
        <v>15770</v>
      </c>
      <c r="B239" s="15">
        <v>46052</v>
      </c>
      <c r="C239" s="16">
        <v>46052</v>
      </c>
      <c r="D239" s="1">
        <v>1</v>
      </c>
      <c r="E239" s="45" t="s">
        <v>54</v>
      </c>
      <c r="F239" s="21" t="s">
        <v>55</v>
      </c>
      <c r="G239" s="1">
        <v>6</v>
      </c>
      <c r="H239" s="1" t="s">
        <v>56</v>
      </c>
      <c r="I239" s="16">
        <v>46056</v>
      </c>
      <c r="J239" s="16">
        <v>46063</v>
      </c>
      <c r="K239" s="1">
        <v>6</v>
      </c>
      <c r="L239" s="36" t="s">
        <v>55</v>
      </c>
      <c r="M239" s="36" t="s">
        <v>55</v>
      </c>
      <c r="N239" s="36" t="s">
        <v>55</v>
      </c>
      <c r="O239" s="36" t="s">
        <v>55</v>
      </c>
      <c r="P239" s="36" t="s">
        <v>55</v>
      </c>
      <c r="Q239" s="36" t="s">
        <v>55</v>
      </c>
      <c r="R239" s="3" t="s">
        <v>55</v>
      </c>
      <c r="S239" s="1">
        <v>1</v>
      </c>
      <c r="T239" s="1">
        <v>1</v>
      </c>
      <c r="U239" s="1">
        <v>0</v>
      </c>
      <c r="V239" s="28">
        <v>46069</v>
      </c>
      <c r="W239" s="28">
        <v>46069</v>
      </c>
      <c r="X239" s="16">
        <v>46069</v>
      </c>
      <c r="Y239" s="16">
        <v>46073</v>
      </c>
      <c r="Z239" s="140">
        <v>46076</v>
      </c>
      <c r="AA239" s="3">
        <f t="shared" si="23"/>
        <v>2</v>
      </c>
      <c r="AB239" s="85" t="s">
        <v>817</v>
      </c>
      <c r="AC239" s="49" t="s">
        <v>818</v>
      </c>
      <c r="AD239" s="19">
        <f t="shared" si="20"/>
        <v>1</v>
      </c>
      <c r="AE239" s="67">
        <f>IFERROR(NETWORKDAYS(B239,I239,Hoja1!$A$1:$A$29),"N/A")</f>
        <v>3</v>
      </c>
      <c r="AF239" s="21">
        <f>IFERROR(NETWORKDAYS(B239,W239,Hoja1!$A$1:$A$29),"N/A")</f>
        <v>12</v>
      </c>
      <c r="AG239" s="78">
        <v>0</v>
      </c>
      <c r="AH239" s="21">
        <f t="shared" si="22"/>
        <v>12</v>
      </c>
      <c r="AI239" s="21">
        <f>IFERROR(NETWORKDAYS(X239,Y239,Hoja1!$A$1:$A$29),"N/A")</f>
        <v>5</v>
      </c>
      <c r="AJ239" s="113">
        <v>0</v>
      </c>
      <c r="AK239" s="75">
        <f t="shared" si="18"/>
        <v>5</v>
      </c>
      <c r="AL239" s="21">
        <f>IFERROR(NETWORKDAYS(B239,Y239,Hoja1!$A$1:$A$29),"N/A")</f>
        <v>16</v>
      </c>
      <c r="AM239" s="21">
        <f t="shared" si="21"/>
        <v>16</v>
      </c>
      <c r="AN239" s="33"/>
      <c r="AO239" s="33"/>
      <c r="AP239" s="33"/>
      <c r="AQ239" s="33"/>
      <c r="AR239" s="33"/>
      <c r="AS239" s="33" t="s">
        <v>1947</v>
      </c>
      <c r="AT239" s="33" t="s">
        <v>2078</v>
      </c>
      <c r="AU239" s="33" t="s">
        <v>2218</v>
      </c>
      <c r="AV239" s="318" t="s">
        <v>2380</v>
      </c>
      <c r="AW239" s="403" t="s">
        <v>2826</v>
      </c>
      <c r="AY239" s="414"/>
    </row>
    <row r="240" spans="1:51" ht="15" customHeight="1" x14ac:dyDescent="0.25">
      <c r="A240" s="294">
        <v>15772</v>
      </c>
      <c r="B240" s="30">
        <v>46052</v>
      </c>
      <c r="C240" s="30">
        <v>46052</v>
      </c>
      <c r="D240" s="3">
        <v>1</v>
      </c>
      <c r="E240" s="45" t="s">
        <v>54</v>
      </c>
      <c r="F240" s="3" t="s">
        <v>55</v>
      </c>
      <c r="G240" s="3">
        <v>6</v>
      </c>
      <c r="H240" s="3" t="s">
        <v>112</v>
      </c>
      <c r="I240" s="30">
        <v>46062</v>
      </c>
      <c r="J240" s="30">
        <v>46062</v>
      </c>
      <c r="K240" s="3">
        <v>6</v>
      </c>
      <c r="L240" s="3" t="s">
        <v>55</v>
      </c>
      <c r="M240" s="3" t="s">
        <v>55</v>
      </c>
      <c r="N240" s="3" t="s">
        <v>55</v>
      </c>
      <c r="O240" s="3" t="s">
        <v>55</v>
      </c>
      <c r="P240" s="3" t="s">
        <v>55</v>
      </c>
      <c r="Q240" s="3" t="s">
        <v>55</v>
      </c>
      <c r="R240" s="3" t="s">
        <v>55</v>
      </c>
      <c r="S240" s="3">
        <v>6</v>
      </c>
      <c r="T240" s="3">
        <v>1</v>
      </c>
      <c r="U240" s="3">
        <v>0</v>
      </c>
      <c r="V240" s="30">
        <v>46069</v>
      </c>
      <c r="W240" s="30">
        <v>46069</v>
      </c>
      <c r="X240" s="30">
        <v>46069</v>
      </c>
      <c r="Y240" s="16">
        <v>46073</v>
      </c>
      <c r="Z240" s="140">
        <v>46076</v>
      </c>
      <c r="AA240" s="3">
        <f t="shared" si="23"/>
        <v>2</v>
      </c>
      <c r="AB240" s="85" t="s">
        <v>819</v>
      </c>
      <c r="AC240" s="45" t="s">
        <v>820</v>
      </c>
      <c r="AD240" s="19">
        <f t="shared" si="20"/>
        <v>1</v>
      </c>
      <c r="AE240" s="67">
        <f>IFERROR(NETWORKDAYS(B240,I240,Hoja1!$A$1:$A$29),"N/A")</f>
        <v>7</v>
      </c>
      <c r="AF240" s="21">
        <f>IFERROR(NETWORKDAYS(B240,W240,Hoja1!$A$1:$A$29),"N/A")</f>
        <v>12</v>
      </c>
      <c r="AG240" s="78">
        <v>0</v>
      </c>
      <c r="AH240" s="21">
        <f t="shared" si="22"/>
        <v>12</v>
      </c>
      <c r="AI240" s="21">
        <f>IFERROR(NETWORKDAYS(X240,Y240,Hoja1!$A$1:$A$29),"N/A")</f>
        <v>5</v>
      </c>
      <c r="AJ240" s="78">
        <v>0</v>
      </c>
      <c r="AK240" s="75">
        <f t="shared" si="18"/>
        <v>5</v>
      </c>
      <c r="AL240" s="21">
        <f>IFERROR(NETWORKDAYS(B240,Y240,Hoja1!$A$1:$A$29),"N/A")</f>
        <v>16</v>
      </c>
      <c r="AM240" s="21">
        <f t="shared" si="21"/>
        <v>16</v>
      </c>
      <c r="AN240" s="114"/>
      <c r="AO240" s="1"/>
      <c r="AP240" s="1"/>
      <c r="AQ240" s="1"/>
      <c r="AR240" s="1"/>
      <c r="AS240" s="1" t="s">
        <v>1890</v>
      </c>
      <c r="AT240" s="1" t="s">
        <v>2020</v>
      </c>
      <c r="AU240" s="1" t="s">
        <v>2216</v>
      </c>
      <c r="AV240" s="315" t="s">
        <v>2381</v>
      </c>
      <c r="AW240" s="403" t="s">
        <v>2827</v>
      </c>
      <c r="AY240" s="415"/>
    </row>
    <row r="241" spans="1:51" ht="15" customHeight="1" x14ac:dyDescent="0.25">
      <c r="A241" s="298">
        <v>15787</v>
      </c>
      <c r="B241" s="15">
        <v>46055</v>
      </c>
      <c r="C241" s="16">
        <v>46056</v>
      </c>
      <c r="D241" s="1">
        <v>1</v>
      </c>
      <c r="E241" s="45" t="s">
        <v>54</v>
      </c>
      <c r="F241" s="2" t="s">
        <v>55</v>
      </c>
      <c r="G241" s="33">
        <v>0</v>
      </c>
      <c r="H241" s="1"/>
      <c r="I241" s="2" t="s">
        <v>55</v>
      </c>
      <c r="J241" s="2" t="s">
        <v>55</v>
      </c>
      <c r="K241" s="33">
        <v>0</v>
      </c>
      <c r="L241" s="2" t="s">
        <v>55</v>
      </c>
      <c r="M241" s="2" t="s">
        <v>55</v>
      </c>
      <c r="N241" s="2" t="s">
        <v>55</v>
      </c>
      <c r="O241" s="2" t="s">
        <v>55</v>
      </c>
      <c r="P241" s="2" t="s">
        <v>55</v>
      </c>
      <c r="Q241" s="2" t="s">
        <v>55</v>
      </c>
      <c r="R241" s="3" t="s">
        <v>55</v>
      </c>
      <c r="S241" s="1">
        <v>1</v>
      </c>
      <c r="T241" s="1">
        <v>1</v>
      </c>
      <c r="U241" s="1">
        <v>0</v>
      </c>
      <c r="V241" s="16">
        <v>46063</v>
      </c>
      <c r="W241" s="16">
        <v>46064</v>
      </c>
      <c r="X241" s="16">
        <v>46065</v>
      </c>
      <c r="Y241" s="16">
        <v>46070</v>
      </c>
      <c r="Z241" s="140">
        <v>46076</v>
      </c>
      <c r="AA241" s="3">
        <f t="shared" si="23"/>
        <v>2</v>
      </c>
      <c r="AB241" s="108" t="s">
        <v>822</v>
      </c>
      <c r="AC241" s="49" t="s">
        <v>823</v>
      </c>
      <c r="AD241" s="19" t="str">
        <f t="shared" si="20"/>
        <v>N/A</v>
      </c>
      <c r="AE241" s="67" t="str">
        <f>IFERROR(NETWORKDAYS(B241,I241,Hoja1!$A$1:$A$29),"N/A")</f>
        <v>N/A</v>
      </c>
      <c r="AF241" s="21">
        <f>IFERROR(NETWORKDAYS(B241,W241,Hoja1!$A$1:$A$29),"N/A")</f>
        <v>8</v>
      </c>
      <c r="AG241" s="78">
        <v>1</v>
      </c>
      <c r="AH241" s="21">
        <f t="shared" si="22"/>
        <v>7</v>
      </c>
      <c r="AI241" s="21">
        <f>IFERROR(NETWORKDAYS(X241,Y241,Hoja1!$A$1:$A$29),"N/A")</f>
        <v>4</v>
      </c>
      <c r="AJ241" s="67">
        <v>0</v>
      </c>
      <c r="AK241" s="75">
        <f t="shared" si="18"/>
        <v>4</v>
      </c>
      <c r="AL241" s="21">
        <f>IFERROR(NETWORKDAYS(B241,Y241,Hoja1!$A$1:$A$29),"N/A")</f>
        <v>12</v>
      </c>
      <c r="AM241" s="21">
        <f t="shared" si="21"/>
        <v>11</v>
      </c>
      <c r="AN241" s="1"/>
      <c r="AO241" s="1"/>
      <c r="AP241" s="1"/>
      <c r="AQ241" s="1"/>
      <c r="AR241" s="1"/>
      <c r="AS241" s="1" t="s">
        <v>1903</v>
      </c>
      <c r="AT241" s="1" t="s">
        <v>2087</v>
      </c>
      <c r="AU241" s="1" t="s">
        <v>2210</v>
      </c>
      <c r="AV241" s="315" t="s">
        <v>2382</v>
      </c>
      <c r="AW241" s="403" t="s">
        <v>2828</v>
      </c>
      <c r="AY241" s="414"/>
    </row>
    <row r="242" spans="1:51" ht="15" customHeight="1" x14ac:dyDescent="0.25">
      <c r="A242" s="302">
        <v>15791</v>
      </c>
      <c r="B242" s="130">
        <v>46056</v>
      </c>
      <c r="C242" s="130">
        <v>46056</v>
      </c>
      <c r="D242" s="89">
        <v>1</v>
      </c>
      <c r="E242" s="117" t="s">
        <v>54</v>
      </c>
      <c r="F242" s="89" t="s">
        <v>55</v>
      </c>
      <c r="G242" s="89">
        <v>3</v>
      </c>
      <c r="H242" s="89" t="s">
        <v>112</v>
      </c>
      <c r="I242" s="130">
        <v>46062</v>
      </c>
      <c r="J242" s="130">
        <v>46062</v>
      </c>
      <c r="K242" s="89">
        <v>3</v>
      </c>
      <c r="L242" s="89" t="s">
        <v>55</v>
      </c>
      <c r="M242" s="89" t="s">
        <v>55</v>
      </c>
      <c r="N242" s="89" t="s">
        <v>55</v>
      </c>
      <c r="O242" s="89" t="s">
        <v>55</v>
      </c>
      <c r="P242" s="89" t="s">
        <v>55</v>
      </c>
      <c r="Q242" s="89" t="s">
        <v>55</v>
      </c>
      <c r="R242" s="89" t="s">
        <v>55</v>
      </c>
      <c r="S242" s="89">
        <v>3</v>
      </c>
      <c r="T242" s="89">
        <v>1</v>
      </c>
      <c r="U242" s="89">
        <v>0</v>
      </c>
      <c r="V242" s="130">
        <v>46069</v>
      </c>
      <c r="W242" s="224">
        <v>46069</v>
      </c>
      <c r="X242" s="224">
        <v>46069</v>
      </c>
      <c r="Y242" s="134">
        <v>46073</v>
      </c>
      <c r="Z242" s="135">
        <v>46076</v>
      </c>
      <c r="AA242" s="89">
        <f t="shared" si="23"/>
        <v>2</v>
      </c>
      <c r="AB242" s="90" t="s">
        <v>825</v>
      </c>
      <c r="AC242" s="117" t="s">
        <v>826</v>
      </c>
      <c r="AD242" s="19">
        <f t="shared" si="20"/>
        <v>1</v>
      </c>
      <c r="AE242" s="67">
        <f>IFERROR(NETWORKDAYS(B242,I242,Hoja1!$A$1:$A$29),"N/A")</f>
        <v>5</v>
      </c>
      <c r="AF242" s="21">
        <f>IFERROR(NETWORKDAYS(B242,W242,Hoja1!$A$1:$A$29),"N/A")</f>
        <v>10</v>
      </c>
      <c r="AG242" s="270">
        <v>0</v>
      </c>
      <c r="AH242" s="72">
        <f t="shared" si="22"/>
        <v>10</v>
      </c>
      <c r="AI242" s="21">
        <f>IFERROR(NETWORKDAYS(X242,Y242,Hoja1!$A$1:$A$29),"N/A")</f>
        <v>5</v>
      </c>
      <c r="AJ242" s="71">
        <v>0</v>
      </c>
      <c r="AK242" s="80">
        <f t="shared" si="18"/>
        <v>5</v>
      </c>
      <c r="AL242" s="21">
        <f>IFERROR(NETWORKDAYS(B242,Y242,Hoja1!$A$1:$A$29),"N/A")</f>
        <v>14</v>
      </c>
      <c r="AM242" s="72">
        <f t="shared" si="21"/>
        <v>14</v>
      </c>
      <c r="AN242" s="121"/>
      <c r="AO242" s="103"/>
      <c r="AP242" s="103"/>
      <c r="AQ242" s="103"/>
      <c r="AR242" s="103"/>
      <c r="AS242" s="103" t="s">
        <v>1890</v>
      </c>
      <c r="AT242" s="103" t="s">
        <v>2077</v>
      </c>
      <c r="AU242" s="103" t="s">
        <v>2216</v>
      </c>
      <c r="AV242" s="319" t="s">
        <v>2383</v>
      </c>
      <c r="AW242" s="403" t="s">
        <v>2829</v>
      </c>
      <c r="AY242" s="415"/>
    </row>
    <row r="243" spans="1:51" ht="15" customHeight="1" x14ac:dyDescent="0.25">
      <c r="A243" s="294">
        <v>15797</v>
      </c>
      <c r="B243" s="44">
        <v>46057</v>
      </c>
      <c r="C243" s="44">
        <v>46057</v>
      </c>
      <c r="D243" s="2">
        <v>1</v>
      </c>
      <c r="E243" s="45" t="s">
        <v>54</v>
      </c>
      <c r="F243" s="2" t="s">
        <v>55</v>
      </c>
      <c r="G243" s="2">
        <v>0</v>
      </c>
      <c r="H243" s="2"/>
      <c r="I243" s="2" t="s">
        <v>55</v>
      </c>
      <c r="J243" s="2" t="s">
        <v>55</v>
      </c>
      <c r="K243" s="2">
        <v>0</v>
      </c>
      <c r="L243" s="2" t="s">
        <v>55</v>
      </c>
      <c r="M243" s="2" t="s">
        <v>55</v>
      </c>
      <c r="N243" s="2" t="s">
        <v>55</v>
      </c>
      <c r="O243" s="2" t="s">
        <v>55</v>
      </c>
      <c r="P243" s="2" t="s">
        <v>55</v>
      </c>
      <c r="Q243" s="2" t="s">
        <v>55</v>
      </c>
      <c r="R243" s="3" t="s">
        <v>55</v>
      </c>
      <c r="S243" s="2">
        <v>1</v>
      </c>
      <c r="T243" s="2">
        <v>1</v>
      </c>
      <c r="U243" s="2">
        <v>0</v>
      </c>
      <c r="V243" s="28">
        <v>46069</v>
      </c>
      <c r="W243" s="28">
        <v>46069</v>
      </c>
      <c r="X243" s="28">
        <v>46069</v>
      </c>
      <c r="Y243" s="16">
        <v>46073</v>
      </c>
      <c r="Z243" s="140">
        <v>46076</v>
      </c>
      <c r="AA243" s="3">
        <f t="shared" si="23"/>
        <v>2</v>
      </c>
      <c r="AB243" s="85" t="s">
        <v>827</v>
      </c>
      <c r="AC243" s="46" t="s">
        <v>828</v>
      </c>
      <c r="AD243" s="19" t="str">
        <f t="shared" si="20"/>
        <v>N/A</v>
      </c>
      <c r="AE243" s="67" t="str">
        <f>IFERROR(NETWORKDAYS(B243,I243,Hoja1!$A$1:$A$29),"N/A")</f>
        <v>N/A</v>
      </c>
      <c r="AF243" s="21">
        <f>IFERROR(NETWORKDAYS(B243,W243,Hoja1!$A$1:$A$29),"N/A")</f>
        <v>9</v>
      </c>
      <c r="AG243" s="78">
        <v>0</v>
      </c>
      <c r="AH243" s="21">
        <f t="shared" si="22"/>
        <v>9</v>
      </c>
      <c r="AI243" s="21">
        <f>IFERROR(NETWORKDAYS(X243,Y243,Hoja1!$A$1:$A$29),"N/A")</f>
        <v>5</v>
      </c>
      <c r="AJ243" s="78">
        <v>0</v>
      </c>
      <c r="AK243" s="75">
        <f t="shared" si="18"/>
        <v>5</v>
      </c>
      <c r="AL243" s="21">
        <f>IFERROR(NETWORKDAYS(B243,Y243,Hoja1!$A$1:$A$29),"N/A")</f>
        <v>13</v>
      </c>
      <c r="AM243" s="21">
        <f t="shared" si="21"/>
        <v>13</v>
      </c>
      <c r="AN243" s="43"/>
      <c r="AO243" s="43"/>
      <c r="AP243" s="43"/>
      <c r="AQ243" s="43"/>
      <c r="AR243" s="43"/>
      <c r="AS243" s="43" t="s">
        <v>1901</v>
      </c>
      <c r="AT243" s="43" t="s">
        <v>2077</v>
      </c>
      <c r="AU243" s="43" t="s">
        <v>2217</v>
      </c>
      <c r="AV243" s="317" t="s">
        <v>2384</v>
      </c>
      <c r="AW243" s="403" t="s">
        <v>2830</v>
      </c>
      <c r="AY243" s="414"/>
    </row>
    <row r="244" spans="1:51" ht="15" customHeight="1" x14ac:dyDescent="0.25">
      <c r="A244" s="294">
        <v>15798</v>
      </c>
      <c r="B244" s="44">
        <v>46058</v>
      </c>
      <c r="C244" s="44">
        <v>46058</v>
      </c>
      <c r="D244" s="2">
        <v>1</v>
      </c>
      <c r="E244" s="45" t="s">
        <v>54</v>
      </c>
      <c r="F244" s="2" t="s">
        <v>55</v>
      </c>
      <c r="G244" s="2">
        <v>0</v>
      </c>
      <c r="H244" s="2"/>
      <c r="I244" s="2" t="s">
        <v>55</v>
      </c>
      <c r="J244" s="2" t="s">
        <v>55</v>
      </c>
      <c r="K244" s="2">
        <v>0</v>
      </c>
      <c r="L244" s="2" t="s">
        <v>55</v>
      </c>
      <c r="M244" s="2" t="s">
        <v>55</v>
      </c>
      <c r="N244" s="2" t="s">
        <v>55</v>
      </c>
      <c r="O244" s="2" t="s">
        <v>55</v>
      </c>
      <c r="P244" s="2" t="s">
        <v>55</v>
      </c>
      <c r="Q244" s="2" t="s">
        <v>55</v>
      </c>
      <c r="R244" s="3" t="s">
        <v>55</v>
      </c>
      <c r="S244" s="2">
        <v>1</v>
      </c>
      <c r="T244" s="2">
        <v>1</v>
      </c>
      <c r="U244" s="2">
        <v>0</v>
      </c>
      <c r="V244" s="28">
        <v>46066</v>
      </c>
      <c r="W244" s="28">
        <v>46066</v>
      </c>
      <c r="X244" s="28">
        <v>46066</v>
      </c>
      <c r="Y244" s="16">
        <v>46073</v>
      </c>
      <c r="Z244" s="140">
        <v>46076</v>
      </c>
      <c r="AA244" s="3">
        <f t="shared" si="23"/>
        <v>2</v>
      </c>
      <c r="AB244" s="85" t="s">
        <v>829</v>
      </c>
      <c r="AC244" s="46" t="s">
        <v>830</v>
      </c>
      <c r="AD244" s="19" t="str">
        <f t="shared" si="20"/>
        <v>N/A</v>
      </c>
      <c r="AE244" s="67" t="str">
        <f>IFERROR(NETWORKDAYS(B244,I244,Hoja1!$A$1:$A$29),"N/A")</f>
        <v>N/A</v>
      </c>
      <c r="AF244" s="21">
        <f>IFERROR(NETWORKDAYS(B244,W244,Hoja1!$A$1:$A$29),"N/A")</f>
        <v>7</v>
      </c>
      <c r="AG244" s="78">
        <v>0</v>
      </c>
      <c r="AH244" s="21">
        <f t="shared" si="22"/>
        <v>7</v>
      </c>
      <c r="AI244" s="21">
        <f>IFERROR(NETWORKDAYS(X244,Y244,Hoja1!$A$1:$A$29),"N/A")</f>
        <v>6</v>
      </c>
      <c r="AJ244" s="78">
        <v>2</v>
      </c>
      <c r="AK244" s="75">
        <f t="shared" si="18"/>
        <v>4</v>
      </c>
      <c r="AL244" s="21">
        <f>IFERROR(NETWORKDAYS(B244,Y244,Hoja1!$A$1:$A$29),"N/A")</f>
        <v>12</v>
      </c>
      <c r="AM244" s="21">
        <f t="shared" si="21"/>
        <v>10</v>
      </c>
      <c r="AN244" s="43"/>
      <c r="AO244" s="43"/>
      <c r="AP244" s="43"/>
      <c r="AQ244" s="43"/>
      <c r="AR244" s="43"/>
      <c r="AS244" s="43" t="s">
        <v>1901</v>
      </c>
      <c r="AT244" s="43" t="s">
        <v>2077</v>
      </c>
      <c r="AU244" s="43" t="s">
        <v>2217</v>
      </c>
      <c r="AV244" s="317" t="s">
        <v>2385</v>
      </c>
      <c r="AW244" s="403" t="s">
        <v>2831</v>
      </c>
      <c r="AY244" s="415"/>
    </row>
    <row r="245" spans="1:51" ht="15" customHeight="1" x14ac:dyDescent="0.25">
      <c r="A245" s="294">
        <v>15799</v>
      </c>
      <c r="B245" s="44">
        <v>46057</v>
      </c>
      <c r="C245" s="44">
        <v>46057</v>
      </c>
      <c r="D245" s="2">
        <v>1</v>
      </c>
      <c r="E245" s="45" t="s">
        <v>54</v>
      </c>
      <c r="F245" s="2" t="s">
        <v>55</v>
      </c>
      <c r="G245" s="2">
        <v>0</v>
      </c>
      <c r="H245" s="2"/>
      <c r="I245" s="2" t="s">
        <v>55</v>
      </c>
      <c r="J245" s="2" t="s">
        <v>55</v>
      </c>
      <c r="K245" s="2">
        <v>0</v>
      </c>
      <c r="L245" s="2" t="s">
        <v>55</v>
      </c>
      <c r="M245" s="2" t="s">
        <v>55</v>
      </c>
      <c r="N245" s="2" t="s">
        <v>55</v>
      </c>
      <c r="O245" s="2" t="s">
        <v>55</v>
      </c>
      <c r="P245" s="2" t="s">
        <v>55</v>
      </c>
      <c r="Q245" s="2" t="s">
        <v>55</v>
      </c>
      <c r="R245" s="3" t="s">
        <v>55</v>
      </c>
      <c r="S245" s="2">
        <v>1</v>
      </c>
      <c r="T245" s="2">
        <v>1</v>
      </c>
      <c r="U245" s="2">
        <v>0</v>
      </c>
      <c r="V245" s="44">
        <v>46059</v>
      </c>
      <c r="W245" s="44">
        <v>46059</v>
      </c>
      <c r="X245" s="44">
        <v>46059</v>
      </c>
      <c r="Y245" s="44">
        <v>46064</v>
      </c>
      <c r="Z245" s="44">
        <v>46065</v>
      </c>
      <c r="AA245" s="3">
        <f t="shared" si="23"/>
        <v>2</v>
      </c>
      <c r="AB245" s="85" t="s">
        <v>832</v>
      </c>
      <c r="AC245" s="46" t="s">
        <v>833</v>
      </c>
      <c r="AD245" s="19" t="str">
        <f t="shared" si="20"/>
        <v>N/A</v>
      </c>
      <c r="AE245" s="67" t="str">
        <f>IFERROR(NETWORKDAYS(B245,I245,Hoja1!$A$1:$A$29),"N/A")</f>
        <v>N/A</v>
      </c>
      <c r="AF245" s="21">
        <f>IFERROR(NETWORKDAYS(B245,W245,Hoja1!$A$1:$A$29),"N/A")</f>
        <v>3</v>
      </c>
      <c r="AG245" s="78">
        <v>0</v>
      </c>
      <c r="AH245" s="21">
        <f t="shared" si="22"/>
        <v>3</v>
      </c>
      <c r="AI245" s="21">
        <f>IFERROR(NETWORKDAYS(X245,Y245,Hoja1!$A$1:$A$29),"N/A")</f>
        <v>4</v>
      </c>
      <c r="AJ245" s="78">
        <v>0</v>
      </c>
      <c r="AK245" s="75">
        <f t="shared" si="18"/>
        <v>4</v>
      </c>
      <c r="AL245" s="21">
        <f>IFERROR(NETWORKDAYS(B245,Y245,Hoja1!$A$1:$A$29),"N/A")</f>
        <v>6</v>
      </c>
      <c r="AM245" s="21">
        <f t="shared" si="21"/>
        <v>6</v>
      </c>
      <c r="AN245" s="43"/>
      <c r="AO245" s="43"/>
      <c r="AP245" s="43"/>
      <c r="AQ245" s="43"/>
      <c r="AR245" s="43"/>
      <c r="AS245" s="43" t="s">
        <v>1901</v>
      </c>
      <c r="AT245" s="43" t="s">
        <v>2088</v>
      </c>
      <c r="AU245" s="43" t="s">
        <v>2217</v>
      </c>
      <c r="AV245" s="317" t="s">
        <v>2356</v>
      </c>
      <c r="AW245" s="403" t="s">
        <v>2832</v>
      </c>
      <c r="AY245" s="414"/>
    </row>
    <row r="246" spans="1:51" ht="15" customHeight="1" x14ac:dyDescent="0.25">
      <c r="A246" s="294">
        <v>15801</v>
      </c>
      <c r="B246" s="44">
        <v>46058</v>
      </c>
      <c r="C246" s="44">
        <v>46058</v>
      </c>
      <c r="D246" s="2">
        <v>1</v>
      </c>
      <c r="E246" s="45" t="s">
        <v>54</v>
      </c>
      <c r="F246" s="2" t="s">
        <v>55</v>
      </c>
      <c r="G246" s="2">
        <v>2</v>
      </c>
      <c r="H246" s="2" t="s">
        <v>112</v>
      </c>
      <c r="I246" s="44">
        <v>46062</v>
      </c>
      <c r="J246" s="44">
        <v>46062</v>
      </c>
      <c r="K246" s="2">
        <v>2</v>
      </c>
      <c r="L246" s="2" t="s">
        <v>55</v>
      </c>
      <c r="M246" s="2" t="s">
        <v>55</v>
      </c>
      <c r="N246" s="2" t="s">
        <v>55</v>
      </c>
      <c r="O246" s="2" t="s">
        <v>55</v>
      </c>
      <c r="P246" s="2" t="s">
        <v>55</v>
      </c>
      <c r="Q246" s="2" t="s">
        <v>55</v>
      </c>
      <c r="R246" s="3" t="s">
        <v>55</v>
      </c>
      <c r="S246" s="2">
        <v>1</v>
      </c>
      <c r="T246" s="2">
        <v>1</v>
      </c>
      <c r="U246" s="2">
        <v>0</v>
      </c>
      <c r="V246" s="28">
        <v>46066</v>
      </c>
      <c r="W246" s="28">
        <v>46066</v>
      </c>
      <c r="X246" s="28">
        <v>46066</v>
      </c>
      <c r="Y246" s="16">
        <v>46073</v>
      </c>
      <c r="Z246" s="140">
        <v>46076</v>
      </c>
      <c r="AA246" s="3">
        <f t="shared" si="23"/>
        <v>2</v>
      </c>
      <c r="AB246" s="85" t="s">
        <v>834</v>
      </c>
      <c r="AC246" s="46" t="s">
        <v>835</v>
      </c>
      <c r="AD246" s="19">
        <f t="shared" si="20"/>
        <v>1</v>
      </c>
      <c r="AE246" s="67">
        <f>IFERROR(NETWORKDAYS(B246,I246,Hoja1!$A$1:$A$29),"N/A")</f>
        <v>3</v>
      </c>
      <c r="AF246" s="21">
        <f>IFERROR(NETWORKDAYS(B246,W246,Hoja1!$A$1:$A$29),"N/A")</f>
        <v>7</v>
      </c>
      <c r="AG246" s="78">
        <v>0</v>
      </c>
      <c r="AH246" s="21">
        <f t="shared" si="22"/>
        <v>7</v>
      </c>
      <c r="AI246" s="21">
        <f>IFERROR(NETWORKDAYS(X246,Y246,Hoja1!$A$1:$A$29),"N/A")</f>
        <v>6</v>
      </c>
      <c r="AJ246" s="78">
        <v>1</v>
      </c>
      <c r="AK246" s="75">
        <f t="shared" si="18"/>
        <v>5</v>
      </c>
      <c r="AL246" s="21">
        <f>IFERROR(NETWORKDAYS(B246,Y246,Hoja1!$A$1:$A$29),"N/A")</f>
        <v>12</v>
      </c>
      <c r="AM246" s="21">
        <f t="shared" si="21"/>
        <v>11</v>
      </c>
      <c r="AN246" s="43"/>
      <c r="AO246" s="43"/>
      <c r="AP246" s="43"/>
      <c r="AQ246" s="43"/>
      <c r="AR246" s="43"/>
      <c r="AS246" s="43" t="s">
        <v>1901</v>
      </c>
      <c r="AT246" s="43" t="s">
        <v>2020</v>
      </c>
      <c r="AU246" s="43" t="s">
        <v>2217</v>
      </c>
      <c r="AV246" s="317" t="s">
        <v>2386</v>
      </c>
      <c r="AW246" s="403" t="s">
        <v>2833</v>
      </c>
      <c r="AY246" s="415"/>
    </row>
    <row r="247" spans="1:51" ht="15" customHeight="1" x14ac:dyDescent="0.25">
      <c r="A247" s="294">
        <v>15809</v>
      </c>
      <c r="B247" s="30">
        <v>46058</v>
      </c>
      <c r="C247" s="30">
        <v>46058</v>
      </c>
      <c r="D247" s="3">
        <v>1</v>
      </c>
      <c r="E247" s="45" t="s">
        <v>54</v>
      </c>
      <c r="F247" s="3" t="s">
        <v>55</v>
      </c>
      <c r="G247" s="3">
        <v>5</v>
      </c>
      <c r="H247" s="3" t="s">
        <v>112</v>
      </c>
      <c r="I247" s="30">
        <v>46068</v>
      </c>
      <c r="J247" s="30">
        <v>46068</v>
      </c>
      <c r="K247" s="3">
        <v>5</v>
      </c>
      <c r="L247" s="3" t="s">
        <v>55</v>
      </c>
      <c r="M247" s="3" t="s">
        <v>55</v>
      </c>
      <c r="N247" s="3" t="s">
        <v>55</v>
      </c>
      <c r="O247" s="3" t="s">
        <v>55</v>
      </c>
      <c r="P247" s="3" t="s">
        <v>55</v>
      </c>
      <c r="Q247" s="3" t="s">
        <v>55</v>
      </c>
      <c r="R247" s="3" t="s">
        <v>55</v>
      </c>
      <c r="S247" s="3">
        <v>5</v>
      </c>
      <c r="T247" s="3">
        <v>1</v>
      </c>
      <c r="U247" s="3">
        <v>0</v>
      </c>
      <c r="V247" s="30">
        <v>46066</v>
      </c>
      <c r="W247" s="30">
        <v>46066</v>
      </c>
      <c r="X247" s="30">
        <v>46066</v>
      </c>
      <c r="Y247" s="30">
        <v>46072</v>
      </c>
      <c r="Z247" s="140">
        <v>46076</v>
      </c>
      <c r="AA247" s="3">
        <f t="shared" si="23"/>
        <v>2</v>
      </c>
      <c r="AB247" s="85" t="s">
        <v>836</v>
      </c>
      <c r="AC247" s="45" t="s">
        <v>837</v>
      </c>
      <c r="AD247" s="19">
        <f t="shared" si="20"/>
        <v>1</v>
      </c>
      <c r="AE247" s="67">
        <f>IFERROR(NETWORKDAYS(B247,I247,Hoja1!$A$1:$A$29),"N/A")</f>
        <v>7</v>
      </c>
      <c r="AF247" s="21">
        <f>IFERROR(NETWORKDAYS(B247,W247,Hoja1!$A$1:$A$29),"N/A")</f>
        <v>7</v>
      </c>
      <c r="AG247" s="78">
        <v>0</v>
      </c>
      <c r="AH247" s="21">
        <f t="shared" si="22"/>
        <v>7</v>
      </c>
      <c r="AI247" s="21">
        <f>IFERROR(NETWORKDAYS(X247,Y247,Hoja1!$A$1:$A$29),"N/A")</f>
        <v>5</v>
      </c>
      <c r="AJ247" s="78">
        <v>0</v>
      </c>
      <c r="AK247" s="75">
        <f t="shared" si="18"/>
        <v>5</v>
      </c>
      <c r="AL247" s="21">
        <f>IFERROR(NETWORKDAYS(B247,Y247,Hoja1!$A$1:$A$29),"N/A")</f>
        <v>11</v>
      </c>
      <c r="AM247" s="21">
        <f t="shared" si="21"/>
        <v>11</v>
      </c>
      <c r="AN247" s="114"/>
      <c r="AO247" s="1"/>
      <c r="AP247" s="1"/>
      <c r="AQ247" s="1"/>
      <c r="AR247" s="1"/>
      <c r="AS247" s="1" t="s">
        <v>1890</v>
      </c>
      <c r="AT247" s="1" t="s">
        <v>1995</v>
      </c>
      <c r="AU247" s="1" t="s">
        <v>2216</v>
      </c>
      <c r="AV247" s="315" t="s">
        <v>2383</v>
      </c>
      <c r="AW247" s="403" t="s">
        <v>2834</v>
      </c>
      <c r="AY247" s="414"/>
    </row>
    <row r="248" spans="1:51" ht="15" customHeight="1" x14ac:dyDescent="0.25">
      <c r="A248" s="301">
        <v>15824</v>
      </c>
      <c r="B248" s="28">
        <v>46062</v>
      </c>
      <c r="C248" s="28">
        <v>46062</v>
      </c>
      <c r="D248" s="33">
        <v>1</v>
      </c>
      <c r="E248" s="45" t="s">
        <v>54</v>
      </c>
      <c r="F248" s="21" t="s">
        <v>55</v>
      </c>
      <c r="G248" s="33">
        <v>0</v>
      </c>
      <c r="H248" s="33"/>
      <c r="I248" s="21" t="s">
        <v>55</v>
      </c>
      <c r="J248" s="21" t="s">
        <v>55</v>
      </c>
      <c r="K248" s="33">
        <v>0</v>
      </c>
      <c r="L248" s="36" t="s">
        <v>55</v>
      </c>
      <c r="M248" s="36" t="s">
        <v>55</v>
      </c>
      <c r="N248" s="36" t="s">
        <v>55</v>
      </c>
      <c r="O248" s="36" t="s">
        <v>55</v>
      </c>
      <c r="P248" s="36" t="s">
        <v>55</v>
      </c>
      <c r="Q248" s="36" t="s">
        <v>55</v>
      </c>
      <c r="R248" s="3" t="s">
        <v>55</v>
      </c>
      <c r="S248" s="33">
        <v>1</v>
      </c>
      <c r="T248" s="33">
        <v>1</v>
      </c>
      <c r="U248" s="33">
        <v>0</v>
      </c>
      <c r="V248" s="28">
        <v>46062</v>
      </c>
      <c r="W248" s="28">
        <v>46063</v>
      </c>
      <c r="X248" s="28">
        <v>46064</v>
      </c>
      <c r="Y248" s="16">
        <v>46073</v>
      </c>
      <c r="Z248" s="140">
        <v>46076</v>
      </c>
      <c r="AA248" s="3">
        <f t="shared" si="23"/>
        <v>2</v>
      </c>
      <c r="AB248" s="85" t="s">
        <v>838</v>
      </c>
      <c r="AC248" s="35" t="s">
        <v>839</v>
      </c>
      <c r="AD248" s="19" t="str">
        <f t="shared" si="20"/>
        <v>N/A</v>
      </c>
      <c r="AE248" s="67" t="str">
        <f>IFERROR(NETWORKDAYS(B248,I248,Hoja1!$A$1:$A$29),"N/A")</f>
        <v>N/A</v>
      </c>
      <c r="AF248" s="21">
        <f>IFERROR(NETWORKDAYS(B248,W248,Hoja1!$A$1:$A$29),"N/A")</f>
        <v>2</v>
      </c>
      <c r="AG248" s="78">
        <v>0</v>
      </c>
      <c r="AH248" s="21">
        <f t="shared" si="22"/>
        <v>2</v>
      </c>
      <c r="AI248" s="21">
        <f>IFERROR(NETWORKDAYS(X248,Y248,Hoja1!$A$1:$A$29),"N/A")</f>
        <v>8</v>
      </c>
      <c r="AJ248" s="67">
        <v>3</v>
      </c>
      <c r="AK248" s="75">
        <f t="shared" si="18"/>
        <v>5</v>
      </c>
      <c r="AL248" s="21">
        <f>IFERROR(NETWORKDAYS(B248,Y248,Hoja1!$A$1:$A$29),"N/A")</f>
        <v>10</v>
      </c>
      <c r="AM248" s="21">
        <f t="shared" si="21"/>
        <v>7</v>
      </c>
      <c r="AN248" s="33"/>
      <c r="AO248" s="33"/>
      <c r="AP248" s="33"/>
      <c r="AQ248" s="33"/>
      <c r="AR248" s="33"/>
      <c r="AS248" s="33" t="s">
        <v>1889</v>
      </c>
      <c r="AT248" s="33" t="s">
        <v>2004</v>
      </c>
      <c r="AU248" s="33" t="s">
        <v>2212</v>
      </c>
      <c r="AV248" s="318" t="s">
        <v>2258</v>
      </c>
      <c r="AW248" s="403" t="s">
        <v>2835</v>
      </c>
      <c r="AY248" s="415"/>
    </row>
    <row r="249" spans="1:51" ht="15" customHeight="1" x14ac:dyDescent="0.25">
      <c r="A249" s="301">
        <v>15839</v>
      </c>
      <c r="B249" s="28">
        <v>46063</v>
      </c>
      <c r="C249" s="28">
        <v>46063</v>
      </c>
      <c r="D249" s="33">
        <v>1</v>
      </c>
      <c r="E249" s="45" t="s">
        <v>54</v>
      </c>
      <c r="F249" s="21" t="s">
        <v>55</v>
      </c>
      <c r="G249" s="33">
        <v>0</v>
      </c>
      <c r="H249" s="33"/>
      <c r="I249" s="21" t="s">
        <v>55</v>
      </c>
      <c r="J249" s="21" t="s">
        <v>55</v>
      </c>
      <c r="K249" s="33">
        <v>0</v>
      </c>
      <c r="L249" s="36" t="s">
        <v>55</v>
      </c>
      <c r="M249" s="36" t="s">
        <v>55</v>
      </c>
      <c r="N249" s="36" t="s">
        <v>55</v>
      </c>
      <c r="O249" s="36" t="s">
        <v>55</v>
      </c>
      <c r="P249" s="36" t="s">
        <v>55</v>
      </c>
      <c r="Q249" s="36" t="s">
        <v>55</v>
      </c>
      <c r="R249" s="3" t="s">
        <v>55</v>
      </c>
      <c r="S249" s="33">
        <v>2</v>
      </c>
      <c r="T249" s="33">
        <v>2</v>
      </c>
      <c r="U249" s="33">
        <v>0</v>
      </c>
      <c r="V249" s="28">
        <v>46065</v>
      </c>
      <c r="W249" s="28">
        <v>46066</v>
      </c>
      <c r="X249" s="28">
        <v>46066</v>
      </c>
      <c r="Y249" s="30">
        <v>46072</v>
      </c>
      <c r="Z249" s="140">
        <v>46076</v>
      </c>
      <c r="AA249" s="3">
        <f t="shared" si="23"/>
        <v>2</v>
      </c>
      <c r="AB249" s="85" t="s">
        <v>841</v>
      </c>
      <c r="AC249" s="35" t="s">
        <v>842</v>
      </c>
      <c r="AD249" s="19" t="str">
        <f t="shared" si="20"/>
        <v>N/A</v>
      </c>
      <c r="AE249" s="67" t="str">
        <f>IFERROR(NETWORKDAYS(B249,I249,Hoja1!$A$1:$A$29),"N/A")</f>
        <v>N/A</v>
      </c>
      <c r="AF249" s="21">
        <f>IFERROR(NETWORKDAYS(B249,W249,Hoja1!$A$1:$A$29),"N/A")</f>
        <v>4</v>
      </c>
      <c r="AG249" s="78">
        <v>0</v>
      </c>
      <c r="AH249" s="21">
        <f t="shared" si="22"/>
        <v>4</v>
      </c>
      <c r="AI249" s="21">
        <f>IFERROR(NETWORKDAYS(X249,Y249,Hoja1!$A$1:$A$29),"N/A")</f>
        <v>5</v>
      </c>
      <c r="AJ249" s="67">
        <v>0</v>
      </c>
      <c r="AK249" s="75">
        <f t="shared" si="18"/>
        <v>5</v>
      </c>
      <c r="AL249" s="21">
        <f>IFERROR(NETWORKDAYS(B249,Y249,Hoja1!$A$1:$A$29),"N/A")</f>
        <v>8</v>
      </c>
      <c r="AM249" s="21">
        <f t="shared" si="21"/>
        <v>8</v>
      </c>
      <c r="AN249" s="33"/>
      <c r="AO249" s="33"/>
      <c r="AP249" s="33"/>
      <c r="AQ249" s="33"/>
      <c r="AR249" s="33"/>
      <c r="AS249" s="33" t="s">
        <v>1889</v>
      </c>
      <c r="AT249" s="33" t="s">
        <v>2089</v>
      </c>
      <c r="AU249" s="33" t="s">
        <v>2212</v>
      </c>
      <c r="AV249" s="318" t="s">
        <v>2387</v>
      </c>
      <c r="AW249" s="403" t="s">
        <v>2836</v>
      </c>
      <c r="AY249" s="414"/>
    </row>
    <row r="250" spans="1:51" ht="15" customHeight="1" x14ac:dyDescent="0.25">
      <c r="A250" s="301">
        <v>15840</v>
      </c>
      <c r="B250" s="28">
        <v>46063</v>
      </c>
      <c r="C250" s="28">
        <v>46063</v>
      </c>
      <c r="D250" s="33">
        <v>1</v>
      </c>
      <c r="E250" s="45" t="s">
        <v>54</v>
      </c>
      <c r="F250" s="21" t="s">
        <v>55</v>
      </c>
      <c r="G250" s="33">
        <v>0</v>
      </c>
      <c r="H250" s="33"/>
      <c r="I250" s="21" t="s">
        <v>55</v>
      </c>
      <c r="J250" s="21" t="s">
        <v>55</v>
      </c>
      <c r="K250" s="33">
        <v>0</v>
      </c>
      <c r="L250" s="36" t="s">
        <v>55</v>
      </c>
      <c r="M250" s="36" t="s">
        <v>55</v>
      </c>
      <c r="N250" s="36" t="s">
        <v>55</v>
      </c>
      <c r="O250" s="36" t="s">
        <v>55</v>
      </c>
      <c r="P250" s="36" t="s">
        <v>55</v>
      </c>
      <c r="Q250" s="36" t="s">
        <v>55</v>
      </c>
      <c r="R250" s="3" t="s">
        <v>55</v>
      </c>
      <c r="S250" s="33">
        <v>2</v>
      </c>
      <c r="T250" s="33">
        <v>2</v>
      </c>
      <c r="U250" s="33">
        <v>0</v>
      </c>
      <c r="V250" s="28">
        <v>46066</v>
      </c>
      <c r="W250" s="28">
        <v>46066</v>
      </c>
      <c r="X250" s="28">
        <v>46069</v>
      </c>
      <c r="Y250" s="30">
        <v>46072</v>
      </c>
      <c r="Z250" s="140">
        <v>46076</v>
      </c>
      <c r="AA250" s="3">
        <f t="shared" si="23"/>
        <v>2</v>
      </c>
      <c r="AB250" s="85" t="s">
        <v>845</v>
      </c>
      <c r="AC250" s="35" t="s">
        <v>846</v>
      </c>
      <c r="AD250" s="19" t="str">
        <f t="shared" si="20"/>
        <v>N/A</v>
      </c>
      <c r="AE250" s="67" t="str">
        <f>IFERROR(NETWORKDAYS(B250,I250,Hoja1!$A$1:$A$29),"N/A")</f>
        <v>N/A</v>
      </c>
      <c r="AF250" s="21">
        <f>IFERROR(NETWORKDAYS(B250,W250,Hoja1!$A$1:$A$29),"N/A")</f>
        <v>4</v>
      </c>
      <c r="AG250" s="78">
        <v>0</v>
      </c>
      <c r="AH250" s="21">
        <f t="shared" si="22"/>
        <v>4</v>
      </c>
      <c r="AI250" s="21">
        <f>IFERROR(NETWORKDAYS(X250,Y250,Hoja1!$A$1:$A$29),"N/A")</f>
        <v>4</v>
      </c>
      <c r="AJ250" s="67">
        <v>0</v>
      </c>
      <c r="AK250" s="75">
        <f t="shared" si="18"/>
        <v>4</v>
      </c>
      <c r="AL250" s="21">
        <f>IFERROR(NETWORKDAYS(B250,Y250,Hoja1!$A$1:$A$29),"N/A")</f>
        <v>8</v>
      </c>
      <c r="AM250" s="21">
        <f t="shared" si="21"/>
        <v>8</v>
      </c>
      <c r="AN250" s="33"/>
      <c r="AO250" s="33"/>
      <c r="AP250" s="33"/>
      <c r="AQ250" s="33"/>
      <c r="AR250" s="33"/>
      <c r="AS250" s="33" t="s">
        <v>1889</v>
      </c>
      <c r="AT250" s="33" t="s">
        <v>2090</v>
      </c>
      <c r="AU250" s="33" t="s">
        <v>2212</v>
      </c>
      <c r="AV250" s="318" t="s">
        <v>2235</v>
      </c>
      <c r="AW250" s="403" t="s">
        <v>2837</v>
      </c>
      <c r="AY250" s="415"/>
    </row>
    <row r="251" spans="1:51" ht="15" customHeight="1" x14ac:dyDescent="0.25">
      <c r="A251" s="301">
        <v>15844</v>
      </c>
      <c r="B251" s="28">
        <v>46063</v>
      </c>
      <c r="C251" s="28">
        <v>46063</v>
      </c>
      <c r="D251" s="33">
        <v>1</v>
      </c>
      <c r="E251" s="45" t="s">
        <v>54</v>
      </c>
      <c r="F251" s="21" t="s">
        <v>55</v>
      </c>
      <c r="G251" s="33">
        <v>0</v>
      </c>
      <c r="H251" s="33"/>
      <c r="I251" s="21" t="s">
        <v>55</v>
      </c>
      <c r="J251" s="21" t="s">
        <v>55</v>
      </c>
      <c r="K251" s="33">
        <v>0</v>
      </c>
      <c r="L251" s="36" t="s">
        <v>55</v>
      </c>
      <c r="M251" s="36" t="s">
        <v>55</v>
      </c>
      <c r="N251" s="36" t="s">
        <v>55</v>
      </c>
      <c r="O251" s="36" t="s">
        <v>55</v>
      </c>
      <c r="P251" s="36" t="s">
        <v>55</v>
      </c>
      <c r="Q251" s="36" t="s">
        <v>55</v>
      </c>
      <c r="R251" s="3" t="s">
        <v>55</v>
      </c>
      <c r="S251" s="33">
        <v>1</v>
      </c>
      <c r="T251" s="33">
        <v>1</v>
      </c>
      <c r="U251" s="33">
        <v>0</v>
      </c>
      <c r="V251" s="28">
        <v>46064</v>
      </c>
      <c r="W251" s="28">
        <v>46064</v>
      </c>
      <c r="X251" s="28">
        <v>46063</v>
      </c>
      <c r="Y251" s="28">
        <v>46064</v>
      </c>
      <c r="Z251" s="28">
        <v>46065</v>
      </c>
      <c r="AA251" s="3">
        <f t="shared" si="23"/>
        <v>2</v>
      </c>
      <c r="AB251" s="85" t="s">
        <v>848</v>
      </c>
      <c r="AC251" s="35" t="s">
        <v>849</v>
      </c>
      <c r="AD251" s="19" t="str">
        <f t="shared" si="20"/>
        <v>N/A</v>
      </c>
      <c r="AE251" s="67" t="str">
        <f>IFERROR(NETWORKDAYS(B251,I251,Hoja1!$A$1:$A$29),"N/A")</f>
        <v>N/A</v>
      </c>
      <c r="AF251" s="21">
        <f>IFERROR(NETWORKDAYS(B251,W251,Hoja1!$A$1:$A$29),"N/A")</f>
        <v>2</v>
      </c>
      <c r="AG251" s="78">
        <v>0</v>
      </c>
      <c r="AH251" s="21">
        <f t="shared" si="22"/>
        <v>2</v>
      </c>
      <c r="AI251" s="21">
        <f>IFERROR(NETWORKDAYS(X251,Y251,Hoja1!$A$1:$A$29),"N/A")</f>
        <v>2</v>
      </c>
      <c r="AJ251" s="122">
        <v>0</v>
      </c>
      <c r="AK251" s="75">
        <f t="shared" si="18"/>
        <v>2</v>
      </c>
      <c r="AL251" s="21">
        <f>IFERROR(NETWORKDAYS(B251,Y251,Hoja1!$A$1:$A$29),"N/A")</f>
        <v>2</v>
      </c>
      <c r="AM251" s="21">
        <f t="shared" si="21"/>
        <v>2</v>
      </c>
      <c r="AN251" s="33"/>
      <c r="AO251" s="33"/>
      <c r="AP251" s="33"/>
      <c r="AQ251" s="33"/>
      <c r="AR251" s="33"/>
      <c r="AS251" s="33" t="s">
        <v>1920</v>
      </c>
      <c r="AT251" s="33" t="s">
        <v>2091</v>
      </c>
      <c r="AU251" s="33" t="s">
        <v>2212</v>
      </c>
      <c r="AV251" s="318" t="s">
        <v>2322</v>
      </c>
      <c r="AW251" s="403" t="s">
        <v>2838</v>
      </c>
      <c r="AY251" s="414"/>
    </row>
    <row r="252" spans="1:51" ht="15" customHeight="1" x14ac:dyDescent="0.25">
      <c r="A252" s="294">
        <v>15848</v>
      </c>
      <c r="B252" s="15">
        <v>46063</v>
      </c>
      <c r="C252" s="16">
        <v>46063</v>
      </c>
      <c r="D252" s="1">
        <v>1</v>
      </c>
      <c r="E252" s="45" t="s">
        <v>54</v>
      </c>
      <c r="F252" s="21" t="s">
        <v>55</v>
      </c>
      <c r="G252" s="1">
        <v>0</v>
      </c>
      <c r="H252" s="1"/>
      <c r="I252" s="16" t="s">
        <v>55</v>
      </c>
      <c r="J252" s="16" t="s">
        <v>55</v>
      </c>
      <c r="K252" s="1">
        <v>0</v>
      </c>
      <c r="L252" s="36" t="s">
        <v>55</v>
      </c>
      <c r="M252" s="36" t="s">
        <v>55</v>
      </c>
      <c r="N252" s="36" t="s">
        <v>55</v>
      </c>
      <c r="O252" s="36" t="s">
        <v>55</v>
      </c>
      <c r="P252" s="36" t="s">
        <v>55</v>
      </c>
      <c r="Q252" s="36" t="s">
        <v>55</v>
      </c>
      <c r="R252" s="3" t="s">
        <v>55</v>
      </c>
      <c r="S252" s="1">
        <v>1</v>
      </c>
      <c r="T252" s="1">
        <v>1</v>
      </c>
      <c r="U252" s="1">
        <v>0</v>
      </c>
      <c r="V252" s="28">
        <v>46066</v>
      </c>
      <c r="W252" s="28">
        <v>46066</v>
      </c>
      <c r="X252" s="28">
        <v>46066</v>
      </c>
      <c r="Y252" s="16">
        <v>46073</v>
      </c>
      <c r="Z252" s="140">
        <v>46076</v>
      </c>
      <c r="AA252" s="3">
        <f t="shared" si="23"/>
        <v>2</v>
      </c>
      <c r="AB252" s="85" t="s">
        <v>850</v>
      </c>
      <c r="AC252" s="49" t="s">
        <v>851</v>
      </c>
      <c r="AD252" s="19" t="str">
        <f t="shared" si="20"/>
        <v>N/A</v>
      </c>
      <c r="AE252" s="67" t="str">
        <f>IFERROR(NETWORKDAYS(B252,I252,Hoja1!$A$1:$A$29),"N/A")</f>
        <v>N/A</v>
      </c>
      <c r="AF252" s="21">
        <f>IFERROR(NETWORKDAYS(B252,W252,Hoja1!$A$1:$A$29),"N/A")</f>
        <v>4</v>
      </c>
      <c r="AG252" s="78">
        <v>0</v>
      </c>
      <c r="AH252" s="21">
        <f t="shared" si="22"/>
        <v>4</v>
      </c>
      <c r="AI252" s="21">
        <f>IFERROR(NETWORKDAYS(X252,Y252,Hoja1!$A$1:$A$29),"N/A")</f>
        <v>6</v>
      </c>
      <c r="AJ252" s="113">
        <v>1</v>
      </c>
      <c r="AK252" s="75">
        <f t="shared" si="18"/>
        <v>5</v>
      </c>
      <c r="AL252" s="21">
        <f>IFERROR(NETWORKDAYS(B252,Y252,Hoja1!$A$1:$A$29),"N/A")</f>
        <v>9</v>
      </c>
      <c r="AM252" s="21">
        <f t="shared" si="21"/>
        <v>8</v>
      </c>
      <c r="AN252" s="33"/>
      <c r="AO252" s="33"/>
      <c r="AP252" s="33"/>
      <c r="AQ252" s="33"/>
      <c r="AR252" s="33"/>
      <c r="AS252" s="33" t="s">
        <v>1948</v>
      </c>
      <c r="AT252" s="33" t="s">
        <v>2056</v>
      </c>
      <c r="AU252" s="33" t="s">
        <v>2218</v>
      </c>
      <c r="AV252" s="318" t="s">
        <v>2372</v>
      </c>
      <c r="AW252" s="403" t="s">
        <v>2839</v>
      </c>
      <c r="AY252" s="415"/>
    </row>
    <row r="253" spans="1:51" ht="15" customHeight="1" x14ac:dyDescent="0.25">
      <c r="A253" s="302">
        <v>15850</v>
      </c>
      <c r="B253" s="130">
        <v>46064</v>
      </c>
      <c r="C253" s="130">
        <v>46064</v>
      </c>
      <c r="D253" s="89">
        <v>1</v>
      </c>
      <c r="E253" s="117" t="s">
        <v>54</v>
      </c>
      <c r="F253" s="89" t="s">
        <v>55</v>
      </c>
      <c r="G253" s="89">
        <v>6</v>
      </c>
      <c r="H253" s="89" t="s">
        <v>112</v>
      </c>
      <c r="I253" s="130">
        <v>46068</v>
      </c>
      <c r="J253" s="130">
        <v>46068</v>
      </c>
      <c r="K253" s="89">
        <v>5</v>
      </c>
      <c r="L253" s="89" t="s">
        <v>55</v>
      </c>
      <c r="M253" s="89" t="s">
        <v>55</v>
      </c>
      <c r="N253" s="89" t="s">
        <v>55</v>
      </c>
      <c r="O253" s="89" t="s">
        <v>55</v>
      </c>
      <c r="P253" s="89" t="s">
        <v>55</v>
      </c>
      <c r="Q253" s="89" t="s">
        <v>55</v>
      </c>
      <c r="R253" s="89" t="s">
        <v>55</v>
      </c>
      <c r="S253" s="89">
        <v>5</v>
      </c>
      <c r="T253" s="89">
        <v>1</v>
      </c>
      <c r="U253" s="89">
        <v>0</v>
      </c>
      <c r="V253" s="130">
        <v>46069</v>
      </c>
      <c r="W253" s="224">
        <v>46069</v>
      </c>
      <c r="X253" s="224">
        <v>46069</v>
      </c>
      <c r="Y253" s="134">
        <v>46073</v>
      </c>
      <c r="Z253" s="135">
        <v>46076</v>
      </c>
      <c r="AA253" s="89">
        <f t="shared" si="23"/>
        <v>2</v>
      </c>
      <c r="AB253" s="90" t="s">
        <v>853</v>
      </c>
      <c r="AC253" s="117" t="s">
        <v>854</v>
      </c>
      <c r="AD253" s="19">
        <f t="shared" si="20"/>
        <v>0.83333333333333337</v>
      </c>
      <c r="AE253" s="67">
        <f>IFERROR(NETWORKDAYS(B253,I253,Hoja1!$A$1:$A$29),"N/A")</f>
        <v>3</v>
      </c>
      <c r="AF253" s="21">
        <f>IFERROR(NETWORKDAYS(B253,W253,Hoja1!$A$1:$A$29),"N/A")</f>
        <v>4</v>
      </c>
      <c r="AG253" s="270">
        <v>0</v>
      </c>
      <c r="AH253" s="72">
        <f t="shared" si="22"/>
        <v>4</v>
      </c>
      <c r="AI253" s="21">
        <f>IFERROR(NETWORKDAYS(X253,Y253,Hoja1!$A$1:$A$29),"N/A")</f>
        <v>5</v>
      </c>
      <c r="AJ253" s="71">
        <v>0</v>
      </c>
      <c r="AK253" s="80">
        <f t="shared" ref="AK253:AK255" si="24">AI253-AJ253</f>
        <v>5</v>
      </c>
      <c r="AL253" s="21">
        <f>IFERROR(NETWORKDAYS(B253,Y253,Hoja1!$A$1:$A$29),"N/A")</f>
        <v>8</v>
      </c>
      <c r="AM253" s="72">
        <f t="shared" si="21"/>
        <v>8</v>
      </c>
      <c r="AN253" s="121"/>
      <c r="AO253" s="103"/>
      <c r="AP253" s="103"/>
      <c r="AQ253" s="103"/>
      <c r="AR253" s="103"/>
      <c r="AS253" s="103" t="s">
        <v>1890</v>
      </c>
      <c r="AT253" s="103" t="s">
        <v>2092</v>
      </c>
      <c r="AU253" s="103" t="s">
        <v>2216</v>
      </c>
      <c r="AV253" s="319" t="s">
        <v>2388</v>
      </c>
      <c r="AW253" s="403" t="s">
        <v>2840</v>
      </c>
      <c r="AY253" s="414"/>
    </row>
    <row r="254" spans="1:51" ht="15" customHeight="1" x14ac:dyDescent="0.25">
      <c r="A254" s="301">
        <v>15855</v>
      </c>
      <c r="B254" s="38">
        <v>46058</v>
      </c>
      <c r="C254" s="28">
        <v>46064</v>
      </c>
      <c r="D254" s="33">
        <v>1</v>
      </c>
      <c r="E254" s="45" t="s">
        <v>54</v>
      </c>
      <c r="F254" s="21" t="s">
        <v>55</v>
      </c>
      <c r="G254" s="33">
        <v>0</v>
      </c>
      <c r="H254" s="33"/>
      <c r="I254" s="21" t="s">
        <v>55</v>
      </c>
      <c r="J254" s="21" t="s">
        <v>55</v>
      </c>
      <c r="K254" s="33">
        <v>0</v>
      </c>
      <c r="L254" s="21" t="s">
        <v>55</v>
      </c>
      <c r="M254" s="21" t="s">
        <v>55</v>
      </c>
      <c r="N254" s="21" t="s">
        <v>55</v>
      </c>
      <c r="O254" s="21" t="s">
        <v>55</v>
      </c>
      <c r="P254" s="21" t="s">
        <v>55</v>
      </c>
      <c r="Q254" s="21" t="s">
        <v>55</v>
      </c>
      <c r="R254" s="3" t="s">
        <v>55</v>
      </c>
      <c r="S254" s="33">
        <v>0</v>
      </c>
      <c r="T254" s="33">
        <v>0</v>
      </c>
      <c r="U254" s="33">
        <v>0</v>
      </c>
      <c r="V254" s="36" t="s">
        <v>55</v>
      </c>
      <c r="W254" s="28">
        <v>46058</v>
      </c>
      <c r="X254" s="28">
        <v>46058</v>
      </c>
      <c r="Y254" s="53">
        <v>46064</v>
      </c>
      <c r="Z254" s="28">
        <v>46065</v>
      </c>
      <c r="AA254" s="3">
        <f t="shared" si="23"/>
        <v>2</v>
      </c>
      <c r="AB254" s="85" t="s">
        <v>857</v>
      </c>
      <c r="AC254" s="35" t="s">
        <v>858</v>
      </c>
      <c r="AD254" s="19" t="str">
        <f t="shared" si="20"/>
        <v>N/A</v>
      </c>
      <c r="AE254" s="67" t="str">
        <f>IFERROR(NETWORKDAYS(B254,I254,Hoja1!$A$1:$A$29),"N/A")</f>
        <v>N/A</v>
      </c>
      <c r="AF254" s="21">
        <f>IFERROR(NETWORKDAYS(B254,W254,Hoja1!$A$1:$A$29),"N/A")</f>
        <v>1</v>
      </c>
      <c r="AG254" s="78">
        <v>0</v>
      </c>
      <c r="AH254" s="21" t="s">
        <v>82</v>
      </c>
      <c r="AI254" s="21">
        <f>IFERROR(NETWORKDAYS(X254,Y254,Hoja1!$A$1:$A$29),"N/A")</f>
        <v>5</v>
      </c>
      <c r="AJ254" s="74">
        <v>0</v>
      </c>
      <c r="AK254" s="75">
        <f t="shared" si="24"/>
        <v>5</v>
      </c>
      <c r="AL254" s="21">
        <f>IFERROR(NETWORKDAYS(B254,Y254,Hoja1!$A$1:$A$29),"N/A")</f>
        <v>5</v>
      </c>
      <c r="AM254" s="21">
        <f t="shared" si="21"/>
        <v>5</v>
      </c>
      <c r="AN254" s="33"/>
      <c r="AO254" s="33"/>
      <c r="AP254" s="33"/>
      <c r="AQ254" s="33"/>
      <c r="AR254" s="33"/>
      <c r="AS254" s="33" t="s">
        <v>1891</v>
      </c>
      <c r="AT254" s="33" t="s">
        <v>2093</v>
      </c>
      <c r="AU254" s="33" t="s">
        <v>2220</v>
      </c>
      <c r="AV254" s="318" t="s">
        <v>2250</v>
      </c>
      <c r="AW254" s="403" t="s">
        <v>2841</v>
      </c>
      <c r="AY254" s="415"/>
    </row>
    <row r="255" spans="1:51" ht="15" customHeight="1" x14ac:dyDescent="0.25">
      <c r="A255" s="294">
        <v>15856</v>
      </c>
      <c r="B255" s="15">
        <v>46064</v>
      </c>
      <c r="C255" s="16">
        <v>46064</v>
      </c>
      <c r="D255" s="1">
        <v>1</v>
      </c>
      <c r="E255" s="45" t="s">
        <v>54</v>
      </c>
      <c r="F255" s="21" t="s">
        <v>55</v>
      </c>
      <c r="G255" s="1">
        <v>0</v>
      </c>
      <c r="H255" s="1"/>
      <c r="I255" s="16" t="s">
        <v>55</v>
      </c>
      <c r="J255" s="16" t="s">
        <v>55</v>
      </c>
      <c r="K255" s="1">
        <v>0</v>
      </c>
      <c r="L255" s="36" t="s">
        <v>55</v>
      </c>
      <c r="M255" s="36" t="s">
        <v>55</v>
      </c>
      <c r="N255" s="36" t="s">
        <v>55</v>
      </c>
      <c r="O255" s="36" t="s">
        <v>55</v>
      </c>
      <c r="P255" s="36" t="s">
        <v>55</v>
      </c>
      <c r="Q255" s="36" t="s">
        <v>55</v>
      </c>
      <c r="R255" s="3" t="s">
        <v>55</v>
      </c>
      <c r="S255" s="1">
        <v>1</v>
      </c>
      <c r="T255" s="1">
        <v>1</v>
      </c>
      <c r="U255" s="1">
        <v>0</v>
      </c>
      <c r="V255" s="28">
        <v>46069</v>
      </c>
      <c r="W255" s="28">
        <v>46069</v>
      </c>
      <c r="X255" s="28">
        <v>46069</v>
      </c>
      <c r="Y255" s="16">
        <v>46073</v>
      </c>
      <c r="Z255" s="140">
        <v>46076</v>
      </c>
      <c r="AA255" s="3">
        <f t="shared" si="23"/>
        <v>2</v>
      </c>
      <c r="AB255" s="85" t="s">
        <v>859</v>
      </c>
      <c r="AC255" s="49" t="s">
        <v>860</v>
      </c>
      <c r="AD255" s="19" t="str">
        <f t="shared" si="20"/>
        <v>N/A</v>
      </c>
      <c r="AE255" s="67" t="str">
        <f>IFERROR(NETWORKDAYS(B255,I255,Hoja1!$A$1:$A$29),"N/A")</f>
        <v>N/A</v>
      </c>
      <c r="AF255" s="21">
        <f>IFERROR(NETWORKDAYS(B255,W255,Hoja1!$A$1:$A$29),"N/A")</f>
        <v>4</v>
      </c>
      <c r="AG255" s="78">
        <v>0</v>
      </c>
      <c r="AH255" s="21">
        <f>AF255-AG255</f>
        <v>4</v>
      </c>
      <c r="AI255" s="21">
        <f>IFERROR(NETWORKDAYS(X255,Y255,Hoja1!$A$1:$A$29),"N/A")</f>
        <v>5</v>
      </c>
      <c r="AJ255" s="113">
        <v>0</v>
      </c>
      <c r="AK255" s="75">
        <f t="shared" si="24"/>
        <v>5</v>
      </c>
      <c r="AL255" s="21">
        <f>IFERROR(NETWORKDAYS(B255,Y255,Hoja1!$A$1:$A$29),"N/A")</f>
        <v>8</v>
      </c>
      <c r="AM255" s="21">
        <f t="shared" si="21"/>
        <v>8</v>
      </c>
      <c r="AN255" s="33"/>
      <c r="AO255" s="33"/>
      <c r="AP255" s="33"/>
      <c r="AQ255" s="33"/>
      <c r="AR255" s="33"/>
      <c r="AS255" s="33" t="s">
        <v>1949</v>
      </c>
      <c r="AT255" s="33" t="s">
        <v>2056</v>
      </c>
      <c r="AU255" s="33" t="s">
        <v>2218</v>
      </c>
      <c r="AV255" s="318" t="s">
        <v>2372</v>
      </c>
      <c r="AW255" s="403" t="s">
        <v>2842</v>
      </c>
      <c r="AY255" s="414"/>
    </row>
    <row r="256" spans="1:51" ht="15" customHeight="1" x14ac:dyDescent="0.25">
      <c r="A256" s="294">
        <v>15868</v>
      </c>
      <c r="B256" s="30">
        <v>46055</v>
      </c>
      <c r="C256" s="30">
        <v>46066</v>
      </c>
      <c r="D256" s="3">
        <v>1</v>
      </c>
      <c r="E256" s="159" t="s">
        <v>247</v>
      </c>
      <c r="F256" s="3" t="s">
        <v>55</v>
      </c>
      <c r="G256" s="3">
        <v>11</v>
      </c>
      <c r="H256" s="3" t="s">
        <v>112</v>
      </c>
      <c r="I256" s="30">
        <v>46059</v>
      </c>
      <c r="J256" s="30">
        <v>46059</v>
      </c>
      <c r="K256" s="3">
        <v>11</v>
      </c>
      <c r="L256" s="3" t="s">
        <v>55</v>
      </c>
      <c r="M256" s="3" t="s">
        <v>55</v>
      </c>
      <c r="N256" s="3" t="s">
        <v>55</v>
      </c>
      <c r="O256" s="3" t="s">
        <v>55</v>
      </c>
      <c r="P256" s="3" t="s">
        <v>55</v>
      </c>
      <c r="Q256" s="3" t="s">
        <v>55</v>
      </c>
      <c r="R256" s="3" t="s">
        <v>55</v>
      </c>
      <c r="S256" s="3">
        <v>1</v>
      </c>
      <c r="T256" s="3">
        <v>1</v>
      </c>
      <c r="U256" s="3">
        <v>0</v>
      </c>
      <c r="V256" s="28">
        <v>46066</v>
      </c>
      <c r="W256" s="28">
        <v>46066</v>
      </c>
      <c r="X256" s="3" t="s">
        <v>55</v>
      </c>
      <c r="Y256" s="30">
        <v>46076</v>
      </c>
      <c r="Z256" s="30">
        <v>46076</v>
      </c>
      <c r="AA256" s="3">
        <f t="shared" si="23"/>
        <v>2</v>
      </c>
      <c r="AB256" s="85" t="s">
        <v>861</v>
      </c>
      <c r="AC256" s="35" t="s">
        <v>862</v>
      </c>
      <c r="AD256" s="19">
        <f t="shared" si="20"/>
        <v>1</v>
      </c>
      <c r="AE256" s="67">
        <f>IFERROR(NETWORKDAYS(B256,I256,Hoja1!$A$1:$A$29),"N/A")</f>
        <v>5</v>
      </c>
      <c r="AF256" s="21">
        <f>IFERROR(NETWORKDAYS(B256,W256,Hoja1!$A$1:$A$29),"N/A")</f>
        <v>10</v>
      </c>
      <c r="AG256" s="123">
        <v>0</v>
      </c>
      <c r="AH256" s="21">
        <f>AF256-AG256</f>
        <v>10</v>
      </c>
      <c r="AI256" s="21" t="str">
        <f>IFERROR(NETWORKDAYS(X256,Y256,Hoja1!$A$1:$A$29),"N/A")</f>
        <v>N/A</v>
      </c>
      <c r="AJ256" s="67">
        <v>0</v>
      </c>
      <c r="AK256" s="21" t="s">
        <v>82</v>
      </c>
      <c r="AL256" s="21">
        <f>IFERROR(NETWORKDAYS(B256,Y256,Hoja1!$A$1:$A$29),"N/A")</f>
        <v>16</v>
      </c>
      <c r="AM256" s="21">
        <f t="shared" si="21"/>
        <v>16</v>
      </c>
      <c r="AN256" s="3"/>
      <c r="AO256" s="3"/>
      <c r="AP256" s="3"/>
      <c r="AQ256" s="3"/>
      <c r="AR256" s="3"/>
      <c r="AS256" s="3" t="s">
        <v>1950</v>
      </c>
      <c r="AT256" s="3" t="s">
        <v>2067</v>
      </c>
      <c r="AU256" s="3" t="s">
        <v>2209</v>
      </c>
      <c r="AV256" s="316" t="s">
        <v>2389</v>
      </c>
      <c r="AW256" s="403" t="s">
        <v>2843</v>
      </c>
      <c r="AY256" s="415"/>
    </row>
    <row r="257" spans="1:51" ht="15" customHeight="1" x14ac:dyDescent="0.25">
      <c r="A257" s="294">
        <v>15949</v>
      </c>
      <c r="B257" s="30">
        <v>46055</v>
      </c>
      <c r="C257" s="30">
        <v>46076</v>
      </c>
      <c r="D257" s="3">
        <v>1</v>
      </c>
      <c r="E257" s="159" t="s">
        <v>247</v>
      </c>
      <c r="F257" s="3" t="s">
        <v>55</v>
      </c>
      <c r="G257" s="3">
        <v>11</v>
      </c>
      <c r="H257" s="3" t="s">
        <v>112</v>
      </c>
      <c r="I257" s="30">
        <v>46059</v>
      </c>
      <c r="J257" s="30">
        <v>46059</v>
      </c>
      <c r="K257" s="3">
        <v>11</v>
      </c>
      <c r="L257" s="3" t="s">
        <v>55</v>
      </c>
      <c r="M257" s="3" t="s">
        <v>55</v>
      </c>
      <c r="N257" s="3" t="s">
        <v>55</v>
      </c>
      <c r="O257" s="3" t="s">
        <v>55</v>
      </c>
      <c r="P257" s="3" t="s">
        <v>55</v>
      </c>
      <c r="Q257" s="3" t="s">
        <v>55</v>
      </c>
      <c r="R257" s="3" t="s">
        <v>55</v>
      </c>
      <c r="S257" s="3">
        <v>1</v>
      </c>
      <c r="T257" s="3">
        <v>1</v>
      </c>
      <c r="U257" s="3">
        <v>0</v>
      </c>
      <c r="V257" s="28">
        <v>46066</v>
      </c>
      <c r="W257" s="28">
        <v>46066</v>
      </c>
      <c r="X257" s="3" t="s">
        <v>55</v>
      </c>
      <c r="Y257" s="30">
        <v>46076</v>
      </c>
      <c r="Z257" s="30">
        <v>46076</v>
      </c>
      <c r="AA257" s="3">
        <f t="shared" si="23"/>
        <v>2</v>
      </c>
      <c r="AB257" s="85" t="s">
        <v>864</v>
      </c>
      <c r="AC257" s="35" t="s">
        <v>865</v>
      </c>
      <c r="AD257" s="19">
        <f t="shared" si="20"/>
        <v>1</v>
      </c>
      <c r="AE257" s="67">
        <f>IFERROR(NETWORKDAYS(B257,I257,Hoja1!$A$1:$A$29),"N/A")</f>
        <v>5</v>
      </c>
      <c r="AF257" s="21">
        <f>IFERROR(NETWORKDAYS(B257,W257,Hoja1!$A$1:$A$29),"N/A")</f>
        <v>10</v>
      </c>
      <c r="AG257" s="123">
        <v>0</v>
      </c>
      <c r="AH257" s="21">
        <f>AF257-AG257</f>
        <v>10</v>
      </c>
      <c r="AI257" s="21" t="str">
        <f>IFERROR(NETWORKDAYS(X257,Y257,Hoja1!$A$1:$A$29),"N/A")</f>
        <v>N/A</v>
      </c>
      <c r="AJ257" s="67">
        <v>0</v>
      </c>
      <c r="AK257" s="21" t="s">
        <v>82</v>
      </c>
      <c r="AL257" s="21">
        <f>IFERROR(NETWORKDAYS(B257,Y257,Hoja1!$A$1:$A$29),"N/A")</f>
        <v>16</v>
      </c>
      <c r="AM257" s="21">
        <f t="shared" si="21"/>
        <v>16</v>
      </c>
      <c r="AN257" s="3"/>
      <c r="AO257" s="3"/>
      <c r="AP257" s="3"/>
      <c r="AQ257" s="3"/>
      <c r="AR257" s="3"/>
      <c r="AS257" s="3" t="s">
        <v>1950</v>
      </c>
      <c r="AT257" s="3" t="s">
        <v>2067</v>
      </c>
      <c r="AU257" s="3" t="s">
        <v>2209</v>
      </c>
      <c r="AV257" s="316" t="s">
        <v>2390</v>
      </c>
      <c r="AW257" s="403" t="s">
        <v>2844</v>
      </c>
      <c r="AY257" s="414"/>
    </row>
    <row r="258" spans="1:51" ht="15" customHeight="1" x14ac:dyDescent="0.25">
      <c r="A258" s="301">
        <v>15987</v>
      </c>
      <c r="B258" s="28">
        <v>45986</v>
      </c>
      <c r="C258" s="15">
        <v>45986</v>
      </c>
      <c r="D258" s="33">
        <v>1</v>
      </c>
      <c r="E258" s="45" t="s">
        <v>54</v>
      </c>
      <c r="F258" s="21" t="s">
        <v>55</v>
      </c>
      <c r="G258" s="33">
        <v>20</v>
      </c>
      <c r="H258" s="33" t="s">
        <v>56</v>
      </c>
      <c r="I258" s="28">
        <v>45992</v>
      </c>
      <c r="J258" s="28">
        <v>46045</v>
      </c>
      <c r="K258" s="33">
        <v>20</v>
      </c>
      <c r="L258" s="36" t="s">
        <v>55</v>
      </c>
      <c r="M258" s="36" t="s">
        <v>55</v>
      </c>
      <c r="N258" s="36" t="s">
        <v>55</v>
      </c>
      <c r="O258" s="36" t="s">
        <v>55</v>
      </c>
      <c r="P258" s="36" t="s">
        <v>55</v>
      </c>
      <c r="Q258" s="36" t="s">
        <v>55</v>
      </c>
      <c r="R258" s="3" t="s">
        <v>55</v>
      </c>
      <c r="S258" s="33">
        <v>3</v>
      </c>
      <c r="T258" s="33">
        <v>1</v>
      </c>
      <c r="U258" s="33">
        <v>0</v>
      </c>
      <c r="V258" s="28">
        <v>46049</v>
      </c>
      <c r="W258" s="28">
        <v>46050</v>
      </c>
      <c r="X258" s="28">
        <v>46052</v>
      </c>
      <c r="Y258" s="28">
        <v>46063</v>
      </c>
      <c r="Z258" s="28">
        <v>46065</v>
      </c>
      <c r="AA258" s="3">
        <f t="shared" si="23"/>
        <v>2</v>
      </c>
      <c r="AB258" s="85" t="s">
        <v>867</v>
      </c>
      <c r="AC258" s="35" t="s">
        <v>868</v>
      </c>
      <c r="AD258" s="19">
        <f t="shared" ref="AD258:AD321" si="25">IFERROR(K258/G258,"N/A")</f>
        <v>1</v>
      </c>
      <c r="AE258" s="67">
        <f>IFERROR(NETWORKDAYS(B258,I258,Hoja1!$A$1:$A$29),"N/A")</f>
        <v>5</v>
      </c>
      <c r="AF258" s="21">
        <f>IFERROR(NETWORKDAYS(B258,W258,Hoja1!$A$1:$A$29),"N/A")</f>
        <v>43</v>
      </c>
      <c r="AG258" s="78">
        <v>20</v>
      </c>
      <c r="AH258" s="21">
        <f>AF258-AG258</f>
        <v>23</v>
      </c>
      <c r="AI258" s="21">
        <f>IFERROR(NETWORKDAYS(X258,Y258,Hoja1!$A$1:$A$29),"N/A")</f>
        <v>8</v>
      </c>
      <c r="AJ258" s="113">
        <v>3</v>
      </c>
      <c r="AK258" s="75">
        <f>AI258-AJ258</f>
        <v>5</v>
      </c>
      <c r="AL258" s="21">
        <f>IFERROR(NETWORKDAYS(B258,Y258,Hoja1!$A$1:$A$29),"N/A")</f>
        <v>52</v>
      </c>
      <c r="AM258" s="21">
        <f t="shared" ref="AM258:AM321" si="26">AL258-AG258-AJ258</f>
        <v>29</v>
      </c>
      <c r="AN258" s="33" t="s">
        <v>464</v>
      </c>
      <c r="AO258" s="33"/>
      <c r="AP258" s="33"/>
      <c r="AQ258" s="33"/>
      <c r="AR258" s="33"/>
      <c r="AS258" s="33" t="s">
        <v>1889</v>
      </c>
      <c r="AT258" s="33" t="s">
        <v>1994</v>
      </c>
      <c r="AU258" s="33" t="s">
        <v>2212</v>
      </c>
      <c r="AV258" s="318" t="s">
        <v>2307</v>
      </c>
      <c r="AW258" s="403" t="s">
        <v>2845</v>
      </c>
      <c r="AY258" s="415"/>
    </row>
    <row r="259" spans="1:51" ht="15" customHeight="1" x14ac:dyDescent="0.25">
      <c r="A259" s="295">
        <v>14682</v>
      </c>
      <c r="B259" s="142">
        <v>46048</v>
      </c>
      <c r="C259" s="142">
        <v>45881</v>
      </c>
      <c r="D259" s="21">
        <v>1</v>
      </c>
      <c r="E259" s="87" t="s">
        <v>54</v>
      </c>
      <c r="F259" s="2" t="s">
        <v>55</v>
      </c>
      <c r="G259" s="3">
        <v>17</v>
      </c>
      <c r="H259" s="3" t="s">
        <v>56</v>
      </c>
      <c r="I259" s="37">
        <v>46048</v>
      </c>
      <c r="J259" s="37">
        <v>46048</v>
      </c>
      <c r="K259" s="3">
        <v>17</v>
      </c>
      <c r="L259" s="18" t="s">
        <v>55</v>
      </c>
      <c r="M259" s="18" t="s">
        <v>55</v>
      </c>
      <c r="N259" s="18" t="s">
        <v>55</v>
      </c>
      <c r="O259" s="18" t="s">
        <v>55</v>
      </c>
      <c r="P259" s="18" t="s">
        <v>55</v>
      </c>
      <c r="Q259" s="18" t="s">
        <v>55</v>
      </c>
      <c r="R259" s="18" t="s">
        <v>55</v>
      </c>
      <c r="S259" s="3">
        <v>6</v>
      </c>
      <c r="T259" s="3">
        <v>4</v>
      </c>
      <c r="U259" s="3">
        <v>0</v>
      </c>
      <c r="V259" s="28">
        <v>46073</v>
      </c>
      <c r="W259" s="28">
        <v>46073</v>
      </c>
      <c r="X259" s="28">
        <v>46073</v>
      </c>
      <c r="Y259" s="28">
        <v>46087</v>
      </c>
      <c r="Z259" s="28">
        <v>46090</v>
      </c>
      <c r="AA259" s="33">
        <f t="shared" si="23"/>
        <v>3</v>
      </c>
      <c r="AB259" s="144" t="s">
        <v>870</v>
      </c>
      <c r="AC259" s="35" t="s">
        <v>1294</v>
      </c>
      <c r="AD259" s="19">
        <f t="shared" si="25"/>
        <v>1</v>
      </c>
      <c r="AE259" s="67">
        <f>IFERROR(NETWORKDAYS(B259,I259,Hoja1!$A$1:$A$29),"N/A")</f>
        <v>1</v>
      </c>
      <c r="AF259" s="21">
        <f>IFERROR(NETWORKDAYS(B259,W259,Hoja1!$A$1:$A$29),"N/A")</f>
        <v>20</v>
      </c>
      <c r="AG259" s="78">
        <v>0</v>
      </c>
      <c r="AH259" s="21">
        <f t="shared" ref="AH259:AH269" si="27">AF259-AG259</f>
        <v>20</v>
      </c>
      <c r="AI259" s="21">
        <f>IFERROR(NETWORKDAYS(X259,Y259,Hoja1!$A$1:$A$29),"N/A")</f>
        <v>11</v>
      </c>
      <c r="AJ259" s="78">
        <v>6</v>
      </c>
      <c r="AK259" s="75">
        <f t="shared" ref="AK259:AK292" si="28">AI259-AJ259</f>
        <v>5</v>
      </c>
      <c r="AL259" s="21">
        <f>IFERROR(NETWORKDAYS(B259,Y259,Hoja1!$A$1:$A$29),"N/A")</f>
        <v>30</v>
      </c>
      <c r="AM259" s="21">
        <f t="shared" si="26"/>
        <v>24</v>
      </c>
      <c r="AN259" s="87" t="s">
        <v>446</v>
      </c>
      <c r="AO259" s="87" t="s">
        <v>445</v>
      </c>
      <c r="AP259" s="87" t="s">
        <v>446</v>
      </c>
      <c r="AQ259" s="87" t="s">
        <v>871</v>
      </c>
      <c r="AR259" s="87"/>
      <c r="AS259" s="87" t="s">
        <v>1891</v>
      </c>
      <c r="AT259" s="87" t="s">
        <v>1994</v>
      </c>
      <c r="AU259" s="87" t="s">
        <v>2211</v>
      </c>
      <c r="AV259" s="320" t="s">
        <v>2232</v>
      </c>
      <c r="AW259" s="403" t="s">
        <v>2846</v>
      </c>
      <c r="AY259" s="414"/>
    </row>
    <row r="260" spans="1:51" ht="15" customHeight="1" x14ac:dyDescent="0.25">
      <c r="A260" s="294">
        <v>14822</v>
      </c>
      <c r="B260" s="142">
        <v>46043</v>
      </c>
      <c r="C260" s="142">
        <v>45979</v>
      </c>
      <c r="D260" s="21">
        <v>1</v>
      </c>
      <c r="E260" s="87" t="s">
        <v>54</v>
      </c>
      <c r="F260" s="3" t="s">
        <v>55</v>
      </c>
      <c r="G260" s="3">
        <v>5</v>
      </c>
      <c r="H260" s="33" t="s">
        <v>56</v>
      </c>
      <c r="I260" s="30">
        <v>46049</v>
      </c>
      <c r="J260" s="30">
        <v>46049</v>
      </c>
      <c r="K260" s="3">
        <v>5</v>
      </c>
      <c r="L260" s="3" t="s">
        <v>55</v>
      </c>
      <c r="M260" s="3" t="s">
        <v>55</v>
      </c>
      <c r="N260" s="3" t="s">
        <v>55</v>
      </c>
      <c r="O260" s="3" t="s">
        <v>55</v>
      </c>
      <c r="P260" s="3" t="s">
        <v>55</v>
      </c>
      <c r="Q260" s="3" t="s">
        <v>55</v>
      </c>
      <c r="R260" s="3" t="s">
        <v>55</v>
      </c>
      <c r="S260" s="2">
        <v>24</v>
      </c>
      <c r="T260" s="2">
        <v>1</v>
      </c>
      <c r="U260" s="3">
        <v>0</v>
      </c>
      <c r="V260" s="28">
        <v>46050</v>
      </c>
      <c r="W260" s="28">
        <v>46065</v>
      </c>
      <c r="X260" s="28">
        <v>46065</v>
      </c>
      <c r="Y260" s="28">
        <v>46101</v>
      </c>
      <c r="Z260" s="140">
        <v>46106</v>
      </c>
      <c r="AA260" s="33">
        <f t="shared" si="23"/>
        <v>3</v>
      </c>
      <c r="AB260" s="144" t="s">
        <v>873</v>
      </c>
      <c r="AC260" s="146" t="s">
        <v>874</v>
      </c>
      <c r="AD260" s="19">
        <f t="shared" si="25"/>
        <v>1</v>
      </c>
      <c r="AE260" s="67">
        <f>IFERROR(NETWORKDAYS(B260,I260,Hoja1!$A$1:$A$29),"N/A")</f>
        <v>5</v>
      </c>
      <c r="AF260" s="21">
        <f>IFERROR(NETWORKDAYS(B260,W260,Hoja1!$A$1:$A$29),"N/A")</f>
        <v>17</v>
      </c>
      <c r="AG260" s="78">
        <v>0</v>
      </c>
      <c r="AH260" s="21">
        <f t="shared" si="27"/>
        <v>17</v>
      </c>
      <c r="AI260" s="21">
        <f>IFERROR(NETWORKDAYS(X260,Y260,Hoja1!$A$1:$A$29),"N/A")</f>
        <v>27</v>
      </c>
      <c r="AJ260" s="78">
        <v>22</v>
      </c>
      <c r="AK260" s="75">
        <f t="shared" si="28"/>
        <v>5</v>
      </c>
      <c r="AL260" s="21">
        <f>IFERROR(NETWORKDAYS(B260,Y260,Hoja1!$A$1:$A$29),"N/A")</f>
        <v>43</v>
      </c>
      <c r="AM260" s="21">
        <f t="shared" si="26"/>
        <v>21</v>
      </c>
      <c r="AN260" s="111" t="s">
        <v>454</v>
      </c>
      <c r="AO260" s="111" t="s">
        <v>871</v>
      </c>
      <c r="AP260" s="87" t="s">
        <v>445</v>
      </c>
      <c r="AQ260" s="87" t="s">
        <v>445</v>
      </c>
      <c r="AR260" s="111"/>
      <c r="AS260" s="111" t="s">
        <v>1905</v>
      </c>
      <c r="AT260" s="111" t="s">
        <v>2046</v>
      </c>
      <c r="AU260" s="111" t="s">
        <v>2219</v>
      </c>
      <c r="AV260" s="321" t="s">
        <v>2391</v>
      </c>
      <c r="AW260" s="403" t="s">
        <v>2847</v>
      </c>
      <c r="AY260" s="415"/>
    </row>
    <row r="261" spans="1:51" ht="15" customHeight="1" x14ac:dyDescent="0.25">
      <c r="A261" s="301">
        <v>14874</v>
      </c>
      <c r="B261" s="142">
        <v>45912</v>
      </c>
      <c r="C261" s="142">
        <v>45912</v>
      </c>
      <c r="D261" s="21">
        <v>1</v>
      </c>
      <c r="E261" s="87" t="s">
        <v>54</v>
      </c>
      <c r="F261" s="33" t="s">
        <v>55</v>
      </c>
      <c r="G261" s="33">
        <v>17</v>
      </c>
      <c r="H261" s="33" t="s">
        <v>56</v>
      </c>
      <c r="I261" s="147">
        <v>45917</v>
      </c>
      <c r="J261" s="147">
        <v>45917</v>
      </c>
      <c r="K261" s="33">
        <v>17</v>
      </c>
      <c r="L261" s="33" t="s">
        <v>55</v>
      </c>
      <c r="M261" s="33" t="s">
        <v>55</v>
      </c>
      <c r="N261" s="33" t="s">
        <v>55</v>
      </c>
      <c r="O261" s="33" t="s">
        <v>55</v>
      </c>
      <c r="P261" s="33" t="s">
        <v>55</v>
      </c>
      <c r="Q261" s="33" t="s">
        <v>55</v>
      </c>
      <c r="R261" s="33" t="s">
        <v>55</v>
      </c>
      <c r="S261" s="21">
        <v>1</v>
      </c>
      <c r="T261" s="21">
        <v>1</v>
      </c>
      <c r="U261" s="33">
        <v>0</v>
      </c>
      <c r="V261" s="28">
        <v>46073</v>
      </c>
      <c r="W261" s="28">
        <v>46073</v>
      </c>
      <c r="X261" s="28">
        <v>46073</v>
      </c>
      <c r="Y261" s="28">
        <v>46087</v>
      </c>
      <c r="Z261" s="148">
        <v>46090</v>
      </c>
      <c r="AA261" s="33">
        <f t="shared" si="23"/>
        <v>3</v>
      </c>
      <c r="AB261" s="144" t="s">
        <v>877</v>
      </c>
      <c r="AC261" s="35" t="s">
        <v>878</v>
      </c>
      <c r="AD261" s="19">
        <f t="shared" si="25"/>
        <v>1</v>
      </c>
      <c r="AE261" s="67">
        <f>IFERROR(NETWORKDAYS(B261,I261,Hoja1!$A$1:$A$29),"N/A")</f>
        <v>4</v>
      </c>
      <c r="AF261" s="21">
        <f>IFERROR(NETWORKDAYS(B261,W261,Hoja1!$A$1:$A$29),"N/A")</f>
        <v>109</v>
      </c>
      <c r="AG261" s="78">
        <v>65</v>
      </c>
      <c r="AH261" s="21">
        <f t="shared" si="27"/>
        <v>44</v>
      </c>
      <c r="AI261" s="21">
        <f>IFERROR(NETWORKDAYS(X261,Y261,Hoja1!$A$1:$A$29),"N/A")</f>
        <v>11</v>
      </c>
      <c r="AJ261" s="78">
        <v>6</v>
      </c>
      <c r="AK261" s="75">
        <f t="shared" si="28"/>
        <v>5</v>
      </c>
      <c r="AL261" s="21">
        <f>IFERROR(NETWORKDAYS(B261,Y261,Hoja1!$A$1:$A$29),"N/A")</f>
        <v>119</v>
      </c>
      <c r="AM261" s="21">
        <f t="shared" si="26"/>
        <v>48</v>
      </c>
      <c r="AN261" s="114"/>
      <c r="AO261" s="111"/>
      <c r="AP261" s="111"/>
      <c r="AQ261" s="111"/>
      <c r="AR261" s="111"/>
      <c r="AS261" s="111" t="s">
        <v>1951</v>
      </c>
      <c r="AT261" s="111" t="s">
        <v>1994</v>
      </c>
      <c r="AU261" s="111" t="s">
        <v>2210</v>
      </c>
      <c r="AV261" s="321" t="s">
        <v>2232</v>
      </c>
      <c r="AW261" s="403" t="s">
        <v>2848</v>
      </c>
      <c r="AY261" s="414"/>
    </row>
    <row r="262" spans="1:51" ht="15" customHeight="1" x14ac:dyDescent="0.25">
      <c r="A262" s="293">
        <v>14877</v>
      </c>
      <c r="B262" s="142">
        <v>46065</v>
      </c>
      <c r="C262" s="142">
        <v>45911</v>
      </c>
      <c r="D262" s="21">
        <v>1</v>
      </c>
      <c r="E262" s="87" t="s">
        <v>54</v>
      </c>
      <c r="F262" s="18" t="s">
        <v>55</v>
      </c>
      <c r="G262" s="3">
        <v>14</v>
      </c>
      <c r="H262" s="33" t="s">
        <v>56</v>
      </c>
      <c r="I262" s="30">
        <v>46066</v>
      </c>
      <c r="J262" s="30">
        <v>46066</v>
      </c>
      <c r="K262" s="3">
        <v>10</v>
      </c>
      <c r="L262" s="18" t="s">
        <v>55</v>
      </c>
      <c r="M262" s="18" t="s">
        <v>55</v>
      </c>
      <c r="N262" s="18" t="s">
        <v>55</v>
      </c>
      <c r="O262" s="18" t="s">
        <v>55</v>
      </c>
      <c r="P262" s="18" t="s">
        <v>55</v>
      </c>
      <c r="Q262" s="18" t="s">
        <v>55</v>
      </c>
      <c r="R262" s="18" t="s">
        <v>55</v>
      </c>
      <c r="S262" s="3">
        <v>3</v>
      </c>
      <c r="T262" s="3">
        <v>3</v>
      </c>
      <c r="U262" s="3">
        <v>0</v>
      </c>
      <c r="V262" s="30">
        <v>46073</v>
      </c>
      <c r="W262" s="30">
        <v>46073</v>
      </c>
      <c r="X262" s="30">
        <v>46073</v>
      </c>
      <c r="Y262" s="28">
        <v>46080</v>
      </c>
      <c r="Z262" s="37">
        <v>46083</v>
      </c>
      <c r="AA262" s="33">
        <f t="shared" si="23"/>
        <v>3</v>
      </c>
      <c r="AB262" s="48" t="s">
        <v>880</v>
      </c>
      <c r="AC262" s="35" t="s">
        <v>1295</v>
      </c>
      <c r="AD262" s="19">
        <f t="shared" si="25"/>
        <v>0.7142857142857143</v>
      </c>
      <c r="AE262" s="67">
        <f>IFERROR(NETWORKDAYS(B262,I262,Hoja1!$A$1:$A$29),"N/A")</f>
        <v>2</v>
      </c>
      <c r="AF262" s="21">
        <f>IFERROR(NETWORKDAYS(B262,W262,Hoja1!$A$1:$A$29),"N/A")</f>
        <v>7</v>
      </c>
      <c r="AG262" s="78">
        <v>0</v>
      </c>
      <c r="AH262" s="21">
        <f t="shared" si="27"/>
        <v>7</v>
      </c>
      <c r="AI262" s="21">
        <f>IFERROR(NETWORKDAYS(X262,Y262,Hoja1!$A$1:$A$29),"N/A")</f>
        <v>6</v>
      </c>
      <c r="AJ262" s="78">
        <v>1</v>
      </c>
      <c r="AK262" s="75">
        <f t="shared" si="28"/>
        <v>5</v>
      </c>
      <c r="AL262" s="21">
        <f>IFERROR(NETWORKDAYS(B262,Y262,Hoja1!$A$1:$A$29),"N/A")</f>
        <v>12</v>
      </c>
      <c r="AM262" s="21">
        <f t="shared" si="26"/>
        <v>11</v>
      </c>
      <c r="AN262" s="87" t="s">
        <v>881</v>
      </c>
      <c r="AO262" s="87" t="s">
        <v>445</v>
      </c>
      <c r="AP262" s="87"/>
      <c r="AQ262" s="87"/>
      <c r="AR262" s="87"/>
      <c r="AS262" s="87" t="s">
        <v>1923</v>
      </c>
      <c r="AT262" s="87" t="s">
        <v>2046</v>
      </c>
      <c r="AU262" s="87" t="s">
        <v>2215</v>
      </c>
      <c r="AV262" s="320" t="s">
        <v>2392</v>
      </c>
      <c r="AW262" s="403" t="s">
        <v>2849</v>
      </c>
      <c r="AY262" s="415"/>
    </row>
    <row r="263" spans="1:51" ht="15" customHeight="1" x14ac:dyDescent="0.25">
      <c r="A263" s="294">
        <v>14933</v>
      </c>
      <c r="B263" s="142">
        <v>46051</v>
      </c>
      <c r="C263" s="142">
        <v>45979</v>
      </c>
      <c r="D263" s="21">
        <v>1</v>
      </c>
      <c r="E263" s="87" t="s">
        <v>54</v>
      </c>
      <c r="F263" s="3" t="s">
        <v>55</v>
      </c>
      <c r="G263" s="3">
        <v>9</v>
      </c>
      <c r="H263" s="33" t="s">
        <v>56</v>
      </c>
      <c r="I263" s="28">
        <v>46056</v>
      </c>
      <c r="J263" s="28">
        <v>46056</v>
      </c>
      <c r="K263" s="3">
        <v>9</v>
      </c>
      <c r="L263" s="3" t="s">
        <v>55</v>
      </c>
      <c r="M263" s="3" t="s">
        <v>55</v>
      </c>
      <c r="N263" s="3" t="s">
        <v>55</v>
      </c>
      <c r="O263" s="3" t="s">
        <v>55</v>
      </c>
      <c r="P263" s="3" t="s">
        <v>55</v>
      </c>
      <c r="Q263" s="3" t="s">
        <v>55</v>
      </c>
      <c r="R263" s="3" t="s">
        <v>55</v>
      </c>
      <c r="S263" s="2">
        <v>9</v>
      </c>
      <c r="T263" s="2">
        <v>1</v>
      </c>
      <c r="U263" s="3">
        <v>0</v>
      </c>
      <c r="V263" s="28">
        <v>46065</v>
      </c>
      <c r="W263" s="28">
        <v>46090</v>
      </c>
      <c r="X263" s="28">
        <v>46090</v>
      </c>
      <c r="Y263" s="28">
        <v>46092</v>
      </c>
      <c r="Z263" s="140">
        <v>46093</v>
      </c>
      <c r="AA263" s="33">
        <f t="shared" si="23"/>
        <v>3</v>
      </c>
      <c r="AB263" s="144" t="s">
        <v>883</v>
      </c>
      <c r="AC263" s="146" t="s">
        <v>1296</v>
      </c>
      <c r="AD263" s="19">
        <f t="shared" si="25"/>
        <v>1</v>
      </c>
      <c r="AE263" s="67">
        <f>IFERROR(NETWORKDAYS(B263,I263,Hoja1!$A$1:$A$29),"N/A")</f>
        <v>4</v>
      </c>
      <c r="AF263" s="21">
        <f>IFERROR(NETWORKDAYS(B263,W263,Hoja1!$A$1:$A$29),"N/A")</f>
        <v>28</v>
      </c>
      <c r="AG263" s="78">
        <v>14</v>
      </c>
      <c r="AH263" s="21">
        <f t="shared" si="27"/>
        <v>14</v>
      </c>
      <c r="AI263" s="21">
        <f>IFERROR(NETWORKDAYS(X263,Y263,Hoja1!$A$1:$A$29),"N/A")</f>
        <v>3</v>
      </c>
      <c r="AJ263" s="78">
        <v>0</v>
      </c>
      <c r="AK263" s="75">
        <f t="shared" si="28"/>
        <v>3</v>
      </c>
      <c r="AL263" s="21">
        <f>IFERROR(NETWORKDAYS(B263,Y263,Hoja1!$A$1:$A$29),"N/A")</f>
        <v>30</v>
      </c>
      <c r="AM263" s="21">
        <f t="shared" si="26"/>
        <v>16</v>
      </c>
      <c r="AN263" s="111" t="s">
        <v>445</v>
      </c>
      <c r="AO263" s="111" t="s">
        <v>871</v>
      </c>
      <c r="AP263" s="111" t="s">
        <v>871</v>
      </c>
      <c r="AQ263" s="111"/>
      <c r="AR263" s="111"/>
      <c r="AS263" s="111" t="s">
        <v>1952</v>
      </c>
      <c r="AT263" s="111" t="s">
        <v>2094</v>
      </c>
      <c r="AU263" s="111" t="s">
        <v>2219</v>
      </c>
      <c r="AV263" s="321" t="s">
        <v>2393</v>
      </c>
      <c r="AW263" s="403" t="s">
        <v>2850</v>
      </c>
      <c r="AY263" s="414"/>
    </row>
    <row r="264" spans="1:51" ht="15" customHeight="1" x14ac:dyDescent="0.25">
      <c r="A264" s="295">
        <v>15047</v>
      </c>
      <c r="B264" s="142">
        <v>46078</v>
      </c>
      <c r="C264" s="142">
        <v>45940</v>
      </c>
      <c r="D264" s="21">
        <v>1</v>
      </c>
      <c r="E264" s="87" t="s">
        <v>54</v>
      </c>
      <c r="F264" s="3" t="s">
        <v>55</v>
      </c>
      <c r="G264" s="3">
        <v>14</v>
      </c>
      <c r="H264" s="33" t="s">
        <v>56</v>
      </c>
      <c r="I264" s="30">
        <v>46080</v>
      </c>
      <c r="J264" s="30">
        <v>46080</v>
      </c>
      <c r="K264" s="3">
        <v>14</v>
      </c>
      <c r="L264" s="3" t="s">
        <v>55</v>
      </c>
      <c r="M264" s="3" t="s">
        <v>55</v>
      </c>
      <c r="N264" s="3" t="s">
        <v>55</v>
      </c>
      <c r="O264" s="3" t="s">
        <v>55</v>
      </c>
      <c r="P264" s="3" t="s">
        <v>55</v>
      </c>
      <c r="Q264" s="3" t="s">
        <v>55</v>
      </c>
      <c r="R264" s="18" t="s">
        <v>55</v>
      </c>
      <c r="S264" s="3">
        <v>3</v>
      </c>
      <c r="T264" s="3">
        <v>3</v>
      </c>
      <c r="U264" s="3">
        <v>0</v>
      </c>
      <c r="V264" s="30">
        <v>46086</v>
      </c>
      <c r="W264" s="28">
        <v>46090</v>
      </c>
      <c r="X264" s="28">
        <v>46091</v>
      </c>
      <c r="Y264" s="28">
        <v>46106</v>
      </c>
      <c r="Z264" s="140">
        <v>46106</v>
      </c>
      <c r="AA264" s="33">
        <f t="shared" si="23"/>
        <v>3</v>
      </c>
      <c r="AB264" s="87" t="s">
        <v>886</v>
      </c>
      <c r="AC264" s="35" t="s">
        <v>887</v>
      </c>
      <c r="AD264" s="19">
        <f t="shared" si="25"/>
        <v>1</v>
      </c>
      <c r="AE264" s="67">
        <f>IFERROR(NETWORKDAYS(B264,I264,Hoja1!$A$1:$A$29),"N/A")</f>
        <v>3</v>
      </c>
      <c r="AF264" s="21">
        <f>IFERROR(NETWORKDAYS(B264,W264,Hoja1!$A$1:$A$29),"N/A")</f>
        <v>9</v>
      </c>
      <c r="AG264" s="78">
        <v>0</v>
      </c>
      <c r="AH264" s="21">
        <f t="shared" si="27"/>
        <v>9</v>
      </c>
      <c r="AI264" s="21">
        <f>IFERROR(NETWORKDAYS(X264,Y264,Hoja1!$A$1:$A$29),"N/A")</f>
        <v>11</v>
      </c>
      <c r="AJ264" s="78">
        <v>6</v>
      </c>
      <c r="AK264" s="75">
        <f t="shared" si="28"/>
        <v>5</v>
      </c>
      <c r="AL264" s="21">
        <f>IFERROR(NETWORKDAYS(B264,Y264,Hoja1!$A$1:$A$29),"N/A")</f>
        <v>20</v>
      </c>
      <c r="AM264" s="21">
        <f t="shared" si="26"/>
        <v>14</v>
      </c>
      <c r="AN264" s="114" t="s">
        <v>871</v>
      </c>
      <c r="AO264" s="114" t="s">
        <v>871</v>
      </c>
      <c r="AP264" s="114"/>
      <c r="AQ264" s="114"/>
      <c r="AR264" s="114"/>
      <c r="AS264" s="114" t="s">
        <v>1953</v>
      </c>
      <c r="AT264" s="114" t="s">
        <v>2095</v>
      </c>
      <c r="AU264" s="114" t="s">
        <v>2209</v>
      </c>
      <c r="AV264" s="322" t="s">
        <v>2394</v>
      </c>
      <c r="AW264" s="403" t="s">
        <v>2851</v>
      </c>
      <c r="AY264" s="415"/>
    </row>
    <row r="265" spans="1:51" ht="15" customHeight="1" x14ac:dyDescent="0.25">
      <c r="A265" s="295">
        <v>15055</v>
      </c>
      <c r="B265" s="142">
        <v>46036</v>
      </c>
      <c r="C265" s="142">
        <v>45944</v>
      </c>
      <c r="D265" s="21">
        <v>1</v>
      </c>
      <c r="E265" s="87" t="s">
        <v>54</v>
      </c>
      <c r="F265" s="2" t="s">
        <v>55</v>
      </c>
      <c r="G265" s="3">
        <v>10</v>
      </c>
      <c r="H265" s="3" t="s">
        <v>56</v>
      </c>
      <c r="I265" s="37">
        <v>46048</v>
      </c>
      <c r="J265" s="37">
        <v>46048</v>
      </c>
      <c r="K265" s="3">
        <v>10</v>
      </c>
      <c r="L265" s="18" t="s">
        <v>55</v>
      </c>
      <c r="M265" s="18" t="s">
        <v>55</v>
      </c>
      <c r="N265" s="18" t="s">
        <v>55</v>
      </c>
      <c r="O265" s="18" t="s">
        <v>55</v>
      </c>
      <c r="P265" s="18" t="s">
        <v>55</v>
      </c>
      <c r="Q265" s="18" t="s">
        <v>55</v>
      </c>
      <c r="R265" s="18" t="s">
        <v>55</v>
      </c>
      <c r="S265" s="3">
        <v>3</v>
      </c>
      <c r="T265" s="3">
        <v>2</v>
      </c>
      <c r="U265" s="3">
        <v>0</v>
      </c>
      <c r="V265" s="28">
        <v>46073</v>
      </c>
      <c r="W265" s="28">
        <v>46073</v>
      </c>
      <c r="X265" s="28">
        <v>46073</v>
      </c>
      <c r="Y265" s="28">
        <v>46087</v>
      </c>
      <c r="Z265" s="28">
        <v>46090</v>
      </c>
      <c r="AA265" s="33">
        <f t="shared" si="23"/>
        <v>3</v>
      </c>
      <c r="AB265" s="144" t="s">
        <v>889</v>
      </c>
      <c r="AC265" s="35" t="s">
        <v>1297</v>
      </c>
      <c r="AD265" s="19">
        <f t="shared" si="25"/>
        <v>1</v>
      </c>
      <c r="AE265" s="67">
        <f>IFERROR(NETWORKDAYS(B265,I265,Hoja1!$A$1:$A$29),"N/A")</f>
        <v>9</v>
      </c>
      <c r="AF265" s="21">
        <f>IFERROR(NETWORKDAYS(B265,W265,Hoja1!$A$1:$A$29),"N/A")</f>
        <v>28</v>
      </c>
      <c r="AG265" s="78">
        <v>13</v>
      </c>
      <c r="AH265" s="21">
        <f t="shared" si="27"/>
        <v>15</v>
      </c>
      <c r="AI265" s="21">
        <f>IFERROR(NETWORKDAYS(X265,Y265,Hoja1!$A$1:$A$29),"N/A")</f>
        <v>11</v>
      </c>
      <c r="AJ265" s="78">
        <v>6</v>
      </c>
      <c r="AK265" s="75">
        <f t="shared" si="28"/>
        <v>5</v>
      </c>
      <c r="AL265" s="21">
        <f>IFERROR(NETWORKDAYS(B265,Y265,Hoja1!$A$1:$A$29),"N/A")</f>
        <v>38</v>
      </c>
      <c r="AM265" s="21">
        <f t="shared" si="26"/>
        <v>19</v>
      </c>
      <c r="AN265" s="87" t="s">
        <v>454</v>
      </c>
      <c r="AO265" s="87" t="s">
        <v>446</v>
      </c>
      <c r="AP265" s="87"/>
      <c r="AQ265" s="87"/>
      <c r="AR265" s="87"/>
      <c r="AS265" s="87" t="s">
        <v>1891</v>
      </c>
      <c r="AT265" s="87" t="s">
        <v>1994</v>
      </c>
      <c r="AU265" s="87" t="s">
        <v>2211</v>
      </c>
      <c r="AV265" s="320" t="s">
        <v>2232</v>
      </c>
      <c r="AW265" s="403" t="s">
        <v>2852</v>
      </c>
      <c r="AY265" s="414"/>
    </row>
    <row r="266" spans="1:51" ht="15" customHeight="1" x14ac:dyDescent="0.25">
      <c r="A266" s="301">
        <v>15078</v>
      </c>
      <c r="B266" s="142">
        <v>45946</v>
      </c>
      <c r="C266" s="142">
        <v>45946</v>
      </c>
      <c r="D266" s="21">
        <v>1</v>
      </c>
      <c r="E266" s="87" t="s">
        <v>54</v>
      </c>
      <c r="F266" s="33" t="s">
        <v>55</v>
      </c>
      <c r="G266" s="33">
        <v>8</v>
      </c>
      <c r="H266" s="33" t="s">
        <v>56</v>
      </c>
      <c r="I266" s="142">
        <v>45966</v>
      </c>
      <c r="J266" s="142">
        <v>45971</v>
      </c>
      <c r="K266" s="33">
        <v>8</v>
      </c>
      <c r="L266" s="33" t="s">
        <v>55</v>
      </c>
      <c r="M266" s="33" t="s">
        <v>55</v>
      </c>
      <c r="N266" s="33" t="s">
        <v>55</v>
      </c>
      <c r="O266" s="33" t="s">
        <v>55</v>
      </c>
      <c r="P266" s="33" t="s">
        <v>55</v>
      </c>
      <c r="Q266" s="33" t="s">
        <v>55</v>
      </c>
      <c r="R266" s="33" t="s">
        <v>55</v>
      </c>
      <c r="S266" s="33">
        <v>1</v>
      </c>
      <c r="T266" s="33">
        <v>1</v>
      </c>
      <c r="U266" s="33">
        <v>0</v>
      </c>
      <c r="V266" s="28">
        <v>46073</v>
      </c>
      <c r="W266" s="28">
        <v>46073</v>
      </c>
      <c r="X266" s="28">
        <v>46073</v>
      </c>
      <c r="Y266" s="28">
        <v>46087</v>
      </c>
      <c r="Z266" s="16">
        <v>46090</v>
      </c>
      <c r="AA266" s="33">
        <f t="shared" si="23"/>
        <v>3</v>
      </c>
      <c r="AB266" s="144" t="s">
        <v>890</v>
      </c>
      <c r="AC266" s="35" t="s">
        <v>1298</v>
      </c>
      <c r="AD266" s="19">
        <f t="shared" si="25"/>
        <v>1</v>
      </c>
      <c r="AE266" s="67">
        <f>IFERROR(NETWORKDAYS(B266,I266,Hoja1!$A$1:$A$29),"N/A")</f>
        <v>14</v>
      </c>
      <c r="AF266" s="21">
        <f>IFERROR(NETWORKDAYS(B266,W266,Hoja1!$A$1:$A$29),"N/A")</f>
        <v>86</v>
      </c>
      <c r="AG266" s="78">
        <v>54</v>
      </c>
      <c r="AH266" s="21">
        <f t="shared" si="27"/>
        <v>32</v>
      </c>
      <c r="AI266" s="21">
        <f>IFERROR(NETWORKDAYS(X266,Y266,Hoja1!$A$1:$A$29),"N/A")</f>
        <v>11</v>
      </c>
      <c r="AJ266" s="78">
        <v>6</v>
      </c>
      <c r="AK266" s="75">
        <f t="shared" si="28"/>
        <v>5</v>
      </c>
      <c r="AL266" s="21">
        <f>IFERROR(NETWORKDAYS(B266,Y266,Hoja1!$A$1:$A$29),"N/A")</f>
        <v>96</v>
      </c>
      <c r="AM266" s="21">
        <f t="shared" si="26"/>
        <v>36</v>
      </c>
      <c r="AN266" s="114"/>
      <c r="AO266" s="114"/>
      <c r="AP266" s="114"/>
      <c r="AQ266" s="114"/>
      <c r="AR266" s="114"/>
      <c r="AS266" s="114" t="s">
        <v>1897</v>
      </c>
      <c r="AT266" s="114" t="s">
        <v>1994</v>
      </c>
      <c r="AU266" s="114" t="s">
        <v>2210</v>
      </c>
      <c r="AV266" s="322" t="s">
        <v>2232</v>
      </c>
      <c r="AW266" s="403" t="s">
        <v>2853</v>
      </c>
      <c r="AY266" s="415"/>
    </row>
    <row r="267" spans="1:51" ht="15" customHeight="1" x14ac:dyDescent="0.25">
      <c r="A267" s="293">
        <v>15087</v>
      </c>
      <c r="B267" s="142">
        <v>46049</v>
      </c>
      <c r="C267" s="142">
        <v>45947</v>
      </c>
      <c r="D267" s="21">
        <v>1</v>
      </c>
      <c r="E267" s="87" t="s">
        <v>54</v>
      </c>
      <c r="F267" s="18" t="s">
        <v>55</v>
      </c>
      <c r="G267" s="3">
        <v>15</v>
      </c>
      <c r="H267" s="33" t="s">
        <v>56</v>
      </c>
      <c r="I267" s="30">
        <v>46066</v>
      </c>
      <c r="J267" s="30">
        <v>46066</v>
      </c>
      <c r="K267" s="3">
        <v>10</v>
      </c>
      <c r="L267" s="18" t="s">
        <v>55</v>
      </c>
      <c r="M267" s="18" t="s">
        <v>55</v>
      </c>
      <c r="N267" s="18" t="s">
        <v>55</v>
      </c>
      <c r="O267" s="18" t="s">
        <v>55</v>
      </c>
      <c r="P267" s="18" t="s">
        <v>55</v>
      </c>
      <c r="Q267" s="18" t="s">
        <v>55</v>
      </c>
      <c r="R267" s="18" t="s">
        <v>55</v>
      </c>
      <c r="S267" s="3">
        <v>3</v>
      </c>
      <c r="T267" s="3">
        <v>3</v>
      </c>
      <c r="U267" s="3">
        <v>0</v>
      </c>
      <c r="V267" s="30">
        <v>46073</v>
      </c>
      <c r="W267" s="30">
        <v>46073</v>
      </c>
      <c r="X267" s="30">
        <v>46073</v>
      </c>
      <c r="Y267" s="28">
        <v>46080</v>
      </c>
      <c r="Z267" s="37">
        <v>46083</v>
      </c>
      <c r="AA267" s="33">
        <f t="shared" si="23"/>
        <v>3</v>
      </c>
      <c r="AB267" s="48" t="s">
        <v>891</v>
      </c>
      <c r="AC267" s="35" t="s">
        <v>1299</v>
      </c>
      <c r="AD267" s="19">
        <f t="shared" si="25"/>
        <v>0.66666666666666663</v>
      </c>
      <c r="AE267" s="67">
        <f>IFERROR(NETWORKDAYS(B267,I267,Hoja1!$A$1:$A$29),"N/A")</f>
        <v>14</v>
      </c>
      <c r="AF267" s="21">
        <f>IFERROR(NETWORKDAYS(B267,W267,Hoja1!$A$1:$A$29),"N/A")</f>
        <v>19</v>
      </c>
      <c r="AG267" s="78">
        <v>0</v>
      </c>
      <c r="AH267" s="21">
        <f t="shared" si="27"/>
        <v>19</v>
      </c>
      <c r="AI267" s="21">
        <f>IFERROR(NETWORKDAYS(X267,Y267,Hoja1!$A$1:$A$29),"N/A")</f>
        <v>6</v>
      </c>
      <c r="AJ267" s="78">
        <v>1</v>
      </c>
      <c r="AK267" s="75">
        <f t="shared" si="28"/>
        <v>5</v>
      </c>
      <c r="AL267" s="21">
        <f>IFERROR(NETWORKDAYS(B267,Y267,Hoja1!$A$1:$A$29),"N/A")</f>
        <v>24</v>
      </c>
      <c r="AM267" s="21">
        <f t="shared" si="26"/>
        <v>23</v>
      </c>
      <c r="AN267" s="87" t="s">
        <v>881</v>
      </c>
      <c r="AO267" s="87"/>
      <c r="AP267" s="87"/>
      <c r="AQ267" s="87"/>
      <c r="AR267" s="87"/>
      <c r="AS267" s="87" t="s">
        <v>1923</v>
      </c>
      <c r="AT267" s="87" t="s">
        <v>2046</v>
      </c>
      <c r="AU267" s="87" t="s">
        <v>2215</v>
      </c>
      <c r="AV267" s="320" t="s">
        <v>2395</v>
      </c>
      <c r="AW267" s="403" t="s">
        <v>2854</v>
      </c>
      <c r="AY267" s="414"/>
    </row>
    <row r="268" spans="1:51" ht="15" customHeight="1" x14ac:dyDescent="0.25">
      <c r="A268" s="303">
        <v>15088</v>
      </c>
      <c r="B268" s="142">
        <v>45989</v>
      </c>
      <c r="C268" s="142">
        <v>45947</v>
      </c>
      <c r="D268" s="21">
        <v>1</v>
      </c>
      <c r="E268" s="84" t="s">
        <v>54</v>
      </c>
      <c r="F268" s="33" t="s">
        <v>55</v>
      </c>
      <c r="G268" s="33">
        <v>9</v>
      </c>
      <c r="H268" s="33" t="s">
        <v>56</v>
      </c>
      <c r="I268" s="142">
        <v>46066</v>
      </c>
      <c r="J268" s="142">
        <v>46066</v>
      </c>
      <c r="K268" s="33">
        <v>9</v>
      </c>
      <c r="L268" s="33" t="s">
        <v>55</v>
      </c>
      <c r="M268" s="33" t="s">
        <v>55</v>
      </c>
      <c r="N268" s="33" t="s">
        <v>55</v>
      </c>
      <c r="O268" s="33" t="s">
        <v>55</v>
      </c>
      <c r="P268" s="33" t="s">
        <v>55</v>
      </c>
      <c r="Q268" s="33" t="s">
        <v>55</v>
      </c>
      <c r="R268" s="18" t="s">
        <v>55</v>
      </c>
      <c r="S268" s="33">
        <v>1</v>
      </c>
      <c r="T268" s="33">
        <v>1</v>
      </c>
      <c r="U268" s="33">
        <v>0</v>
      </c>
      <c r="V268" s="28">
        <v>46074</v>
      </c>
      <c r="W268" s="28">
        <v>46074</v>
      </c>
      <c r="X268" s="28">
        <v>46074</v>
      </c>
      <c r="Y268" s="28">
        <v>46086</v>
      </c>
      <c r="Z268" s="28">
        <v>46093</v>
      </c>
      <c r="AA268" s="33">
        <f t="shared" si="23"/>
        <v>3</v>
      </c>
      <c r="AB268" s="145" t="s">
        <v>892</v>
      </c>
      <c r="AC268" s="60" t="s">
        <v>1300</v>
      </c>
      <c r="AD268" s="19">
        <f t="shared" si="25"/>
        <v>1</v>
      </c>
      <c r="AE268" s="67">
        <f>IFERROR(NETWORKDAYS(B268,I268,Hoja1!$A$1:$A$29),"N/A")</f>
        <v>52</v>
      </c>
      <c r="AF268" s="21">
        <f>IFERROR(NETWORKDAYS(B268,W268,Hoja1!$A$1:$A$29),"N/A")</f>
        <v>57</v>
      </c>
      <c r="AG268" s="78">
        <v>10</v>
      </c>
      <c r="AH268" s="21">
        <f t="shared" si="27"/>
        <v>47</v>
      </c>
      <c r="AI268" s="21">
        <f>IFERROR(NETWORKDAYS(X268,Y268,Hoja1!$A$1:$A$29),"N/A")</f>
        <v>9</v>
      </c>
      <c r="AJ268" s="78">
        <v>0</v>
      </c>
      <c r="AK268" s="75">
        <f t="shared" si="28"/>
        <v>9</v>
      </c>
      <c r="AL268" s="21">
        <f>IFERROR(NETWORKDAYS(B268,Y268,Hoja1!$A$1:$A$29),"N/A")</f>
        <v>66</v>
      </c>
      <c r="AM268" s="21">
        <f t="shared" si="26"/>
        <v>56</v>
      </c>
      <c r="AN268" s="87"/>
      <c r="AO268" s="87"/>
      <c r="AP268" s="87"/>
      <c r="AQ268" s="87"/>
      <c r="AR268" s="87"/>
      <c r="AS268" s="87" t="s">
        <v>1923</v>
      </c>
      <c r="AT268" s="87" t="s">
        <v>2046</v>
      </c>
      <c r="AU268" s="87" t="s">
        <v>2215</v>
      </c>
      <c r="AV268" s="320" t="s">
        <v>2396</v>
      </c>
      <c r="AW268" s="403" t="s">
        <v>2855</v>
      </c>
      <c r="AY268" s="415"/>
    </row>
    <row r="269" spans="1:51" ht="15" customHeight="1" x14ac:dyDescent="0.25">
      <c r="A269" s="295">
        <v>15104</v>
      </c>
      <c r="B269" s="142">
        <v>46077</v>
      </c>
      <c r="C269" s="142">
        <v>45952</v>
      </c>
      <c r="D269" s="21">
        <v>1</v>
      </c>
      <c r="E269" s="87" t="s">
        <v>54</v>
      </c>
      <c r="F269" s="3" t="s">
        <v>55</v>
      </c>
      <c r="G269" s="3">
        <v>29</v>
      </c>
      <c r="H269" s="33" t="s">
        <v>56</v>
      </c>
      <c r="I269" s="30">
        <v>46081</v>
      </c>
      <c r="J269" s="30">
        <v>46081</v>
      </c>
      <c r="K269" s="3">
        <v>29</v>
      </c>
      <c r="L269" s="3" t="s">
        <v>55</v>
      </c>
      <c r="M269" s="3" t="s">
        <v>55</v>
      </c>
      <c r="N269" s="3" t="s">
        <v>55</v>
      </c>
      <c r="O269" s="3" t="s">
        <v>55</v>
      </c>
      <c r="P269" s="3" t="s">
        <v>55</v>
      </c>
      <c r="Q269" s="3" t="s">
        <v>55</v>
      </c>
      <c r="R269" s="18" t="s">
        <v>55</v>
      </c>
      <c r="S269" s="3">
        <v>8</v>
      </c>
      <c r="T269" s="3">
        <v>8</v>
      </c>
      <c r="U269" s="3">
        <v>0</v>
      </c>
      <c r="V269" s="30">
        <v>46086</v>
      </c>
      <c r="W269" s="28">
        <v>46087</v>
      </c>
      <c r="X269" s="28">
        <v>46090</v>
      </c>
      <c r="Y269" s="28">
        <v>46100</v>
      </c>
      <c r="Z269" s="30">
        <v>46100</v>
      </c>
      <c r="AA269" s="33">
        <f t="shared" si="23"/>
        <v>3</v>
      </c>
      <c r="AB269" s="87" t="s">
        <v>893</v>
      </c>
      <c r="AC269" s="35" t="s">
        <v>894</v>
      </c>
      <c r="AD269" s="19">
        <f t="shared" si="25"/>
        <v>1</v>
      </c>
      <c r="AE269" s="67">
        <f>IFERROR(NETWORKDAYS(B269,I269,Hoja1!$A$1:$A$29),"N/A")</f>
        <v>4</v>
      </c>
      <c r="AF269" s="21">
        <f>IFERROR(NETWORKDAYS(B269,W269,Hoja1!$A$1:$A$29),"N/A")</f>
        <v>9</v>
      </c>
      <c r="AG269" s="78">
        <v>0</v>
      </c>
      <c r="AH269" s="21">
        <f t="shared" si="27"/>
        <v>9</v>
      </c>
      <c r="AI269" s="21">
        <f>IFERROR(NETWORKDAYS(X269,Y269,Hoja1!$A$1:$A$29),"N/A")</f>
        <v>9</v>
      </c>
      <c r="AJ269" s="78">
        <v>4</v>
      </c>
      <c r="AK269" s="75">
        <f t="shared" si="28"/>
        <v>5</v>
      </c>
      <c r="AL269" s="21">
        <f>IFERROR(NETWORKDAYS(B269,Y269,Hoja1!$A$1:$A$29),"N/A")</f>
        <v>18</v>
      </c>
      <c r="AM269" s="21">
        <f t="shared" si="26"/>
        <v>14</v>
      </c>
      <c r="AN269" s="87" t="s">
        <v>445</v>
      </c>
      <c r="AO269" s="87" t="s">
        <v>871</v>
      </c>
      <c r="AP269" s="87" t="s">
        <v>445</v>
      </c>
      <c r="AQ269" s="87" t="s">
        <v>445</v>
      </c>
      <c r="AR269" s="114" t="s">
        <v>871</v>
      </c>
      <c r="AS269" s="114" t="s">
        <v>1913</v>
      </c>
      <c r="AT269" s="114" t="s">
        <v>2095</v>
      </c>
      <c r="AU269" s="114" t="s">
        <v>2209</v>
      </c>
      <c r="AV269" s="322" t="s">
        <v>2397</v>
      </c>
      <c r="AW269" s="403" t="s">
        <v>2856</v>
      </c>
      <c r="AY269" s="414"/>
    </row>
    <row r="270" spans="1:51" ht="15" customHeight="1" x14ac:dyDescent="0.25">
      <c r="A270" s="294">
        <v>15113</v>
      </c>
      <c r="B270" s="142">
        <v>45966</v>
      </c>
      <c r="C270" s="142">
        <v>45966</v>
      </c>
      <c r="D270" s="21">
        <v>1</v>
      </c>
      <c r="E270" s="87" t="s">
        <v>54</v>
      </c>
      <c r="F270" s="3" t="s">
        <v>55</v>
      </c>
      <c r="G270" s="3">
        <v>3</v>
      </c>
      <c r="H270" s="33" t="s">
        <v>56</v>
      </c>
      <c r="I270" s="3" t="s">
        <v>55</v>
      </c>
      <c r="J270" s="3" t="s">
        <v>55</v>
      </c>
      <c r="K270" s="3">
        <v>3</v>
      </c>
      <c r="L270" s="3" t="s">
        <v>55</v>
      </c>
      <c r="M270" s="3" t="s">
        <v>55</v>
      </c>
      <c r="N270" s="3" t="s">
        <v>55</v>
      </c>
      <c r="O270" s="3" t="s">
        <v>55</v>
      </c>
      <c r="P270" s="3" t="s">
        <v>55</v>
      </c>
      <c r="Q270" s="3" t="s">
        <v>55</v>
      </c>
      <c r="R270" s="3" t="s">
        <v>55</v>
      </c>
      <c r="S270" s="2">
        <v>0</v>
      </c>
      <c r="T270" s="2">
        <v>0</v>
      </c>
      <c r="U270" s="3">
        <v>0</v>
      </c>
      <c r="V270" s="28" t="s">
        <v>55</v>
      </c>
      <c r="W270" s="28" t="s">
        <v>55</v>
      </c>
      <c r="X270" s="28">
        <v>46078</v>
      </c>
      <c r="Y270" s="28">
        <v>46084</v>
      </c>
      <c r="Z270" s="140">
        <v>46085</v>
      </c>
      <c r="AA270" s="33">
        <v>3</v>
      </c>
      <c r="AB270" s="144" t="s">
        <v>898</v>
      </c>
      <c r="AC270" s="146" t="s">
        <v>1301</v>
      </c>
      <c r="AD270" s="19">
        <f t="shared" si="25"/>
        <v>1</v>
      </c>
      <c r="AE270" s="67" t="str">
        <f>IFERROR(NETWORKDAYS(B270,I270,Hoja1!$A$1:$A$29),"N/A")</f>
        <v>N/A</v>
      </c>
      <c r="AF270" s="21" t="str">
        <f>IFERROR(NETWORKDAYS(B270,W270,Hoja1!$A$1:$A$29),"N/A")</f>
        <v>N/A</v>
      </c>
      <c r="AG270" s="272">
        <v>0</v>
      </c>
      <c r="AH270" s="19" t="s">
        <v>82</v>
      </c>
      <c r="AI270" s="21">
        <f>IFERROR(NETWORKDAYS(X270,Y270,Hoja1!$A$1:$A$29),"N/A")</f>
        <v>5</v>
      </c>
      <c r="AJ270" s="78">
        <v>0</v>
      </c>
      <c r="AK270" s="75">
        <f t="shared" si="28"/>
        <v>5</v>
      </c>
      <c r="AL270" s="21">
        <f>IFERROR(NETWORKDAYS(B270,Y270,Hoja1!$A$1:$A$29),"N/A")</f>
        <v>80</v>
      </c>
      <c r="AM270" s="21">
        <f t="shared" si="26"/>
        <v>80</v>
      </c>
      <c r="AN270" s="111"/>
      <c r="AO270" s="111"/>
      <c r="AP270" s="111"/>
      <c r="AQ270" s="111"/>
      <c r="AR270" s="111"/>
      <c r="AS270" s="111" t="s">
        <v>1954</v>
      </c>
      <c r="AT270" s="111" t="s">
        <v>2096</v>
      </c>
      <c r="AU270" s="111" t="s">
        <v>2216</v>
      </c>
      <c r="AV270" s="321" t="s">
        <v>2371</v>
      </c>
      <c r="AW270" s="403" t="s">
        <v>2857</v>
      </c>
      <c r="AY270" s="415"/>
    </row>
    <row r="271" spans="1:51" ht="15" customHeight="1" x14ac:dyDescent="0.25">
      <c r="A271" s="295">
        <v>15189</v>
      </c>
      <c r="B271" s="142">
        <v>46048</v>
      </c>
      <c r="C271" s="142">
        <v>45965</v>
      </c>
      <c r="D271" s="21">
        <v>1</v>
      </c>
      <c r="E271" s="87" t="s">
        <v>54</v>
      </c>
      <c r="F271" s="2" t="s">
        <v>55</v>
      </c>
      <c r="G271" s="3">
        <v>6</v>
      </c>
      <c r="H271" s="33" t="s">
        <v>56</v>
      </c>
      <c r="I271" s="30">
        <v>46059</v>
      </c>
      <c r="J271" s="30">
        <v>46065</v>
      </c>
      <c r="K271" s="3">
        <v>6</v>
      </c>
      <c r="L271" s="18" t="s">
        <v>55</v>
      </c>
      <c r="M271" s="18" t="s">
        <v>55</v>
      </c>
      <c r="N271" s="18" t="s">
        <v>55</v>
      </c>
      <c r="O271" s="18" t="s">
        <v>55</v>
      </c>
      <c r="P271" s="18" t="s">
        <v>55</v>
      </c>
      <c r="Q271" s="18" t="s">
        <v>55</v>
      </c>
      <c r="R271" s="18" t="s">
        <v>55</v>
      </c>
      <c r="S271" s="3">
        <v>4</v>
      </c>
      <c r="T271" s="3">
        <v>3</v>
      </c>
      <c r="U271" s="3">
        <v>0</v>
      </c>
      <c r="V271" s="28">
        <v>46073</v>
      </c>
      <c r="W271" s="28">
        <v>46073</v>
      </c>
      <c r="X271" s="28">
        <v>46076</v>
      </c>
      <c r="Y271" s="28">
        <v>46080</v>
      </c>
      <c r="Z271" s="38">
        <v>46083</v>
      </c>
      <c r="AA271" s="33">
        <f>MONTH(Z271)</f>
        <v>3</v>
      </c>
      <c r="AB271" s="144" t="s">
        <v>900</v>
      </c>
      <c r="AC271" s="35" t="s">
        <v>1302</v>
      </c>
      <c r="AD271" s="19">
        <f t="shared" si="25"/>
        <v>1</v>
      </c>
      <c r="AE271" s="67">
        <f>IFERROR(NETWORKDAYS(B271,I271,Hoja1!$A$1:$A$29),"N/A")</f>
        <v>10</v>
      </c>
      <c r="AF271" s="21">
        <f>IFERROR(NETWORKDAYS(B271,W271,Hoja1!$A$1:$A$29),"N/A")</f>
        <v>20</v>
      </c>
      <c r="AG271" s="78">
        <v>5</v>
      </c>
      <c r="AH271" s="21">
        <f t="shared" ref="AH271:AH299" si="29">AF271-AG271</f>
        <v>15</v>
      </c>
      <c r="AI271" s="21">
        <f>IFERROR(NETWORKDAYS(X271,Y271,Hoja1!$A$1:$A$29),"N/A")</f>
        <v>5</v>
      </c>
      <c r="AJ271" s="78">
        <v>0</v>
      </c>
      <c r="AK271" s="75">
        <f t="shared" si="28"/>
        <v>5</v>
      </c>
      <c r="AL271" s="21">
        <f>IFERROR(NETWORKDAYS(B271,Y271,Hoja1!$A$1:$A$29),"N/A")</f>
        <v>25</v>
      </c>
      <c r="AM271" s="21">
        <f t="shared" si="26"/>
        <v>20</v>
      </c>
      <c r="AN271" s="87" t="s">
        <v>871</v>
      </c>
      <c r="AO271" s="87" t="s">
        <v>871</v>
      </c>
      <c r="AP271" s="87"/>
      <c r="AQ271" s="87"/>
      <c r="AR271" s="87"/>
      <c r="AS271" s="87" t="s">
        <v>1888</v>
      </c>
      <c r="AT271" s="87" t="s">
        <v>2097</v>
      </c>
      <c r="AU271" s="87" t="s">
        <v>2211</v>
      </c>
      <c r="AV271" s="320" t="s">
        <v>2398</v>
      </c>
      <c r="AW271" s="403" t="s">
        <v>2858</v>
      </c>
      <c r="AY271" s="414"/>
    </row>
    <row r="272" spans="1:51" ht="15" customHeight="1" x14ac:dyDescent="0.25">
      <c r="A272" s="303">
        <v>15223</v>
      </c>
      <c r="B272" s="142">
        <v>46048</v>
      </c>
      <c r="C272" s="142">
        <v>45967</v>
      </c>
      <c r="D272" s="21">
        <v>1</v>
      </c>
      <c r="E272" s="87" t="s">
        <v>54</v>
      </c>
      <c r="F272" s="33" t="s">
        <v>55</v>
      </c>
      <c r="G272" s="33">
        <v>0</v>
      </c>
      <c r="H272" s="33"/>
      <c r="I272" s="142" t="s">
        <v>55</v>
      </c>
      <c r="J272" s="142" t="s">
        <v>55</v>
      </c>
      <c r="K272" s="33">
        <v>0</v>
      </c>
      <c r="L272" s="33" t="s">
        <v>55</v>
      </c>
      <c r="M272" s="33" t="s">
        <v>55</v>
      </c>
      <c r="N272" s="33" t="s">
        <v>55</v>
      </c>
      <c r="O272" s="33" t="s">
        <v>55</v>
      </c>
      <c r="P272" s="33" t="s">
        <v>55</v>
      </c>
      <c r="Q272" s="33" t="s">
        <v>55</v>
      </c>
      <c r="R272" s="33" t="s">
        <v>55</v>
      </c>
      <c r="S272" s="33">
        <v>2</v>
      </c>
      <c r="T272" s="33">
        <v>2</v>
      </c>
      <c r="U272" s="33">
        <v>0</v>
      </c>
      <c r="V272" s="28">
        <v>46052</v>
      </c>
      <c r="W272" s="28">
        <v>46071</v>
      </c>
      <c r="X272" s="28">
        <v>46072</v>
      </c>
      <c r="Y272" s="28">
        <v>46080</v>
      </c>
      <c r="Z272" s="38">
        <v>46083</v>
      </c>
      <c r="AA272" s="33">
        <f>MONTH(Z272)</f>
        <v>3</v>
      </c>
      <c r="AB272" s="144" t="s">
        <v>902</v>
      </c>
      <c r="AC272" s="35" t="s">
        <v>1303</v>
      </c>
      <c r="AD272" s="19" t="str">
        <f t="shared" si="25"/>
        <v>N/A</v>
      </c>
      <c r="AE272" s="67" t="str">
        <f>IFERROR(NETWORKDAYS(B272,I272,Hoja1!$A$1:$A$29),"N/A")</f>
        <v>N/A</v>
      </c>
      <c r="AF272" s="21">
        <f>IFERROR(NETWORKDAYS(B272,W272,Hoja1!$A$1:$A$29),"N/A")</f>
        <v>18</v>
      </c>
      <c r="AG272" s="78">
        <v>13</v>
      </c>
      <c r="AH272" s="21">
        <f t="shared" si="29"/>
        <v>5</v>
      </c>
      <c r="AI272" s="21">
        <f>IFERROR(NETWORKDAYS(X272,Y272,Hoja1!$A$1:$A$29),"N/A")</f>
        <v>7</v>
      </c>
      <c r="AJ272" s="78">
        <v>2</v>
      </c>
      <c r="AK272" s="75">
        <f t="shared" si="28"/>
        <v>5</v>
      </c>
      <c r="AL272" s="21">
        <f>IFERROR(NETWORKDAYS(B272,Y272,Hoja1!$A$1:$A$29),"N/A")</f>
        <v>25</v>
      </c>
      <c r="AM272" s="21">
        <f t="shared" si="26"/>
        <v>10</v>
      </c>
      <c r="AN272" s="87" t="s">
        <v>871</v>
      </c>
      <c r="AO272" s="87" t="s">
        <v>871</v>
      </c>
      <c r="AP272" s="87"/>
      <c r="AQ272" s="87"/>
      <c r="AR272" s="87"/>
      <c r="AS272" s="87" t="s">
        <v>1907</v>
      </c>
      <c r="AT272" s="87" t="s">
        <v>2098</v>
      </c>
      <c r="AU272" s="87" t="s">
        <v>2212</v>
      </c>
      <c r="AV272" s="320" t="s">
        <v>2384</v>
      </c>
      <c r="AW272" s="403" t="s">
        <v>2859</v>
      </c>
      <c r="AY272" s="415"/>
    </row>
    <row r="273" spans="1:51" ht="15" customHeight="1" x14ac:dyDescent="0.25">
      <c r="A273" s="295">
        <v>15310</v>
      </c>
      <c r="B273" s="142">
        <v>45974</v>
      </c>
      <c r="C273" s="142">
        <v>45974</v>
      </c>
      <c r="D273" s="21">
        <v>1</v>
      </c>
      <c r="E273" s="87" t="s">
        <v>54</v>
      </c>
      <c r="F273" s="18" t="s">
        <v>55</v>
      </c>
      <c r="G273" s="3">
        <v>3</v>
      </c>
      <c r="H273" s="3" t="s">
        <v>112</v>
      </c>
      <c r="I273" s="30">
        <v>45986</v>
      </c>
      <c r="J273" s="30">
        <v>46006</v>
      </c>
      <c r="K273" s="3">
        <v>3</v>
      </c>
      <c r="L273" s="142">
        <v>45974</v>
      </c>
      <c r="M273" s="37">
        <v>45975</v>
      </c>
      <c r="N273" s="37">
        <v>45985</v>
      </c>
      <c r="O273" s="18" t="s">
        <v>55</v>
      </c>
      <c r="P273" s="18" t="s">
        <v>55</v>
      </c>
      <c r="Q273" s="18" t="s">
        <v>55</v>
      </c>
      <c r="R273" s="37">
        <v>46024</v>
      </c>
      <c r="S273" s="3">
        <v>2</v>
      </c>
      <c r="T273" s="3">
        <v>1</v>
      </c>
      <c r="U273" s="3">
        <v>0</v>
      </c>
      <c r="V273" s="28">
        <v>46029</v>
      </c>
      <c r="W273" s="28">
        <v>46050</v>
      </c>
      <c r="X273" s="28">
        <v>46052</v>
      </c>
      <c r="Y273" s="28">
        <v>46079</v>
      </c>
      <c r="Z273" s="28">
        <v>46083</v>
      </c>
      <c r="AA273" s="3">
        <v>3</v>
      </c>
      <c r="AB273" s="144" t="s">
        <v>905</v>
      </c>
      <c r="AC273" s="35" t="s">
        <v>1304</v>
      </c>
      <c r="AD273" s="19">
        <f t="shared" si="25"/>
        <v>1</v>
      </c>
      <c r="AE273" s="67">
        <f>IFERROR(NETWORKDAYS(B273,I273,Hoja1!$A$1:$A$29),"N/A")</f>
        <v>8</v>
      </c>
      <c r="AF273" s="21">
        <f>IFERROR(NETWORKDAYS(B273,W273,Hoja1!$A$1:$A$29),"N/A")</f>
        <v>50</v>
      </c>
      <c r="AG273" s="78">
        <v>27</v>
      </c>
      <c r="AH273" s="21">
        <f t="shared" si="29"/>
        <v>23</v>
      </c>
      <c r="AI273" s="21">
        <f>IFERROR(NETWORKDAYS(X273,Y273,Hoja1!$A$1:$A$29),"N/A")</f>
        <v>20</v>
      </c>
      <c r="AJ273" s="78">
        <v>15</v>
      </c>
      <c r="AK273" s="75">
        <f t="shared" si="28"/>
        <v>5</v>
      </c>
      <c r="AL273" s="21">
        <f>IFERROR(NETWORKDAYS(B273,Y273,Hoja1!$A$1:$A$29),"N/A")</f>
        <v>71</v>
      </c>
      <c r="AM273" s="21">
        <f t="shared" si="26"/>
        <v>29</v>
      </c>
      <c r="AN273" s="87"/>
      <c r="AO273" s="87"/>
      <c r="AP273" s="87"/>
      <c r="AQ273" s="87"/>
      <c r="AR273" s="87"/>
      <c r="AS273" s="87" t="s">
        <v>1891</v>
      </c>
      <c r="AT273" s="87" t="s">
        <v>2099</v>
      </c>
      <c r="AU273" s="87" t="s">
        <v>2211</v>
      </c>
      <c r="AV273" s="320" t="s">
        <v>2399</v>
      </c>
      <c r="AW273" s="403" t="s">
        <v>2860</v>
      </c>
      <c r="AY273" s="414"/>
    </row>
    <row r="274" spans="1:51" ht="15" customHeight="1" x14ac:dyDescent="0.25">
      <c r="A274" s="293">
        <v>15329</v>
      </c>
      <c r="B274" s="142">
        <v>45980</v>
      </c>
      <c r="C274" s="142">
        <v>45980</v>
      </c>
      <c r="D274" s="21">
        <v>1</v>
      </c>
      <c r="E274" s="87" t="s">
        <v>54</v>
      </c>
      <c r="F274" s="18" t="s">
        <v>55</v>
      </c>
      <c r="G274" s="3">
        <v>9</v>
      </c>
      <c r="H274" s="3" t="s">
        <v>112</v>
      </c>
      <c r="I274" s="30">
        <v>46065</v>
      </c>
      <c r="J274" s="30">
        <v>46065</v>
      </c>
      <c r="K274" s="3">
        <v>9</v>
      </c>
      <c r="L274" s="18" t="s">
        <v>55</v>
      </c>
      <c r="M274" s="18" t="s">
        <v>55</v>
      </c>
      <c r="N274" s="18" t="s">
        <v>55</v>
      </c>
      <c r="O274" s="18" t="s">
        <v>55</v>
      </c>
      <c r="P274" s="18" t="s">
        <v>55</v>
      </c>
      <c r="Q274" s="18" t="s">
        <v>55</v>
      </c>
      <c r="R274" s="18" t="s">
        <v>55</v>
      </c>
      <c r="S274" s="3">
        <v>1</v>
      </c>
      <c r="T274" s="3">
        <v>1</v>
      </c>
      <c r="U274" s="3">
        <v>0</v>
      </c>
      <c r="V274" s="30">
        <v>46073</v>
      </c>
      <c r="W274" s="30">
        <v>46073</v>
      </c>
      <c r="X274" s="30">
        <v>46073</v>
      </c>
      <c r="Y274" s="28">
        <v>46080</v>
      </c>
      <c r="Z274" s="37">
        <v>46083</v>
      </c>
      <c r="AA274" s="33">
        <f t="shared" ref="AA274:AA293" si="30">MONTH(Z274)</f>
        <v>3</v>
      </c>
      <c r="AB274" s="48" t="s">
        <v>906</v>
      </c>
      <c r="AC274" s="35" t="s">
        <v>1305</v>
      </c>
      <c r="AD274" s="19">
        <f t="shared" si="25"/>
        <v>1</v>
      </c>
      <c r="AE274" s="67">
        <f>IFERROR(NETWORKDAYS(B274,I274,Hoja1!$A$1:$A$29),"N/A")</f>
        <v>58</v>
      </c>
      <c r="AF274" s="21">
        <f>IFERROR(NETWORKDAYS(B274,W274,Hoja1!$A$1:$A$29),"N/A")</f>
        <v>64</v>
      </c>
      <c r="AG274" s="78">
        <v>0</v>
      </c>
      <c r="AH274" s="21">
        <f t="shared" si="29"/>
        <v>64</v>
      </c>
      <c r="AI274" s="21">
        <f>IFERROR(NETWORKDAYS(X274,Y274,Hoja1!$A$1:$A$29),"N/A")</f>
        <v>6</v>
      </c>
      <c r="AJ274" s="78">
        <v>0</v>
      </c>
      <c r="AK274" s="75">
        <f t="shared" si="28"/>
        <v>6</v>
      </c>
      <c r="AL274" s="21">
        <f>IFERROR(NETWORKDAYS(B274,Y274,Hoja1!$A$1:$A$29),"N/A")</f>
        <v>69</v>
      </c>
      <c r="AM274" s="21">
        <f t="shared" si="26"/>
        <v>69</v>
      </c>
      <c r="AN274" s="87"/>
      <c r="AO274" s="87"/>
      <c r="AP274" s="87"/>
      <c r="AQ274" s="87"/>
      <c r="AR274" s="87"/>
      <c r="AS274" s="87" t="s">
        <v>1923</v>
      </c>
      <c r="AT274" s="87" t="s">
        <v>2046</v>
      </c>
      <c r="AU274" s="87" t="s">
        <v>2215</v>
      </c>
      <c r="AV274" s="320" t="s">
        <v>2400</v>
      </c>
      <c r="AW274" s="403" t="s">
        <v>2861</v>
      </c>
      <c r="AY274" s="415"/>
    </row>
    <row r="275" spans="1:51" ht="15" customHeight="1" x14ac:dyDescent="0.25">
      <c r="A275" s="293">
        <v>15330</v>
      </c>
      <c r="B275" s="142">
        <v>46064</v>
      </c>
      <c r="C275" s="142">
        <v>45980</v>
      </c>
      <c r="D275" s="21">
        <v>1</v>
      </c>
      <c r="E275" s="87" t="s">
        <v>54</v>
      </c>
      <c r="F275" s="18" t="s">
        <v>55</v>
      </c>
      <c r="G275" s="3">
        <v>9</v>
      </c>
      <c r="H275" s="33" t="s">
        <v>56</v>
      </c>
      <c r="I275" s="30">
        <v>46069</v>
      </c>
      <c r="J275" s="30">
        <v>46069</v>
      </c>
      <c r="K275" s="3">
        <v>9</v>
      </c>
      <c r="L275" s="18" t="s">
        <v>55</v>
      </c>
      <c r="M275" s="18" t="s">
        <v>55</v>
      </c>
      <c r="N275" s="18" t="s">
        <v>55</v>
      </c>
      <c r="O275" s="18" t="s">
        <v>55</v>
      </c>
      <c r="P275" s="18" t="s">
        <v>55</v>
      </c>
      <c r="Q275" s="18" t="s">
        <v>55</v>
      </c>
      <c r="R275" s="18" t="s">
        <v>55</v>
      </c>
      <c r="S275" s="3">
        <v>2</v>
      </c>
      <c r="T275" s="3">
        <v>2</v>
      </c>
      <c r="U275" s="3">
        <v>0</v>
      </c>
      <c r="V275" s="30">
        <v>46072</v>
      </c>
      <c r="W275" s="30">
        <v>46072</v>
      </c>
      <c r="X275" s="28">
        <v>46072</v>
      </c>
      <c r="Y275" s="28">
        <v>46080</v>
      </c>
      <c r="Z275" s="37">
        <v>46083</v>
      </c>
      <c r="AA275" s="33">
        <f t="shared" si="30"/>
        <v>3</v>
      </c>
      <c r="AB275" s="48" t="s">
        <v>907</v>
      </c>
      <c r="AC275" s="35" t="s">
        <v>1306</v>
      </c>
      <c r="AD275" s="19">
        <f t="shared" si="25"/>
        <v>1</v>
      </c>
      <c r="AE275" s="67">
        <f>IFERROR(NETWORKDAYS(B275,I275,Hoja1!$A$1:$A$29),"N/A")</f>
        <v>4</v>
      </c>
      <c r="AF275" s="21">
        <f>IFERROR(NETWORKDAYS(B275,W275,Hoja1!$A$1:$A$29),"N/A")</f>
        <v>7</v>
      </c>
      <c r="AG275" s="78">
        <v>0</v>
      </c>
      <c r="AH275" s="21">
        <f t="shared" si="29"/>
        <v>7</v>
      </c>
      <c r="AI275" s="21">
        <f>IFERROR(NETWORKDAYS(X275,Y275,Hoja1!$A$1:$A$29),"N/A")</f>
        <v>7</v>
      </c>
      <c r="AJ275" s="78">
        <v>2</v>
      </c>
      <c r="AK275" s="75">
        <f t="shared" si="28"/>
        <v>5</v>
      </c>
      <c r="AL275" s="21">
        <f>IFERROR(NETWORKDAYS(B275,Y275,Hoja1!$A$1:$A$29),"N/A")</f>
        <v>13</v>
      </c>
      <c r="AM275" s="21">
        <f t="shared" si="26"/>
        <v>11</v>
      </c>
      <c r="AN275" s="87" t="s">
        <v>871</v>
      </c>
      <c r="AO275" s="87"/>
      <c r="AP275" s="87"/>
      <c r="AQ275" s="87"/>
      <c r="AR275" s="87"/>
      <c r="AS275" s="87" t="s">
        <v>1923</v>
      </c>
      <c r="AT275" s="87" t="s">
        <v>2048</v>
      </c>
      <c r="AU275" s="87" t="s">
        <v>2215</v>
      </c>
      <c r="AV275" s="320" t="s">
        <v>2401</v>
      </c>
      <c r="AW275" s="403" t="s">
        <v>2862</v>
      </c>
      <c r="AY275" s="414"/>
    </row>
    <row r="276" spans="1:51" ht="15" customHeight="1" x14ac:dyDescent="0.25">
      <c r="A276" s="295">
        <v>15405</v>
      </c>
      <c r="B276" s="142">
        <v>46020</v>
      </c>
      <c r="C276" s="142">
        <v>45989</v>
      </c>
      <c r="D276" s="21">
        <v>1</v>
      </c>
      <c r="E276" s="87" t="s">
        <v>54</v>
      </c>
      <c r="F276" s="3" t="s">
        <v>55</v>
      </c>
      <c r="G276" s="3">
        <v>9</v>
      </c>
      <c r="H276" s="33" t="s">
        <v>56</v>
      </c>
      <c r="I276" s="30">
        <v>46066</v>
      </c>
      <c r="J276" s="30">
        <v>46066</v>
      </c>
      <c r="K276" s="3">
        <v>9</v>
      </c>
      <c r="L276" s="3" t="s">
        <v>55</v>
      </c>
      <c r="M276" s="3" t="s">
        <v>55</v>
      </c>
      <c r="N276" s="3" t="s">
        <v>55</v>
      </c>
      <c r="O276" s="3" t="s">
        <v>55</v>
      </c>
      <c r="P276" s="3" t="s">
        <v>55</v>
      </c>
      <c r="Q276" s="3" t="s">
        <v>55</v>
      </c>
      <c r="R276" s="18" t="s">
        <v>55</v>
      </c>
      <c r="S276" s="3">
        <v>4</v>
      </c>
      <c r="T276" s="3">
        <v>2</v>
      </c>
      <c r="U276" s="3">
        <v>0</v>
      </c>
      <c r="V276" s="30">
        <v>46071</v>
      </c>
      <c r="W276" s="28">
        <v>46071</v>
      </c>
      <c r="X276" s="28">
        <v>46072</v>
      </c>
      <c r="Y276" s="28">
        <v>46083</v>
      </c>
      <c r="Z276" s="37">
        <v>46083</v>
      </c>
      <c r="AA276" s="33">
        <f t="shared" si="30"/>
        <v>3</v>
      </c>
      <c r="AB276" s="87" t="s">
        <v>908</v>
      </c>
      <c r="AC276" s="35" t="s">
        <v>1307</v>
      </c>
      <c r="AD276" s="19">
        <f t="shared" si="25"/>
        <v>1</v>
      </c>
      <c r="AE276" s="67">
        <f>IFERROR(NETWORKDAYS(B276,I276,Hoja1!$A$1:$A$29),"N/A")</f>
        <v>33</v>
      </c>
      <c r="AF276" s="21">
        <f>IFERROR(NETWORKDAYS(B276,W276,Hoja1!$A$1:$A$29),"N/A")</f>
        <v>36</v>
      </c>
      <c r="AG276" s="78">
        <v>3</v>
      </c>
      <c r="AH276" s="21">
        <f t="shared" si="29"/>
        <v>33</v>
      </c>
      <c r="AI276" s="21">
        <f>IFERROR(NETWORKDAYS(X276,Y276,Hoja1!$A$1:$A$29),"N/A")</f>
        <v>8</v>
      </c>
      <c r="AJ276" s="78">
        <v>3</v>
      </c>
      <c r="AK276" s="75">
        <f t="shared" si="28"/>
        <v>5</v>
      </c>
      <c r="AL276" s="21">
        <f>IFERROR(NETWORKDAYS(B276,Y276,Hoja1!$A$1:$A$29),"N/A")</f>
        <v>44</v>
      </c>
      <c r="AM276" s="21">
        <f t="shared" si="26"/>
        <v>38</v>
      </c>
      <c r="AN276" s="87" t="s">
        <v>445</v>
      </c>
      <c r="AO276" s="87" t="s">
        <v>446</v>
      </c>
      <c r="AP276" s="87"/>
      <c r="AQ276" s="87"/>
      <c r="AR276" s="87"/>
      <c r="AS276" s="87" t="s">
        <v>1885</v>
      </c>
      <c r="AT276" s="87" t="s">
        <v>2094</v>
      </c>
      <c r="AU276" s="87" t="s">
        <v>2209</v>
      </c>
      <c r="AV276" s="320" t="s">
        <v>2402</v>
      </c>
      <c r="AW276" s="403" t="s">
        <v>2863</v>
      </c>
      <c r="AY276" s="415"/>
    </row>
    <row r="277" spans="1:51" ht="15" customHeight="1" x14ac:dyDescent="0.25">
      <c r="A277" s="294">
        <v>15431</v>
      </c>
      <c r="B277" s="142">
        <v>45994</v>
      </c>
      <c r="C277" s="142">
        <v>45994</v>
      </c>
      <c r="D277" s="21">
        <v>1</v>
      </c>
      <c r="E277" s="87" t="s">
        <v>54</v>
      </c>
      <c r="F277" s="3" t="s">
        <v>55</v>
      </c>
      <c r="G277" s="3">
        <v>1</v>
      </c>
      <c r="H277" s="3" t="s">
        <v>112</v>
      </c>
      <c r="I277" s="73">
        <v>46056</v>
      </c>
      <c r="J277" s="73">
        <v>46056</v>
      </c>
      <c r="K277" s="3">
        <v>1</v>
      </c>
      <c r="L277" s="3" t="s">
        <v>55</v>
      </c>
      <c r="M277" s="3" t="s">
        <v>55</v>
      </c>
      <c r="N277" s="3" t="s">
        <v>55</v>
      </c>
      <c r="O277" s="3" t="s">
        <v>55</v>
      </c>
      <c r="P277" s="3" t="s">
        <v>55</v>
      </c>
      <c r="Q277" s="3" t="s">
        <v>55</v>
      </c>
      <c r="R277" s="3" t="s">
        <v>55</v>
      </c>
      <c r="S277" s="2">
        <v>1</v>
      </c>
      <c r="T277" s="2">
        <v>1</v>
      </c>
      <c r="U277" s="3">
        <v>0</v>
      </c>
      <c r="V277" s="28">
        <v>46076</v>
      </c>
      <c r="W277" s="28">
        <v>46076</v>
      </c>
      <c r="X277" s="28">
        <v>46078</v>
      </c>
      <c r="Y277" s="28">
        <v>46084</v>
      </c>
      <c r="Z277" s="140">
        <v>46085</v>
      </c>
      <c r="AA277" s="33">
        <f t="shared" si="30"/>
        <v>3</v>
      </c>
      <c r="AB277" s="144" t="s">
        <v>910</v>
      </c>
      <c r="AC277" s="146" t="s">
        <v>1308</v>
      </c>
      <c r="AD277" s="19">
        <f t="shared" si="25"/>
        <v>1</v>
      </c>
      <c r="AE277" s="67">
        <f>IFERROR(NETWORKDAYS(B277,I277,Hoja1!$A$1:$A$29),"N/A")</f>
        <v>41</v>
      </c>
      <c r="AF277" s="21">
        <f>IFERROR(NETWORKDAYS(B277,W277,Hoja1!$A$1:$A$29),"N/A")</f>
        <v>55</v>
      </c>
      <c r="AG277" s="78">
        <v>26</v>
      </c>
      <c r="AH277" s="21">
        <f t="shared" si="29"/>
        <v>29</v>
      </c>
      <c r="AI277" s="21">
        <f>IFERROR(NETWORKDAYS(X277,Y277,Hoja1!$A$1:$A$29),"N/A")</f>
        <v>5</v>
      </c>
      <c r="AJ277" s="78">
        <v>0</v>
      </c>
      <c r="AK277" s="75">
        <f t="shared" si="28"/>
        <v>5</v>
      </c>
      <c r="AL277" s="21">
        <f>IFERROR(NETWORKDAYS(B277,Y277,Hoja1!$A$1:$A$29),"N/A")</f>
        <v>61</v>
      </c>
      <c r="AM277" s="21">
        <f t="shared" si="26"/>
        <v>35</v>
      </c>
      <c r="AN277" s="87"/>
      <c r="AO277" s="87"/>
      <c r="AP277" s="87"/>
      <c r="AQ277" s="87"/>
      <c r="AR277" s="87"/>
      <c r="AS277" s="87" t="s">
        <v>1895</v>
      </c>
      <c r="AT277" s="87" t="s">
        <v>2053</v>
      </c>
      <c r="AU277" s="87" t="s">
        <v>2216</v>
      </c>
      <c r="AV277" s="320" t="s">
        <v>2403</v>
      </c>
      <c r="AW277" s="403" t="s">
        <v>2864</v>
      </c>
      <c r="AY277" s="414"/>
    </row>
    <row r="278" spans="1:51" ht="15" customHeight="1" x14ac:dyDescent="0.25">
      <c r="A278" s="295">
        <v>15459</v>
      </c>
      <c r="B278" s="142">
        <v>45993</v>
      </c>
      <c r="C278" s="142">
        <v>46015</v>
      </c>
      <c r="D278" s="21">
        <v>1</v>
      </c>
      <c r="E278" s="87" t="s">
        <v>54</v>
      </c>
      <c r="F278" s="2" t="s">
        <v>55</v>
      </c>
      <c r="G278" s="151">
        <v>10</v>
      </c>
      <c r="H278" s="33" t="s">
        <v>56</v>
      </c>
      <c r="I278" s="104">
        <v>46071</v>
      </c>
      <c r="J278" s="104">
        <v>46071</v>
      </c>
      <c r="K278" s="151">
        <v>10</v>
      </c>
      <c r="L278" s="2" t="s">
        <v>55</v>
      </c>
      <c r="M278" s="2" t="s">
        <v>55</v>
      </c>
      <c r="N278" s="2" t="s">
        <v>55</v>
      </c>
      <c r="O278" s="2" t="s">
        <v>55</v>
      </c>
      <c r="P278" s="2" t="s">
        <v>55</v>
      </c>
      <c r="Q278" s="2" t="s">
        <v>55</v>
      </c>
      <c r="R278" s="2" t="s">
        <v>55</v>
      </c>
      <c r="S278" s="151">
        <v>3</v>
      </c>
      <c r="T278" s="151">
        <v>1</v>
      </c>
      <c r="U278" s="2">
        <v>0</v>
      </c>
      <c r="V278" s="44">
        <v>46083</v>
      </c>
      <c r="W278" s="44">
        <v>46083</v>
      </c>
      <c r="X278" s="44">
        <v>46083</v>
      </c>
      <c r="Y278" s="28">
        <v>46091</v>
      </c>
      <c r="Z278" s="104">
        <v>46093</v>
      </c>
      <c r="AA278" s="33">
        <f t="shared" si="30"/>
        <v>3</v>
      </c>
      <c r="AB278" s="144" t="s">
        <v>912</v>
      </c>
      <c r="AC278" s="35" t="s">
        <v>913</v>
      </c>
      <c r="AD278" s="19">
        <f t="shared" si="25"/>
        <v>1</v>
      </c>
      <c r="AE278" s="67">
        <f>IFERROR(NETWORKDAYS(B278,I278,Hoja1!$A$1:$A$29),"N/A")</f>
        <v>53</v>
      </c>
      <c r="AF278" s="21">
        <f>IFERROR(NETWORKDAYS(B278,W278,Hoja1!$A$1:$A$29),"N/A")</f>
        <v>61</v>
      </c>
      <c r="AG278" s="78">
        <v>0</v>
      </c>
      <c r="AH278" s="21">
        <f t="shared" si="29"/>
        <v>61</v>
      </c>
      <c r="AI278" s="21">
        <f>IFERROR(NETWORKDAYS(X278,Y278,Hoja1!$A$1:$A$29),"N/A")</f>
        <v>7</v>
      </c>
      <c r="AJ278" s="78">
        <v>2</v>
      </c>
      <c r="AK278" s="75">
        <f t="shared" si="28"/>
        <v>5</v>
      </c>
      <c r="AL278" s="21">
        <f>IFERROR(NETWORKDAYS(B278,Y278,Hoja1!$A$1:$A$29),"N/A")</f>
        <v>67</v>
      </c>
      <c r="AM278" s="21">
        <f t="shared" si="26"/>
        <v>65</v>
      </c>
      <c r="AN278" s="87" t="s">
        <v>871</v>
      </c>
      <c r="AO278" s="87" t="s">
        <v>871</v>
      </c>
      <c r="AP278" s="152"/>
      <c r="AQ278" s="152"/>
      <c r="AR278" s="152"/>
      <c r="AS278" s="152" t="s">
        <v>1955</v>
      </c>
      <c r="AT278" s="152" t="s">
        <v>1992</v>
      </c>
      <c r="AU278" s="152" t="s">
        <v>2217</v>
      </c>
      <c r="AV278" s="323" t="s">
        <v>2404</v>
      </c>
      <c r="AW278" s="403" t="s">
        <v>2865</v>
      </c>
      <c r="AY278" s="415"/>
    </row>
    <row r="279" spans="1:51" ht="15" customHeight="1" x14ac:dyDescent="0.25">
      <c r="A279" s="298">
        <v>15460</v>
      </c>
      <c r="B279" s="142">
        <v>46000</v>
      </c>
      <c r="C279" s="142">
        <v>46000</v>
      </c>
      <c r="D279" s="21">
        <v>1</v>
      </c>
      <c r="E279" s="87" t="s">
        <v>54</v>
      </c>
      <c r="F279" s="3" t="s">
        <v>55</v>
      </c>
      <c r="G279" s="3">
        <v>45</v>
      </c>
      <c r="H279" s="33" t="s">
        <v>56</v>
      </c>
      <c r="I279" s="153">
        <v>46007</v>
      </c>
      <c r="J279" s="104">
        <v>46071</v>
      </c>
      <c r="K279" s="3">
        <v>45</v>
      </c>
      <c r="L279" s="3" t="s">
        <v>55</v>
      </c>
      <c r="M279" s="3" t="s">
        <v>55</v>
      </c>
      <c r="N279" s="3" t="s">
        <v>55</v>
      </c>
      <c r="O279" s="3" t="s">
        <v>55</v>
      </c>
      <c r="P279" s="3" t="s">
        <v>55</v>
      </c>
      <c r="Q279" s="3" t="s">
        <v>55</v>
      </c>
      <c r="R279" s="3" t="s">
        <v>55</v>
      </c>
      <c r="S279" s="1">
        <v>1</v>
      </c>
      <c r="T279" s="1">
        <v>1</v>
      </c>
      <c r="U279" s="3">
        <v>0</v>
      </c>
      <c r="V279" s="30">
        <v>46073</v>
      </c>
      <c r="W279" s="30">
        <v>46073</v>
      </c>
      <c r="X279" s="30">
        <v>46073</v>
      </c>
      <c r="Y279" s="28">
        <v>46080</v>
      </c>
      <c r="Z279" s="37">
        <v>46083</v>
      </c>
      <c r="AA279" s="33">
        <f t="shared" si="30"/>
        <v>3</v>
      </c>
      <c r="AB279" s="144" t="s">
        <v>916</v>
      </c>
      <c r="AC279" s="35" t="s">
        <v>1309</v>
      </c>
      <c r="AD279" s="19">
        <f t="shared" si="25"/>
        <v>1</v>
      </c>
      <c r="AE279" s="67">
        <f>IFERROR(NETWORKDAYS(B279,I279,Hoja1!$A$1:$A$29),"N/A")</f>
        <v>6</v>
      </c>
      <c r="AF279" s="21">
        <f>IFERROR(NETWORKDAYS(B279,W279,Hoja1!$A$1:$A$29),"N/A")</f>
        <v>51</v>
      </c>
      <c r="AG279" s="78">
        <v>31</v>
      </c>
      <c r="AH279" s="21">
        <f t="shared" si="29"/>
        <v>20</v>
      </c>
      <c r="AI279" s="21">
        <f>IFERROR(NETWORKDAYS(X279,Y279,Hoja1!$A$1:$A$29),"N/A")</f>
        <v>6</v>
      </c>
      <c r="AJ279" s="78">
        <v>1</v>
      </c>
      <c r="AK279" s="75">
        <f t="shared" si="28"/>
        <v>5</v>
      </c>
      <c r="AL279" s="21">
        <f>IFERROR(NETWORKDAYS(B279,Y279,Hoja1!$A$1:$A$29),"N/A")</f>
        <v>56</v>
      </c>
      <c r="AM279" s="21">
        <f t="shared" si="26"/>
        <v>24</v>
      </c>
      <c r="AN279" s="114" t="s">
        <v>881</v>
      </c>
      <c r="AO279" s="114"/>
      <c r="AP279" s="114"/>
      <c r="AQ279" s="114"/>
      <c r="AR279" s="114"/>
      <c r="AS279" s="114" t="s">
        <v>1941</v>
      </c>
      <c r="AT279" s="114" t="s">
        <v>2100</v>
      </c>
      <c r="AU279" s="114" t="s">
        <v>2218</v>
      </c>
      <c r="AV279" s="322" t="s">
        <v>2264</v>
      </c>
      <c r="AW279" s="403" t="s">
        <v>2866</v>
      </c>
      <c r="AY279" s="414"/>
    </row>
    <row r="280" spans="1:51" ht="15" customHeight="1" x14ac:dyDescent="0.25">
      <c r="A280" s="295">
        <v>15478</v>
      </c>
      <c r="B280" s="142">
        <v>46002</v>
      </c>
      <c r="C280" s="142">
        <v>46002</v>
      </c>
      <c r="D280" s="21">
        <v>1</v>
      </c>
      <c r="E280" s="87" t="s">
        <v>54</v>
      </c>
      <c r="F280" s="3" t="s">
        <v>55</v>
      </c>
      <c r="G280" s="3">
        <v>6</v>
      </c>
      <c r="H280" s="3" t="s">
        <v>112</v>
      </c>
      <c r="I280" s="30">
        <v>46050</v>
      </c>
      <c r="J280" s="30">
        <v>46050</v>
      </c>
      <c r="K280" s="3">
        <v>6</v>
      </c>
      <c r="L280" s="3" t="s">
        <v>55</v>
      </c>
      <c r="M280" s="3" t="s">
        <v>55</v>
      </c>
      <c r="N280" s="3" t="s">
        <v>55</v>
      </c>
      <c r="O280" s="3" t="s">
        <v>55</v>
      </c>
      <c r="P280" s="3" t="s">
        <v>55</v>
      </c>
      <c r="Q280" s="3" t="s">
        <v>55</v>
      </c>
      <c r="R280" s="18" t="s">
        <v>55</v>
      </c>
      <c r="S280" s="3">
        <v>1</v>
      </c>
      <c r="T280" s="3">
        <v>1</v>
      </c>
      <c r="U280" s="3">
        <v>0</v>
      </c>
      <c r="V280" s="30">
        <v>46071</v>
      </c>
      <c r="W280" s="28">
        <v>46076</v>
      </c>
      <c r="X280" s="28">
        <v>46077</v>
      </c>
      <c r="Y280" s="28">
        <v>46083</v>
      </c>
      <c r="Z280" s="37">
        <v>46083</v>
      </c>
      <c r="AA280" s="33">
        <f t="shared" si="30"/>
        <v>3</v>
      </c>
      <c r="AB280" s="87" t="s">
        <v>917</v>
      </c>
      <c r="AC280" s="35" t="s">
        <v>1310</v>
      </c>
      <c r="AD280" s="19">
        <f t="shared" si="25"/>
        <v>1</v>
      </c>
      <c r="AE280" s="67">
        <f>IFERROR(NETWORKDAYS(B280,I280,Hoja1!$A$1:$A$29),"N/A")</f>
        <v>32</v>
      </c>
      <c r="AF280" s="21">
        <f>IFERROR(NETWORKDAYS(B280,W280,Hoja1!$A$1:$A$29),"N/A")</f>
        <v>50</v>
      </c>
      <c r="AG280" s="78">
        <v>18</v>
      </c>
      <c r="AH280" s="21">
        <f t="shared" si="29"/>
        <v>32</v>
      </c>
      <c r="AI280" s="21">
        <f>IFERROR(NETWORKDAYS(X280,Y280,Hoja1!$A$1:$A$29),"N/A")</f>
        <v>5</v>
      </c>
      <c r="AJ280" s="78">
        <v>0</v>
      </c>
      <c r="AK280" s="75">
        <f t="shared" si="28"/>
        <v>5</v>
      </c>
      <c r="AL280" s="21">
        <f>IFERROR(NETWORKDAYS(B280,Y280,Hoja1!$A$1:$A$29),"N/A")</f>
        <v>55</v>
      </c>
      <c r="AM280" s="21">
        <f t="shared" si="26"/>
        <v>37</v>
      </c>
      <c r="AN280" s="87"/>
      <c r="AO280" s="87"/>
      <c r="AP280" s="87"/>
      <c r="AQ280" s="87"/>
      <c r="AR280" s="87"/>
      <c r="AS280" s="87" t="s">
        <v>1913</v>
      </c>
      <c r="AT280" s="87" t="s">
        <v>2047</v>
      </c>
      <c r="AU280" s="87" t="s">
        <v>2209</v>
      </c>
      <c r="AV280" s="320" t="s">
        <v>2405</v>
      </c>
      <c r="AW280" s="403" t="s">
        <v>2867</v>
      </c>
      <c r="AY280" s="415"/>
    </row>
    <row r="281" spans="1:51" ht="15" customHeight="1" x14ac:dyDescent="0.25">
      <c r="A281" s="295">
        <v>15482</v>
      </c>
      <c r="B281" s="142">
        <v>46003</v>
      </c>
      <c r="C281" s="142">
        <v>46003</v>
      </c>
      <c r="D281" s="21">
        <v>1</v>
      </c>
      <c r="E281" s="87" t="s">
        <v>54</v>
      </c>
      <c r="F281" s="3" t="s">
        <v>55</v>
      </c>
      <c r="G281" s="3">
        <v>7</v>
      </c>
      <c r="H281" s="3" t="s">
        <v>112</v>
      </c>
      <c r="I281" s="30">
        <v>46059</v>
      </c>
      <c r="J281" s="30">
        <v>46059</v>
      </c>
      <c r="K281" s="3">
        <v>7</v>
      </c>
      <c r="L281" s="3" t="s">
        <v>55</v>
      </c>
      <c r="M281" s="3" t="s">
        <v>55</v>
      </c>
      <c r="N281" s="3" t="s">
        <v>55</v>
      </c>
      <c r="O281" s="3" t="s">
        <v>55</v>
      </c>
      <c r="P281" s="3" t="s">
        <v>55</v>
      </c>
      <c r="Q281" s="3" t="s">
        <v>55</v>
      </c>
      <c r="R281" s="18" t="s">
        <v>55</v>
      </c>
      <c r="S281" s="3">
        <v>2</v>
      </c>
      <c r="T281" s="3">
        <v>2</v>
      </c>
      <c r="U281" s="3">
        <v>0</v>
      </c>
      <c r="V281" s="30">
        <v>46072</v>
      </c>
      <c r="W281" s="30">
        <v>46072</v>
      </c>
      <c r="X281" s="28">
        <v>46073</v>
      </c>
      <c r="Y281" s="28">
        <v>46083</v>
      </c>
      <c r="Z281" s="37">
        <v>46083</v>
      </c>
      <c r="AA281" s="33">
        <f t="shared" si="30"/>
        <v>3</v>
      </c>
      <c r="AB281" s="87" t="s">
        <v>920</v>
      </c>
      <c r="AC281" s="35" t="s">
        <v>921</v>
      </c>
      <c r="AD281" s="19">
        <f t="shared" si="25"/>
        <v>1</v>
      </c>
      <c r="AE281" s="67">
        <f>IFERROR(NETWORKDAYS(B281,I281,Hoja1!$A$1:$A$29),"N/A")</f>
        <v>38</v>
      </c>
      <c r="AF281" s="21">
        <f>IFERROR(NETWORKDAYS(B281,W281,Hoja1!$A$1:$A$29),"N/A")</f>
        <v>47</v>
      </c>
      <c r="AG281" s="78">
        <v>14</v>
      </c>
      <c r="AH281" s="21">
        <f t="shared" si="29"/>
        <v>33</v>
      </c>
      <c r="AI281" s="21">
        <f>IFERROR(NETWORKDAYS(X281,Y281,Hoja1!$A$1:$A$29),"N/A")</f>
        <v>7</v>
      </c>
      <c r="AJ281" s="78">
        <v>2</v>
      </c>
      <c r="AK281" s="75">
        <f t="shared" si="28"/>
        <v>5</v>
      </c>
      <c r="AL281" s="21">
        <f>IFERROR(NETWORKDAYS(B281,Y281,Hoja1!$A$1:$A$29),"N/A")</f>
        <v>54</v>
      </c>
      <c r="AM281" s="21">
        <f t="shared" si="26"/>
        <v>38</v>
      </c>
      <c r="AN281" s="87" t="s">
        <v>881</v>
      </c>
      <c r="AO281" s="87"/>
      <c r="AP281" s="87"/>
      <c r="AQ281" s="87"/>
      <c r="AR281" s="87"/>
      <c r="AS281" s="87" t="s">
        <v>1956</v>
      </c>
      <c r="AT281" s="87" t="s">
        <v>1994</v>
      </c>
      <c r="AU281" s="87" t="s">
        <v>2209</v>
      </c>
      <c r="AV281" s="320" t="s">
        <v>2232</v>
      </c>
      <c r="AW281" s="403" t="s">
        <v>2868</v>
      </c>
      <c r="AY281" s="414"/>
    </row>
    <row r="282" spans="1:51" ht="15" customHeight="1" x14ac:dyDescent="0.25">
      <c r="A282" s="295">
        <v>15490</v>
      </c>
      <c r="B282" s="142">
        <v>46021</v>
      </c>
      <c r="C282" s="142">
        <v>46006</v>
      </c>
      <c r="D282" s="21">
        <v>1</v>
      </c>
      <c r="E282" s="87" t="s">
        <v>54</v>
      </c>
      <c r="F282" s="2" t="s">
        <v>55</v>
      </c>
      <c r="G282" s="3">
        <v>1</v>
      </c>
      <c r="H282" s="3" t="s">
        <v>112</v>
      </c>
      <c r="I282" s="142">
        <v>46058</v>
      </c>
      <c r="J282" s="142">
        <v>46058</v>
      </c>
      <c r="K282" s="3">
        <v>1</v>
      </c>
      <c r="L282" s="18" t="s">
        <v>55</v>
      </c>
      <c r="M282" s="18" t="s">
        <v>55</v>
      </c>
      <c r="N282" s="18" t="s">
        <v>55</v>
      </c>
      <c r="O282" s="18" t="s">
        <v>55</v>
      </c>
      <c r="P282" s="18" t="s">
        <v>55</v>
      </c>
      <c r="Q282" s="18" t="s">
        <v>55</v>
      </c>
      <c r="R282" s="18" t="s">
        <v>55</v>
      </c>
      <c r="S282" s="3">
        <v>1</v>
      </c>
      <c r="T282" s="3">
        <v>1</v>
      </c>
      <c r="U282" s="3">
        <v>0</v>
      </c>
      <c r="V282" s="28">
        <v>46073</v>
      </c>
      <c r="W282" s="28">
        <v>46073</v>
      </c>
      <c r="X282" s="28">
        <v>46073</v>
      </c>
      <c r="Y282" s="28">
        <v>46087</v>
      </c>
      <c r="Z282" s="28">
        <v>46090</v>
      </c>
      <c r="AA282" s="33">
        <f t="shared" si="30"/>
        <v>3</v>
      </c>
      <c r="AB282" s="144" t="s">
        <v>922</v>
      </c>
      <c r="AC282" s="35" t="s">
        <v>923</v>
      </c>
      <c r="AD282" s="19">
        <f t="shared" si="25"/>
        <v>1</v>
      </c>
      <c r="AE282" s="67">
        <f>IFERROR(NETWORKDAYS(B282,I282,Hoja1!$A$1:$A$29),"N/A")</f>
        <v>26</v>
      </c>
      <c r="AF282" s="21">
        <f>IFERROR(NETWORKDAYS(B282,W282,Hoja1!$A$1:$A$29),"N/A")</f>
        <v>37</v>
      </c>
      <c r="AG282" s="78">
        <v>8</v>
      </c>
      <c r="AH282" s="21">
        <f t="shared" si="29"/>
        <v>29</v>
      </c>
      <c r="AI282" s="21">
        <f>IFERROR(NETWORKDAYS(X282,Y282,Hoja1!$A$1:$A$29),"N/A")</f>
        <v>11</v>
      </c>
      <c r="AJ282" s="78">
        <v>6</v>
      </c>
      <c r="AK282" s="75">
        <f t="shared" si="28"/>
        <v>5</v>
      </c>
      <c r="AL282" s="21">
        <f>IFERROR(NETWORKDAYS(B282,Y282,Hoja1!$A$1:$A$29),"N/A")</f>
        <v>47</v>
      </c>
      <c r="AM282" s="21">
        <f t="shared" si="26"/>
        <v>33</v>
      </c>
      <c r="AN282" s="87" t="s">
        <v>871</v>
      </c>
      <c r="AO282" s="87"/>
      <c r="AP282" s="87"/>
      <c r="AQ282" s="87"/>
      <c r="AR282" s="87"/>
      <c r="AS282" s="87" t="s">
        <v>1931</v>
      </c>
      <c r="AT282" s="87" t="s">
        <v>1994</v>
      </c>
      <c r="AU282" s="87" t="s">
        <v>2211</v>
      </c>
      <c r="AV282" s="320" t="s">
        <v>2232</v>
      </c>
      <c r="AW282" s="403" t="s">
        <v>2869</v>
      </c>
      <c r="AY282" s="415"/>
    </row>
    <row r="283" spans="1:51" ht="15" customHeight="1" x14ac:dyDescent="0.25">
      <c r="A283" s="301">
        <v>15498</v>
      </c>
      <c r="B283" s="142">
        <v>46055</v>
      </c>
      <c r="C283" s="142">
        <v>46006</v>
      </c>
      <c r="D283" s="21">
        <v>1</v>
      </c>
      <c r="E283" s="87" t="s">
        <v>54</v>
      </c>
      <c r="F283" s="33" t="s">
        <v>55</v>
      </c>
      <c r="G283" s="33">
        <v>0</v>
      </c>
      <c r="H283" s="33"/>
      <c r="I283" s="142" t="s">
        <v>55</v>
      </c>
      <c r="J283" s="142" t="s">
        <v>55</v>
      </c>
      <c r="K283" s="33">
        <v>0</v>
      </c>
      <c r="L283" s="33" t="s">
        <v>55</v>
      </c>
      <c r="M283" s="33" t="s">
        <v>55</v>
      </c>
      <c r="N283" s="33" t="s">
        <v>55</v>
      </c>
      <c r="O283" s="33" t="s">
        <v>55</v>
      </c>
      <c r="P283" s="33" t="s">
        <v>55</v>
      </c>
      <c r="Q283" s="33" t="s">
        <v>55</v>
      </c>
      <c r="R283" s="33" t="s">
        <v>55</v>
      </c>
      <c r="S283" s="33">
        <v>4</v>
      </c>
      <c r="T283" s="33">
        <v>4</v>
      </c>
      <c r="U283" s="33">
        <v>0</v>
      </c>
      <c r="V283" s="28">
        <v>46297</v>
      </c>
      <c r="W283" s="28">
        <v>46071</v>
      </c>
      <c r="X283" s="154">
        <v>46087</v>
      </c>
      <c r="Y283" s="28">
        <v>46101</v>
      </c>
      <c r="Z283" s="140">
        <v>46106</v>
      </c>
      <c r="AA283" s="33">
        <f t="shared" si="30"/>
        <v>3</v>
      </c>
      <c r="AB283" s="144" t="s">
        <v>925</v>
      </c>
      <c r="AC283" s="35" t="s">
        <v>926</v>
      </c>
      <c r="AD283" s="19" t="str">
        <f t="shared" si="25"/>
        <v>N/A</v>
      </c>
      <c r="AE283" s="67" t="str">
        <f>IFERROR(NETWORKDAYS(B283,I283,Hoja1!$A$1:$A$29),"N/A")</f>
        <v>N/A</v>
      </c>
      <c r="AF283" s="21">
        <f>IFERROR(NETWORKDAYS(B283,W283,Hoja1!$A$1:$A$29),"N/A")</f>
        <v>13</v>
      </c>
      <c r="AG283" s="78">
        <v>0</v>
      </c>
      <c r="AH283" s="21">
        <f t="shared" si="29"/>
        <v>13</v>
      </c>
      <c r="AI283" s="21">
        <f>IFERROR(NETWORKDAYS(X283,Y283,Hoja1!$A$1:$A$29),"N/A")</f>
        <v>11</v>
      </c>
      <c r="AJ283" s="78">
        <v>6</v>
      </c>
      <c r="AK283" s="75">
        <f t="shared" si="28"/>
        <v>5</v>
      </c>
      <c r="AL283" s="21">
        <f>IFERROR(NETWORKDAYS(B283,Y283,Hoja1!$A$1:$A$29),"N/A")</f>
        <v>35</v>
      </c>
      <c r="AM283" s="21">
        <f t="shared" si="26"/>
        <v>29</v>
      </c>
      <c r="AN283" s="84"/>
      <c r="AO283" s="84"/>
      <c r="AP283" s="84"/>
      <c r="AQ283" s="84"/>
      <c r="AR283" s="84"/>
      <c r="AS283" s="84" t="s">
        <v>1943</v>
      </c>
      <c r="AT283" s="84" t="s">
        <v>2101</v>
      </c>
      <c r="AU283" s="84" t="s">
        <v>2210</v>
      </c>
      <c r="AV283" s="324" t="s">
        <v>2235</v>
      </c>
      <c r="AW283" s="403" t="s">
        <v>2870</v>
      </c>
      <c r="AY283" s="414"/>
    </row>
    <row r="284" spans="1:51" ht="15" customHeight="1" x14ac:dyDescent="0.25">
      <c r="A284" s="294">
        <v>15509</v>
      </c>
      <c r="B284" s="142">
        <v>46008</v>
      </c>
      <c r="C284" s="142">
        <v>46008</v>
      </c>
      <c r="D284" s="21">
        <v>1</v>
      </c>
      <c r="E284" s="87" t="s">
        <v>54</v>
      </c>
      <c r="F284" s="3" t="s">
        <v>55</v>
      </c>
      <c r="G284" s="3">
        <v>9</v>
      </c>
      <c r="H284" s="33" t="s">
        <v>56</v>
      </c>
      <c r="I284" s="155">
        <v>46015</v>
      </c>
      <c r="J284" s="155">
        <v>46020</v>
      </c>
      <c r="K284" s="3">
        <v>9</v>
      </c>
      <c r="L284" s="3" t="s">
        <v>55</v>
      </c>
      <c r="M284" s="3" t="s">
        <v>55</v>
      </c>
      <c r="N284" s="3" t="s">
        <v>55</v>
      </c>
      <c r="O284" s="3" t="s">
        <v>55</v>
      </c>
      <c r="P284" s="3" t="s">
        <v>55</v>
      </c>
      <c r="Q284" s="3" t="s">
        <v>55</v>
      </c>
      <c r="R284" s="3" t="s">
        <v>55</v>
      </c>
      <c r="S284" s="3">
        <v>1</v>
      </c>
      <c r="T284" s="3">
        <v>1</v>
      </c>
      <c r="U284" s="3">
        <v>0</v>
      </c>
      <c r="V284" s="28">
        <v>46063</v>
      </c>
      <c r="W284" s="28">
        <v>46066</v>
      </c>
      <c r="X284" s="28">
        <v>46066</v>
      </c>
      <c r="Y284" s="28">
        <v>46080</v>
      </c>
      <c r="Z284" s="38">
        <v>46083</v>
      </c>
      <c r="AA284" s="33">
        <f t="shared" si="30"/>
        <v>3</v>
      </c>
      <c r="AB284" s="144" t="s">
        <v>927</v>
      </c>
      <c r="AC284" s="35" t="s">
        <v>928</v>
      </c>
      <c r="AD284" s="19">
        <f t="shared" si="25"/>
        <v>1</v>
      </c>
      <c r="AE284" s="67">
        <f>IFERROR(NETWORKDAYS(B284,I284,Hoja1!$A$1:$A$29),"N/A")</f>
        <v>6</v>
      </c>
      <c r="AF284" s="21">
        <f>IFERROR(NETWORKDAYS(B284,W284,Hoja1!$A$1:$A$29),"N/A")</f>
        <v>40</v>
      </c>
      <c r="AG284" s="78">
        <v>16</v>
      </c>
      <c r="AH284" s="21">
        <f t="shared" si="29"/>
        <v>24</v>
      </c>
      <c r="AI284" s="21">
        <f>IFERROR(NETWORKDAYS(X284,Y284,Hoja1!$A$1:$A$29),"N/A")</f>
        <v>11</v>
      </c>
      <c r="AJ284" s="78">
        <v>6</v>
      </c>
      <c r="AK284" s="75">
        <f t="shared" si="28"/>
        <v>5</v>
      </c>
      <c r="AL284" s="21">
        <f>IFERROR(NETWORKDAYS(B284,Y284,Hoja1!$A$1:$A$29),"N/A")</f>
        <v>50</v>
      </c>
      <c r="AM284" s="21">
        <f t="shared" si="26"/>
        <v>28</v>
      </c>
      <c r="AN284" s="114"/>
      <c r="AO284" s="114"/>
      <c r="AP284" s="114"/>
      <c r="AQ284" s="114"/>
      <c r="AR284" s="114"/>
      <c r="AS284" s="114" t="s">
        <v>1911</v>
      </c>
      <c r="AT284" s="114" t="s">
        <v>2061</v>
      </c>
      <c r="AU284" s="114" t="s">
        <v>2210</v>
      </c>
      <c r="AV284" s="322" t="s">
        <v>2406</v>
      </c>
      <c r="AW284" s="403" t="s">
        <v>2871</v>
      </c>
      <c r="AY284" s="415"/>
    </row>
    <row r="285" spans="1:51" ht="15" customHeight="1" x14ac:dyDescent="0.25">
      <c r="A285" s="301">
        <v>15510</v>
      </c>
      <c r="B285" s="142">
        <v>46008</v>
      </c>
      <c r="C285" s="142">
        <v>46008</v>
      </c>
      <c r="D285" s="21">
        <v>1</v>
      </c>
      <c r="E285" s="87" t="s">
        <v>54</v>
      </c>
      <c r="F285" s="3" t="s">
        <v>55</v>
      </c>
      <c r="G285" s="3">
        <v>3</v>
      </c>
      <c r="H285" s="3" t="s">
        <v>112</v>
      </c>
      <c r="I285" s="147">
        <v>46014</v>
      </c>
      <c r="J285" s="147">
        <v>46015</v>
      </c>
      <c r="K285" s="3">
        <v>3</v>
      </c>
      <c r="L285" s="3" t="s">
        <v>55</v>
      </c>
      <c r="M285" s="3" t="s">
        <v>55</v>
      </c>
      <c r="N285" s="3" t="s">
        <v>55</v>
      </c>
      <c r="O285" s="3" t="s">
        <v>55</v>
      </c>
      <c r="P285" s="3" t="s">
        <v>55</v>
      </c>
      <c r="Q285" s="3" t="s">
        <v>55</v>
      </c>
      <c r="R285" s="3" t="s">
        <v>55</v>
      </c>
      <c r="S285" s="33">
        <v>1</v>
      </c>
      <c r="T285" s="33">
        <v>1</v>
      </c>
      <c r="U285" s="3">
        <v>0</v>
      </c>
      <c r="V285" s="28">
        <v>46071</v>
      </c>
      <c r="W285" s="28">
        <v>46071</v>
      </c>
      <c r="X285" s="28">
        <v>46071</v>
      </c>
      <c r="Y285" s="28">
        <v>46080</v>
      </c>
      <c r="Z285" s="38">
        <v>46083</v>
      </c>
      <c r="AA285" s="33">
        <f t="shared" si="30"/>
        <v>3</v>
      </c>
      <c r="AB285" s="144" t="s">
        <v>929</v>
      </c>
      <c r="AC285" s="35" t="s">
        <v>1311</v>
      </c>
      <c r="AD285" s="19">
        <f t="shared" si="25"/>
        <v>1</v>
      </c>
      <c r="AE285" s="67">
        <f>IFERROR(NETWORKDAYS(B285,I285,Hoja1!$A$1:$A$29),"N/A")</f>
        <v>5</v>
      </c>
      <c r="AF285" s="21">
        <f>IFERROR(NETWORKDAYS(B285,W285,Hoja1!$A$1:$A$29),"N/A")</f>
        <v>43</v>
      </c>
      <c r="AG285" s="78">
        <v>24</v>
      </c>
      <c r="AH285" s="21">
        <f t="shared" si="29"/>
        <v>19</v>
      </c>
      <c r="AI285" s="21">
        <f>IFERROR(NETWORKDAYS(X285,Y285,Hoja1!$A$1:$A$29),"N/A")</f>
        <v>8</v>
      </c>
      <c r="AJ285" s="78">
        <v>3</v>
      </c>
      <c r="AK285" s="75">
        <f t="shared" si="28"/>
        <v>5</v>
      </c>
      <c r="AL285" s="21">
        <f>IFERROR(NETWORKDAYS(B285,Y285,Hoja1!$A$1:$A$29),"N/A")</f>
        <v>50</v>
      </c>
      <c r="AM285" s="21">
        <f t="shared" si="26"/>
        <v>23</v>
      </c>
      <c r="AN285" s="84"/>
      <c r="AO285" s="84"/>
      <c r="AP285" s="84"/>
      <c r="AQ285" s="84"/>
      <c r="AR285" s="84"/>
      <c r="AS285" s="84" t="s">
        <v>1911</v>
      </c>
      <c r="AT285" s="84" t="s">
        <v>2061</v>
      </c>
      <c r="AU285" s="84" t="s">
        <v>2210</v>
      </c>
      <c r="AV285" s="324" t="s">
        <v>2407</v>
      </c>
      <c r="AW285" s="403" t="s">
        <v>2872</v>
      </c>
      <c r="AY285" s="414"/>
    </row>
    <row r="286" spans="1:51" ht="15" customHeight="1" x14ac:dyDescent="0.25">
      <c r="A286" s="295">
        <v>15515</v>
      </c>
      <c r="B286" s="142">
        <v>46092</v>
      </c>
      <c r="C286" s="142">
        <v>46007</v>
      </c>
      <c r="D286" s="21">
        <v>1</v>
      </c>
      <c r="E286" s="87" t="s">
        <v>54</v>
      </c>
      <c r="F286" s="18" t="s">
        <v>55</v>
      </c>
      <c r="G286" s="3">
        <v>0</v>
      </c>
      <c r="H286" s="33"/>
      <c r="I286" s="2" t="s">
        <v>55</v>
      </c>
      <c r="J286" s="2" t="s">
        <v>55</v>
      </c>
      <c r="K286" s="3">
        <v>0</v>
      </c>
      <c r="L286" s="18" t="s">
        <v>55</v>
      </c>
      <c r="M286" s="18" t="s">
        <v>55</v>
      </c>
      <c r="N286" s="18" t="s">
        <v>55</v>
      </c>
      <c r="O286" s="18" t="s">
        <v>55</v>
      </c>
      <c r="P286" s="18" t="s">
        <v>55</v>
      </c>
      <c r="Q286" s="18" t="s">
        <v>55</v>
      </c>
      <c r="R286" s="18" t="s">
        <v>55</v>
      </c>
      <c r="S286" s="3">
        <v>7</v>
      </c>
      <c r="T286" s="3">
        <v>3</v>
      </c>
      <c r="U286" s="3">
        <v>0</v>
      </c>
      <c r="V286" s="28">
        <v>46097</v>
      </c>
      <c r="W286" s="28">
        <v>46097</v>
      </c>
      <c r="X286" s="28">
        <v>46097</v>
      </c>
      <c r="Y286" s="28">
        <v>46105</v>
      </c>
      <c r="Z286" s="140">
        <v>46106</v>
      </c>
      <c r="AA286" s="33">
        <f t="shared" si="30"/>
        <v>3</v>
      </c>
      <c r="AB286" s="144" t="s">
        <v>931</v>
      </c>
      <c r="AC286" s="35" t="s">
        <v>932</v>
      </c>
      <c r="AD286" s="19" t="str">
        <f t="shared" si="25"/>
        <v>N/A</v>
      </c>
      <c r="AE286" s="67" t="str">
        <f>IFERROR(NETWORKDAYS(B286,I286,Hoja1!$A$1:$A$29),"N/A")</f>
        <v>N/A</v>
      </c>
      <c r="AF286" s="21">
        <f>IFERROR(NETWORKDAYS(B286,W286,Hoja1!$A$1:$A$29),"N/A")</f>
        <v>4</v>
      </c>
      <c r="AG286" s="78">
        <v>0</v>
      </c>
      <c r="AH286" s="21">
        <f t="shared" si="29"/>
        <v>4</v>
      </c>
      <c r="AI286" s="21">
        <f>IFERROR(NETWORKDAYS(X286,Y286,Hoja1!$A$1:$A$29),"N/A")</f>
        <v>6</v>
      </c>
      <c r="AJ286" s="78">
        <v>1</v>
      </c>
      <c r="AK286" s="75">
        <f t="shared" si="28"/>
        <v>5</v>
      </c>
      <c r="AL286" s="21">
        <f>IFERROR(NETWORKDAYS(B286,Y286,Hoja1!$A$1:$A$29),"N/A")</f>
        <v>9</v>
      </c>
      <c r="AM286" s="21">
        <f t="shared" si="26"/>
        <v>8</v>
      </c>
      <c r="AN286" s="114" t="s">
        <v>446</v>
      </c>
      <c r="AO286" s="87" t="s">
        <v>445</v>
      </c>
      <c r="AP286" s="87" t="s">
        <v>871</v>
      </c>
      <c r="AQ286" s="114" t="s">
        <v>446</v>
      </c>
      <c r="AR286" s="87"/>
      <c r="AS286" s="87" t="s">
        <v>1888</v>
      </c>
      <c r="AT286" s="87" t="s">
        <v>2062</v>
      </c>
      <c r="AU286" s="87" t="s">
        <v>2211</v>
      </c>
      <c r="AV286" s="320" t="s">
        <v>2408</v>
      </c>
      <c r="AW286" s="403" t="s">
        <v>2873</v>
      </c>
      <c r="AY286" s="415"/>
    </row>
    <row r="287" spans="1:51" ht="15" customHeight="1" x14ac:dyDescent="0.25">
      <c r="A287" s="295">
        <v>15521</v>
      </c>
      <c r="B287" s="142">
        <v>46008</v>
      </c>
      <c r="C287" s="142">
        <v>46007</v>
      </c>
      <c r="D287" s="21">
        <v>1</v>
      </c>
      <c r="E287" s="87" t="s">
        <v>54</v>
      </c>
      <c r="F287" s="2" t="s">
        <v>55</v>
      </c>
      <c r="G287" s="3">
        <v>4</v>
      </c>
      <c r="H287" s="33" t="s">
        <v>56</v>
      </c>
      <c r="I287" s="37">
        <v>46048</v>
      </c>
      <c r="J287" s="37">
        <v>46049</v>
      </c>
      <c r="K287" s="3">
        <v>2</v>
      </c>
      <c r="L287" s="18" t="s">
        <v>55</v>
      </c>
      <c r="M287" s="18" t="s">
        <v>55</v>
      </c>
      <c r="N287" s="18" t="s">
        <v>55</v>
      </c>
      <c r="O287" s="18" t="s">
        <v>55</v>
      </c>
      <c r="P287" s="18" t="s">
        <v>55</v>
      </c>
      <c r="Q287" s="18" t="s">
        <v>55</v>
      </c>
      <c r="R287" s="18" t="s">
        <v>55</v>
      </c>
      <c r="S287" s="3">
        <v>1</v>
      </c>
      <c r="T287" s="3">
        <v>1</v>
      </c>
      <c r="U287" s="3">
        <v>0</v>
      </c>
      <c r="V287" s="28">
        <v>46073</v>
      </c>
      <c r="W287" s="28">
        <v>46073</v>
      </c>
      <c r="X287" s="28">
        <v>46073</v>
      </c>
      <c r="Y287" s="28">
        <v>46080</v>
      </c>
      <c r="Z287" s="38">
        <v>46083</v>
      </c>
      <c r="AA287" s="33">
        <f t="shared" si="30"/>
        <v>3</v>
      </c>
      <c r="AB287" s="144" t="s">
        <v>934</v>
      </c>
      <c r="AC287" s="35" t="s">
        <v>1312</v>
      </c>
      <c r="AD287" s="19">
        <f t="shared" si="25"/>
        <v>0.5</v>
      </c>
      <c r="AE287" s="67">
        <f>IFERROR(NETWORKDAYS(B287,I287,Hoja1!$A$1:$A$29),"N/A")</f>
        <v>26</v>
      </c>
      <c r="AF287" s="21">
        <f>IFERROR(NETWORKDAYS(B287,W287,Hoja1!$A$1:$A$29),"N/A")</f>
        <v>45</v>
      </c>
      <c r="AG287" s="78">
        <v>17</v>
      </c>
      <c r="AH287" s="21">
        <f t="shared" si="29"/>
        <v>28</v>
      </c>
      <c r="AI287" s="21">
        <f>IFERROR(NETWORKDAYS(X287,Y287,Hoja1!$A$1:$A$29),"N/A")</f>
        <v>6</v>
      </c>
      <c r="AJ287" s="78">
        <v>1</v>
      </c>
      <c r="AK287" s="75">
        <f t="shared" si="28"/>
        <v>5</v>
      </c>
      <c r="AL287" s="21">
        <f>IFERROR(NETWORKDAYS(B287,Y287,Hoja1!$A$1:$A$29),"N/A")</f>
        <v>50</v>
      </c>
      <c r="AM287" s="21">
        <f t="shared" si="26"/>
        <v>32</v>
      </c>
      <c r="AN287" s="87"/>
      <c r="AO287" s="87"/>
      <c r="AP287" s="87"/>
      <c r="AQ287" s="87"/>
      <c r="AR287" s="87"/>
      <c r="AS287" s="87" t="s">
        <v>1957</v>
      </c>
      <c r="AT287" s="87" t="s">
        <v>1995</v>
      </c>
      <c r="AU287" s="87" t="s">
        <v>2211</v>
      </c>
      <c r="AV287" s="320" t="s">
        <v>2409</v>
      </c>
      <c r="AW287" s="403" t="s">
        <v>2874</v>
      </c>
      <c r="AY287" s="414"/>
    </row>
    <row r="288" spans="1:51" ht="15" customHeight="1" x14ac:dyDescent="0.25">
      <c r="A288" s="295">
        <v>15548</v>
      </c>
      <c r="B288" s="142">
        <v>46010</v>
      </c>
      <c r="C288" s="142">
        <v>46009</v>
      </c>
      <c r="D288" s="21">
        <v>1</v>
      </c>
      <c r="E288" s="87" t="s">
        <v>54</v>
      </c>
      <c r="F288" s="2" t="s">
        <v>55</v>
      </c>
      <c r="G288" s="3">
        <v>3</v>
      </c>
      <c r="H288" s="33" t="s">
        <v>56</v>
      </c>
      <c r="I288" s="30">
        <v>46017</v>
      </c>
      <c r="J288" s="30">
        <v>46063</v>
      </c>
      <c r="K288" s="3">
        <v>3</v>
      </c>
      <c r="L288" s="18" t="s">
        <v>55</v>
      </c>
      <c r="M288" s="18" t="s">
        <v>55</v>
      </c>
      <c r="N288" s="18" t="s">
        <v>55</v>
      </c>
      <c r="O288" s="18" t="s">
        <v>55</v>
      </c>
      <c r="P288" s="18" t="s">
        <v>55</v>
      </c>
      <c r="Q288" s="18" t="s">
        <v>55</v>
      </c>
      <c r="R288" s="18" t="s">
        <v>55</v>
      </c>
      <c r="S288" s="3">
        <v>2</v>
      </c>
      <c r="T288" s="3">
        <v>2</v>
      </c>
      <c r="U288" s="3">
        <v>0</v>
      </c>
      <c r="V288" s="28">
        <v>46070</v>
      </c>
      <c r="W288" s="28">
        <v>46070</v>
      </c>
      <c r="X288" s="28">
        <v>46073</v>
      </c>
      <c r="Y288" s="28">
        <v>46080</v>
      </c>
      <c r="Z288" s="38">
        <v>46083</v>
      </c>
      <c r="AA288" s="33">
        <f t="shared" si="30"/>
        <v>3</v>
      </c>
      <c r="AB288" s="144" t="s">
        <v>936</v>
      </c>
      <c r="AC288" s="35" t="s">
        <v>937</v>
      </c>
      <c r="AD288" s="19">
        <f t="shared" si="25"/>
        <v>1</v>
      </c>
      <c r="AE288" s="67">
        <f>IFERROR(NETWORKDAYS(B288,I288,Hoja1!$A$1:$A$29),"N/A")</f>
        <v>5</v>
      </c>
      <c r="AF288" s="21">
        <f>IFERROR(NETWORKDAYS(B288,W288,Hoja1!$A$1:$A$29),"N/A")</f>
        <v>40</v>
      </c>
      <c r="AG288" s="78">
        <v>25</v>
      </c>
      <c r="AH288" s="21">
        <f t="shared" si="29"/>
        <v>15</v>
      </c>
      <c r="AI288" s="21">
        <f>IFERROR(NETWORKDAYS(X288,Y288,Hoja1!$A$1:$A$29),"N/A")</f>
        <v>6</v>
      </c>
      <c r="AJ288" s="78">
        <v>1</v>
      </c>
      <c r="AK288" s="75">
        <f t="shared" si="28"/>
        <v>5</v>
      </c>
      <c r="AL288" s="21">
        <f>IFERROR(NETWORKDAYS(B288,Y288,Hoja1!$A$1:$A$29),"N/A")</f>
        <v>48</v>
      </c>
      <c r="AM288" s="21">
        <f t="shared" si="26"/>
        <v>22</v>
      </c>
      <c r="AN288" s="87" t="s">
        <v>871</v>
      </c>
      <c r="AO288" s="87"/>
      <c r="AP288" s="87"/>
      <c r="AQ288" s="87"/>
      <c r="AR288" s="87"/>
      <c r="AS288" s="87" t="s">
        <v>1888</v>
      </c>
      <c r="AT288" s="87" t="s">
        <v>1994</v>
      </c>
      <c r="AU288" s="87" t="s">
        <v>2211</v>
      </c>
      <c r="AV288" s="320" t="s">
        <v>2232</v>
      </c>
      <c r="AW288" s="403" t="s">
        <v>2875</v>
      </c>
      <c r="AY288" s="415"/>
    </row>
    <row r="289" spans="1:51" ht="15" customHeight="1" x14ac:dyDescent="0.25">
      <c r="A289" s="295">
        <v>15550</v>
      </c>
      <c r="B289" s="142">
        <v>46015</v>
      </c>
      <c r="C289" s="142">
        <v>46015</v>
      </c>
      <c r="D289" s="21">
        <v>1</v>
      </c>
      <c r="E289" s="87" t="s">
        <v>54</v>
      </c>
      <c r="F289" s="2" t="s">
        <v>55</v>
      </c>
      <c r="G289" s="151">
        <v>4</v>
      </c>
      <c r="H289" s="33" t="s">
        <v>56</v>
      </c>
      <c r="I289" s="104">
        <v>46057</v>
      </c>
      <c r="J289" s="104">
        <v>46057</v>
      </c>
      <c r="K289" s="151">
        <v>4</v>
      </c>
      <c r="L289" s="2" t="s">
        <v>55</v>
      </c>
      <c r="M289" s="2" t="s">
        <v>55</v>
      </c>
      <c r="N289" s="2" t="s">
        <v>55</v>
      </c>
      <c r="O289" s="2" t="s">
        <v>55</v>
      </c>
      <c r="P289" s="2" t="s">
        <v>55</v>
      </c>
      <c r="Q289" s="2" t="s">
        <v>55</v>
      </c>
      <c r="R289" s="2" t="s">
        <v>55</v>
      </c>
      <c r="S289" s="151">
        <v>1</v>
      </c>
      <c r="T289" s="151">
        <v>1</v>
      </c>
      <c r="U289" s="2">
        <v>0</v>
      </c>
      <c r="V289" s="30">
        <v>46072</v>
      </c>
      <c r="W289" s="30">
        <v>46073</v>
      </c>
      <c r="X289" s="30">
        <v>46073</v>
      </c>
      <c r="Y289" s="28">
        <v>46080</v>
      </c>
      <c r="Z289" s="37">
        <v>46083</v>
      </c>
      <c r="AA289" s="33">
        <f t="shared" si="30"/>
        <v>3</v>
      </c>
      <c r="AB289" s="144" t="s">
        <v>938</v>
      </c>
      <c r="AC289" s="35" t="s">
        <v>1313</v>
      </c>
      <c r="AD289" s="19">
        <f t="shared" si="25"/>
        <v>1</v>
      </c>
      <c r="AE289" s="67">
        <f>IFERROR(NETWORKDAYS(B289,I289,Hoja1!$A$1:$A$29),"N/A")</f>
        <v>28</v>
      </c>
      <c r="AF289" s="21">
        <f>IFERROR(NETWORKDAYS(B289,W289,Hoja1!$A$1:$A$29),"N/A")</f>
        <v>40</v>
      </c>
      <c r="AG289" s="78">
        <v>17</v>
      </c>
      <c r="AH289" s="21">
        <f t="shared" si="29"/>
        <v>23</v>
      </c>
      <c r="AI289" s="21">
        <f>IFERROR(NETWORKDAYS(X289,Y289,Hoja1!$A$1:$A$29),"N/A")</f>
        <v>6</v>
      </c>
      <c r="AJ289" s="78">
        <v>2</v>
      </c>
      <c r="AK289" s="75">
        <f t="shared" si="28"/>
        <v>4</v>
      </c>
      <c r="AL289" s="21">
        <f>IFERROR(NETWORKDAYS(B289,Y289,Hoja1!$A$1:$A$29),"N/A")</f>
        <v>45</v>
      </c>
      <c r="AM289" s="21">
        <f t="shared" si="26"/>
        <v>26</v>
      </c>
      <c r="AN289" s="152"/>
      <c r="AO289" s="152"/>
      <c r="AP289" s="152"/>
      <c r="AQ289" s="152"/>
      <c r="AR289" s="152"/>
      <c r="AS289" s="152" t="s">
        <v>1901</v>
      </c>
      <c r="AT289" s="152" t="s">
        <v>1994</v>
      </c>
      <c r="AU289" s="152" t="s">
        <v>2217</v>
      </c>
      <c r="AV289" s="323" t="s">
        <v>2258</v>
      </c>
      <c r="AW289" s="403" t="s">
        <v>2876</v>
      </c>
      <c r="AY289" s="414"/>
    </row>
    <row r="290" spans="1:51" ht="15" customHeight="1" x14ac:dyDescent="0.25">
      <c r="A290" s="295">
        <v>15552</v>
      </c>
      <c r="B290" s="142">
        <v>46044</v>
      </c>
      <c r="C290" s="142">
        <v>46009</v>
      </c>
      <c r="D290" s="21">
        <v>1</v>
      </c>
      <c r="E290" s="87" t="s">
        <v>54</v>
      </c>
      <c r="F290" s="2" t="s">
        <v>55</v>
      </c>
      <c r="G290" s="3">
        <v>7</v>
      </c>
      <c r="H290" s="3" t="s">
        <v>56</v>
      </c>
      <c r="I290" s="142">
        <v>46048</v>
      </c>
      <c r="J290" s="142">
        <v>46048</v>
      </c>
      <c r="K290" s="3">
        <v>7</v>
      </c>
      <c r="L290" s="18" t="s">
        <v>55</v>
      </c>
      <c r="M290" s="18" t="s">
        <v>55</v>
      </c>
      <c r="N290" s="18" t="s">
        <v>55</v>
      </c>
      <c r="O290" s="18" t="s">
        <v>55</v>
      </c>
      <c r="P290" s="18" t="s">
        <v>55</v>
      </c>
      <c r="Q290" s="18" t="s">
        <v>55</v>
      </c>
      <c r="R290" s="18" t="s">
        <v>55</v>
      </c>
      <c r="S290" s="3">
        <v>1</v>
      </c>
      <c r="T290" s="3">
        <v>1</v>
      </c>
      <c r="U290" s="3">
        <v>0</v>
      </c>
      <c r="V290" s="28">
        <v>46073</v>
      </c>
      <c r="W290" s="28">
        <v>46073</v>
      </c>
      <c r="X290" s="28">
        <v>46073</v>
      </c>
      <c r="Y290" s="28">
        <v>46087</v>
      </c>
      <c r="Z290" s="28">
        <v>46090</v>
      </c>
      <c r="AA290" s="33">
        <f t="shared" si="30"/>
        <v>3</v>
      </c>
      <c r="AB290" s="144" t="s">
        <v>939</v>
      </c>
      <c r="AC290" s="35" t="s">
        <v>1314</v>
      </c>
      <c r="AD290" s="19">
        <f t="shared" si="25"/>
        <v>1</v>
      </c>
      <c r="AE290" s="67">
        <f>IFERROR(NETWORKDAYS(B290,I290,Hoja1!$A$1:$A$29),"N/A")</f>
        <v>3</v>
      </c>
      <c r="AF290" s="21">
        <f>IFERROR(NETWORKDAYS(B290,W290,Hoja1!$A$1:$A$29),"N/A")</f>
        <v>22</v>
      </c>
      <c r="AG290" s="78">
        <v>0</v>
      </c>
      <c r="AH290" s="21">
        <f t="shared" si="29"/>
        <v>22</v>
      </c>
      <c r="AI290" s="21">
        <f>IFERROR(NETWORKDAYS(X290,Y290,Hoja1!$A$1:$A$29),"N/A")</f>
        <v>11</v>
      </c>
      <c r="AJ290" s="78">
        <v>6</v>
      </c>
      <c r="AK290" s="75">
        <f t="shared" si="28"/>
        <v>5</v>
      </c>
      <c r="AL290" s="21">
        <f>IFERROR(NETWORKDAYS(B290,Y290,Hoja1!$A$1:$A$29),"N/A")</f>
        <v>32</v>
      </c>
      <c r="AM290" s="21">
        <f t="shared" si="26"/>
        <v>26</v>
      </c>
      <c r="AN290" s="87" t="s">
        <v>446</v>
      </c>
      <c r="AO290" s="87"/>
      <c r="AP290" s="87"/>
      <c r="AQ290" s="87"/>
      <c r="AR290" s="87"/>
      <c r="AS290" s="87" t="s">
        <v>1891</v>
      </c>
      <c r="AT290" s="87" t="s">
        <v>1994</v>
      </c>
      <c r="AU290" s="87" t="s">
        <v>2211</v>
      </c>
      <c r="AV290" s="320" t="s">
        <v>2232</v>
      </c>
      <c r="AW290" s="403" t="s">
        <v>2877</v>
      </c>
      <c r="AY290" s="415"/>
    </row>
    <row r="291" spans="1:51" ht="15" customHeight="1" x14ac:dyDescent="0.25">
      <c r="A291" s="295">
        <v>15553</v>
      </c>
      <c r="B291" s="142">
        <v>46044</v>
      </c>
      <c r="C291" s="142">
        <v>46009</v>
      </c>
      <c r="D291" s="21">
        <v>1</v>
      </c>
      <c r="E291" s="87" t="s">
        <v>54</v>
      </c>
      <c r="F291" s="2" t="s">
        <v>55</v>
      </c>
      <c r="G291" s="3">
        <v>7</v>
      </c>
      <c r="H291" s="3" t="s">
        <v>56</v>
      </c>
      <c r="I291" s="142">
        <v>46048</v>
      </c>
      <c r="J291" s="142">
        <v>46048</v>
      </c>
      <c r="K291" s="3">
        <v>7</v>
      </c>
      <c r="L291" s="18" t="s">
        <v>55</v>
      </c>
      <c r="M291" s="18" t="s">
        <v>55</v>
      </c>
      <c r="N291" s="18" t="s">
        <v>55</v>
      </c>
      <c r="O291" s="18" t="s">
        <v>55</v>
      </c>
      <c r="P291" s="18" t="s">
        <v>55</v>
      </c>
      <c r="Q291" s="18" t="s">
        <v>55</v>
      </c>
      <c r="R291" s="18" t="s">
        <v>55</v>
      </c>
      <c r="S291" s="3">
        <v>1</v>
      </c>
      <c r="T291" s="3">
        <v>1</v>
      </c>
      <c r="U291" s="3">
        <v>0</v>
      </c>
      <c r="V291" s="28">
        <v>46073</v>
      </c>
      <c r="W291" s="28">
        <v>46073</v>
      </c>
      <c r="X291" s="28">
        <v>46073</v>
      </c>
      <c r="Y291" s="28">
        <v>46087</v>
      </c>
      <c r="Z291" s="28">
        <v>46090</v>
      </c>
      <c r="AA291" s="33">
        <f t="shared" si="30"/>
        <v>3</v>
      </c>
      <c r="AB291" s="144" t="s">
        <v>940</v>
      </c>
      <c r="AC291" s="35" t="s">
        <v>1315</v>
      </c>
      <c r="AD291" s="19">
        <f t="shared" si="25"/>
        <v>1</v>
      </c>
      <c r="AE291" s="67">
        <f>IFERROR(NETWORKDAYS(B291,I291,Hoja1!$A$1:$A$29),"N/A")</f>
        <v>3</v>
      </c>
      <c r="AF291" s="21">
        <f>IFERROR(NETWORKDAYS(B291,W291,Hoja1!$A$1:$A$29),"N/A")</f>
        <v>22</v>
      </c>
      <c r="AG291" s="78">
        <v>0</v>
      </c>
      <c r="AH291" s="21">
        <f t="shared" si="29"/>
        <v>22</v>
      </c>
      <c r="AI291" s="21">
        <f>IFERROR(NETWORKDAYS(X291,Y291,Hoja1!$A$1:$A$29),"N/A")</f>
        <v>11</v>
      </c>
      <c r="AJ291" s="78">
        <v>6</v>
      </c>
      <c r="AK291" s="75">
        <f t="shared" si="28"/>
        <v>5</v>
      </c>
      <c r="AL291" s="21">
        <f>IFERROR(NETWORKDAYS(B291,Y291,Hoja1!$A$1:$A$29),"N/A")</f>
        <v>32</v>
      </c>
      <c r="AM291" s="21">
        <f t="shared" si="26"/>
        <v>26</v>
      </c>
      <c r="AN291" s="87" t="s">
        <v>446</v>
      </c>
      <c r="AO291" s="87"/>
      <c r="AP291" s="87"/>
      <c r="AQ291" s="87"/>
      <c r="AR291" s="87"/>
      <c r="AS291" s="87" t="s">
        <v>1891</v>
      </c>
      <c r="AT291" s="87" t="s">
        <v>1994</v>
      </c>
      <c r="AU291" s="87" t="s">
        <v>2211</v>
      </c>
      <c r="AV291" s="320" t="s">
        <v>2232</v>
      </c>
      <c r="AW291" s="403" t="s">
        <v>2877</v>
      </c>
      <c r="AY291" s="414"/>
    </row>
    <row r="292" spans="1:51" ht="15" customHeight="1" x14ac:dyDescent="0.25">
      <c r="A292" s="295">
        <v>15555</v>
      </c>
      <c r="B292" s="142">
        <v>46009</v>
      </c>
      <c r="C292" s="142">
        <v>46009</v>
      </c>
      <c r="D292" s="21">
        <v>1</v>
      </c>
      <c r="E292" s="87" t="s">
        <v>54</v>
      </c>
      <c r="F292" s="2" t="s">
        <v>55</v>
      </c>
      <c r="G292" s="3">
        <v>5</v>
      </c>
      <c r="H292" s="3" t="s">
        <v>56</v>
      </c>
      <c r="I292" s="37">
        <v>46058</v>
      </c>
      <c r="J292" s="37">
        <v>46058</v>
      </c>
      <c r="K292" s="3">
        <v>5</v>
      </c>
      <c r="L292" s="18" t="s">
        <v>55</v>
      </c>
      <c r="M292" s="18" t="s">
        <v>55</v>
      </c>
      <c r="N292" s="18" t="s">
        <v>55</v>
      </c>
      <c r="O292" s="18" t="s">
        <v>55</v>
      </c>
      <c r="P292" s="18" t="s">
        <v>55</v>
      </c>
      <c r="Q292" s="18" t="s">
        <v>55</v>
      </c>
      <c r="R292" s="18" t="s">
        <v>55</v>
      </c>
      <c r="S292" s="3">
        <v>3</v>
      </c>
      <c r="T292" s="3">
        <v>1</v>
      </c>
      <c r="U292" s="3">
        <v>0</v>
      </c>
      <c r="V292" s="28">
        <v>46073</v>
      </c>
      <c r="W292" s="28">
        <v>46073</v>
      </c>
      <c r="X292" s="28">
        <v>46073</v>
      </c>
      <c r="Y292" s="28">
        <v>46087</v>
      </c>
      <c r="Z292" s="28">
        <v>46090</v>
      </c>
      <c r="AA292" s="33">
        <f t="shared" si="30"/>
        <v>3</v>
      </c>
      <c r="AB292" s="144" t="s">
        <v>941</v>
      </c>
      <c r="AC292" s="35" t="s">
        <v>1316</v>
      </c>
      <c r="AD292" s="19">
        <f t="shared" si="25"/>
        <v>1</v>
      </c>
      <c r="AE292" s="67">
        <f>IFERROR(NETWORKDAYS(B292,I292,Hoja1!$A$1:$A$29),"N/A")</f>
        <v>33</v>
      </c>
      <c r="AF292" s="21">
        <f>IFERROR(NETWORKDAYS(B292,W292,Hoja1!$A$1:$A$29),"N/A")</f>
        <v>44</v>
      </c>
      <c r="AG292" s="78">
        <v>0</v>
      </c>
      <c r="AH292" s="21">
        <f t="shared" si="29"/>
        <v>44</v>
      </c>
      <c r="AI292" s="21">
        <f>IFERROR(NETWORKDAYS(X292,Y292,Hoja1!$A$1:$A$29),"N/A")</f>
        <v>11</v>
      </c>
      <c r="AJ292" s="78">
        <v>6</v>
      </c>
      <c r="AK292" s="75">
        <f t="shared" si="28"/>
        <v>5</v>
      </c>
      <c r="AL292" s="21">
        <f>IFERROR(NETWORKDAYS(B292,Y292,Hoja1!$A$1:$A$29),"N/A")</f>
        <v>54</v>
      </c>
      <c r="AM292" s="21">
        <f t="shared" si="26"/>
        <v>48</v>
      </c>
      <c r="AN292" s="87" t="s">
        <v>871</v>
      </c>
      <c r="AO292" s="87"/>
      <c r="AP292" s="87"/>
      <c r="AQ292" s="87"/>
      <c r="AR292" s="87"/>
      <c r="AS292" s="87" t="s">
        <v>1891</v>
      </c>
      <c r="AT292" s="87" t="s">
        <v>1994</v>
      </c>
      <c r="AU292" s="87" t="s">
        <v>2211</v>
      </c>
      <c r="AV292" s="320" t="s">
        <v>2232</v>
      </c>
      <c r="AW292" s="403" t="s">
        <v>2878</v>
      </c>
      <c r="AY292" s="415"/>
    </row>
    <row r="293" spans="1:51" ht="15" customHeight="1" x14ac:dyDescent="0.25">
      <c r="A293" s="303">
        <v>15560</v>
      </c>
      <c r="B293" s="142">
        <v>46036</v>
      </c>
      <c r="C293" s="142">
        <v>46010</v>
      </c>
      <c r="D293" s="21">
        <v>1</v>
      </c>
      <c r="E293" s="159" t="s">
        <v>247</v>
      </c>
      <c r="F293" s="33" t="s">
        <v>55</v>
      </c>
      <c r="G293" s="33">
        <v>0</v>
      </c>
      <c r="H293" s="33"/>
      <c r="I293" s="142" t="s">
        <v>55</v>
      </c>
      <c r="J293" s="142" t="s">
        <v>55</v>
      </c>
      <c r="K293" s="33">
        <v>0</v>
      </c>
      <c r="L293" s="33" t="s">
        <v>55</v>
      </c>
      <c r="M293" s="33" t="s">
        <v>55</v>
      </c>
      <c r="N293" s="33" t="s">
        <v>55</v>
      </c>
      <c r="O293" s="33" t="s">
        <v>55</v>
      </c>
      <c r="P293" s="33" t="s">
        <v>55</v>
      </c>
      <c r="Q293" s="33" t="s">
        <v>55</v>
      </c>
      <c r="R293" s="33" t="s">
        <v>55</v>
      </c>
      <c r="S293" s="33">
        <v>1</v>
      </c>
      <c r="T293" s="33">
        <v>1</v>
      </c>
      <c r="U293" s="33">
        <v>0</v>
      </c>
      <c r="V293" s="28">
        <v>46041</v>
      </c>
      <c r="W293" s="28">
        <v>46077</v>
      </c>
      <c r="X293" s="28" t="s">
        <v>55</v>
      </c>
      <c r="Y293" s="148">
        <v>46112</v>
      </c>
      <c r="Z293" s="148">
        <v>46112</v>
      </c>
      <c r="AA293" s="33">
        <f t="shared" si="30"/>
        <v>3</v>
      </c>
      <c r="AB293" s="144" t="s">
        <v>942</v>
      </c>
      <c r="AC293" s="35" t="s">
        <v>943</v>
      </c>
      <c r="AD293" s="19" t="str">
        <f t="shared" si="25"/>
        <v>N/A</v>
      </c>
      <c r="AE293" s="67" t="str">
        <f>IFERROR(NETWORKDAYS(B293,I293,Hoja1!$A$1:$A$29),"N/A")</f>
        <v>N/A</v>
      </c>
      <c r="AF293" s="21">
        <f>IFERROR(NETWORKDAYS(B293,W293,Hoja1!$A$1:$A$29),"N/A")</f>
        <v>30</v>
      </c>
      <c r="AG293" s="78">
        <v>26</v>
      </c>
      <c r="AH293" s="21">
        <f t="shared" si="29"/>
        <v>4</v>
      </c>
      <c r="AI293" s="21" t="str">
        <f>IFERROR(NETWORKDAYS(X293,Y293,Hoja1!$A$1:$A$29),"N/A")</f>
        <v>N/A</v>
      </c>
      <c r="AJ293" s="78">
        <v>0</v>
      </c>
      <c r="AK293" s="19" t="s">
        <v>82</v>
      </c>
      <c r="AL293" s="21">
        <f>IFERROR(NETWORKDAYS(B293,Y293,Hoja1!$A$1:$A$29),"N/A")</f>
        <v>54</v>
      </c>
      <c r="AM293" s="21">
        <f t="shared" si="26"/>
        <v>28</v>
      </c>
      <c r="AN293" s="3"/>
      <c r="AO293" s="3"/>
      <c r="AP293" s="3"/>
      <c r="AQ293" s="3"/>
      <c r="AR293" s="3"/>
      <c r="AS293" s="3" t="s">
        <v>1911</v>
      </c>
      <c r="AT293" s="3" t="s">
        <v>2102</v>
      </c>
      <c r="AU293" s="3" t="s">
        <v>2210</v>
      </c>
      <c r="AV293" s="316" t="s">
        <v>2242</v>
      </c>
      <c r="AW293" s="403" t="s">
        <v>2879</v>
      </c>
      <c r="AY293" s="414"/>
    </row>
    <row r="294" spans="1:51" ht="15" customHeight="1" x14ac:dyDescent="0.25">
      <c r="A294" s="304">
        <v>15568</v>
      </c>
      <c r="B294" s="142">
        <v>46083</v>
      </c>
      <c r="C294" s="142">
        <v>46013</v>
      </c>
      <c r="D294" s="21">
        <v>1</v>
      </c>
      <c r="E294" s="159" t="s">
        <v>247</v>
      </c>
      <c r="F294" s="33" t="s">
        <v>55</v>
      </c>
      <c r="G294" s="33">
        <v>0</v>
      </c>
      <c r="H294" s="33"/>
      <c r="I294" s="142" t="s">
        <v>55</v>
      </c>
      <c r="J294" s="142" t="s">
        <v>55</v>
      </c>
      <c r="K294" s="33">
        <v>0</v>
      </c>
      <c r="L294" s="33" t="s">
        <v>55</v>
      </c>
      <c r="M294" s="33" t="s">
        <v>55</v>
      </c>
      <c r="N294" s="33" t="s">
        <v>55</v>
      </c>
      <c r="O294" s="33" t="s">
        <v>55</v>
      </c>
      <c r="P294" s="33" t="s">
        <v>55</v>
      </c>
      <c r="Q294" s="33" t="s">
        <v>55</v>
      </c>
      <c r="R294" s="33" t="s">
        <v>55</v>
      </c>
      <c r="S294" s="33">
        <v>1</v>
      </c>
      <c r="T294" s="33">
        <v>1</v>
      </c>
      <c r="U294" s="33">
        <v>0</v>
      </c>
      <c r="V294" s="28">
        <v>46087</v>
      </c>
      <c r="W294" s="28">
        <v>46090</v>
      </c>
      <c r="X294" s="28" t="s">
        <v>55</v>
      </c>
      <c r="Y294" s="28">
        <v>46090</v>
      </c>
      <c r="Z294" s="28">
        <v>46090</v>
      </c>
      <c r="AA294" s="33">
        <v>3</v>
      </c>
      <c r="AB294" s="144" t="s">
        <v>945</v>
      </c>
      <c r="AC294" s="35" t="s">
        <v>1317</v>
      </c>
      <c r="AD294" s="19" t="str">
        <f t="shared" si="25"/>
        <v>N/A</v>
      </c>
      <c r="AE294" s="67" t="str">
        <f>IFERROR(NETWORKDAYS(B294,I294,Hoja1!$A$1:$A$29),"N/A")</f>
        <v>N/A</v>
      </c>
      <c r="AF294" s="21">
        <f>IFERROR(NETWORKDAYS(B294,W294,Hoja1!$A$1:$A$29),"N/A")</f>
        <v>6</v>
      </c>
      <c r="AG294" s="78">
        <v>0</v>
      </c>
      <c r="AH294" s="21">
        <f t="shared" si="29"/>
        <v>6</v>
      </c>
      <c r="AI294" s="21" t="str">
        <f>IFERROR(NETWORKDAYS(X294,Y294,Hoja1!$A$1:$A$29),"N/A")</f>
        <v>N/A</v>
      </c>
      <c r="AJ294" s="33">
        <v>0</v>
      </c>
      <c r="AK294" s="19" t="s">
        <v>82</v>
      </c>
      <c r="AL294" s="21">
        <f>IFERROR(NETWORKDAYS(B294,Y294,Hoja1!$A$1:$A$29),"N/A")</f>
        <v>6</v>
      </c>
      <c r="AM294" s="21">
        <f t="shared" si="26"/>
        <v>6</v>
      </c>
      <c r="AN294" s="3"/>
      <c r="AO294" s="3"/>
      <c r="AP294" s="3"/>
      <c r="AQ294" s="3"/>
      <c r="AR294" s="3"/>
      <c r="AS294" s="3" t="s">
        <v>1943</v>
      </c>
      <c r="AT294" s="3" t="s">
        <v>2103</v>
      </c>
      <c r="AU294" s="3" t="s">
        <v>2210</v>
      </c>
      <c r="AV294" s="316" t="s">
        <v>2250</v>
      </c>
      <c r="AW294" s="403" t="s">
        <v>2880</v>
      </c>
      <c r="AY294" s="415"/>
    </row>
    <row r="295" spans="1:51" ht="15" customHeight="1" x14ac:dyDescent="0.25">
      <c r="A295" s="294">
        <v>15572</v>
      </c>
      <c r="B295" s="142">
        <v>46013</v>
      </c>
      <c r="C295" s="142">
        <v>46013</v>
      </c>
      <c r="D295" s="21">
        <v>1</v>
      </c>
      <c r="E295" s="87" t="s">
        <v>54</v>
      </c>
      <c r="F295" s="3" t="s">
        <v>55</v>
      </c>
      <c r="G295" s="3">
        <v>8</v>
      </c>
      <c r="H295" s="33" t="s">
        <v>56</v>
      </c>
      <c r="I295" s="73">
        <v>46083</v>
      </c>
      <c r="J295" s="73">
        <v>46084</v>
      </c>
      <c r="K295" s="3">
        <v>8</v>
      </c>
      <c r="L295" s="3" t="s">
        <v>55</v>
      </c>
      <c r="M295" s="3" t="s">
        <v>55</v>
      </c>
      <c r="N295" s="3" t="s">
        <v>55</v>
      </c>
      <c r="O295" s="3" t="s">
        <v>55</v>
      </c>
      <c r="P295" s="3" t="s">
        <v>55</v>
      </c>
      <c r="Q295" s="3" t="s">
        <v>55</v>
      </c>
      <c r="R295" s="3" t="s">
        <v>55</v>
      </c>
      <c r="S295" s="2">
        <v>8</v>
      </c>
      <c r="T295" s="2">
        <v>1</v>
      </c>
      <c r="U295" s="3">
        <v>0</v>
      </c>
      <c r="V295" s="28">
        <v>46091</v>
      </c>
      <c r="W295" s="28">
        <v>46091</v>
      </c>
      <c r="X295" s="28">
        <v>46097</v>
      </c>
      <c r="Y295" s="28">
        <v>46101</v>
      </c>
      <c r="Z295" s="140">
        <v>46106</v>
      </c>
      <c r="AA295" s="33">
        <f>MONTH(Z295)</f>
        <v>3</v>
      </c>
      <c r="AB295" s="144" t="s">
        <v>947</v>
      </c>
      <c r="AC295" s="146" t="s">
        <v>1318</v>
      </c>
      <c r="AD295" s="19">
        <f t="shared" si="25"/>
        <v>1</v>
      </c>
      <c r="AE295" s="67">
        <f>IFERROR(NETWORKDAYS(B295,I295,Hoja1!$A$1:$A$29),"N/A")</f>
        <v>48</v>
      </c>
      <c r="AF295" s="21">
        <f>IFERROR(NETWORKDAYS(B295,W295,Hoja1!$A$1:$A$29),"N/A")</f>
        <v>54</v>
      </c>
      <c r="AG295" s="78">
        <v>11</v>
      </c>
      <c r="AH295" s="21">
        <f t="shared" si="29"/>
        <v>43</v>
      </c>
      <c r="AI295" s="21">
        <f>IFERROR(NETWORKDAYS(X295,Y295,Hoja1!$A$1:$A$29),"N/A")</f>
        <v>5</v>
      </c>
      <c r="AJ295" s="78">
        <v>0</v>
      </c>
      <c r="AK295" s="75">
        <f>AI295-AJ295</f>
        <v>5</v>
      </c>
      <c r="AL295" s="21">
        <f>IFERROR(NETWORKDAYS(B295,Y295,Hoja1!$A$1:$A$29),"N/A")</f>
        <v>62</v>
      </c>
      <c r="AM295" s="21">
        <f t="shared" si="26"/>
        <v>51</v>
      </c>
      <c r="AN295" s="111"/>
      <c r="AO295" s="111"/>
      <c r="AP295" s="111"/>
      <c r="AQ295" s="111"/>
      <c r="AR295" s="111"/>
      <c r="AS295" s="111" t="s">
        <v>1890</v>
      </c>
      <c r="AT295" s="111" t="s">
        <v>2104</v>
      </c>
      <c r="AU295" s="111" t="s">
        <v>2219</v>
      </c>
      <c r="AV295" s="321" t="s">
        <v>2410</v>
      </c>
      <c r="AW295" s="403" t="s">
        <v>2881</v>
      </c>
      <c r="AY295" s="414"/>
    </row>
    <row r="296" spans="1:51" ht="15" customHeight="1" x14ac:dyDescent="0.25">
      <c r="A296" s="301">
        <v>15574</v>
      </c>
      <c r="B296" s="142">
        <v>46077</v>
      </c>
      <c r="C296" s="142">
        <v>46014</v>
      </c>
      <c r="D296" s="21">
        <v>1</v>
      </c>
      <c r="E296" s="87" t="s">
        <v>54</v>
      </c>
      <c r="F296" s="3" t="s">
        <v>55</v>
      </c>
      <c r="G296" s="3">
        <v>0</v>
      </c>
      <c r="H296" s="33"/>
      <c r="I296" s="155" t="s">
        <v>55</v>
      </c>
      <c r="J296" s="155" t="s">
        <v>55</v>
      </c>
      <c r="K296" s="3">
        <v>0</v>
      </c>
      <c r="L296" s="3" t="s">
        <v>55</v>
      </c>
      <c r="M296" s="3" t="s">
        <v>55</v>
      </c>
      <c r="N296" s="3" t="s">
        <v>55</v>
      </c>
      <c r="O296" s="3" t="s">
        <v>55</v>
      </c>
      <c r="P296" s="3" t="s">
        <v>55</v>
      </c>
      <c r="Q296" s="3" t="s">
        <v>55</v>
      </c>
      <c r="R296" s="3" t="s">
        <v>55</v>
      </c>
      <c r="S296" s="1">
        <v>2</v>
      </c>
      <c r="T296" s="1">
        <v>2</v>
      </c>
      <c r="U296" s="3">
        <v>0</v>
      </c>
      <c r="V296" s="28">
        <v>46083</v>
      </c>
      <c r="W296" s="28">
        <v>46086</v>
      </c>
      <c r="X296" s="28">
        <v>46086</v>
      </c>
      <c r="Y296" s="28">
        <v>46098</v>
      </c>
      <c r="Z296" s="140">
        <v>46106</v>
      </c>
      <c r="AA296" s="33">
        <f>MONTH(Z296)</f>
        <v>3</v>
      </c>
      <c r="AB296" s="144" t="s">
        <v>948</v>
      </c>
      <c r="AC296" s="35" t="s">
        <v>1319</v>
      </c>
      <c r="AD296" s="19" t="str">
        <f t="shared" si="25"/>
        <v>N/A</v>
      </c>
      <c r="AE296" s="67" t="str">
        <f>IFERROR(NETWORKDAYS(B296,I296,Hoja1!$A$1:$A$29),"N/A")</f>
        <v>N/A</v>
      </c>
      <c r="AF296" s="21">
        <f>IFERROR(NETWORKDAYS(B296,W296,Hoja1!$A$1:$A$29),"N/A")</f>
        <v>8</v>
      </c>
      <c r="AG296" s="78">
        <v>0</v>
      </c>
      <c r="AH296" s="21">
        <f t="shared" si="29"/>
        <v>8</v>
      </c>
      <c r="AI296" s="21">
        <f>IFERROR(NETWORKDAYS(X296,Y296,Hoja1!$A$1:$A$29),"N/A")</f>
        <v>9</v>
      </c>
      <c r="AJ296" s="78">
        <v>4</v>
      </c>
      <c r="AK296" s="75">
        <f>AI296-AJ296</f>
        <v>5</v>
      </c>
      <c r="AL296" s="21">
        <f>IFERROR(NETWORKDAYS(B296,Y296,Hoja1!$A$1:$A$29),"N/A")</f>
        <v>16</v>
      </c>
      <c r="AM296" s="21">
        <f t="shared" si="26"/>
        <v>12</v>
      </c>
      <c r="AN296" s="46"/>
      <c r="AO296" s="114"/>
      <c r="AP296" s="114"/>
      <c r="AQ296" s="114"/>
      <c r="AR296" s="114"/>
      <c r="AS296" s="114" t="s">
        <v>1908</v>
      </c>
      <c r="AT296" s="114" t="s">
        <v>2075</v>
      </c>
      <c r="AU296" s="114" t="s">
        <v>2220</v>
      </c>
      <c r="AV296" s="322" t="s">
        <v>2258</v>
      </c>
      <c r="AW296" s="403" t="s">
        <v>2882</v>
      </c>
      <c r="AY296" s="415"/>
    </row>
    <row r="297" spans="1:51" ht="15" customHeight="1" x14ac:dyDescent="0.25">
      <c r="A297" s="301">
        <v>15582</v>
      </c>
      <c r="B297" s="142">
        <v>46015</v>
      </c>
      <c r="C297" s="142">
        <v>46015</v>
      </c>
      <c r="D297" s="21">
        <v>1</v>
      </c>
      <c r="E297" s="87" t="s">
        <v>54</v>
      </c>
      <c r="F297" s="33" t="s">
        <v>55</v>
      </c>
      <c r="G297" s="33">
        <v>3</v>
      </c>
      <c r="H297" s="3" t="s">
        <v>112</v>
      </c>
      <c r="I297" s="142">
        <v>46027</v>
      </c>
      <c r="J297" s="142">
        <v>46028</v>
      </c>
      <c r="K297" s="33">
        <v>3</v>
      </c>
      <c r="L297" s="33" t="s">
        <v>55</v>
      </c>
      <c r="M297" s="33" t="s">
        <v>55</v>
      </c>
      <c r="N297" s="33" t="s">
        <v>55</v>
      </c>
      <c r="O297" s="33" t="s">
        <v>55</v>
      </c>
      <c r="P297" s="33" t="s">
        <v>55</v>
      </c>
      <c r="Q297" s="33" t="s">
        <v>55</v>
      </c>
      <c r="R297" s="33" t="s">
        <v>55</v>
      </c>
      <c r="S297" s="33">
        <v>2</v>
      </c>
      <c r="T297" s="33">
        <v>2</v>
      </c>
      <c r="U297" s="33">
        <v>0</v>
      </c>
      <c r="V297" s="28">
        <v>46059</v>
      </c>
      <c r="W297" s="28">
        <v>46077</v>
      </c>
      <c r="X297" s="28">
        <v>46078</v>
      </c>
      <c r="Y297" s="28">
        <v>46091</v>
      </c>
      <c r="Z297" s="140">
        <v>46093</v>
      </c>
      <c r="AA297" s="33">
        <f>MONTH(Z297)</f>
        <v>3</v>
      </c>
      <c r="AB297" s="144" t="s">
        <v>949</v>
      </c>
      <c r="AC297" s="35" t="s">
        <v>950</v>
      </c>
      <c r="AD297" s="19">
        <f t="shared" si="25"/>
        <v>1</v>
      </c>
      <c r="AE297" s="67">
        <f>IFERROR(NETWORKDAYS(B297,I297,Hoja1!$A$1:$A$29),"N/A")</f>
        <v>7</v>
      </c>
      <c r="AF297" s="21">
        <f>IFERROR(NETWORKDAYS(B297,W297,Hoja1!$A$1:$A$29),"N/A")</f>
        <v>42</v>
      </c>
      <c r="AG297" s="78">
        <v>25</v>
      </c>
      <c r="AH297" s="21">
        <f t="shared" si="29"/>
        <v>17</v>
      </c>
      <c r="AI297" s="21">
        <f>IFERROR(NETWORKDAYS(X297,Y297,Hoja1!$A$1:$A$29),"N/A")</f>
        <v>10</v>
      </c>
      <c r="AJ297" s="78">
        <v>5</v>
      </c>
      <c r="AK297" s="75">
        <f>AI297-AJ297</f>
        <v>5</v>
      </c>
      <c r="AL297" s="21">
        <f>IFERROR(NETWORKDAYS(B297,Y297,Hoja1!$A$1:$A$29),"N/A")</f>
        <v>52</v>
      </c>
      <c r="AM297" s="21">
        <f t="shared" si="26"/>
        <v>22</v>
      </c>
      <c r="AN297" s="84"/>
      <c r="AO297" s="84"/>
      <c r="AP297" s="84"/>
      <c r="AQ297" s="84"/>
      <c r="AR297" s="84"/>
      <c r="AS297" s="84" t="s">
        <v>1897</v>
      </c>
      <c r="AT297" s="84" t="s">
        <v>1996</v>
      </c>
      <c r="AU297" s="84" t="s">
        <v>2210</v>
      </c>
      <c r="AV297" s="324" t="s">
        <v>2232</v>
      </c>
      <c r="AW297" s="403" t="s">
        <v>2883</v>
      </c>
      <c r="AY297" s="414"/>
    </row>
    <row r="298" spans="1:51" ht="15" customHeight="1" x14ac:dyDescent="0.25">
      <c r="A298" s="293">
        <v>15604</v>
      </c>
      <c r="B298" s="142">
        <v>46021</v>
      </c>
      <c r="C298" s="142">
        <v>46021</v>
      </c>
      <c r="D298" s="21">
        <v>1</v>
      </c>
      <c r="E298" s="87" t="s">
        <v>54</v>
      </c>
      <c r="F298" s="18" t="s">
        <v>55</v>
      </c>
      <c r="G298" s="3">
        <v>4</v>
      </c>
      <c r="H298" s="33" t="s">
        <v>56</v>
      </c>
      <c r="I298" s="30">
        <v>46059</v>
      </c>
      <c r="J298" s="30">
        <v>46059</v>
      </c>
      <c r="K298" s="3">
        <v>4</v>
      </c>
      <c r="L298" s="18" t="s">
        <v>55</v>
      </c>
      <c r="M298" s="18" t="s">
        <v>55</v>
      </c>
      <c r="N298" s="18" t="s">
        <v>55</v>
      </c>
      <c r="O298" s="18" t="s">
        <v>55</v>
      </c>
      <c r="P298" s="18" t="s">
        <v>55</v>
      </c>
      <c r="Q298" s="18" t="s">
        <v>55</v>
      </c>
      <c r="R298" s="18" t="s">
        <v>55</v>
      </c>
      <c r="S298" s="3">
        <v>2</v>
      </c>
      <c r="T298" s="3">
        <v>2</v>
      </c>
      <c r="U298" s="3">
        <v>0</v>
      </c>
      <c r="V298" s="30">
        <v>46087</v>
      </c>
      <c r="W298" s="28">
        <v>46096</v>
      </c>
      <c r="X298" s="28">
        <v>46096</v>
      </c>
      <c r="Y298" s="28">
        <v>46106</v>
      </c>
      <c r="Z298" s="140">
        <v>46106</v>
      </c>
      <c r="AA298" s="33">
        <f>MONTH(Z298)</f>
        <v>3</v>
      </c>
      <c r="AB298" s="144" t="s">
        <v>951</v>
      </c>
      <c r="AC298" s="35" t="s">
        <v>1320</v>
      </c>
      <c r="AD298" s="19">
        <f t="shared" si="25"/>
        <v>1</v>
      </c>
      <c r="AE298" s="67">
        <f>IFERROR(NETWORKDAYS(B298,I298,Hoja1!$A$1:$A$29),"N/A")</f>
        <v>27</v>
      </c>
      <c r="AF298" s="21">
        <f>IFERROR(NETWORKDAYS(B298,W298,Hoja1!$A$1:$A$29),"N/A")</f>
        <v>52</v>
      </c>
      <c r="AG298" s="78">
        <v>24</v>
      </c>
      <c r="AH298" s="21">
        <f t="shared" si="29"/>
        <v>28</v>
      </c>
      <c r="AI298" s="21">
        <f>IFERROR(NETWORKDAYS(X298,Y298,Hoja1!$A$1:$A$29),"N/A")</f>
        <v>7</v>
      </c>
      <c r="AJ298" s="78">
        <v>2</v>
      </c>
      <c r="AK298" s="75">
        <f>AI298-AJ298</f>
        <v>5</v>
      </c>
      <c r="AL298" s="21">
        <f>IFERROR(NETWORKDAYS(B298,Y298,Hoja1!$A$1:$A$29),"N/A")</f>
        <v>59</v>
      </c>
      <c r="AM298" s="21">
        <f t="shared" si="26"/>
        <v>33</v>
      </c>
      <c r="AN298" s="87"/>
      <c r="AO298" s="87"/>
      <c r="AP298" s="87"/>
      <c r="AQ298" s="87"/>
      <c r="AR298" s="87"/>
      <c r="AS298" s="87" t="s">
        <v>1921</v>
      </c>
      <c r="AT298" s="87" t="s">
        <v>1995</v>
      </c>
      <c r="AU298" s="87" t="s">
        <v>2215</v>
      </c>
      <c r="AV298" s="320" t="s">
        <v>2250</v>
      </c>
      <c r="AW298" s="403" t="s">
        <v>2884</v>
      </c>
      <c r="AY298" s="415"/>
    </row>
    <row r="299" spans="1:51" ht="15" customHeight="1" x14ac:dyDescent="0.25">
      <c r="A299" s="301">
        <v>15618</v>
      </c>
      <c r="B299" s="142">
        <v>46064</v>
      </c>
      <c r="C299" s="142">
        <v>46086</v>
      </c>
      <c r="D299" s="21">
        <v>1</v>
      </c>
      <c r="E299" s="159" t="s">
        <v>247</v>
      </c>
      <c r="F299" s="33" t="s">
        <v>55</v>
      </c>
      <c r="G299" s="33">
        <v>0</v>
      </c>
      <c r="H299" s="33"/>
      <c r="I299" s="142" t="s">
        <v>55</v>
      </c>
      <c r="J299" s="142" t="s">
        <v>55</v>
      </c>
      <c r="K299" s="33">
        <v>0</v>
      </c>
      <c r="L299" s="33" t="s">
        <v>55</v>
      </c>
      <c r="M299" s="33" t="s">
        <v>55</v>
      </c>
      <c r="N299" s="33" t="s">
        <v>55</v>
      </c>
      <c r="O299" s="33" t="s">
        <v>55</v>
      </c>
      <c r="P299" s="33" t="s">
        <v>55</v>
      </c>
      <c r="Q299" s="33" t="s">
        <v>55</v>
      </c>
      <c r="R299" s="33" t="s">
        <v>55</v>
      </c>
      <c r="S299" s="1">
        <v>1</v>
      </c>
      <c r="T299" s="1">
        <v>1</v>
      </c>
      <c r="U299" s="33">
        <v>0</v>
      </c>
      <c r="V299" s="16">
        <v>46066</v>
      </c>
      <c r="W299" s="28">
        <v>46066</v>
      </c>
      <c r="X299" s="28" t="s">
        <v>55</v>
      </c>
      <c r="Y299" s="16">
        <v>46083</v>
      </c>
      <c r="Z299" s="16">
        <v>46083</v>
      </c>
      <c r="AA299" s="33">
        <v>3</v>
      </c>
      <c r="AB299" s="144" t="s">
        <v>952</v>
      </c>
      <c r="AC299" s="35" t="s">
        <v>682</v>
      </c>
      <c r="AD299" s="19" t="str">
        <f t="shared" si="25"/>
        <v>N/A</v>
      </c>
      <c r="AE299" s="67" t="str">
        <f>IFERROR(NETWORKDAYS(B299,I299,Hoja1!$A$1:$A$29),"N/A")</f>
        <v>N/A</v>
      </c>
      <c r="AF299" s="21">
        <f>IFERROR(NETWORKDAYS(B299,W299,Hoja1!$A$1:$A$29),"N/A")</f>
        <v>3</v>
      </c>
      <c r="AG299" s="78">
        <v>0</v>
      </c>
      <c r="AH299" s="21">
        <f t="shared" si="29"/>
        <v>3</v>
      </c>
      <c r="AI299" s="21" t="str">
        <f>IFERROR(NETWORKDAYS(X299,Y299,Hoja1!$A$1:$A$29),"N/A")</f>
        <v>N/A</v>
      </c>
      <c r="AJ299" s="33">
        <v>0</v>
      </c>
      <c r="AK299" s="19" t="s">
        <v>82</v>
      </c>
      <c r="AL299" s="21">
        <f>IFERROR(NETWORKDAYS(B299,Y299,Hoja1!$A$1:$A$29),"N/A")</f>
        <v>14</v>
      </c>
      <c r="AM299" s="21">
        <f t="shared" si="26"/>
        <v>14</v>
      </c>
      <c r="AN299" s="33"/>
      <c r="AO299" s="33"/>
      <c r="AP299" s="33"/>
      <c r="AQ299" s="33"/>
      <c r="AR299" s="33"/>
      <c r="AS299" s="33" t="s">
        <v>1911</v>
      </c>
      <c r="AT299" s="33" t="s">
        <v>2105</v>
      </c>
      <c r="AU299" s="33" t="s">
        <v>2210</v>
      </c>
      <c r="AV299" s="318" t="s">
        <v>2250</v>
      </c>
      <c r="AW299" s="403" t="s">
        <v>2885</v>
      </c>
      <c r="AY299" s="414"/>
    </row>
    <row r="300" spans="1:51" ht="15" customHeight="1" x14ac:dyDescent="0.25">
      <c r="A300" s="305">
        <v>15619</v>
      </c>
      <c r="B300" s="174">
        <v>46027</v>
      </c>
      <c r="C300" s="174">
        <v>46027</v>
      </c>
      <c r="D300" s="66">
        <v>1</v>
      </c>
      <c r="E300" s="184" t="s">
        <v>54</v>
      </c>
      <c r="F300" s="96" t="s">
        <v>55</v>
      </c>
      <c r="G300" s="96">
        <v>8</v>
      </c>
      <c r="H300" s="99" t="s">
        <v>56</v>
      </c>
      <c r="I300" s="198">
        <v>46030</v>
      </c>
      <c r="J300" s="198">
        <v>46055</v>
      </c>
      <c r="K300" s="96">
        <v>8</v>
      </c>
      <c r="L300" s="96" t="s">
        <v>55</v>
      </c>
      <c r="M300" s="96" t="s">
        <v>55</v>
      </c>
      <c r="N300" s="96" t="s">
        <v>55</v>
      </c>
      <c r="O300" s="96" t="s">
        <v>55</v>
      </c>
      <c r="P300" s="96" t="s">
        <v>55</v>
      </c>
      <c r="Q300" s="96" t="s">
        <v>55</v>
      </c>
      <c r="R300" s="96" t="s">
        <v>55</v>
      </c>
      <c r="S300" s="106">
        <v>0</v>
      </c>
      <c r="T300" s="106">
        <v>0</v>
      </c>
      <c r="U300" s="96">
        <v>0</v>
      </c>
      <c r="V300" s="136" t="s">
        <v>55</v>
      </c>
      <c r="W300" s="178">
        <v>46055</v>
      </c>
      <c r="X300" s="178">
        <v>46056</v>
      </c>
      <c r="Y300" s="178">
        <v>46076</v>
      </c>
      <c r="Z300" s="139">
        <v>46083</v>
      </c>
      <c r="AA300" s="99">
        <v>3</v>
      </c>
      <c r="AB300" s="227" t="s">
        <v>953</v>
      </c>
      <c r="AC300" s="97" t="s">
        <v>954</v>
      </c>
      <c r="AD300" s="19">
        <f t="shared" si="25"/>
        <v>1</v>
      </c>
      <c r="AE300" s="67">
        <f>IFERROR(NETWORKDAYS(B300,I300,Hoja1!$A$1:$A$29),"N/A")</f>
        <v>4</v>
      </c>
      <c r="AF300" s="21">
        <f>IFERROR(NETWORKDAYS(B300,W300,Hoja1!$A$1:$A$29),"N/A")</f>
        <v>20</v>
      </c>
      <c r="AG300" s="273">
        <v>0</v>
      </c>
      <c r="AH300" s="105" t="s">
        <v>82</v>
      </c>
      <c r="AI300" s="21">
        <f>IFERROR(NETWORKDAYS(X300,Y300,Hoja1!$A$1:$A$29),"N/A")</f>
        <v>15</v>
      </c>
      <c r="AJ300" s="65">
        <v>10</v>
      </c>
      <c r="AK300" s="68">
        <f t="shared" ref="AK300:AK321" si="31">AI300-AJ300</f>
        <v>5</v>
      </c>
      <c r="AL300" s="21">
        <f>IFERROR(NETWORKDAYS(B300,Y300,Hoja1!$A$1:$A$29),"N/A")</f>
        <v>35</v>
      </c>
      <c r="AM300" s="66">
        <f t="shared" si="26"/>
        <v>25</v>
      </c>
      <c r="AN300" s="278"/>
      <c r="AO300" s="186"/>
      <c r="AP300" s="186"/>
      <c r="AQ300" s="186"/>
      <c r="AR300" s="186"/>
      <c r="AS300" s="186" t="s">
        <v>1958</v>
      </c>
      <c r="AT300" s="186" t="s">
        <v>2106</v>
      </c>
      <c r="AU300" s="186" t="s">
        <v>2218</v>
      </c>
      <c r="AV300" s="325" t="s">
        <v>2250</v>
      </c>
      <c r="AW300" s="403" t="s">
        <v>2886</v>
      </c>
      <c r="AY300" s="415"/>
    </row>
    <row r="301" spans="1:51" ht="15" customHeight="1" x14ac:dyDescent="0.25">
      <c r="A301" s="295">
        <v>15645</v>
      </c>
      <c r="B301" s="142">
        <v>46057</v>
      </c>
      <c r="C301" s="142">
        <v>46030</v>
      </c>
      <c r="D301" s="21">
        <v>1</v>
      </c>
      <c r="E301" s="87" t="s">
        <v>54</v>
      </c>
      <c r="F301" s="2" t="s">
        <v>55</v>
      </c>
      <c r="G301" s="151">
        <v>5</v>
      </c>
      <c r="H301" s="33" t="s">
        <v>56</v>
      </c>
      <c r="I301" s="104">
        <v>46086</v>
      </c>
      <c r="J301" s="104">
        <v>46086</v>
      </c>
      <c r="K301" s="151">
        <v>5</v>
      </c>
      <c r="L301" s="2" t="s">
        <v>55</v>
      </c>
      <c r="M301" s="2" t="s">
        <v>55</v>
      </c>
      <c r="N301" s="2" t="s">
        <v>55</v>
      </c>
      <c r="O301" s="2" t="s">
        <v>55</v>
      </c>
      <c r="P301" s="2" t="s">
        <v>55</v>
      </c>
      <c r="Q301" s="2" t="s">
        <v>55</v>
      </c>
      <c r="R301" s="2" t="s">
        <v>55</v>
      </c>
      <c r="S301" s="151">
        <v>2</v>
      </c>
      <c r="T301" s="151">
        <v>2</v>
      </c>
      <c r="U301" s="2">
        <v>0</v>
      </c>
      <c r="V301" s="30">
        <v>46097</v>
      </c>
      <c r="W301" s="30">
        <v>46097</v>
      </c>
      <c r="X301" s="30">
        <v>46097</v>
      </c>
      <c r="Y301" s="28">
        <v>46101</v>
      </c>
      <c r="Z301" s="140">
        <v>46106</v>
      </c>
      <c r="AA301" s="33">
        <f t="shared" ref="AA301:AA321" si="32">MONTH(Z301)</f>
        <v>3</v>
      </c>
      <c r="AB301" s="144" t="s">
        <v>955</v>
      </c>
      <c r="AC301" s="35" t="s">
        <v>956</v>
      </c>
      <c r="AD301" s="19">
        <f t="shared" si="25"/>
        <v>1</v>
      </c>
      <c r="AE301" s="67">
        <f>IFERROR(NETWORKDAYS(B301,I301,Hoja1!$A$1:$A$29),"N/A")</f>
        <v>22</v>
      </c>
      <c r="AF301" s="21">
        <f>IFERROR(NETWORKDAYS(B301,W301,Hoja1!$A$1:$A$29),"N/A")</f>
        <v>29</v>
      </c>
      <c r="AG301" s="78">
        <v>7</v>
      </c>
      <c r="AH301" s="21">
        <f t="shared" ref="AH301:AH334" si="33">AF301-AG301</f>
        <v>22</v>
      </c>
      <c r="AI301" s="21">
        <f>IFERROR(NETWORKDAYS(X301,Y301,Hoja1!$A$1:$A$29),"N/A")</f>
        <v>5</v>
      </c>
      <c r="AJ301" s="78">
        <v>0</v>
      </c>
      <c r="AK301" s="75">
        <f t="shared" si="31"/>
        <v>5</v>
      </c>
      <c r="AL301" s="21">
        <f>IFERROR(NETWORKDAYS(B301,Y301,Hoja1!$A$1:$A$29),"N/A")</f>
        <v>33</v>
      </c>
      <c r="AM301" s="21">
        <f t="shared" si="26"/>
        <v>26</v>
      </c>
      <c r="AN301" s="87" t="s">
        <v>871</v>
      </c>
      <c r="AO301" s="87" t="s">
        <v>871</v>
      </c>
      <c r="AP301" s="152"/>
      <c r="AQ301" s="152"/>
      <c r="AR301" s="152"/>
      <c r="AS301" s="152" t="s">
        <v>1959</v>
      </c>
      <c r="AT301" s="152" t="s">
        <v>1994</v>
      </c>
      <c r="AU301" s="152" t="s">
        <v>2217</v>
      </c>
      <c r="AV301" s="323" t="s">
        <v>2239</v>
      </c>
      <c r="AW301" s="403" t="s">
        <v>2887</v>
      </c>
      <c r="AY301" s="414"/>
    </row>
    <row r="302" spans="1:51" ht="15" customHeight="1" x14ac:dyDescent="0.25">
      <c r="A302" s="295">
        <v>15647</v>
      </c>
      <c r="B302" s="142">
        <v>46030</v>
      </c>
      <c r="C302" s="142">
        <v>46030</v>
      </c>
      <c r="D302" s="21">
        <v>1</v>
      </c>
      <c r="E302" s="87" t="s">
        <v>54</v>
      </c>
      <c r="F302" s="18" t="s">
        <v>55</v>
      </c>
      <c r="G302" s="3">
        <v>0</v>
      </c>
      <c r="H302" s="33"/>
      <c r="I302" s="2" t="s">
        <v>55</v>
      </c>
      <c r="J302" s="2" t="s">
        <v>55</v>
      </c>
      <c r="K302" s="3">
        <v>0</v>
      </c>
      <c r="L302" s="18" t="s">
        <v>55</v>
      </c>
      <c r="M302" s="18" t="s">
        <v>55</v>
      </c>
      <c r="N302" s="18" t="s">
        <v>55</v>
      </c>
      <c r="O302" s="18" t="s">
        <v>55</v>
      </c>
      <c r="P302" s="18" t="s">
        <v>55</v>
      </c>
      <c r="Q302" s="18" t="s">
        <v>55</v>
      </c>
      <c r="R302" s="18" t="s">
        <v>55</v>
      </c>
      <c r="S302" s="3">
        <v>2</v>
      </c>
      <c r="T302" s="3">
        <v>1</v>
      </c>
      <c r="U302" s="3">
        <v>0</v>
      </c>
      <c r="V302" s="28">
        <v>46091</v>
      </c>
      <c r="W302" s="28">
        <v>46091</v>
      </c>
      <c r="X302" s="28">
        <v>46092</v>
      </c>
      <c r="Y302" s="28">
        <v>46101</v>
      </c>
      <c r="Z302" s="140">
        <v>46106</v>
      </c>
      <c r="AA302" s="33">
        <f t="shared" si="32"/>
        <v>3</v>
      </c>
      <c r="AB302" s="144" t="s">
        <v>958</v>
      </c>
      <c r="AC302" s="35" t="s">
        <v>959</v>
      </c>
      <c r="AD302" s="19" t="str">
        <f t="shared" si="25"/>
        <v>N/A</v>
      </c>
      <c r="AE302" s="67" t="str">
        <f>IFERROR(NETWORKDAYS(B302,I302,Hoja1!$A$1:$A$29),"N/A")</f>
        <v>N/A</v>
      </c>
      <c r="AF302" s="21">
        <f>IFERROR(NETWORKDAYS(B302,W302,Hoja1!$A$1:$A$29),"N/A")</f>
        <v>43</v>
      </c>
      <c r="AG302" s="78">
        <v>38</v>
      </c>
      <c r="AH302" s="21">
        <f t="shared" si="33"/>
        <v>5</v>
      </c>
      <c r="AI302" s="21">
        <f>IFERROR(NETWORKDAYS(X302,Y302,Hoja1!$A$1:$A$29),"N/A")</f>
        <v>8</v>
      </c>
      <c r="AJ302" s="78">
        <v>3</v>
      </c>
      <c r="AK302" s="75">
        <f t="shared" si="31"/>
        <v>5</v>
      </c>
      <c r="AL302" s="21">
        <f>IFERROR(NETWORKDAYS(B302,Y302,Hoja1!$A$1:$A$29),"N/A")</f>
        <v>51</v>
      </c>
      <c r="AM302" s="21">
        <f t="shared" si="26"/>
        <v>10</v>
      </c>
      <c r="AN302" s="87" t="s">
        <v>881</v>
      </c>
      <c r="AO302" s="87"/>
      <c r="AP302" s="87"/>
      <c r="AQ302" s="87"/>
      <c r="AR302" s="87"/>
      <c r="AS302" s="87" t="s">
        <v>1888</v>
      </c>
      <c r="AT302" s="87" t="s">
        <v>2107</v>
      </c>
      <c r="AU302" s="87" t="s">
        <v>2211</v>
      </c>
      <c r="AV302" s="320" t="s">
        <v>2411</v>
      </c>
      <c r="AW302" s="403" t="s">
        <v>2888</v>
      </c>
      <c r="AY302" s="415"/>
    </row>
    <row r="303" spans="1:51" ht="15" customHeight="1" x14ac:dyDescent="0.25">
      <c r="A303" s="295">
        <v>15650</v>
      </c>
      <c r="B303" s="142">
        <v>46030</v>
      </c>
      <c r="C303" s="142">
        <v>46030</v>
      </c>
      <c r="D303" s="21">
        <v>1</v>
      </c>
      <c r="E303" s="87" t="s">
        <v>54</v>
      </c>
      <c r="F303" s="2" t="s">
        <v>55</v>
      </c>
      <c r="G303" s="151">
        <v>3</v>
      </c>
      <c r="H303" s="3" t="s">
        <v>112</v>
      </c>
      <c r="I303" s="104">
        <v>46057</v>
      </c>
      <c r="J303" s="104">
        <v>46057</v>
      </c>
      <c r="K303" s="151">
        <v>3</v>
      </c>
      <c r="L303" s="2" t="s">
        <v>55</v>
      </c>
      <c r="M303" s="2" t="s">
        <v>55</v>
      </c>
      <c r="N303" s="2" t="s">
        <v>55</v>
      </c>
      <c r="O303" s="2" t="s">
        <v>55</v>
      </c>
      <c r="P303" s="2" t="s">
        <v>55</v>
      </c>
      <c r="Q303" s="2" t="s">
        <v>55</v>
      </c>
      <c r="R303" s="2" t="s">
        <v>55</v>
      </c>
      <c r="S303" s="151">
        <v>1</v>
      </c>
      <c r="T303" s="151">
        <v>1</v>
      </c>
      <c r="U303" s="2">
        <v>0</v>
      </c>
      <c r="V303" s="30">
        <v>46072</v>
      </c>
      <c r="W303" s="30">
        <v>46073</v>
      </c>
      <c r="X303" s="30">
        <v>46073</v>
      </c>
      <c r="Y303" s="28">
        <v>46080</v>
      </c>
      <c r="Z303" s="37">
        <v>46083</v>
      </c>
      <c r="AA303" s="33">
        <f t="shared" si="32"/>
        <v>3</v>
      </c>
      <c r="AB303" s="144" t="s">
        <v>961</v>
      </c>
      <c r="AC303" s="35" t="s">
        <v>962</v>
      </c>
      <c r="AD303" s="19">
        <f t="shared" si="25"/>
        <v>1</v>
      </c>
      <c r="AE303" s="67">
        <f>IFERROR(NETWORKDAYS(B303,I303,Hoja1!$A$1:$A$29),"N/A")</f>
        <v>19</v>
      </c>
      <c r="AF303" s="21">
        <f>IFERROR(NETWORKDAYS(B303,W303,Hoja1!$A$1:$A$29),"N/A")</f>
        <v>31</v>
      </c>
      <c r="AG303" s="78">
        <v>5</v>
      </c>
      <c r="AH303" s="21">
        <f t="shared" si="33"/>
        <v>26</v>
      </c>
      <c r="AI303" s="21">
        <f>IFERROR(NETWORKDAYS(X303,Y303,Hoja1!$A$1:$A$29),"N/A")</f>
        <v>6</v>
      </c>
      <c r="AJ303" s="78">
        <v>2</v>
      </c>
      <c r="AK303" s="75">
        <f t="shared" si="31"/>
        <v>4</v>
      </c>
      <c r="AL303" s="21">
        <f>IFERROR(NETWORKDAYS(B303,Y303,Hoja1!$A$1:$A$29),"N/A")</f>
        <v>36</v>
      </c>
      <c r="AM303" s="21">
        <f t="shared" si="26"/>
        <v>29</v>
      </c>
      <c r="AN303" s="87" t="s">
        <v>871</v>
      </c>
      <c r="AO303" s="87" t="s">
        <v>871</v>
      </c>
      <c r="AP303" s="152"/>
      <c r="AQ303" s="152"/>
      <c r="AR303" s="152"/>
      <c r="AS303" s="152" t="s">
        <v>1901</v>
      </c>
      <c r="AT303" s="152" t="s">
        <v>1994</v>
      </c>
      <c r="AU303" s="152" t="s">
        <v>2217</v>
      </c>
      <c r="AV303" s="323" t="s">
        <v>2258</v>
      </c>
      <c r="AW303" s="403" t="s">
        <v>2889</v>
      </c>
      <c r="AY303" s="414"/>
    </row>
    <row r="304" spans="1:51" ht="15" customHeight="1" x14ac:dyDescent="0.25">
      <c r="A304" s="295">
        <v>15652</v>
      </c>
      <c r="B304" s="142">
        <v>46030</v>
      </c>
      <c r="C304" s="142">
        <v>46030</v>
      </c>
      <c r="D304" s="21">
        <v>1</v>
      </c>
      <c r="E304" s="87" t="s">
        <v>54</v>
      </c>
      <c r="F304" s="2" t="s">
        <v>55</v>
      </c>
      <c r="G304" s="151">
        <v>5</v>
      </c>
      <c r="H304" s="33" t="s">
        <v>56</v>
      </c>
      <c r="I304" s="104">
        <v>46058</v>
      </c>
      <c r="J304" s="104">
        <v>46058</v>
      </c>
      <c r="K304" s="151">
        <v>5</v>
      </c>
      <c r="L304" s="2" t="s">
        <v>55</v>
      </c>
      <c r="M304" s="2" t="s">
        <v>55</v>
      </c>
      <c r="N304" s="2" t="s">
        <v>55</v>
      </c>
      <c r="O304" s="2" t="s">
        <v>55</v>
      </c>
      <c r="P304" s="2" t="s">
        <v>55</v>
      </c>
      <c r="Q304" s="2" t="s">
        <v>55</v>
      </c>
      <c r="R304" s="2" t="s">
        <v>55</v>
      </c>
      <c r="S304" s="151">
        <v>1</v>
      </c>
      <c r="T304" s="151">
        <v>1</v>
      </c>
      <c r="U304" s="2">
        <v>0</v>
      </c>
      <c r="V304" s="28">
        <v>46077</v>
      </c>
      <c r="W304" s="28">
        <v>46077</v>
      </c>
      <c r="X304" s="28">
        <v>46077</v>
      </c>
      <c r="Y304" s="28">
        <v>46080</v>
      </c>
      <c r="Z304" s="262">
        <v>46083</v>
      </c>
      <c r="AA304" s="33">
        <f t="shared" si="32"/>
        <v>3</v>
      </c>
      <c r="AB304" s="144" t="s">
        <v>963</v>
      </c>
      <c r="AC304" s="35" t="s">
        <v>964</v>
      </c>
      <c r="AD304" s="19">
        <f t="shared" si="25"/>
        <v>1</v>
      </c>
      <c r="AE304" s="67">
        <f>IFERROR(NETWORKDAYS(B304,I304,Hoja1!$A$1:$A$29),"N/A")</f>
        <v>20</v>
      </c>
      <c r="AF304" s="21">
        <f>IFERROR(NETWORKDAYS(B304,W304,Hoja1!$A$1:$A$29),"N/A")</f>
        <v>33</v>
      </c>
      <c r="AG304" s="78">
        <v>4</v>
      </c>
      <c r="AH304" s="21">
        <f t="shared" si="33"/>
        <v>29</v>
      </c>
      <c r="AI304" s="21">
        <f>IFERROR(NETWORKDAYS(X304,Y304,Hoja1!$A$1:$A$29),"N/A")</f>
        <v>4</v>
      </c>
      <c r="AJ304" s="78">
        <v>0</v>
      </c>
      <c r="AK304" s="75">
        <f t="shared" si="31"/>
        <v>4</v>
      </c>
      <c r="AL304" s="21">
        <f>IFERROR(NETWORKDAYS(B304,Y304,Hoja1!$A$1:$A$29),"N/A")</f>
        <v>36</v>
      </c>
      <c r="AM304" s="21">
        <f t="shared" si="26"/>
        <v>32</v>
      </c>
      <c r="AN304" s="152"/>
      <c r="AO304" s="152"/>
      <c r="AP304" s="152"/>
      <c r="AQ304" s="152"/>
      <c r="AR304" s="152"/>
      <c r="AS304" s="152" t="s">
        <v>1959</v>
      </c>
      <c r="AT304" s="152" t="s">
        <v>1994</v>
      </c>
      <c r="AU304" s="152" t="s">
        <v>2217</v>
      </c>
      <c r="AV304" s="323" t="s">
        <v>2239</v>
      </c>
      <c r="AW304" s="403" t="s">
        <v>2890</v>
      </c>
      <c r="AY304" s="415"/>
    </row>
    <row r="305" spans="1:51" ht="15" customHeight="1" x14ac:dyDescent="0.25">
      <c r="A305" s="306">
        <v>15665</v>
      </c>
      <c r="B305" s="222">
        <v>46035</v>
      </c>
      <c r="C305" s="222">
        <v>46035</v>
      </c>
      <c r="D305" s="72">
        <v>1</v>
      </c>
      <c r="E305" s="129" t="s">
        <v>54</v>
      </c>
      <c r="F305" s="133" t="s">
        <v>55</v>
      </c>
      <c r="G305" s="263">
        <v>6</v>
      </c>
      <c r="H305" s="110"/>
      <c r="I305" s="133" t="s">
        <v>55</v>
      </c>
      <c r="J305" s="133" t="s">
        <v>55</v>
      </c>
      <c r="K305" s="263">
        <v>6</v>
      </c>
      <c r="L305" s="133" t="s">
        <v>55</v>
      </c>
      <c r="M305" s="133" t="s">
        <v>55</v>
      </c>
      <c r="N305" s="133" t="s">
        <v>55</v>
      </c>
      <c r="O305" s="133" t="s">
        <v>55</v>
      </c>
      <c r="P305" s="133" t="s">
        <v>55</v>
      </c>
      <c r="Q305" s="133" t="s">
        <v>55</v>
      </c>
      <c r="R305" s="133" t="s">
        <v>55</v>
      </c>
      <c r="S305" s="263">
        <v>1</v>
      </c>
      <c r="T305" s="263">
        <v>1</v>
      </c>
      <c r="U305" s="133">
        <v>0</v>
      </c>
      <c r="V305" s="248">
        <v>46076</v>
      </c>
      <c r="W305" s="248">
        <v>46076</v>
      </c>
      <c r="X305" s="248">
        <v>46076</v>
      </c>
      <c r="Y305" s="131">
        <v>46086</v>
      </c>
      <c r="Z305" s="248">
        <v>46093</v>
      </c>
      <c r="AA305" s="110">
        <f t="shared" si="32"/>
        <v>3</v>
      </c>
      <c r="AB305" s="225" t="s">
        <v>965</v>
      </c>
      <c r="AC305" s="132" t="s">
        <v>966</v>
      </c>
      <c r="AD305" s="19">
        <f t="shared" si="25"/>
        <v>1</v>
      </c>
      <c r="AE305" s="67" t="str">
        <f>IFERROR(NETWORKDAYS(B305,I305,Hoja1!$A$1:$A$29),"N/A")</f>
        <v>N/A</v>
      </c>
      <c r="AF305" s="21">
        <f>IFERROR(NETWORKDAYS(B305,W305,Hoja1!$A$1:$A$29),"N/A")</f>
        <v>30</v>
      </c>
      <c r="AG305" s="270">
        <v>4</v>
      </c>
      <c r="AH305" s="72">
        <f t="shared" si="33"/>
        <v>26</v>
      </c>
      <c r="AI305" s="21">
        <f>IFERROR(NETWORKDAYS(X305,Y305,Hoja1!$A$1:$A$29),"N/A")</f>
        <v>9</v>
      </c>
      <c r="AJ305" s="71">
        <v>5</v>
      </c>
      <c r="AK305" s="80">
        <f t="shared" si="31"/>
        <v>4</v>
      </c>
      <c r="AL305" s="21">
        <f>IFERROR(NETWORKDAYS(B305,Y305,Hoja1!$A$1:$A$29),"N/A")</f>
        <v>38</v>
      </c>
      <c r="AM305" s="72">
        <f t="shared" si="26"/>
        <v>29</v>
      </c>
      <c r="AN305" s="221"/>
      <c r="AO305" s="221"/>
      <c r="AP305" s="221"/>
      <c r="AQ305" s="221"/>
      <c r="AR305" s="221"/>
      <c r="AS305" s="221" t="s">
        <v>1960</v>
      </c>
      <c r="AT305" s="221" t="s">
        <v>2108</v>
      </c>
      <c r="AU305" s="221" t="s">
        <v>2217</v>
      </c>
      <c r="AV305" s="326" t="s">
        <v>2412</v>
      </c>
      <c r="AW305" s="403" t="s">
        <v>2891</v>
      </c>
      <c r="AY305" s="414"/>
    </row>
    <row r="306" spans="1:51" ht="15" customHeight="1" x14ac:dyDescent="0.25">
      <c r="A306" s="303">
        <v>15670</v>
      </c>
      <c r="B306" s="142">
        <v>46091</v>
      </c>
      <c r="C306" s="142">
        <v>46038</v>
      </c>
      <c r="D306" s="21">
        <v>1</v>
      </c>
      <c r="E306" s="87" t="s">
        <v>54</v>
      </c>
      <c r="F306" s="33" t="s">
        <v>55</v>
      </c>
      <c r="G306" s="33">
        <v>0</v>
      </c>
      <c r="H306" s="33"/>
      <c r="I306" s="142" t="s">
        <v>55</v>
      </c>
      <c r="J306" s="142" t="s">
        <v>55</v>
      </c>
      <c r="K306" s="33">
        <v>0</v>
      </c>
      <c r="L306" s="33" t="s">
        <v>55</v>
      </c>
      <c r="M306" s="33" t="s">
        <v>55</v>
      </c>
      <c r="N306" s="33" t="s">
        <v>55</v>
      </c>
      <c r="O306" s="33" t="s">
        <v>55</v>
      </c>
      <c r="P306" s="33" t="s">
        <v>55</v>
      </c>
      <c r="Q306" s="33" t="s">
        <v>55</v>
      </c>
      <c r="R306" s="33" t="s">
        <v>55</v>
      </c>
      <c r="S306" s="33">
        <v>3</v>
      </c>
      <c r="T306" s="33">
        <v>3</v>
      </c>
      <c r="U306" s="33">
        <v>0</v>
      </c>
      <c r="V306" s="28">
        <v>46094</v>
      </c>
      <c r="W306" s="28">
        <v>46094</v>
      </c>
      <c r="X306" s="28">
        <v>46094</v>
      </c>
      <c r="Y306" s="28">
        <v>46101</v>
      </c>
      <c r="Z306" s="140">
        <v>46106</v>
      </c>
      <c r="AA306" s="33">
        <f t="shared" si="32"/>
        <v>3</v>
      </c>
      <c r="AB306" s="144" t="s">
        <v>968</v>
      </c>
      <c r="AC306" s="35" t="s">
        <v>969</v>
      </c>
      <c r="AD306" s="19" t="str">
        <f t="shared" si="25"/>
        <v>N/A</v>
      </c>
      <c r="AE306" s="67" t="str">
        <f>IFERROR(NETWORKDAYS(B306,I306,Hoja1!$A$1:$A$29),"N/A")</f>
        <v>N/A</v>
      </c>
      <c r="AF306" s="21">
        <f>IFERROR(NETWORKDAYS(B306,W306,Hoja1!$A$1:$A$29),"N/A")</f>
        <v>4</v>
      </c>
      <c r="AG306" s="78">
        <v>0</v>
      </c>
      <c r="AH306" s="21">
        <f t="shared" si="33"/>
        <v>4</v>
      </c>
      <c r="AI306" s="21">
        <f>IFERROR(NETWORKDAYS(X306,Y306,Hoja1!$A$1:$A$29),"N/A")</f>
        <v>6</v>
      </c>
      <c r="AJ306" s="78">
        <v>1</v>
      </c>
      <c r="AK306" s="75">
        <f t="shared" si="31"/>
        <v>5</v>
      </c>
      <c r="AL306" s="21">
        <f>IFERROR(NETWORKDAYS(B306,Y306,Hoja1!$A$1:$A$29),"N/A")</f>
        <v>9</v>
      </c>
      <c r="AM306" s="21">
        <f t="shared" si="26"/>
        <v>8</v>
      </c>
      <c r="AN306" s="87" t="s">
        <v>445</v>
      </c>
      <c r="AO306" s="87" t="s">
        <v>871</v>
      </c>
      <c r="AP306" s="111" t="s">
        <v>871</v>
      </c>
      <c r="AQ306" s="87"/>
      <c r="AR306" s="87"/>
      <c r="AS306" s="87" t="s">
        <v>1907</v>
      </c>
      <c r="AT306" s="87" t="s">
        <v>2109</v>
      </c>
      <c r="AU306" s="87" t="s">
        <v>2212</v>
      </c>
      <c r="AV306" s="320" t="s">
        <v>2413</v>
      </c>
      <c r="AW306" s="403" t="s">
        <v>2892</v>
      </c>
      <c r="AY306" s="415"/>
    </row>
    <row r="307" spans="1:51" ht="15" customHeight="1" x14ac:dyDescent="0.25">
      <c r="A307" s="301">
        <v>15680</v>
      </c>
      <c r="B307" s="142">
        <v>46041</v>
      </c>
      <c r="C307" s="142">
        <v>46041</v>
      </c>
      <c r="D307" s="21">
        <v>1</v>
      </c>
      <c r="E307" s="87" t="s">
        <v>54</v>
      </c>
      <c r="F307" s="3" t="s">
        <v>55</v>
      </c>
      <c r="G307" s="3">
        <v>5</v>
      </c>
      <c r="H307" s="3" t="s">
        <v>112</v>
      </c>
      <c r="I307" s="142">
        <v>46051</v>
      </c>
      <c r="J307" s="142">
        <v>46052</v>
      </c>
      <c r="K307" s="3">
        <v>5</v>
      </c>
      <c r="L307" s="3" t="s">
        <v>55</v>
      </c>
      <c r="M307" s="3" t="s">
        <v>55</v>
      </c>
      <c r="N307" s="3" t="s">
        <v>55</v>
      </c>
      <c r="O307" s="3" t="s">
        <v>55</v>
      </c>
      <c r="P307" s="3" t="s">
        <v>55</v>
      </c>
      <c r="Q307" s="3" t="s">
        <v>55</v>
      </c>
      <c r="R307" s="3" t="s">
        <v>55</v>
      </c>
      <c r="S307" s="33">
        <v>1</v>
      </c>
      <c r="T307" s="33">
        <v>1</v>
      </c>
      <c r="U307" s="3">
        <v>0</v>
      </c>
      <c r="V307" s="28">
        <v>46072</v>
      </c>
      <c r="W307" s="28">
        <v>46072</v>
      </c>
      <c r="X307" s="28">
        <v>46072</v>
      </c>
      <c r="Y307" s="28">
        <v>46080</v>
      </c>
      <c r="Z307" s="38">
        <v>46083</v>
      </c>
      <c r="AA307" s="33">
        <f t="shared" si="32"/>
        <v>3</v>
      </c>
      <c r="AB307" s="144" t="s">
        <v>972</v>
      </c>
      <c r="AC307" s="35" t="s">
        <v>973</v>
      </c>
      <c r="AD307" s="19">
        <f t="shared" si="25"/>
        <v>1</v>
      </c>
      <c r="AE307" s="67">
        <f>IFERROR(NETWORKDAYS(B307,I307,Hoja1!$A$1:$A$29),"N/A")</f>
        <v>9</v>
      </c>
      <c r="AF307" s="21">
        <f>IFERROR(NETWORKDAYS(B307,W307,Hoja1!$A$1:$A$29),"N/A")</f>
        <v>24</v>
      </c>
      <c r="AG307" s="78">
        <v>6</v>
      </c>
      <c r="AH307" s="21">
        <f t="shared" si="33"/>
        <v>18</v>
      </c>
      <c r="AI307" s="21">
        <f>IFERROR(NETWORKDAYS(X307,Y307,Hoja1!$A$1:$A$29),"N/A")</f>
        <v>7</v>
      </c>
      <c r="AJ307" s="78">
        <v>2</v>
      </c>
      <c r="AK307" s="75">
        <f t="shared" si="31"/>
        <v>5</v>
      </c>
      <c r="AL307" s="21">
        <f>IFERROR(NETWORKDAYS(B307,Y307,Hoja1!$A$1:$A$29),"N/A")</f>
        <v>30</v>
      </c>
      <c r="AM307" s="21">
        <f t="shared" si="26"/>
        <v>22</v>
      </c>
      <c r="AN307" s="84"/>
      <c r="AO307" s="84"/>
      <c r="AP307" s="84"/>
      <c r="AQ307" s="84"/>
      <c r="AR307" s="84"/>
      <c r="AS307" s="84" t="s">
        <v>1903</v>
      </c>
      <c r="AT307" s="84" t="s">
        <v>2110</v>
      </c>
      <c r="AU307" s="84" t="s">
        <v>2210</v>
      </c>
      <c r="AV307" s="324" t="s">
        <v>2414</v>
      </c>
      <c r="AW307" s="403" t="s">
        <v>2893</v>
      </c>
      <c r="AY307" s="414"/>
    </row>
    <row r="308" spans="1:51" ht="15" customHeight="1" x14ac:dyDescent="0.25">
      <c r="A308" s="303">
        <v>15683</v>
      </c>
      <c r="B308" s="142">
        <v>46042</v>
      </c>
      <c r="C308" s="142">
        <v>46042</v>
      </c>
      <c r="D308" s="21">
        <v>1</v>
      </c>
      <c r="E308" s="87" t="s">
        <v>54</v>
      </c>
      <c r="F308" s="33" t="s">
        <v>55</v>
      </c>
      <c r="G308" s="33">
        <v>1</v>
      </c>
      <c r="H308" s="33" t="s">
        <v>56</v>
      </c>
      <c r="I308" s="147">
        <v>46044</v>
      </c>
      <c r="J308" s="147">
        <v>46044</v>
      </c>
      <c r="K308" s="33">
        <v>1</v>
      </c>
      <c r="L308" s="33" t="s">
        <v>55</v>
      </c>
      <c r="M308" s="33" t="s">
        <v>55</v>
      </c>
      <c r="N308" s="33" t="s">
        <v>55</v>
      </c>
      <c r="O308" s="33" t="s">
        <v>55</v>
      </c>
      <c r="P308" s="33" t="s">
        <v>55</v>
      </c>
      <c r="Q308" s="33" t="s">
        <v>55</v>
      </c>
      <c r="R308" s="18" t="s">
        <v>55</v>
      </c>
      <c r="S308" s="33">
        <v>3</v>
      </c>
      <c r="T308" s="33">
        <v>1</v>
      </c>
      <c r="U308" s="33">
        <v>0</v>
      </c>
      <c r="V308" s="28">
        <v>46071</v>
      </c>
      <c r="W308" s="28">
        <v>46072</v>
      </c>
      <c r="X308" s="28">
        <v>46073</v>
      </c>
      <c r="Y308" s="28">
        <v>46087</v>
      </c>
      <c r="Z308" s="28">
        <v>46090</v>
      </c>
      <c r="AA308" s="33">
        <f t="shared" si="32"/>
        <v>3</v>
      </c>
      <c r="AB308" s="144" t="s">
        <v>975</v>
      </c>
      <c r="AC308" s="35" t="s">
        <v>1321</v>
      </c>
      <c r="AD308" s="19">
        <f t="shared" si="25"/>
        <v>1</v>
      </c>
      <c r="AE308" s="67">
        <f>IFERROR(NETWORKDAYS(B308,I308,Hoja1!$A$1:$A$29),"N/A")</f>
        <v>3</v>
      </c>
      <c r="AF308" s="21">
        <f>IFERROR(NETWORKDAYS(B308,W308,Hoja1!$A$1:$A$29),"N/A")</f>
        <v>23</v>
      </c>
      <c r="AG308" s="78">
        <v>8</v>
      </c>
      <c r="AH308" s="21">
        <f t="shared" si="33"/>
        <v>15</v>
      </c>
      <c r="AI308" s="21">
        <f>IFERROR(NETWORKDAYS(X308,Y308,Hoja1!$A$1:$A$29),"N/A")</f>
        <v>11</v>
      </c>
      <c r="AJ308" s="78">
        <v>6</v>
      </c>
      <c r="AK308" s="75">
        <f t="shared" si="31"/>
        <v>5</v>
      </c>
      <c r="AL308" s="21">
        <f>IFERROR(NETWORKDAYS(B308,Y308,Hoja1!$A$1:$A$29),"N/A")</f>
        <v>34</v>
      </c>
      <c r="AM308" s="21">
        <f t="shared" si="26"/>
        <v>20</v>
      </c>
      <c r="AN308" s="87"/>
      <c r="AO308" s="87"/>
      <c r="AP308" s="87"/>
      <c r="AQ308" s="87"/>
      <c r="AR308" s="87"/>
      <c r="AS308" s="87" t="s">
        <v>1889</v>
      </c>
      <c r="AT308" s="87" t="s">
        <v>1994</v>
      </c>
      <c r="AU308" s="87" t="s">
        <v>2212</v>
      </c>
      <c r="AV308" s="320" t="s">
        <v>2232</v>
      </c>
      <c r="AW308" s="403" t="s">
        <v>2894</v>
      </c>
      <c r="AY308" s="415"/>
    </row>
    <row r="309" spans="1:51" ht="15" customHeight="1" x14ac:dyDescent="0.25">
      <c r="A309" s="295">
        <v>15686</v>
      </c>
      <c r="B309" s="142">
        <v>46041</v>
      </c>
      <c r="C309" s="142">
        <v>46042</v>
      </c>
      <c r="D309" s="21">
        <v>1</v>
      </c>
      <c r="E309" s="87" t="s">
        <v>54</v>
      </c>
      <c r="F309" s="18" t="s">
        <v>55</v>
      </c>
      <c r="G309" s="3">
        <v>0</v>
      </c>
      <c r="H309" s="33"/>
      <c r="I309" s="2" t="s">
        <v>55</v>
      </c>
      <c r="J309" s="2" t="s">
        <v>55</v>
      </c>
      <c r="K309" s="3">
        <v>0</v>
      </c>
      <c r="L309" s="18" t="s">
        <v>55</v>
      </c>
      <c r="M309" s="18" t="s">
        <v>55</v>
      </c>
      <c r="N309" s="18" t="s">
        <v>55</v>
      </c>
      <c r="O309" s="18" t="s">
        <v>55</v>
      </c>
      <c r="P309" s="18" t="s">
        <v>55</v>
      </c>
      <c r="Q309" s="18" t="s">
        <v>55</v>
      </c>
      <c r="R309" s="18" t="s">
        <v>55</v>
      </c>
      <c r="S309" s="3">
        <v>3</v>
      </c>
      <c r="T309" s="3">
        <v>1</v>
      </c>
      <c r="U309" s="3">
        <v>0</v>
      </c>
      <c r="V309" s="28">
        <v>46073</v>
      </c>
      <c r="W309" s="28">
        <v>46073</v>
      </c>
      <c r="X309" s="28">
        <v>46073</v>
      </c>
      <c r="Y309" s="28">
        <v>46083</v>
      </c>
      <c r="Z309" s="38">
        <v>46083</v>
      </c>
      <c r="AA309" s="33">
        <f t="shared" si="32"/>
        <v>3</v>
      </c>
      <c r="AB309" s="144" t="s">
        <v>977</v>
      </c>
      <c r="AC309" s="35" t="s">
        <v>978</v>
      </c>
      <c r="AD309" s="19" t="str">
        <f t="shared" si="25"/>
        <v>N/A</v>
      </c>
      <c r="AE309" s="67" t="str">
        <f>IFERROR(NETWORKDAYS(B309,I309,Hoja1!$A$1:$A$29),"N/A")</f>
        <v>N/A</v>
      </c>
      <c r="AF309" s="21">
        <f>IFERROR(NETWORKDAYS(B309,W309,Hoja1!$A$1:$A$29),"N/A")</f>
        <v>25</v>
      </c>
      <c r="AG309" s="78">
        <v>20</v>
      </c>
      <c r="AH309" s="21">
        <f t="shared" si="33"/>
        <v>5</v>
      </c>
      <c r="AI309" s="21">
        <f>IFERROR(NETWORKDAYS(X309,Y309,Hoja1!$A$1:$A$29),"N/A")</f>
        <v>7</v>
      </c>
      <c r="AJ309" s="78">
        <v>2</v>
      </c>
      <c r="AK309" s="75">
        <f t="shared" si="31"/>
        <v>5</v>
      </c>
      <c r="AL309" s="21">
        <f>IFERROR(NETWORKDAYS(B309,Y309,Hoja1!$A$1:$A$29),"N/A")</f>
        <v>31</v>
      </c>
      <c r="AM309" s="21">
        <f t="shared" si="26"/>
        <v>9</v>
      </c>
      <c r="AN309" s="87" t="s">
        <v>881</v>
      </c>
      <c r="AO309" s="87"/>
      <c r="AP309" s="87"/>
      <c r="AQ309" s="87"/>
      <c r="AR309" s="87"/>
      <c r="AS309" s="87" t="s">
        <v>1888</v>
      </c>
      <c r="AT309" s="87" t="s">
        <v>2032</v>
      </c>
      <c r="AU309" s="87" t="s">
        <v>2211</v>
      </c>
      <c r="AV309" s="320" t="s">
        <v>2250</v>
      </c>
      <c r="AW309" s="403" t="s">
        <v>2895</v>
      </c>
      <c r="AY309" s="414"/>
    </row>
    <row r="310" spans="1:51" ht="15" customHeight="1" x14ac:dyDescent="0.25">
      <c r="A310" s="303">
        <v>15692</v>
      </c>
      <c r="B310" s="142">
        <v>46042</v>
      </c>
      <c r="C310" s="142">
        <v>46042</v>
      </c>
      <c r="D310" s="21">
        <v>1</v>
      </c>
      <c r="E310" s="84" t="s">
        <v>54</v>
      </c>
      <c r="F310" s="33" t="s">
        <v>55</v>
      </c>
      <c r="G310" s="33">
        <v>19</v>
      </c>
      <c r="H310" s="33" t="s">
        <v>56</v>
      </c>
      <c r="I310" s="142">
        <v>46083</v>
      </c>
      <c r="J310" s="142">
        <v>46083</v>
      </c>
      <c r="K310" s="33">
        <v>19</v>
      </c>
      <c r="L310" s="33" t="s">
        <v>55</v>
      </c>
      <c r="M310" s="33" t="s">
        <v>55</v>
      </c>
      <c r="N310" s="33" t="s">
        <v>55</v>
      </c>
      <c r="O310" s="33" t="s">
        <v>55</v>
      </c>
      <c r="P310" s="33" t="s">
        <v>55</v>
      </c>
      <c r="Q310" s="33" t="s">
        <v>55</v>
      </c>
      <c r="R310" s="18" t="s">
        <v>55</v>
      </c>
      <c r="S310" s="33">
        <v>1</v>
      </c>
      <c r="T310" s="33">
        <v>1</v>
      </c>
      <c r="U310" s="33">
        <v>0</v>
      </c>
      <c r="V310" s="28">
        <v>46087</v>
      </c>
      <c r="W310" s="28">
        <v>46087</v>
      </c>
      <c r="X310" s="28">
        <v>46087</v>
      </c>
      <c r="Y310" s="28">
        <v>46101</v>
      </c>
      <c r="Z310" s="28">
        <v>46106</v>
      </c>
      <c r="AA310" s="33">
        <f t="shared" si="32"/>
        <v>3</v>
      </c>
      <c r="AB310" s="145" t="s">
        <v>979</v>
      </c>
      <c r="AC310" s="60" t="s">
        <v>1322</v>
      </c>
      <c r="AD310" s="19">
        <f t="shared" si="25"/>
        <v>1</v>
      </c>
      <c r="AE310" s="67">
        <f>IFERROR(NETWORKDAYS(B310,I310,Hoja1!$A$1:$A$29),"N/A")</f>
        <v>30</v>
      </c>
      <c r="AF310" s="21">
        <f>IFERROR(NETWORKDAYS(B310,W310,Hoja1!$A$1:$A$29),"N/A")</f>
        <v>34</v>
      </c>
      <c r="AG310" s="78">
        <v>3</v>
      </c>
      <c r="AH310" s="21">
        <f t="shared" si="33"/>
        <v>31</v>
      </c>
      <c r="AI310" s="21">
        <f>IFERROR(NETWORKDAYS(X310,Y310,Hoja1!$A$1:$A$29),"N/A")</f>
        <v>11</v>
      </c>
      <c r="AJ310" s="78">
        <v>0</v>
      </c>
      <c r="AK310" s="75">
        <f t="shared" si="31"/>
        <v>11</v>
      </c>
      <c r="AL310" s="21">
        <f>IFERROR(NETWORKDAYS(B310,Y310,Hoja1!$A$1:$A$29),"N/A")</f>
        <v>44</v>
      </c>
      <c r="AM310" s="21">
        <f t="shared" si="26"/>
        <v>41</v>
      </c>
      <c r="AN310" s="87" t="s">
        <v>871</v>
      </c>
      <c r="AO310" s="87" t="s">
        <v>871</v>
      </c>
      <c r="AP310" s="87"/>
      <c r="AQ310" s="87"/>
      <c r="AR310" s="87"/>
      <c r="AS310" s="87" t="s">
        <v>1923</v>
      </c>
      <c r="AT310" s="87" t="s">
        <v>2063</v>
      </c>
      <c r="AU310" s="87" t="s">
        <v>2215</v>
      </c>
      <c r="AV310" s="320" t="s">
        <v>2415</v>
      </c>
      <c r="AW310" s="403" t="s">
        <v>2896</v>
      </c>
      <c r="AY310" s="415"/>
    </row>
    <row r="311" spans="1:51" ht="15" customHeight="1" x14ac:dyDescent="0.25">
      <c r="A311" s="295">
        <v>15700</v>
      </c>
      <c r="B311" s="142">
        <v>46043</v>
      </c>
      <c r="C311" s="142">
        <v>46043</v>
      </c>
      <c r="D311" s="21">
        <v>1</v>
      </c>
      <c r="E311" s="87" t="s">
        <v>54</v>
      </c>
      <c r="F311" s="2" t="s">
        <v>55</v>
      </c>
      <c r="G311" s="3">
        <v>3</v>
      </c>
      <c r="H311" s="3" t="s">
        <v>112</v>
      </c>
      <c r="I311" s="30">
        <v>46055</v>
      </c>
      <c r="J311" s="30">
        <v>46066</v>
      </c>
      <c r="K311" s="3">
        <v>3</v>
      </c>
      <c r="L311" s="18" t="s">
        <v>55</v>
      </c>
      <c r="M311" s="18" t="s">
        <v>55</v>
      </c>
      <c r="N311" s="18" t="s">
        <v>55</v>
      </c>
      <c r="O311" s="18" t="s">
        <v>55</v>
      </c>
      <c r="P311" s="18" t="s">
        <v>55</v>
      </c>
      <c r="Q311" s="18" t="s">
        <v>55</v>
      </c>
      <c r="R311" s="18" t="s">
        <v>55</v>
      </c>
      <c r="S311" s="3">
        <v>1</v>
      </c>
      <c r="T311" s="3">
        <v>1</v>
      </c>
      <c r="U311" s="3">
        <v>0</v>
      </c>
      <c r="V311" s="28">
        <v>46070</v>
      </c>
      <c r="W311" s="28">
        <v>46070</v>
      </c>
      <c r="X311" s="28">
        <v>46073</v>
      </c>
      <c r="Y311" s="28">
        <v>46080</v>
      </c>
      <c r="Z311" s="38">
        <v>46083</v>
      </c>
      <c r="AA311" s="33">
        <f t="shared" si="32"/>
        <v>3</v>
      </c>
      <c r="AB311" s="144" t="s">
        <v>981</v>
      </c>
      <c r="AC311" s="35" t="s">
        <v>982</v>
      </c>
      <c r="AD311" s="19">
        <f t="shared" si="25"/>
        <v>1</v>
      </c>
      <c r="AE311" s="67">
        <f>IFERROR(NETWORKDAYS(B311,I311,Hoja1!$A$1:$A$29),"N/A")</f>
        <v>9</v>
      </c>
      <c r="AF311" s="21">
        <f>IFERROR(NETWORKDAYS(B311,W311,Hoja1!$A$1:$A$29),"N/A")</f>
        <v>20</v>
      </c>
      <c r="AG311" s="78">
        <v>5</v>
      </c>
      <c r="AH311" s="21">
        <f t="shared" si="33"/>
        <v>15</v>
      </c>
      <c r="AI311" s="21">
        <f>IFERROR(NETWORKDAYS(X311,Y311,Hoja1!$A$1:$A$29),"N/A")</f>
        <v>6</v>
      </c>
      <c r="AJ311" s="78">
        <v>1</v>
      </c>
      <c r="AK311" s="75">
        <f t="shared" si="31"/>
        <v>5</v>
      </c>
      <c r="AL311" s="21">
        <f>IFERROR(NETWORKDAYS(B311,Y311,Hoja1!$A$1:$A$29),"N/A")</f>
        <v>28</v>
      </c>
      <c r="AM311" s="21">
        <f t="shared" si="26"/>
        <v>22</v>
      </c>
      <c r="AN311" s="87" t="s">
        <v>446</v>
      </c>
      <c r="AO311" s="87"/>
      <c r="AP311" s="87"/>
      <c r="AQ311" s="87"/>
      <c r="AR311" s="87"/>
      <c r="AS311" s="87" t="s">
        <v>1891</v>
      </c>
      <c r="AT311" s="87" t="s">
        <v>2111</v>
      </c>
      <c r="AU311" s="87" t="s">
        <v>2211</v>
      </c>
      <c r="AV311" s="320" t="s">
        <v>2416</v>
      </c>
      <c r="AW311" s="403" t="s">
        <v>2897</v>
      </c>
      <c r="AY311" s="414"/>
    </row>
    <row r="312" spans="1:51" ht="15" customHeight="1" x14ac:dyDescent="0.25">
      <c r="A312" s="293">
        <v>15702</v>
      </c>
      <c r="B312" s="142">
        <v>46044</v>
      </c>
      <c r="C312" s="142">
        <v>46044</v>
      </c>
      <c r="D312" s="21">
        <v>1</v>
      </c>
      <c r="E312" s="87" t="s">
        <v>54</v>
      </c>
      <c r="F312" s="18" t="s">
        <v>55</v>
      </c>
      <c r="G312" s="3">
        <v>4</v>
      </c>
      <c r="H312" s="33" t="s">
        <v>56</v>
      </c>
      <c r="I312" s="30">
        <v>46059</v>
      </c>
      <c r="J312" s="30">
        <v>46059</v>
      </c>
      <c r="K312" s="3">
        <v>4</v>
      </c>
      <c r="L312" s="18" t="s">
        <v>55</v>
      </c>
      <c r="M312" s="18" t="s">
        <v>55</v>
      </c>
      <c r="N312" s="18" t="s">
        <v>55</v>
      </c>
      <c r="O312" s="18" t="s">
        <v>55</v>
      </c>
      <c r="P312" s="18" t="s">
        <v>55</v>
      </c>
      <c r="Q312" s="18" t="s">
        <v>55</v>
      </c>
      <c r="R312" s="18" t="s">
        <v>55</v>
      </c>
      <c r="S312" s="3">
        <v>2</v>
      </c>
      <c r="T312" s="3">
        <v>2</v>
      </c>
      <c r="U312" s="3">
        <v>0</v>
      </c>
      <c r="V312" s="30">
        <v>46065</v>
      </c>
      <c r="W312" s="28">
        <v>46065</v>
      </c>
      <c r="X312" s="28">
        <v>46065</v>
      </c>
      <c r="Y312" s="28">
        <v>46080</v>
      </c>
      <c r="Z312" s="37">
        <v>46083</v>
      </c>
      <c r="AA312" s="33">
        <f t="shared" si="32"/>
        <v>3</v>
      </c>
      <c r="AB312" s="144" t="s">
        <v>983</v>
      </c>
      <c r="AC312" s="35" t="s">
        <v>1323</v>
      </c>
      <c r="AD312" s="19">
        <f t="shared" si="25"/>
        <v>1</v>
      </c>
      <c r="AE312" s="67">
        <f>IFERROR(NETWORKDAYS(B312,I312,Hoja1!$A$1:$A$29),"N/A")</f>
        <v>12</v>
      </c>
      <c r="AF312" s="21">
        <f>IFERROR(NETWORKDAYS(B312,W312,Hoja1!$A$1:$A$29),"N/A")</f>
        <v>16</v>
      </c>
      <c r="AG312" s="78">
        <v>0</v>
      </c>
      <c r="AH312" s="21">
        <f t="shared" si="33"/>
        <v>16</v>
      </c>
      <c r="AI312" s="21">
        <f>IFERROR(NETWORKDAYS(X312,Y312,Hoja1!$A$1:$A$29),"N/A")</f>
        <v>12</v>
      </c>
      <c r="AJ312" s="78">
        <v>0</v>
      </c>
      <c r="AK312" s="75">
        <f t="shared" si="31"/>
        <v>12</v>
      </c>
      <c r="AL312" s="21">
        <f>IFERROR(NETWORKDAYS(B312,Y312,Hoja1!$A$1:$A$29),"N/A")</f>
        <v>27</v>
      </c>
      <c r="AM312" s="21">
        <f t="shared" si="26"/>
        <v>27</v>
      </c>
      <c r="AN312" s="87" t="s">
        <v>881</v>
      </c>
      <c r="AO312" s="87"/>
      <c r="AP312" s="87"/>
      <c r="AQ312" s="87"/>
      <c r="AR312" s="87"/>
      <c r="AS312" s="87" t="s">
        <v>1923</v>
      </c>
      <c r="AT312" s="87" t="s">
        <v>2083</v>
      </c>
      <c r="AU312" s="87" t="s">
        <v>2215</v>
      </c>
      <c r="AV312" s="320" t="s">
        <v>2417</v>
      </c>
      <c r="AW312" s="403" t="s">
        <v>2898</v>
      </c>
      <c r="AY312" s="415"/>
    </row>
    <row r="313" spans="1:51" ht="15" customHeight="1" x14ac:dyDescent="0.25">
      <c r="A313" s="295">
        <v>15706</v>
      </c>
      <c r="B313" s="142">
        <v>46056</v>
      </c>
      <c r="C313" s="142">
        <v>46044</v>
      </c>
      <c r="D313" s="21">
        <v>1</v>
      </c>
      <c r="E313" s="87" t="s">
        <v>54</v>
      </c>
      <c r="F313" s="2" t="s">
        <v>55</v>
      </c>
      <c r="G313" s="3">
        <v>6</v>
      </c>
      <c r="H313" s="3" t="s">
        <v>112</v>
      </c>
      <c r="I313" s="30">
        <v>46059</v>
      </c>
      <c r="J313" s="30">
        <v>46069</v>
      </c>
      <c r="K313" s="3">
        <v>6</v>
      </c>
      <c r="L313" s="18" t="s">
        <v>55</v>
      </c>
      <c r="M313" s="18" t="s">
        <v>55</v>
      </c>
      <c r="N313" s="18" t="s">
        <v>55</v>
      </c>
      <c r="O313" s="18" t="s">
        <v>55</v>
      </c>
      <c r="P313" s="18" t="s">
        <v>55</v>
      </c>
      <c r="Q313" s="18" t="s">
        <v>55</v>
      </c>
      <c r="R313" s="18" t="s">
        <v>55</v>
      </c>
      <c r="S313" s="3">
        <v>2</v>
      </c>
      <c r="T313" s="3">
        <v>1</v>
      </c>
      <c r="U313" s="3">
        <v>0</v>
      </c>
      <c r="V313" s="28">
        <v>46073</v>
      </c>
      <c r="W313" s="28">
        <v>46073</v>
      </c>
      <c r="X313" s="28">
        <v>46073</v>
      </c>
      <c r="Y313" s="28">
        <v>46080</v>
      </c>
      <c r="Z313" s="38">
        <v>46083</v>
      </c>
      <c r="AA313" s="33">
        <f t="shared" si="32"/>
        <v>3</v>
      </c>
      <c r="AB313" s="144" t="s">
        <v>985</v>
      </c>
      <c r="AC313" s="35" t="s">
        <v>986</v>
      </c>
      <c r="AD313" s="19">
        <f t="shared" si="25"/>
        <v>1</v>
      </c>
      <c r="AE313" s="67">
        <f>IFERROR(NETWORKDAYS(B313,I313,Hoja1!$A$1:$A$29),"N/A")</f>
        <v>4</v>
      </c>
      <c r="AF313" s="21">
        <f>IFERROR(NETWORKDAYS(B313,W313,Hoja1!$A$1:$A$29),"N/A")</f>
        <v>14</v>
      </c>
      <c r="AG313" s="78">
        <v>0</v>
      </c>
      <c r="AH313" s="21">
        <f t="shared" si="33"/>
        <v>14</v>
      </c>
      <c r="AI313" s="21">
        <f>IFERROR(NETWORKDAYS(X313,Y313,Hoja1!$A$1:$A$29),"N/A")</f>
        <v>6</v>
      </c>
      <c r="AJ313" s="78">
        <v>1</v>
      </c>
      <c r="AK313" s="75">
        <f t="shared" si="31"/>
        <v>5</v>
      </c>
      <c r="AL313" s="21">
        <f>IFERROR(NETWORKDAYS(B313,Y313,Hoja1!$A$1:$A$29),"N/A")</f>
        <v>19</v>
      </c>
      <c r="AM313" s="21">
        <f t="shared" si="26"/>
        <v>18</v>
      </c>
      <c r="AN313" s="87" t="s">
        <v>881</v>
      </c>
      <c r="AO313" s="87"/>
      <c r="AP313" s="87"/>
      <c r="AQ313" s="87"/>
      <c r="AR313" s="87"/>
      <c r="AS313" s="87" t="s">
        <v>1961</v>
      </c>
      <c r="AT313" s="87" t="s">
        <v>2066</v>
      </c>
      <c r="AU313" s="87" t="s">
        <v>2211</v>
      </c>
      <c r="AV313" s="320" t="s">
        <v>2418</v>
      </c>
      <c r="AW313" s="403" t="s">
        <v>2899</v>
      </c>
      <c r="AY313" s="414"/>
    </row>
    <row r="314" spans="1:51" ht="15" customHeight="1" x14ac:dyDescent="0.25">
      <c r="A314" s="295">
        <v>15712</v>
      </c>
      <c r="B314" s="142">
        <v>46044</v>
      </c>
      <c r="C314" s="142">
        <v>46044</v>
      </c>
      <c r="D314" s="21">
        <v>1</v>
      </c>
      <c r="E314" s="87" t="s">
        <v>54</v>
      </c>
      <c r="F314" s="3" t="s">
        <v>55</v>
      </c>
      <c r="G314" s="3">
        <v>11</v>
      </c>
      <c r="H314" s="3" t="s">
        <v>56</v>
      </c>
      <c r="I314" s="30">
        <v>46058</v>
      </c>
      <c r="J314" s="30">
        <v>46058</v>
      </c>
      <c r="K314" s="3">
        <v>11</v>
      </c>
      <c r="L314" s="3" t="s">
        <v>55</v>
      </c>
      <c r="M314" s="3" t="s">
        <v>55</v>
      </c>
      <c r="N314" s="3" t="s">
        <v>55</v>
      </c>
      <c r="O314" s="3" t="s">
        <v>55</v>
      </c>
      <c r="P314" s="3" t="s">
        <v>55</v>
      </c>
      <c r="Q314" s="3" t="s">
        <v>55</v>
      </c>
      <c r="R314" s="18" t="s">
        <v>55</v>
      </c>
      <c r="S314" s="3">
        <v>1</v>
      </c>
      <c r="T314" s="3">
        <v>1</v>
      </c>
      <c r="U314" s="3">
        <v>0</v>
      </c>
      <c r="V314" s="30">
        <v>46071</v>
      </c>
      <c r="W314" s="28">
        <v>46076</v>
      </c>
      <c r="X314" s="28">
        <v>46077</v>
      </c>
      <c r="Y314" s="28">
        <v>46083</v>
      </c>
      <c r="Z314" s="37">
        <v>46083</v>
      </c>
      <c r="AA314" s="33">
        <f t="shared" si="32"/>
        <v>3</v>
      </c>
      <c r="AB314" s="144" t="s">
        <v>988</v>
      </c>
      <c r="AC314" s="35" t="s">
        <v>1324</v>
      </c>
      <c r="AD314" s="19">
        <f t="shared" si="25"/>
        <v>1</v>
      </c>
      <c r="AE314" s="67">
        <f>IFERROR(NETWORKDAYS(B314,I314,Hoja1!$A$1:$A$29),"N/A")</f>
        <v>11</v>
      </c>
      <c r="AF314" s="21">
        <f>IFERROR(NETWORKDAYS(B314,W314,Hoja1!$A$1:$A$29),"N/A")</f>
        <v>23</v>
      </c>
      <c r="AG314" s="78">
        <v>6</v>
      </c>
      <c r="AH314" s="21">
        <f t="shared" si="33"/>
        <v>17</v>
      </c>
      <c r="AI314" s="21">
        <f>IFERROR(NETWORKDAYS(X314,Y314,Hoja1!$A$1:$A$29),"N/A")</f>
        <v>5</v>
      </c>
      <c r="AJ314" s="78">
        <v>0</v>
      </c>
      <c r="AK314" s="75">
        <f t="shared" si="31"/>
        <v>5</v>
      </c>
      <c r="AL314" s="21">
        <f>IFERROR(NETWORKDAYS(B314,Y314,Hoja1!$A$1:$A$29),"N/A")</f>
        <v>28</v>
      </c>
      <c r="AM314" s="21">
        <f t="shared" si="26"/>
        <v>22</v>
      </c>
      <c r="AN314" s="87"/>
      <c r="AO314" s="87"/>
      <c r="AP314" s="87"/>
      <c r="AQ314" s="87"/>
      <c r="AR314" s="87"/>
      <c r="AS314" s="87" t="s">
        <v>1913</v>
      </c>
      <c r="AT314" s="87" t="s">
        <v>2047</v>
      </c>
      <c r="AU314" s="87" t="s">
        <v>2209</v>
      </c>
      <c r="AV314" s="320" t="s">
        <v>2419</v>
      </c>
      <c r="AW314" s="403" t="s">
        <v>2900</v>
      </c>
      <c r="AY314" s="415"/>
    </row>
    <row r="315" spans="1:51" ht="15" customHeight="1" x14ac:dyDescent="0.25">
      <c r="A315" s="301">
        <v>15713</v>
      </c>
      <c r="B315" s="142">
        <v>46085</v>
      </c>
      <c r="C315" s="142">
        <v>46045</v>
      </c>
      <c r="D315" s="21">
        <v>1</v>
      </c>
      <c r="E315" s="87" t="s">
        <v>54</v>
      </c>
      <c r="F315" s="33" t="s">
        <v>55</v>
      </c>
      <c r="G315" s="33">
        <v>0</v>
      </c>
      <c r="H315" s="33"/>
      <c r="I315" s="142" t="s">
        <v>55</v>
      </c>
      <c r="J315" s="142" t="s">
        <v>55</v>
      </c>
      <c r="K315" s="33">
        <v>0</v>
      </c>
      <c r="L315" s="33" t="s">
        <v>55</v>
      </c>
      <c r="M315" s="33" t="s">
        <v>55</v>
      </c>
      <c r="N315" s="33" t="s">
        <v>55</v>
      </c>
      <c r="O315" s="33" t="s">
        <v>55</v>
      </c>
      <c r="P315" s="33" t="s">
        <v>55</v>
      </c>
      <c r="Q315" s="33" t="s">
        <v>55</v>
      </c>
      <c r="R315" s="33" t="s">
        <v>55</v>
      </c>
      <c r="S315" s="33">
        <v>1</v>
      </c>
      <c r="T315" s="33">
        <v>1</v>
      </c>
      <c r="U315" s="33">
        <v>0</v>
      </c>
      <c r="V315" s="28">
        <v>46090</v>
      </c>
      <c r="W315" s="28">
        <v>46091</v>
      </c>
      <c r="X315" s="28">
        <v>46092</v>
      </c>
      <c r="Y315" s="28">
        <v>46100</v>
      </c>
      <c r="Z315" s="140">
        <v>46106</v>
      </c>
      <c r="AA315" s="33">
        <f t="shared" si="32"/>
        <v>3</v>
      </c>
      <c r="AB315" s="144" t="s">
        <v>989</v>
      </c>
      <c r="AC315" s="35" t="s">
        <v>1325</v>
      </c>
      <c r="AD315" s="19" t="str">
        <f t="shared" si="25"/>
        <v>N/A</v>
      </c>
      <c r="AE315" s="67" t="str">
        <f>IFERROR(NETWORKDAYS(B315,I315,Hoja1!$A$1:$A$29),"N/A")</f>
        <v>N/A</v>
      </c>
      <c r="AF315" s="21">
        <f>IFERROR(NETWORKDAYS(B315,W315,Hoja1!$A$1:$A$29),"N/A")</f>
        <v>5</v>
      </c>
      <c r="AG315" s="78">
        <v>0</v>
      </c>
      <c r="AH315" s="21">
        <f t="shared" si="33"/>
        <v>5</v>
      </c>
      <c r="AI315" s="21">
        <f>IFERROR(NETWORKDAYS(X315,Y315,Hoja1!$A$1:$A$29),"N/A")</f>
        <v>7</v>
      </c>
      <c r="AJ315" s="78">
        <v>2</v>
      </c>
      <c r="AK315" s="75">
        <f t="shared" si="31"/>
        <v>5</v>
      </c>
      <c r="AL315" s="21">
        <f>IFERROR(NETWORKDAYS(B315,Y315,Hoja1!$A$1:$A$29),"N/A")</f>
        <v>12</v>
      </c>
      <c r="AM315" s="21">
        <f t="shared" si="26"/>
        <v>10</v>
      </c>
      <c r="AN315" s="84" t="s">
        <v>990</v>
      </c>
      <c r="AO315" s="84"/>
      <c r="AP315" s="84"/>
      <c r="AQ315" s="84"/>
      <c r="AR315" s="84"/>
      <c r="AS315" s="84" t="s">
        <v>1937</v>
      </c>
      <c r="AT315" s="84" t="s">
        <v>2075</v>
      </c>
      <c r="AU315" s="84" t="s">
        <v>2210</v>
      </c>
      <c r="AV315" s="324" t="s">
        <v>2258</v>
      </c>
      <c r="AW315" s="403" t="s">
        <v>2901</v>
      </c>
      <c r="AY315" s="414"/>
    </row>
    <row r="316" spans="1:51" ht="15" customHeight="1" x14ac:dyDescent="0.25">
      <c r="A316" s="303">
        <v>15714</v>
      </c>
      <c r="B316" s="142">
        <v>46045</v>
      </c>
      <c r="C316" s="142">
        <v>46045</v>
      </c>
      <c r="D316" s="21">
        <v>1</v>
      </c>
      <c r="E316" s="87" t="s">
        <v>54</v>
      </c>
      <c r="F316" s="33" t="s">
        <v>55</v>
      </c>
      <c r="G316" s="33">
        <v>6</v>
      </c>
      <c r="H316" s="33" t="s">
        <v>56</v>
      </c>
      <c r="I316" s="142">
        <v>46049</v>
      </c>
      <c r="J316" s="142">
        <v>46049</v>
      </c>
      <c r="K316" s="33">
        <v>6</v>
      </c>
      <c r="L316" s="33" t="s">
        <v>55</v>
      </c>
      <c r="M316" s="33" t="s">
        <v>55</v>
      </c>
      <c r="N316" s="33" t="s">
        <v>55</v>
      </c>
      <c r="O316" s="33" t="s">
        <v>55</v>
      </c>
      <c r="P316" s="33" t="s">
        <v>55</v>
      </c>
      <c r="Q316" s="33" t="s">
        <v>55</v>
      </c>
      <c r="R316" s="18" t="s">
        <v>55</v>
      </c>
      <c r="S316" s="21">
        <v>2</v>
      </c>
      <c r="T316" s="21">
        <v>1</v>
      </c>
      <c r="U316" s="33">
        <v>0</v>
      </c>
      <c r="V316" s="53">
        <v>46071</v>
      </c>
      <c r="W316" s="28">
        <v>46072</v>
      </c>
      <c r="X316" s="28">
        <v>46073</v>
      </c>
      <c r="Y316" s="28">
        <v>46087</v>
      </c>
      <c r="Z316" s="53">
        <v>46090</v>
      </c>
      <c r="AA316" s="33">
        <f t="shared" si="32"/>
        <v>3</v>
      </c>
      <c r="AB316" s="144" t="s">
        <v>991</v>
      </c>
      <c r="AC316" s="35" t="s">
        <v>1326</v>
      </c>
      <c r="AD316" s="19">
        <f t="shared" si="25"/>
        <v>1</v>
      </c>
      <c r="AE316" s="67">
        <f>IFERROR(NETWORKDAYS(B316,I316,Hoja1!$A$1:$A$29),"N/A")</f>
        <v>3</v>
      </c>
      <c r="AF316" s="21">
        <f>IFERROR(NETWORKDAYS(B316,W316,Hoja1!$A$1:$A$29),"N/A")</f>
        <v>20</v>
      </c>
      <c r="AG316" s="78">
        <v>0</v>
      </c>
      <c r="AH316" s="21">
        <f t="shared" si="33"/>
        <v>20</v>
      </c>
      <c r="AI316" s="21">
        <f>IFERROR(NETWORKDAYS(X316,Y316,Hoja1!$A$1:$A$29),"N/A")</f>
        <v>11</v>
      </c>
      <c r="AJ316" s="78">
        <v>6</v>
      </c>
      <c r="AK316" s="75">
        <f t="shared" si="31"/>
        <v>5</v>
      </c>
      <c r="AL316" s="21">
        <f>IFERROR(NETWORKDAYS(B316,Y316,Hoja1!$A$1:$A$29),"N/A")</f>
        <v>31</v>
      </c>
      <c r="AM316" s="21">
        <f t="shared" si="26"/>
        <v>25</v>
      </c>
      <c r="AN316" s="111"/>
      <c r="AO316" s="111"/>
      <c r="AP316" s="111"/>
      <c r="AQ316" s="111"/>
      <c r="AR316" s="111"/>
      <c r="AS316" s="111" t="s">
        <v>1906</v>
      </c>
      <c r="AT316" s="111" t="s">
        <v>1994</v>
      </c>
      <c r="AU316" s="111" t="s">
        <v>2212</v>
      </c>
      <c r="AV316" s="321" t="s">
        <v>2232</v>
      </c>
      <c r="AW316" s="403" t="s">
        <v>2902</v>
      </c>
      <c r="AY316" s="415"/>
    </row>
    <row r="317" spans="1:51" ht="15" customHeight="1" x14ac:dyDescent="0.25">
      <c r="A317" s="303">
        <v>15716</v>
      </c>
      <c r="B317" s="142">
        <v>46078</v>
      </c>
      <c r="C317" s="142">
        <v>46045</v>
      </c>
      <c r="D317" s="21">
        <v>1</v>
      </c>
      <c r="E317" s="87" t="s">
        <v>54</v>
      </c>
      <c r="F317" s="33" t="s">
        <v>55</v>
      </c>
      <c r="G317" s="33">
        <v>7</v>
      </c>
      <c r="H317" s="33" t="s">
        <v>56</v>
      </c>
      <c r="I317" s="142">
        <v>46080</v>
      </c>
      <c r="J317" s="142">
        <v>46085</v>
      </c>
      <c r="K317" s="33">
        <v>7</v>
      </c>
      <c r="L317" s="33" t="s">
        <v>55</v>
      </c>
      <c r="M317" s="33" t="s">
        <v>55</v>
      </c>
      <c r="N317" s="33" t="s">
        <v>55</v>
      </c>
      <c r="O317" s="33" t="s">
        <v>55</v>
      </c>
      <c r="P317" s="33" t="s">
        <v>55</v>
      </c>
      <c r="Q317" s="33" t="s">
        <v>55</v>
      </c>
      <c r="R317" s="18" t="s">
        <v>55</v>
      </c>
      <c r="S317" s="33">
        <v>2</v>
      </c>
      <c r="T317" s="33">
        <v>1</v>
      </c>
      <c r="U317" s="33">
        <v>0</v>
      </c>
      <c r="V317" s="28">
        <v>46091</v>
      </c>
      <c r="W317" s="28">
        <v>46091</v>
      </c>
      <c r="X317" s="28">
        <v>46094</v>
      </c>
      <c r="Y317" s="28">
        <v>46101</v>
      </c>
      <c r="Z317" s="140">
        <v>46106</v>
      </c>
      <c r="AA317" s="33">
        <f t="shared" si="32"/>
        <v>3</v>
      </c>
      <c r="AB317" s="144" t="s">
        <v>992</v>
      </c>
      <c r="AC317" s="35" t="s">
        <v>993</v>
      </c>
      <c r="AD317" s="19">
        <f t="shared" si="25"/>
        <v>1</v>
      </c>
      <c r="AE317" s="67">
        <f>IFERROR(NETWORKDAYS(B317,I317,Hoja1!$A$1:$A$29),"N/A")</f>
        <v>3</v>
      </c>
      <c r="AF317" s="21">
        <f>IFERROR(NETWORKDAYS(B317,W317,Hoja1!$A$1:$A$29),"N/A")</f>
        <v>10</v>
      </c>
      <c r="AG317" s="78">
        <v>0</v>
      </c>
      <c r="AH317" s="21">
        <f t="shared" si="33"/>
        <v>10</v>
      </c>
      <c r="AI317" s="21">
        <f>IFERROR(NETWORKDAYS(X317,Y317,Hoja1!$A$1:$A$29),"N/A")</f>
        <v>6</v>
      </c>
      <c r="AJ317" s="78">
        <v>1</v>
      </c>
      <c r="AK317" s="75">
        <f t="shared" si="31"/>
        <v>5</v>
      </c>
      <c r="AL317" s="21">
        <f>IFERROR(NETWORKDAYS(B317,Y317,Hoja1!$A$1:$A$29),"N/A")</f>
        <v>18</v>
      </c>
      <c r="AM317" s="21">
        <f t="shared" si="26"/>
        <v>17</v>
      </c>
      <c r="AN317" s="87" t="s">
        <v>445</v>
      </c>
      <c r="AO317" s="87"/>
      <c r="AP317" s="87"/>
      <c r="AQ317" s="87"/>
      <c r="AR317" s="87"/>
      <c r="AS317" s="87" t="s">
        <v>1906</v>
      </c>
      <c r="AT317" s="87" t="s">
        <v>1994</v>
      </c>
      <c r="AU317" s="87" t="s">
        <v>2212</v>
      </c>
      <c r="AV317" s="320" t="s">
        <v>2232</v>
      </c>
      <c r="AW317" s="403" t="s">
        <v>2903</v>
      </c>
      <c r="AY317" s="414"/>
    </row>
    <row r="318" spans="1:51" ht="15" customHeight="1" x14ac:dyDescent="0.25">
      <c r="A318" s="295">
        <v>15720</v>
      </c>
      <c r="B318" s="142">
        <v>46045</v>
      </c>
      <c r="C318" s="142">
        <v>46045</v>
      </c>
      <c r="D318" s="21">
        <v>1</v>
      </c>
      <c r="E318" s="87" t="s">
        <v>54</v>
      </c>
      <c r="F318" s="2" t="s">
        <v>55</v>
      </c>
      <c r="G318" s="3">
        <v>1</v>
      </c>
      <c r="H318" s="3" t="s">
        <v>112</v>
      </c>
      <c r="I318" s="142">
        <v>46048</v>
      </c>
      <c r="J318" s="142">
        <v>46048</v>
      </c>
      <c r="K318" s="3">
        <v>1</v>
      </c>
      <c r="L318" s="18" t="s">
        <v>55</v>
      </c>
      <c r="M318" s="18" t="s">
        <v>55</v>
      </c>
      <c r="N318" s="18" t="s">
        <v>55</v>
      </c>
      <c r="O318" s="18" t="s">
        <v>55</v>
      </c>
      <c r="P318" s="18" t="s">
        <v>55</v>
      </c>
      <c r="Q318" s="18" t="s">
        <v>55</v>
      </c>
      <c r="R318" s="18" t="s">
        <v>55</v>
      </c>
      <c r="S318" s="3">
        <v>1</v>
      </c>
      <c r="T318" s="3">
        <v>1</v>
      </c>
      <c r="U318" s="3">
        <v>0</v>
      </c>
      <c r="V318" s="28">
        <v>46073</v>
      </c>
      <c r="W318" s="28">
        <v>46073</v>
      </c>
      <c r="X318" s="28">
        <v>46073</v>
      </c>
      <c r="Y318" s="28">
        <v>46087</v>
      </c>
      <c r="Z318" s="28">
        <v>46090</v>
      </c>
      <c r="AA318" s="33">
        <f t="shared" si="32"/>
        <v>3</v>
      </c>
      <c r="AB318" s="144" t="s">
        <v>994</v>
      </c>
      <c r="AC318" s="35" t="s">
        <v>995</v>
      </c>
      <c r="AD318" s="19">
        <f t="shared" si="25"/>
        <v>1</v>
      </c>
      <c r="AE318" s="67">
        <f>IFERROR(NETWORKDAYS(B318,I318,Hoja1!$A$1:$A$29),"N/A")</f>
        <v>2</v>
      </c>
      <c r="AF318" s="21">
        <f>IFERROR(NETWORKDAYS(B318,W318,Hoja1!$A$1:$A$29),"N/A")</f>
        <v>21</v>
      </c>
      <c r="AG318" s="78">
        <v>0</v>
      </c>
      <c r="AH318" s="21">
        <f t="shared" si="33"/>
        <v>21</v>
      </c>
      <c r="AI318" s="21">
        <f>IFERROR(NETWORKDAYS(X318,Y318,Hoja1!$A$1:$A$29),"N/A")</f>
        <v>11</v>
      </c>
      <c r="AJ318" s="78">
        <v>6</v>
      </c>
      <c r="AK318" s="75">
        <f t="shared" si="31"/>
        <v>5</v>
      </c>
      <c r="AL318" s="21">
        <f>IFERROR(NETWORKDAYS(B318,Y318,Hoja1!$A$1:$A$29),"N/A")</f>
        <v>31</v>
      </c>
      <c r="AM318" s="21">
        <f t="shared" si="26"/>
        <v>25</v>
      </c>
      <c r="AN318" s="87"/>
      <c r="AO318" s="87"/>
      <c r="AP318" s="87"/>
      <c r="AQ318" s="87"/>
      <c r="AR318" s="87"/>
      <c r="AS318" s="87" t="s">
        <v>1891</v>
      </c>
      <c r="AT318" s="87" t="s">
        <v>1994</v>
      </c>
      <c r="AU318" s="87" t="s">
        <v>2211</v>
      </c>
      <c r="AV318" s="320" t="s">
        <v>2232</v>
      </c>
      <c r="AW318" s="403" t="s">
        <v>2904</v>
      </c>
      <c r="AY318" s="415"/>
    </row>
    <row r="319" spans="1:51" ht="15" customHeight="1" x14ac:dyDescent="0.25">
      <c r="A319" s="301">
        <v>15724</v>
      </c>
      <c r="B319" s="142">
        <v>46048</v>
      </c>
      <c r="C319" s="142">
        <v>46048</v>
      </c>
      <c r="D319" s="21">
        <v>1</v>
      </c>
      <c r="E319" s="87" t="s">
        <v>54</v>
      </c>
      <c r="F319" s="3" t="s">
        <v>55</v>
      </c>
      <c r="G319" s="3">
        <v>4</v>
      </c>
      <c r="H319" s="3" t="s">
        <v>112</v>
      </c>
      <c r="I319" s="155">
        <v>46058</v>
      </c>
      <c r="J319" s="155">
        <v>46069</v>
      </c>
      <c r="K319" s="3">
        <v>4</v>
      </c>
      <c r="L319" s="3" t="s">
        <v>55</v>
      </c>
      <c r="M319" s="3" t="s">
        <v>55</v>
      </c>
      <c r="N319" s="3" t="s">
        <v>55</v>
      </c>
      <c r="O319" s="3" t="s">
        <v>55</v>
      </c>
      <c r="P319" s="3" t="s">
        <v>55</v>
      </c>
      <c r="Q319" s="3" t="s">
        <v>55</v>
      </c>
      <c r="R319" s="3" t="s">
        <v>55</v>
      </c>
      <c r="S319" s="33">
        <v>3</v>
      </c>
      <c r="T319" s="33">
        <v>3</v>
      </c>
      <c r="U319" s="3">
        <v>0</v>
      </c>
      <c r="V319" s="16">
        <v>46077</v>
      </c>
      <c r="W319" s="28">
        <v>46078</v>
      </c>
      <c r="X319" s="28">
        <v>46080</v>
      </c>
      <c r="Y319" s="28">
        <v>46091</v>
      </c>
      <c r="Z319" s="16">
        <v>46093</v>
      </c>
      <c r="AA319" s="33">
        <f t="shared" si="32"/>
        <v>3</v>
      </c>
      <c r="AB319" s="144" t="s">
        <v>996</v>
      </c>
      <c r="AC319" s="35" t="s">
        <v>997</v>
      </c>
      <c r="AD319" s="19">
        <f t="shared" si="25"/>
        <v>1</v>
      </c>
      <c r="AE319" s="67">
        <f>IFERROR(NETWORKDAYS(B319,I319,Hoja1!$A$1:$A$29),"N/A")</f>
        <v>9</v>
      </c>
      <c r="AF319" s="21">
        <f>IFERROR(NETWORKDAYS(B319,W319,Hoja1!$A$1:$A$29),"N/A")</f>
        <v>23</v>
      </c>
      <c r="AG319" s="78">
        <v>4</v>
      </c>
      <c r="AH319" s="21">
        <f t="shared" si="33"/>
        <v>19</v>
      </c>
      <c r="AI319" s="21">
        <f>IFERROR(NETWORKDAYS(X319,Y319,Hoja1!$A$1:$A$29),"N/A")</f>
        <v>8</v>
      </c>
      <c r="AJ319" s="78">
        <v>3</v>
      </c>
      <c r="AK319" s="75">
        <f t="shared" si="31"/>
        <v>5</v>
      </c>
      <c r="AL319" s="21">
        <f>IFERROR(NETWORKDAYS(B319,Y319,Hoja1!$A$1:$A$29),"N/A")</f>
        <v>32</v>
      </c>
      <c r="AM319" s="21">
        <f t="shared" si="26"/>
        <v>25</v>
      </c>
      <c r="AN319" s="84"/>
      <c r="AO319" s="84"/>
      <c r="AP319" s="84"/>
      <c r="AQ319" s="84"/>
      <c r="AR319" s="84"/>
      <c r="AS319" s="84" t="s">
        <v>1902</v>
      </c>
      <c r="AT319" s="84" t="s">
        <v>1996</v>
      </c>
      <c r="AU319" s="84" t="s">
        <v>2220</v>
      </c>
      <c r="AV319" s="324" t="s">
        <v>2232</v>
      </c>
      <c r="AW319" s="403" t="s">
        <v>2905</v>
      </c>
      <c r="AY319" s="414"/>
    </row>
    <row r="320" spans="1:51" ht="15" customHeight="1" x14ac:dyDescent="0.25">
      <c r="A320" s="295">
        <v>15731</v>
      </c>
      <c r="B320" s="142">
        <v>46048</v>
      </c>
      <c r="C320" s="142">
        <v>46048</v>
      </c>
      <c r="D320" s="21">
        <v>1</v>
      </c>
      <c r="E320" s="87" t="s">
        <v>54</v>
      </c>
      <c r="F320" s="3" t="s">
        <v>55</v>
      </c>
      <c r="G320" s="3">
        <v>8</v>
      </c>
      <c r="H320" s="33" t="s">
        <v>56</v>
      </c>
      <c r="I320" s="30">
        <v>46058</v>
      </c>
      <c r="J320" s="30">
        <v>46058</v>
      </c>
      <c r="K320" s="3">
        <v>8</v>
      </c>
      <c r="L320" s="3" t="s">
        <v>55</v>
      </c>
      <c r="M320" s="3" t="s">
        <v>55</v>
      </c>
      <c r="N320" s="3" t="s">
        <v>55</v>
      </c>
      <c r="O320" s="3" t="s">
        <v>55</v>
      </c>
      <c r="P320" s="3" t="s">
        <v>55</v>
      </c>
      <c r="Q320" s="3" t="s">
        <v>55</v>
      </c>
      <c r="R320" s="18" t="s">
        <v>55</v>
      </c>
      <c r="S320" s="3">
        <v>3</v>
      </c>
      <c r="T320" s="3">
        <v>3</v>
      </c>
      <c r="U320" s="3">
        <v>0</v>
      </c>
      <c r="V320" s="30">
        <v>46078</v>
      </c>
      <c r="W320" s="30">
        <v>46078</v>
      </c>
      <c r="X320" s="28">
        <v>46079</v>
      </c>
      <c r="Y320" s="28">
        <v>46093</v>
      </c>
      <c r="Z320" s="30">
        <v>46093</v>
      </c>
      <c r="AA320" s="33">
        <f t="shared" si="32"/>
        <v>3</v>
      </c>
      <c r="AB320" s="144" t="s">
        <v>998</v>
      </c>
      <c r="AC320" s="35" t="s">
        <v>999</v>
      </c>
      <c r="AD320" s="19">
        <f t="shared" si="25"/>
        <v>1</v>
      </c>
      <c r="AE320" s="67">
        <f>IFERROR(NETWORKDAYS(B320,I320,Hoja1!$A$1:$A$29),"N/A")</f>
        <v>9</v>
      </c>
      <c r="AF320" s="21">
        <f>IFERROR(NETWORKDAYS(B320,W320,Hoja1!$A$1:$A$29),"N/A")</f>
        <v>23</v>
      </c>
      <c r="AG320" s="78">
        <v>8</v>
      </c>
      <c r="AH320" s="21">
        <f t="shared" si="33"/>
        <v>15</v>
      </c>
      <c r="AI320" s="21">
        <f>IFERROR(NETWORKDAYS(X320,Y320,Hoja1!$A$1:$A$29),"N/A")</f>
        <v>11</v>
      </c>
      <c r="AJ320" s="78">
        <v>6</v>
      </c>
      <c r="AK320" s="75">
        <f t="shared" si="31"/>
        <v>5</v>
      </c>
      <c r="AL320" s="21">
        <f>IFERROR(NETWORKDAYS(B320,Y320,Hoja1!$A$1:$A$29),"N/A")</f>
        <v>34</v>
      </c>
      <c r="AM320" s="21">
        <f t="shared" si="26"/>
        <v>20</v>
      </c>
      <c r="AN320" s="87" t="s">
        <v>445</v>
      </c>
      <c r="AO320" s="87"/>
      <c r="AP320" s="87"/>
      <c r="AQ320" s="87"/>
      <c r="AR320" s="87"/>
      <c r="AS320" s="87" t="s">
        <v>1944</v>
      </c>
      <c r="AT320" s="87" t="s">
        <v>1994</v>
      </c>
      <c r="AU320" s="87" t="s">
        <v>2209</v>
      </c>
      <c r="AV320" s="320" t="s">
        <v>2232</v>
      </c>
      <c r="AW320" s="403" t="s">
        <v>2906</v>
      </c>
      <c r="AY320" s="415"/>
    </row>
    <row r="321" spans="1:51" ht="15" customHeight="1" x14ac:dyDescent="0.25">
      <c r="A321" s="301">
        <v>15732</v>
      </c>
      <c r="B321" s="142">
        <v>46078</v>
      </c>
      <c r="C321" s="142">
        <v>46048</v>
      </c>
      <c r="D321" s="21">
        <v>1</v>
      </c>
      <c r="E321" s="87" t="s">
        <v>54</v>
      </c>
      <c r="F321" s="3" t="s">
        <v>55</v>
      </c>
      <c r="G321" s="3">
        <v>22</v>
      </c>
      <c r="H321" s="33" t="s">
        <v>56</v>
      </c>
      <c r="I321" s="116">
        <v>46091</v>
      </c>
      <c r="J321" s="116">
        <v>46093</v>
      </c>
      <c r="K321" s="3">
        <v>22</v>
      </c>
      <c r="L321" s="3" t="s">
        <v>55</v>
      </c>
      <c r="M321" s="3" t="s">
        <v>55</v>
      </c>
      <c r="N321" s="3" t="s">
        <v>55</v>
      </c>
      <c r="O321" s="3" t="s">
        <v>55</v>
      </c>
      <c r="P321" s="3" t="s">
        <v>55</v>
      </c>
      <c r="Q321" s="3" t="s">
        <v>55</v>
      </c>
      <c r="R321" s="3" t="s">
        <v>55</v>
      </c>
      <c r="S321" s="1">
        <v>3</v>
      </c>
      <c r="T321" s="1">
        <v>3</v>
      </c>
      <c r="U321" s="3">
        <v>0</v>
      </c>
      <c r="V321" s="16">
        <v>46094</v>
      </c>
      <c r="W321" s="16">
        <v>46094</v>
      </c>
      <c r="X321" s="28">
        <v>46094</v>
      </c>
      <c r="Y321" s="28">
        <v>46101</v>
      </c>
      <c r="Z321" s="140">
        <v>46106</v>
      </c>
      <c r="AA321" s="33">
        <f t="shared" si="32"/>
        <v>3</v>
      </c>
      <c r="AB321" s="144" t="s">
        <v>1000</v>
      </c>
      <c r="AC321" s="35" t="s">
        <v>1001</v>
      </c>
      <c r="AD321" s="19">
        <f t="shared" si="25"/>
        <v>1</v>
      </c>
      <c r="AE321" s="67">
        <f>IFERROR(NETWORKDAYS(B321,I321,Hoja1!$A$1:$A$29),"N/A")</f>
        <v>10</v>
      </c>
      <c r="AF321" s="21">
        <f>IFERROR(NETWORKDAYS(B321,W321,Hoja1!$A$1:$A$29),"N/A")</f>
        <v>13</v>
      </c>
      <c r="AG321" s="78">
        <v>0</v>
      </c>
      <c r="AH321" s="21">
        <f t="shared" si="33"/>
        <v>13</v>
      </c>
      <c r="AI321" s="21">
        <f>IFERROR(NETWORKDAYS(X321,Y321,Hoja1!$A$1:$A$29),"N/A")</f>
        <v>6</v>
      </c>
      <c r="AJ321" s="78">
        <v>1</v>
      </c>
      <c r="AK321" s="75">
        <f t="shared" si="31"/>
        <v>5</v>
      </c>
      <c r="AL321" s="21">
        <f>IFERROR(NETWORKDAYS(B321,Y321,Hoja1!$A$1:$A$29),"N/A")</f>
        <v>18</v>
      </c>
      <c r="AM321" s="21">
        <f t="shared" si="26"/>
        <v>17</v>
      </c>
      <c r="AN321" s="87" t="s">
        <v>881</v>
      </c>
      <c r="AO321" s="114" t="s">
        <v>446</v>
      </c>
      <c r="AP321" s="87" t="s">
        <v>445</v>
      </c>
      <c r="AQ321" s="114"/>
      <c r="AR321" s="114"/>
      <c r="AS321" s="114" t="s">
        <v>1933</v>
      </c>
      <c r="AT321" s="114" t="s">
        <v>2067</v>
      </c>
      <c r="AU321" s="114" t="s">
        <v>2218</v>
      </c>
      <c r="AV321" s="322" t="s">
        <v>2300</v>
      </c>
      <c r="AW321" s="403" t="s">
        <v>2907</v>
      </c>
      <c r="AY321" s="414"/>
    </row>
    <row r="322" spans="1:51" ht="15" customHeight="1" x14ac:dyDescent="0.25">
      <c r="A322" s="301">
        <v>15734</v>
      </c>
      <c r="B322" s="142">
        <v>46048</v>
      </c>
      <c r="C322" s="142">
        <v>46048</v>
      </c>
      <c r="D322" s="21">
        <v>1</v>
      </c>
      <c r="E322" s="159" t="s">
        <v>247</v>
      </c>
      <c r="F322" s="3" t="s">
        <v>55</v>
      </c>
      <c r="G322" s="3">
        <v>0</v>
      </c>
      <c r="H322" s="33"/>
      <c r="I322" s="116" t="s">
        <v>55</v>
      </c>
      <c r="J322" s="116" t="s">
        <v>55</v>
      </c>
      <c r="K322" s="3">
        <v>0</v>
      </c>
      <c r="L322" s="3" t="s">
        <v>55</v>
      </c>
      <c r="M322" s="3" t="s">
        <v>55</v>
      </c>
      <c r="N322" s="3" t="s">
        <v>55</v>
      </c>
      <c r="O322" s="3" t="s">
        <v>55</v>
      </c>
      <c r="P322" s="3" t="s">
        <v>55</v>
      </c>
      <c r="Q322" s="3" t="s">
        <v>55</v>
      </c>
      <c r="R322" s="3" t="s">
        <v>55</v>
      </c>
      <c r="S322" s="1">
        <v>1</v>
      </c>
      <c r="T322" s="1">
        <v>1</v>
      </c>
      <c r="U322" s="3">
        <v>0</v>
      </c>
      <c r="V322" s="16">
        <v>46077</v>
      </c>
      <c r="W322" s="28">
        <v>46071</v>
      </c>
      <c r="X322" s="28" t="s">
        <v>55</v>
      </c>
      <c r="Y322" s="28">
        <v>46077</v>
      </c>
      <c r="Z322" s="140">
        <v>46083</v>
      </c>
      <c r="AA322" s="33">
        <v>3</v>
      </c>
      <c r="AB322" s="144" t="s">
        <v>1002</v>
      </c>
      <c r="AC322" s="35" t="s">
        <v>1003</v>
      </c>
      <c r="AD322" s="19" t="str">
        <f t="shared" ref="AD322:AD385" si="34">IFERROR(K322/G322,"N/A")</f>
        <v>N/A</v>
      </c>
      <c r="AE322" s="67" t="str">
        <f>IFERROR(NETWORKDAYS(B322,I322,Hoja1!$A$1:$A$29),"N/A")</f>
        <v>N/A</v>
      </c>
      <c r="AF322" s="21">
        <f>IFERROR(NETWORKDAYS(B322,W322,Hoja1!$A$1:$A$29),"N/A")</f>
        <v>18</v>
      </c>
      <c r="AG322" s="78">
        <v>10</v>
      </c>
      <c r="AH322" s="21">
        <f t="shared" si="33"/>
        <v>8</v>
      </c>
      <c r="AI322" s="21" t="str">
        <f>IFERROR(NETWORKDAYS(X322,Y322,Hoja1!$A$1:$A$29),"N/A")</f>
        <v>N/A</v>
      </c>
      <c r="AJ322" s="33">
        <v>0</v>
      </c>
      <c r="AK322" s="19" t="s">
        <v>82</v>
      </c>
      <c r="AL322" s="21">
        <f>IFERROR(NETWORKDAYS(B322,Y322,Hoja1!$A$1:$A$29),"N/A")</f>
        <v>22</v>
      </c>
      <c r="AM322" s="21">
        <f t="shared" ref="AM322:AM385" si="35">AL322-AG322-AJ322</f>
        <v>12</v>
      </c>
      <c r="AN322" s="251"/>
      <c r="AO322" s="1"/>
      <c r="AP322" s="1"/>
      <c r="AQ322" s="1"/>
      <c r="AR322" s="1"/>
      <c r="AS322" s="1" t="s">
        <v>1958</v>
      </c>
      <c r="AT322" s="1" t="s">
        <v>2102</v>
      </c>
      <c r="AU322" s="1" t="s">
        <v>2218</v>
      </c>
      <c r="AV322" s="315" t="s">
        <v>2250</v>
      </c>
      <c r="AW322" s="403" t="s">
        <v>2908</v>
      </c>
      <c r="AY322" s="415"/>
    </row>
    <row r="323" spans="1:51" ht="15" customHeight="1" x14ac:dyDescent="0.25">
      <c r="A323" s="294">
        <v>15741</v>
      </c>
      <c r="B323" s="142">
        <v>46065</v>
      </c>
      <c r="C323" s="142">
        <v>46048</v>
      </c>
      <c r="D323" s="21">
        <v>1</v>
      </c>
      <c r="E323" s="87" t="s">
        <v>54</v>
      </c>
      <c r="F323" s="3" t="s">
        <v>55</v>
      </c>
      <c r="G323" s="3">
        <v>2</v>
      </c>
      <c r="H323" s="3" t="s">
        <v>112</v>
      </c>
      <c r="I323" s="73">
        <v>46071</v>
      </c>
      <c r="J323" s="73">
        <v>46071</v>
      </c>
      <c r="K323" s="3">
        <v>2</v>
      </c>
      <c r="L323" s="3" t="s">
        <v>55</v>
      </c>
      <c r="M323" s="3" t="s">
        <v>55</v>
      </c>
      <c r="N323" s="3" t="s">
        <v>55</v>
      </c>
      <c r="O323" s="3" t="s">
        <v>55</v>
      </c>
      <c r="P323" s="3" t="s">
        <v>55</v>
      </c>
      <c r="Q323" s="3" t="s">
        <v>55</v>
      </c>
      <c r="R323" s="3" t="s">
        <v>55</v>
      </c>
      <c r="S323" s="2">
        <v>2</v>
      </c>
      <c r="T323" s="2">
        <v>1</v>
      </c>
      <c r="U323" s="3">
        <v>0</v>
      </c>
      <c r="V323" s="28">
        <v>46086</v>
      </c>
      <c r="W323" s="28">
        <v>46086</v>
      </c>
      <c r="X323" s="28">
        <v>46086</v>
      </c>
      <c r="Y323" s="28">
        <v>46092</v>
      </c>
      <c r="Z323" s="140">
        <v>46093</v>
      </c>
      <c r="AA323" s="33">
        <f t="shared" ref="AA323:AA334" si="36">MONTH(Z323)</f>
        <v>3</v>
      </c>
      <c r="AB323" s="144" t="s">
        <v>1004</v>
      </c>
      <c r="AC323" s="35" t="s">
        <v>1327</v>
      </c>
      <c r="AD323" s="19">
        <f t="shared" si="34"/>
        <v>1</v>
      </c>
      <c r="AE323" s="67">
        <f>IFERROR(NETWORKDAYS(B323,I323,Hoja1!$A$1:$A$29),"N/A")</f>
        <v>5</v>
      </c>
      <c r="AF323" s="21">
        <f>IFERROR(NETWORKDAYS(B323,W323,Hoja1!$A$1:$A$29),"N/A")</f>
        <v>16</v>
      </c>
      <c r="AG323" s="78">
        <v>0</v>
      </c>
      <c r="AH323" s="21">
        <f t="shared" si="33"/>
        <v>16</v>
      </c>
      <c r="AI323" s="21">
        <f>IFERROR(NETWORKDAYS(X323,Y323,Hoja1!$A$1:$A$29),"N/A")</f>
        <v>5</v>
      </c>
      <c r="AJ323" s="78">
        <v>0</v>
      </c>
      <c r="AK323" s="75">
        <f t="shared" ref="AK323:AK370" si="37">AI323-AJ323</f>
        <v>5</v>
      </c>
      <c r="AL323" s="21">
        <f>IFERROR(NETWORKDAYS(B323,Y323,Hoja1!$A$1:$A$29),"N/A")</f>
        <v>20</v>
      </c>
      <c r="AM323" s="21">
        <f t="shared" si="35"/>
        <v>20</v>
      </c>
      <c r="AN323" s="87"/>
      <c r="AO323" s="87"/>
      <c r="AP323" s="87"/>
      <c r="AQ323" s="87"/>
      <c r="AR323" s="87"/>
      <c r="AS323" s="87" t="s">
        <v>1890</v>
      </c>
      <c r="AT323" s="87" t="s">
        <v>1995</v>
      </c>
      <c r="AU323" s="87" t="s">
        <v>2216</v>
      </c>
      <c r="AV323" s="320" t="s">
        <v>2420</v>
      </c>
      <c r="AW323" s="403" t="s">
        <v>2909</v>
      </c>
      <c r="AY323" s="414"/>
    </row>
    <row r="324" spans="1:51" ht="15" customHeight="1" x14ac:dyDescent="0.25">
      <c r="A324" s="298">
        <v>15749</v>
      </c>
      <c r="B324" s="142">
        <v>46049</v>
      </c>
      <c r="C324" s="142">
        <v>46049</v>
      </c>
      <c r="D324" s="21">
        <v>1</v>
      </c>
      <c r="E324" s="87" t="s">
        <v>54</v>
      </c>
      <c r="F324" s="3" t="s">
        <v>55</v>
      </c>
      <c r="G324" s="3">
        <v>6</v>
      </c>
      <c r="H324" s="3" t="s">
        <v>112</v>
      </c>
      <c r="I324" s="116">
        <v>46052</v>
      </c>
      <c r="J324" s="155">
        <v>46058</v>
      </c>
      <c r="K324" s="3">
        <v>6</v>
      </c>
      <c r="L324" s="3" t="s">
        <v>55</v>
      </c>
      <c r="M324" s="3" t="s">
        <v>55</v>
      </c>
      <c r="N324" s="3" t="s">
        <v>55</v>
      </c>
      <c r="O324" s="3" t="s">
        <v>55</v>
      </c>
      <c r="P324" s="3" t="s">
        <v>55</v>
      </c>
      <c r="Q324" s="3" t="s">
        <v>55</v>
      </c>
      <c r="R324" s="3" t="s">
        <v>55</v>
      </c>
      <c r="S324" s="1">
        <v>3</v>
      </c>
      <c r="T324" s="1">
        <v>3</v>
      </c>
      <c r="U324" s="3">
        <v>0</v>
      </c>
      <c r="V324" s="28">
        <v>46072</v>
      </c>
      <c r="W324" s="28">
        <v>46073</v>
      </c>
      <c r="X324" s="28">
        <v>46076</v>
      </c>
      <c r="Y324" s="28">
        <v>46079</v>
      </c>
      <c r="Z324" s="38">
        <v>46083</v>
      </c>
      <c r="AA324" s="33">
        <f t="shared" si="36"/>
        <v>3</v>
      </c>
      <c r="AB324" s="144" t="s">
        <v>1005</v>
      </c>
      <c r="AC324" s="35" t="s">
        <v>1328</v>
      </c>
      <c r="AD324" s="19">
        <f t="shared" si="34"/>
        <v>1</v>
      </c>
      <c r="AE324" s="67">
        <f>IFERROR(NETWORKDAYS(B324,I324,Hoja1!$A$1:$A$29),"N/A")</f>
        <v>4</v>
      </c>
      <c r="AF324" s="21">
        <f>IFERROR(NETWORKDAYS(B324,W324,Hoja1!$A$1:$A$29),"N/A")</f>
        <v>19</v>
      </c>
      <c r="AG324" s="78">
        <v>4</v>
      </c>
      <c r="AH324" s="21">
        <f t="shared" si="33"/>
        <v>15</v>
      </c>
      <c r="AI324" s="21">
        <f>IFERROR(NETWORKDAYS(X324,Y324,Hoja1!$A$1:$A$29),"N/A")</f>
        <v>4</v>
      </c>
      <c r="AJ324" s="78">
        <v>0</v>
      </c>
      <c r="AK324" s="75">
        <f t="shared" si="37"/>
        <v>4</v>
      </c>
      <c r="AL324" s="21">
        <f>IFERROR(NETWORKDAYS(B324,Y324,Hoja1!$A$1:$A$29),"N/A")</f>
        <v>23</v>
      </c>
      <c r="AM324" s="21">
        <f t="shared" si="35"/>
        <v>19</v>
      </c>
      <c r="AN324" s="114"/>
      <c r="AO324" s="114"/>
      <c r="AP324" s="114"/>
      <c r="AQ324" s="114"/>
      <c r="AR324" s="114"/>
      <c r="AS324" s="114" t="s">
        <v>1908</v>
      </c>
      <c r="AT324" s="114" t="s">
        <v>1996</v>
      </c>
      <c r="AU324" s="114" t="s">
        <v>2220</v>
      </c>
      <c r="AV324" s="322" t="s">
        <v>2327</v>
      </c>
      <c r="AW324" s="403" t="s">
        <v>2910</v>
      </c>
      <c r="AY324" s="415"/>
    </row>
    <row r="325" spans="1:51" ht="15" customHeight="1" x14ac:dyDescent="0.25">
      <c r="A325" s="301">
        <v>15752</v>
      </c>
      <c r="B325" s="142">
        <v>46049</v>
      </c>
      <c r="C325" s="142">
        <v>46049</v>
      </c>
      <c r="D325" s="21">
        <v>1</v>
      </c>
      <c r="E325" s="87" t="s">
        <v>54</v>
      </c>
      <c r="F325" s="33" t="s">
        <v>55</v>
      </c>
      <c r="G325" s="33">
        <v>0</v>
      </c>
      <c r="H325" s="33"/>
      <c r="I325" s="142" t="s">
        <v>55</v>
      </c>
      <c r="J325" s="142" t="s">
        <v>55</v>
      </c>
      <c r="K325" s="33">
        <v>0</v>
      </c>
      <c r="L325" s="33" t="s">
        <v>55</v>
      </c>
      <c r="M325" s="33" t="s">
        <v>55</v>
      </c>
      <c r="N325" s="33" t="s">
        <v>55</v>
      </c>
      <c r="O325" s="33" t="s">
        <v>55</v>
      </c>
      <c r="P325" s="33" t="s">
        <v>55</v>
      </c>
      <c r="Q325" s="33" t="s">
        <v>55</v>
      </c>
      <c r="R325" s="33" t="s">
        <v>55</v>
      </c>
      <c r="S325" s="1">
        <v>1</v>
      </c>
      <c r="T325" s="1">
        <v>1</v>
      </c>
      <c r="U325" s="33">
        <v>0</v>
      </c>
      <c r="V325" s="28">
        <v>46073</v>
      </c>
      <c r="W325" s="28">
        <v>46073</v>
      </c>
      <c r="X325" s="28">
        <v>46073</v>
      </c>
      <c r="Y325" s="28">
        <v>46080</v>
      </c>
      <c r="Z325" s="38">
        <v>46083</v>
      </c>
      <c r="AA325" s="33">
        <f t="shared" si="36"/>
        <v>3</v>
      </c>
      <c r="AB325" s="144" t="s">
        <v>1007</v>
      </c>
      <c r="AC325" s="35" t="s">
        <v>1008</v>
      </c>
      <c r="AD325" s="19" t="str">
        <f t="shared" si="34"/>
        <v>N/A</v>
      </c>
      <c r="AE325" s="67" t="str">
        <f>IFERROR(NETWORKDAYS(B325,I325,Hoja1!$A$1:$A$29),"N/A")</f>
        <v>N/A</v>
      </c>
      <c r="AF325" s="21">
        <f>IFERROR(NETWORKDAYS(B325,W325,Hoja1!$A$1:$A$29),"N/A")</f>
        <v>19</v>
      </c>
      <c r="AG325" s="78">
        <v>13</v>
      </c>
      <c r="AH325" s="21">
        <f t="shared" si="33"/>
        <v>6</v>
      </c>
      <c r="AI325" s="21">
        <f>IFERROR(NETWORKDAYS(X325,Y325,Hoja1!$A$1:$A$29),"N/A")</f>
        <v>6</v>
      </c>
      <c r="AJ325" s="78">
        <v>1</v>
      </c>
      <c r="AK325" s="75">
        <f t="shared" si="37"/>
        <v>5</v>
      </c>
      <c r="AL325" s="21">
        <f>IFERROR(NETWORKDAYS(B325,Y325,Hoja1!$A$1:$A$29),"N/A")</f>
        <v>24</v>
      </c>
      <c r="AM325" s="21">
        <f t="shared" si="35"/>
        <v>10</v>
      </c>
      <c r="AN325" s="84"/>
      <c r="AO325" s="84"/>
      <c r="AP325" s="84"/>
      <c r="AQ325" s="84"/>
      <c r="AR325" s="84"/>
      <c r="AS325" s="84" t="s">
        <v>1906</v>
      </c>
      <c r="AT325" s="84" t="s">
        <v>2112</v>
      </c>
      <c r="AU325" s="84" t="s">
        <v>2210</v>
      </c>
      <c r="AV325" s="324" t="s">
        <v>2292</v>
      </c>
      <c r="AW325" s="403" t="s">
        <v>2911</v>
      </c>
      <c r="AY325" s="414"/>
    </row>
    <row r="326" spans="1:51" ht="15" customHeight="1" x14ac:dyDescent="0.25">
      <c r="A326" s="303">
        <v>15755</v>
      </c>
      <c r="B326" s="142">
        <v>46049</v>
      </c>
      <c r="C326" s="142">
        <v>46049</v>
      </c>
      <c r="D326" s="21">
        <v>1</v>
      </c>
      <c r="E326" s="87" t="s">
        <v>54</v>
      </c>
      <c r="F326" s="33" t="s">
        <v>55</v>
      </c>
      <c r="G326" s="33">
        <v>4</v>
      </c>
      <c r="H326" s="3" t="s">
        <v>112</v>
      </c>
      <c r="I326" s="147">
        <v>46051</v>
      </c>
      <c r="J326" s="147">
        <v>46051</v>
      </c>
      <c r="K326" s="33">
        <v>4</v>
      </c>
      <c r="L326" s="33" t="s">
        <v>55</v>
      </c>
      <c r="M326" s="33" t="s">
        <v>55</v>
      </c>
      <c r="N326" s="33" t="s">
        <v>55</v>
      </c>
      <c r="O326" s="33" t="s">
        <v>55</v>
      </c>
      <c r="P326" s="33" t="s">
        <v>55</v>
      </c>
      <c r="Q326" s="33" t="s">
        <v>55</v>
      </c>
      <c r="R326" s="18" t="s">
        <v>55</v>
      </c>
      <c r="S326" s="21">
        <v>4</v>
      </c>
      <c r="T326" s="21">
        <v>1</v>
      </c>
      <c r="U326" s="33">
        <v>0</v>
      </c>
      <c r="V326" s="53">
        <v>46066</v>
      </c>
      <c r="W326" s="28">
        <v>46066</v>
      </c>
      <c r="X326" s="28">
        <v>46069</v>
      </c>
      <c r="Y326" s="28">
        <v>46078</v>
      </c>
      <c r="Z326" s="38">
        <v>46083</v>
      </c>
      <c r="AA326" s="33">
        <f t="shared" si="36"/>
        <v>3</v>
      </c>
      <c r="AB326" s="144" t="s">
        <v>1009</v>
      </c>
      <c r="AC326" s="35" t="s">
        <v>1010</v>
      </c>
      <c r="AD326" s="19">
        <f t="shared" si="34"/>
        <v>1</v>
      </c>
      <c r="AE326" s="67">
        <f>IFERROR(NETWORKDAYS(B326,I326,Hoja1!$A$1:$A$29),"N/A")</f>
        <v>3</v>
      </c>
      <c r="AF326" s="21">
        <f>IFERROR(NETWORKDAYS(B326,W326,Hoja1!$A$1:$A$29),"N/A")</f>
        <v>14</v>
      </c>
      <c r="AG326" s="78">
        <v>0</v>
      </c>
      <c r="AH326" s="21">
        <f t="shared" si="33"/>
        <v>14</v>
      </c>
      <c r="AI326" s="21">
        <f>IFERROR(NETWORKDAYS(X326,Y326,Hoja1!$A$1:$A$29),"N/A")</f>
        <v>8</v>
      </c>
      <c r="AJ326" s="78">
        <v>3</v>
      </c>
      <c r="AK326" s="75">
        <f t="shared" si="37"/>
        <v>5</v>
      </c>
      <c r="AL326" s="21">
        <f>IFERROR(NETWORKDAYS(B326,Y326,Hoja1!$A$1:$A$29),"N/A")</f>
        <v>22</v>
      </c>
      <c r="AM326" s="21">
        <f t="shared" si="35"/>
        <v>19</v>
      </c>
      <c r="AN326" s="111"/>
      <c r="AO326" s="111"/>
      <c r="AP326" s="111"/>
      <c r="AQ326" s="111"/>
      <c r="AR326" s="111"/>
      <c r="AS326" s="111" t="s">
        <v>1918</v>
      </c>
      <c r="AT326" s="111" t="s">
        <v>2113</v>
      </c>
      <c r="AU326" s="111" t="s">
        <v>2212</v>
      </c>
      <c r="AV326" s="321" t="s">
        <v>2421</v>
      </c>
      <c r="AW326" s="403" t="s">
        <v>2912</v>
      </c>
      <c r="AY326" s="415"/>
    </row>
    <row r="327" spans="1:51" ht="15" customHeight="1" x14ac:dyDescent="0.25">
      <c r="A327" s="295">
        <v>15756</v>
      </c>
      <c r="B327" s="142">
        <v>46050</v>
      </c>
      <c r="C327" s="142">
        <v>46050</v>
      </c>
      <c r="D327" s="21">
        <v>1</v>
      </c>
      <c r="E327" s="87" t="s">
        <v>54</v>
      </c>
      <c r="F327" s="2" t="s">
        <v>55</v>
      </c>
      <c r="G327" s="151">
        <v>3</v>
      </c>
      <c r="H327" s="3" t="s">
        <v>112</v>
      </c>
      <c r="I327" s="104">
        <v>46091</v>
      </c>
      <c r="J327" s="104">
        <v>46091</v>
      </c>
      <c r="K327" s="151">
        <v>3</v>
      </c>
      <c r="L327" s="2" t="s">
        <v>55</v>
      </c>
      <c r="M327" s="2" t="s">
        <v>55</v>
      </c>
      <c r="N327" s="2" t="s">
        <v>55</v>
      </c>
      <c r="O327" s="2" t="s">
        <v>55</v>
      </c>
      <c r="P327" s="2" t="s">
        <v>55</v>
      </c>
      <c r="Q327" s="2" t="s">
        <v>55</v>
      </c>
      <c r="R327" s="2" t="s">
        <v>55</v>
      </c>
      <c r="S327" s="151">
        <v>2</v>
      </c>
      <c r="T327" s="151">
        <v>2</v>
      </c>
      <c r="U327" s="2">
        <v>0</v>
      </c>
      <c r="V327" s="28">
        <v>46094</v>
      </c>
      <c r="W327" s="28">
        <v>46094</v>
      </c>
      <c r="X327" s="28">
        <v>46094</v>
      </c>
      <c r="Y327" s="28">
        <v>46101</v>
      </c>
      <c r="Z327" s="140">
        <v>46106</v>
      </c>
      <c r="AA327" s="33">
        <f t="shared" si="36"/>
        <v>3</v>
      </c>
      <c r="AB327" s="144" t="s">
        <v>1011</v>
      </c>
      <c r="AC327" s="35" t="s">
        <v>1012</v>
      </c>
      <c r="AD327" s="19">
        <f t="shared" si="34"/>
        <v>1</v>
      </c>
      <c r="AE327" s="67">
        <f>IFERROR(NETWORKDAYS(B327,I327,Hoja1!$A$1:$A$29),"N/A")</f>
        <v>30</v>
      </c>
      <c r="AF327" s="21">
        <f>IFERROR(NETWORKDAYS(B327,W327,Hoja1!$A$1:$A$29),"N/A")</f>
        <v>33</v>
      </c>
      <c r="AG327" s="78">
        <v>9</v>
      </c>
      <c r="AH327" s="21">
        <f t="shared" si="33"/>
        <v>24</v>
      </c>
      <c r="AI327" s="21">
        <f>IFERROR(NETWORKDAYS(X327,Y327,Hoja1!$A$1:$A$29),"N/A")</f>
        <v>6</v>
      </c>
      <c r="AJ327" s="78">
        <v>2</v>
      </c>
      <c r="AK327" s="75">
        <f t="shared" si="37"/>
        <v>4</v>
      </c>
      <c r="AL327" s="21">
        <f>IFERROR(NETWORKDAYS(B327,Y327,Hoja1!$A$1:$A$29),"N/A")</f>
        <v>38</v>
      </c>
      <c r="AM327" s="21">
        <f t="shared" si="35"/>
        <v>27</v>
      </c>
      <c r="AN327" s="152"/>
      <c r="AO327" s="152"/>
      <c r="AP327" s="152"/>
      <c r="AQ327" s="152"/>
      <c r="AR327" s="152"/>
      <c r="AS327" s="152" t="s">
        <v>1899</v>
      </c>
      <c r="AT327" s="152" t="s">
        <v>1995</v>
      </c>
      <c r="AU327" s="152" t="s">
        <v>2217</v>
      </c>
      <c r="AV327" s="323" t="s">
        <v>2422</v>
      </c>
      <c r="AW327" s="403" t="s">
        <v>2913</v>
      </c>
      <c r="AY327" s="414"/>
    </row>
    <row r="328" spans="1:51" ht="15" customHeight="1" x14ac:dyDescent="0.25">
      <c r="A328" s="295">
        <v>15758</v>
      </c>
      <c r="B328" s="142">
        <v>46051</v>
      </c>
      <c r="C328" s="142">
        <v>46051</v>
      </c>
      <c r="D328" s="21">
        <v>1</v>
      </c>
      <c r="E328" s="87" t="s">
        <v>54</v>
      </c>
      <c r="F328" s="2" t="s">
        <v>55</v>
      </c>
      <c r="G328" s="151">
        <v>4</v>
      </c>
      <c r="H328" s="3" t="s">
        <v>112</v>
      </c>
      <c r="I328" s="104">
        <v>46055</v>
      </c>
      <c r="J328" s="104">
        <v>46055</v>
      </c>
      <c r="K328" s="151">
        <v>4</v>
      </c>
      <c r="L328" s="2" t="s">
        <v>55</v>
      </c>
      <c r="M328" s="2" t="s">
        <v>55</v>
      </c>
      <c r="N328" s="2" t="s">
        <v>55</v>
      </c>
      <c r="O328" s="2" t="s">
        <v>55</v>
      </c>
      <c r="P328" s="2" t="s">
        <v>55</v>
      </c>
      <c r="Q328" s="2" t="s">
        <v>55</v>
      </c>
      <c r="R328" s="2" t="s">
        <v>55</v>
      </c>
      <c r="S328" s="151">
        <v>1</v>
      </c>
      <c r="T328" s="151">
        <v>1</v>
      </c>
      <c r="U328" s="2">
        <v>0</v>
      </c>
      <c r="V328" s="30">
        <v>46078</v>
      </c>
      <c r="W328" s="28">
        <v>46079</v>
      </c>
      <c r="X328" s="28">
        <v>46079</v>
      </c>
      <c r="Y328" s="28">
        <v>46090</v>
      </c>
      <c r="Z328" s="104">
        <v>46093</v>
      </c>
      <c r="AA328" s="33">
        <f t="shared" si="36"/>
        <v>3</v>
      </c>
      <c r="AB328" s="144" t="s">
        <v>1014</v>
      </c>
      <c r="AC328" s="35" t="s">
        <v>1015</v>
      </c>
      <c r="AD328" s="19">
        <f t="shared" si="34"/>
        <v>1</v>
      </c>
      <c r="AE328" s="67">
        <f>IFERROR(NETWORKDAYS(B328,I328,Hoja1!$A$1:$A$29),"N/A")</f>
        <v>3</v>
      </c>
      <c r="AF328" s="21">
        <f>IFERROR(NETWORKDAYS(B328,W328,Hoja1!$A$1:$A$29),"N/A")</f>
        <v>21</v>
      </c>
      <c r="AG328" s="78">
        <v>3</v>
      </c>
      <c r="AH328" s="21">
        <f t="shared" si="33"/>
        <v>18</v>
      </c>
      <c r="AI328" s="21">
        <f>IFERROR(NETWORKDAYS(X328,Y328,Hoja1!$A$1:$A$29),"N/A")</f>
        <v>8</v>
      </c>
      <c r="AJ328" s="78">
        <v>3</v>
      </c>
      <c r="AK328" s="75">
        <f t="shared" si="37"/>
        <v>5</v>
      </c>
      <c r="AL328" s="21">
        <f>IFERROR(NETWORKDAYS(B328,Y328,Hoja1!$A$1:$A$29),"N/A")</f>
        <v>28</v>
      </c>
      <c r="AM328" s="21">
        <f t="shared" si="35"/>
        <v>22</v>
      </c>
      <c r="AN328" s="152"/>
      <c r="AO328" s="152"/>
      <c r="AP328" s="152"/>
      <c r="AQ328" s="152"/>
      <c r="AR328" s="152"/>
      <c r="AS328" s="152" t="s">
        <v>1901</v>
      </c>
      <c r="AT328" s="152" t="s">
        <v>1995</v>
      </c>
      <c r="AU328" s="152" t="s">
        <v>2217</v>
      </c>
      <c r="AV328" s="323" t="s">
        <v>2269</v>
      </c>
      <c r="AW328" s="403" t="s">
        <v>2914</v>
      </c>
      <c r="AY328" s="415"/>
    </row>
    <row r="329" spans="1:51" ht="15" customHeight="1" x14ac:dyDescent="0.25">
      <c r="A329" s="301">
        <v>15763</v>
      </c>
      <c r="B329" s="142">
        <v>46050</v>
      </c>
      <c r="C329" s="142">
        <v>46050</v>
      </c>
      <c r="D329" s="21">
        <v>1</v>
      </c>
      <c r="E329" s="87" t="s">
        <v>54</v>
      </c>
      <c r="F329" s="33" t="s">
        <v>55</v>
      </c>
      <c r="G329" s="33">
        <v>6</v>
      </c>
      <c r="H329" s="33" t="s">
        <v>56</v>
      </c>
      <c r="I329" s="142">
        <v>46059</v>
      </c>
      <c r="J329" s="142">
        <v>46059</v>
      </c>
      <c r="K329" s="33">
        <v>6</v>
      </c>
      <c r="L329" s="33" t="s">
        <v>55</v>
      </c>
      <c r="M329" s="33" t="s">
        <v>55</v>
      </c>
      <c r="N329" s="33" t="s">
        <v>55</v>
      </c>
      <c r="O329" s="33" t="s">
        <v>55</v>
      </c>
      <c r="P329" s="33" t="s">
        <v>55</v>
      </c>
      <c r="Q329" s="33" t="s">
        <v>55</v>
      </c>
      <c r="R329" s="33" t="s">
        <v>55</v>
      </c>
      <c r="S329" s="33">
        <v>3</v>
      </c>
      <c r="T329" s="33">
        <v>3</v>
      </c>
      <c r="U329" s="33">
        <v>0</v>
      </c>
      <c r="V329" s="28">
        <v>46079</v>
      </c>
      <c r="W329" s="28">
        <v>46084</v>
      </c>
      <c r="X329" s="28">
        <v>46085</v>
      </c>
      <c r="Y329" s="28">
        <v>46092</v>
      </c>
      <c r="Z329" s="16">
        <v>46093</v>
      </c>
      <c r="AA329" s="33">
        <f t="shared" si="36"/>
        <v>3</v>
      </c>
      <c r="AB329" s="144" t="s">
        <v>1017</v>
      </c>
      <c r="AC329" s="35" t="s">
        <v>1018</v>
      </c>
      <c r="AD329" s="19">
        <f t="shared" si="34"/>
        <v>1</v>
      </c>
      <c r="AE329" s="67">
        <f>IFERROR(NETWORKDAYS(B329,I329,Hoja1!$A$1:$A$29),"N/A")</f>
        <v>8</v>
      </c>
      <c r="AF329" s="21">
        <f>IFERROR(NETWORKDAYS(B329,W329,Hoja1!$A$1:$A$29),"N/A")</f>
        <v>25</v>
      </c>
      <c r="AG329" s="78">
        <v>5</v>
      </c>
      <c r="AH329" s="21">
        <f t="shared" si="33"/>
        <v>20</v>
      </c>
      <c r="AI329" s="21">
        <f>IFERROR(NETWORKDAYS(X329,Y329,Hoja1!$A$1:$A$29),"N/A")</f>
        <v>6</v>
      </c>
      <c r="AJ329" s="78">
        <v>1</v>
      </c>
      <c r="AK329" s="75">
        <f t="shared" si="37"/>
        <v>5</v>
      </c>
      <c r="AL329" s="21">
        <f>IFERROR(NETWORKDAYS(B329,Y329,Hoja1!$A$1:$A$29),"N/A")</f>
        <v>31</v>
      </c>
      <c r="AM329" s="21">
        <f t="shared" si="35"/>
        <v>25</v>
      </c>
      <c r="AN329" s="84"/>
      <c r="AO329" s="84"/>
      <c r="AP329" s="84"/>
      <c r="AQ329" s="84"/>
      <c r="AR329" s="84"/>
      <c r="AS329" s="84" t="s">
        <v>1903</v>
      </c>
      <c r="AT329" s="84" t="s">
        <v>2114</v>
      </c>
      <c r="AU329" s="84" t="s">
        <v>2210</v>
      </c>
      <c r="AV329" s="324" t="s">
        <v>2423</v>
      </c>
      <c r="AW329" s="403" t="s">
        <v>2915</v>
      </c>
      <c r="AY329" s="414"/>
    </row>
    <row r="330" spans="1:51" ht="15" customHeight="1" x14ac:dyDescent="0.25">
      <c r="A330" s="294">
        <v>15771</v>
      </c>
      <c r="B330" s="158">
        <v>46055</v>
      </c>
      <c r="C330" s="142">
        <v>46052</v>
      </c>
      <c r="D330" s="21">
        <v>1</v>
      </c>
      <c r="E330" s="87" t="s">
        <v>54</v>
      </c>
      <c r="F330" s="3" t="s">
        <v>55</v>
      </c>
      <c r="G330" s="3">
        <v>4</v>
      </c>
      <c r="H330" s="3" t="s">
        <v>112</v>
      </c>
      <c r="I330" s="73">
        <v>46078</v>
      </c>
      <c r="J330" s="73">
        <v>46078</v>
      </c>
      <c r="K330" s="3">
        <v>4</v>
      </c>
      <c r="L330" s="3" t="s">
        <v>55</v>
      </c>
      <c r="M330" s="3" t="s">
        <v>55</v>
      </c>
      <c r="N330" s="3" t="s">
        <v>55</v>
      </c>
      <c r="O330" s="3" t="s">
        <v>55</v>
      </c>
      <c r="P330" s="3" t="s">
        <v>55</v>
      </c>
      <c r="Q330" s="3" t="s">
        <v>55</v>
      </c>
      <c r="R330" s="3" t="s">
        <v>55</v>
      </c>
      <c r="S330" s="2">
        <v>1</v>
      </c>
      <c r="T330" s="2">
        <v>1</v>
      </c>
      <c r="U330" s="3">
        <v>0</v>
      </c>
      <c r="V330" s="28">
        <v>46086</v>
      </c>
      <c r="W330" s="28">
        <v>46086</v>
      </c>
      <c r="X330" s="28">
        <v>46086</v>
      </c>
      <c r="Y330" s="28">
        <v>46092</v>
      </c>
      <c r="Z330" s="140">
        <v>46093</v>
      </c>
      <c r="AA330" s="33">
        <f t="shared" si="36"/>
        <v>3</v>
      </c>
      <c r="AB330" s="144" t="s">
        <v>1020</v>
      </c>
      <c r="AC330" s="35" t="s">
        <v>1329</v>
      </c>
      <c r="AD330" s="19">
        <f t="shared" si="34"/>
        <v>1</v>
      </c>
      <c r="AE330" s="67">
        <f>IFERROR(NETWORKDAYS(B330,I330,Hoja1!$A$1:$A$29),"N/A")</f>
        <v>18</v>
      </c>
      <c r="AF330" s="21">
        <f>IFERROR(NETWORKDAYS(B330,W330,Hoja1!$A$1:$A$29),"N/A")</f>
        <v>24</v>
      </c>
      <c r="AG330" s="78">
        <v>2</v>
      </c>
      <c r="AH330" s="21">
        <f t="shared" si="33"/>
        <v>22</v>
      </c>
      <c r="AI330" s="21">
        <f>IFERROR(NETWORKDAYS(X330,Y330,Hoja1!$A$1:$A$29),"N/A")</f>
        <v>5</v>
      </c>
      <c r="AJ330" s="78">
        <v>0</v>
      </c>
      <c r="AK330" s="75">
        <f t="shared" si="37"/>
        <v>5</v>
      </c>
      <c r="AL330" s="21">
        <f>IFERROR(NETWORKDAYS(B330,Y330,Hoja1!$A$1:$A$29),"N/A")</f>
        <v>28</v>
      </c>
      <c r="AM330" s="21">
        <f t="shared" si="35"/>
        <v>26</v>
      </c>
      <c r="AN330" s="87"/>
      <c r="AO330" s="87"/>
      <c r="AP330" s="87"/>
      <c r="AQ330" s="87"/>
      <c r="AR330" s="87"/>
      <c r="AS330" s="87" t="s">
        <v>1890</v>
      </c>
      <c r="AT330" s="87" t="s">
        <v>1995</v>
      </c>
      <c r="AU330" s="87" t="s">
        <v>2216</v>
      </c>
      <c r="AV330" s="320" t="s">
        <v>2424</v>
      </c>
      <c r="AW330" s="403" t="s">
        <v>2916</v>
      </c>
      <c r="AY330" s="415"/>
    </row>
    <row r="331" spans="1:51" ht="15" customHeight="1" x14ac:dyDescent="0.25">
      <c r="A331" s="294">
        <v>15773</v>
      </c>
      <c r="B331" s="142">
        <v>46055</v>
      </c>
      <c r="C331" s="142">
        <v>46052</v>
      </c>
      <c r="D331" s="21">
        <v>1</v>
      </c>
      <c r="E331" s="87" t="s">
        <v>54</v>
      </c>
      <c r="F331" s="3" t="s">
        <v>55</v>
      </c>
      <c r="G331" s="3">
        <v>4</v>
      </c>
      <c r="H331" s="3" t="s">
        <v>112</v>
      </c>
      <c r="I331" s="73">
        <v>46078</v>
      </c>
      <c r="J331" s="73">
        <v>46078</v>
      </c>
      <c r="K331" s="3">
        <v>4</v>
      </c>
      <c r="L331" s="3" t="s">
        <v>55</v>
      </c>
      <c r="M331" s="3" t="s">
        <v>55</v>
      </c>
      <c r="N331" s="3" t="s">
        <v>55</v>
      </c>
      <c r="O331" s="3" t="s">
        <v>55</v>
      </c>
      <c r="P331" s="3" t="s">
        <v>55</v>
      </c>
      <c r="Q331" s="3" t="s">
        <v>55</v>
      </c>
      <c r="R331" s="3" t="s">
        <v>55</v>
      </c>
      <c r="S331" s="2">
        <v>4</v>
      </c>
      <c r="T331" s="2">
        <v>1</v>
      </c>
      <c r="U331" s="3">
        <v>0</v>
      </c>
      <c r="V331" s="30">
        <v>46093</v>
      </c>
      <c r="W331" s="30">
        <v>46093</v>
      </c>
      <c r="X331" s="30">
        <v>46097</v>
      </c>
      <c r="Y331" s="28">
        <v>46101</v>
      </c>
      <c r="Z331" s="140">
        <v>46106</v>
      </c>
      <c r="AA331" s="33">
        <f t="shared" si="36"/>
        <v>3</v>
      </c>
      <c r="AB331" s="144" t="s">
        <v>1021</v>
      </c>
      <c r="AC331" s="35" t="s">
        <v>1330</v>
      </c>
      <c r="AD331" s="19">
        <f t="shared" si="34"/>
        <v>1</v>
      </c>
      <c r="AE331" s="67">
        <f>IFERROR(NETWORKDAYS(B331,I331,Hoja1!$A$1:$A$29),"N/A")</f>
        <v>18</v>
      </c>
      <c r="AF331" s="21">
        <f>IFERROR(NETWORKDAYS(B331,W331,Hoja1!$A$1:$A$29),"N/A")</f>
        <v>29</v>
      </c>
      <c r="AG331" s="78">
        <v>6</v>
      </c>
      <c r="AH331" s="21">
        <f t="shared" si="33"/>
        <v>23</v>
      </c>
      <c r="AI331" s="21">
        <f>IFERROR(NETWORKDAYS(X331,Y331,Hoja1!$A$1:$A$29),"N/A")</f>
        <v>5</v>
      </c>
      <c r="AJ331" s="78">
        <v>0</v>
      </c>
      <c r="AK331" s="75">
        <f t="shared" si="37"/>
        <v>5</v>
      </c>
      <c r="AL331" s="21">
        <f>IFERROR(NETWORKDAYS(B331,Y331,Hoja1!$A$1:$A$29),"N/A")</f>
        <v>35</v>
      </c>
      <c r="AM331" s="21">
        <f t="shared" si="35"/>
        <v>29</v>
      </c>
      <c r="AN331" s="87" t="s">
        <v>446</v>
      </c>
      <c r="AO331" s="87"/>
      <c r="AP331" s="87"/>
      <c r="AQ331" s="87"/>
      <c r="AR331" s="87"/>
      <c r="AS331" s="87" t="s">
        <v>1890</v>
      </c>
      <c r="AT331" s="87" t="s">
        <v>1995</v>
      </c>
      <c r="AU331" s="87" t="s">
        <v>2216</v>
      </c>
      <c r="AV331" s="320" t="s">
        <v>2425</v>
      </c>
      <c r="AW331" s="403" t="s">
        <v>2917</v>
      </c>
      <c r="AY331" s="414"/>
    </row>
    <row r="332" spans="1:51" ht="15" customHeight="1" x14ac:dyDescent="0.25">
      <c r="A332" s="304">
        <v>15774</v>
      </c>
      <c r="B332" s="142">
        <v>46055</v>
      </c>
      <c r="C332" s="142">
        <v>46055</v>
      </c>
      <c r="D332" s="21">
        <v>1</v>
      </c>
      <c r="E332" s="87" t="s">
        <v>54</v>
      </c>
      <c r="F332" s="33" t="s">
        <v>55</v>
      </c>
      <c r="G332" s="33">
        <v>8</v>
      </c>
      <c r="H332" s="33" t="s">
        <v>56</v>
      </c>
      <c r="I332" s="142">
        <v>46057</v>
      </c>
      <c r="J332" s="142">
        <v>46064</v>
      </c>
      <c r="K332" s="33">
        <v>8</v>
      </c>
      <c r="L332" s="33" t="s">
        <v>55</v>
      </c>
      <c r="M332" s="33" t="s">
        <v>55</v>
      </c>
      <c r="N332" s="33" t="s">
        <v>55</v>
      </c>
      <c r="O332" s="33" t="s">
        <v>55</v>
      </c>
      <c r="P332" s="33" t="s">
        <v>55</v>
      </c>
      <c r="Q332" s="33" t="s">
        <v>55</v>
      </c>
      <c r="R332" s="33" t="s">
        <v>55</v>
      </c>
      <c r="S332" s="33">
        <v>1</v>
      </c>
      <c r="T332" s="33">
        <v>1</v>
      </c>
      <c r="U332" s="33">
        <v>0</v>
      </c>
      <c r="V332" s="28">
        <v>46085</v>
      </c>
      <c r="W332" s="28">
        <v>46085</v>
      </c>
      <c r="X332" s="28">
        <v>46085</v>
      </c>
      <c r="Y332" s="28">
        <v>46091</v>
      </c>
      <c r="Z332" s="140">
        <v>46093</v>
      </c>
      <c r="AA332" s="33">
        <f t="shared" si="36"/>
        <v>3</v>
      </c>
      <c r="AB332" s="144" t="s">
        <v>1023</v>
      </c>
      <c r="AC332" s="35" t="s">
        <v>1024</v>
      </c>
      <c r="AD332" s="19">
        <f t="shared" si="34"/>
        <v>1</v>
      </c>
      <c r="AE332" s="67">
        <f>IFERROR(NETWORKDAYS(B332,I332,Hoja1!$A$1:$A$29),"N/A")</f>
        <v>3</v>
      </c>
      <c r="AF332" s="21">
        <f>IFERROR(NETWORKDAYS(B332,W332,Hoja1!$A$1:$A$29),"N/A")</f>
        <v>23</v>
      </c>
      <c r="AG332" s="78">
        <v>5</v>
      </c>
      <c r="AH332" s="21">
        <f t="shared" si="33"/>
        <v>18</v>
      </c>
      <c r="AI332" s="21">
        <f>IFERROR(NETWORKDAYS(X332,Y332,Hoja1!$A$1:$A$29),"N/A")</f>
        <v>5</v>
      </c>
      <c r="AJ332" s="78">
        <v>0</v>
      </c>
      <c r="AK332" s="75">
        <f t="shared" si="37"/>
        <v>5</v>
      </c>
      <c r="AL332" s="21">
        <f>IFERROR(NETWORKDAYS(B332,Y332,Hoja1!$A$1:$A$29),"N/A")</f>
        <v>27</v>
      </c>
      <c r="AM332" s="21">
        <f t="shared" si="35"/>
        <v>22</v>
      </c>
      <c r="AN332" s="87"/>
      <c r="AO332" s="87"/>
      <c r="AP332" s="87"/>
      <c r="AQ332" s="87"/>
      <c r="AR332" s="87"/>
      <c r="AS332" s="87" t="s">
        <v>1911</v>
      </c>
      <c r="AT332" s="87" t="s">
        <v>1994</v>
      </c>
      <c r="AU332" s="87" t="s">
        <v>2210</v>
      </c>
      <c r="AV332" s="320" t="s">
        <v>2232</v>
      </c>
      <c r="AW332" s="403" t="s">
        <v>2918</v>
      </c>
      <c r="AY332" s="415"/>
    </row>
    <row r="333" spans="1:51" ht="15" customHeight="1" x14ac:dyDescent="0.25">
      <c r="A333" s="293">
        <v>15775</v>
      </c>
      <c r="B333" s="142">
        <v>46055</v>
      </c>
      <c r="C333" s="142">
        <v>46055</v>
      </c>
      <c r="D333" s="21">
        <v>1</v>
      </c>
      <c r="E333" s="87" t="s">
        <v>54</v>
      </c>
      <c r="F333" s="18" t="s">
        <v>55</v>
      </c>
      <c r="G333" s="3">
        <v>14</v>
      </c>
      <c r="H333" s="3" t="s">
        <v>112</v>
      </c>
      <c r="I333" s="30">
        <v>46087</v>
      </c>
      <c r="J333" s="30">
        <v>46087</v>
      </c>
      <c r="K333" s="3">
        <v>14</v>
      </c>
      <c r="L333" s="18" t="s">
        <v>55</v>
      </c>
      <c r="M333" s="18" t="s">
        <v>55</v>
      </c>
      <c r="N333" s="18" t="s">
        <v>55</v>
      </c>
      <c r="O333" s="18" t="s">
        <v>55</v>
      </c>
      <c r="P333" s="18" t="s">
        <v>55</v>
      </c>
      <c r="Q333" s="18" t="s">
        <v>55</v>
      </c>
      <c r="R333" s="18" t="s">
        <v>55</v>
      </c>
      <c r="S333" s="3">
        <v>2</v>
      </c>
      <c r="T333" s="3">
        <v>2</v>
      </c>
      <c r="U333" s="3">
        <v>0</v>
      </c>
      <c r="V333" s="28">
        <v>46094</v>
      </c>
      <c r="W333" s="28">
        <v>46094</v>
      </c>
      <c r="X333" s="28">
        <v>46094</v>
      </c>
      <c r="Y333" s="28">
        <v>46101</v>
      </c>
      <c r="Z333" s="140">
        <v>46106</v>
      </c>
      <c r="AA333" s="33">
        <f t="shared" si="36"/>
        <v>3</v>
      </c>
      <c r="AB333" s="144" t="s">
        <v>1025</v>
      </c>
      <c r="AC333" s="35" t="s">
        <v>1331</v>
      </c>
      <c r="AD333" s="19">
        <f t="shared" si="34"/>
        <v>1</v>
      </c>
      <c r="AE333" s="67">
        <f>IFERROR(NETWORKDAYS(B333,I333,Hoja1!$A$1:$A$29),"N/A")</f>
        <v>25</v>
      </c>
      <c r="AF333" s="21">
        <f>IFERROR(NETWORKDAYS(B333,W333,Hoja1!$A$1:$A$29),"N/A")</f>
        <v>30</v>
      </c>
      <c r="AG333" s="78">
        <v>2</v>
      </c>
      <c r="AH333" s="21">
        <f t="shared" si="33"/>
        <v>28</v>
      </c>
      <c r="AI333" s="21">
        <f>IFERROR(NETWORKDAYS(X333,Y333,Hoja1!$A$1:$A$29),"N/A")</f>
        <v>6</v>
      </c>
      <c r="AJ333" s="78">
        <v>0</v>
      </c>
      <c r="AK333" s="75">
        <f t="shared" si="37"/>
        <v>6</v>
      </c>
      <c r="AL333" s="21">
        <f>IFERROR(NETWORKDAYS(B333,Y333,Hoja1!$A$1:$A$29),"N/A")</f>
        <v>35</v>
      </c>
      <c r="AM333" s="21">
        <f t="shared" si="35"/>
        <v>33</v>
      </c>
      <c r="AN333" s="87"/>
      <c r="AO333" s="87"/>
      <c r="AP333" s="87"/>
      <c r="AQ333" s="87"/>
      <c r="AR333" s="87"/>
      <c r="AS333" s="87" t="s">
        <v>1923</v>
      </c>
      <c r="AT333" s="87" t="s">
        <v>2115</v>
      </c>
      <c r="AU333" s="87" t="s">
        <v>2215</v>
      </c>
      <c r="AV333" s="320" t="s">
        <v>2426</v>
      </c>
      <c r="AW333" s="403" t="s">
        <v>2919</v>
      </c>
      <c r="AY333" s="414"/>
    </row>
    <row r="334" spans="1:51" ht="15" customHeight="1" x14ac:dyDescent="0.25">
      <c r="A334" s="294">
        <v>15777</v>
      </c>
      <c r="B334" s="142">
        <v>46055</v>
      </c>
      <c r="C334" s="142">
        <v>46055</v>
      </c>
      <c r="D334" s="21">
        <v>1</v>
      </c>
      <c r="E334" s="87" t="s">
        <v>54</v>
      </c>
      <c r="F334" s="3" t="s">
        <v>55</v>
      </c>
      <c r="G334" s="3">
        <v>4</v>
      </c>
      <c r="H334" s="3" t="s">
        <v>112</v>
      </c>
      <c r="I334" s="73">
        <v>46057</v>
      </c>
      <c r="J334" s="73">
        <v>46057</v>
      </c>
      <c r="K334" s="3">
        <v>4</v>
      </c>
      <c r="L334" s="3" t="s">
        <v>55</v>
      </c>
      <c r="M334" s="3" t="s">
        <v>55</v>
      </c>
      <c r="N334" s="3" t="s">
        <v>55</v>
      </c>
      <c r="O334" s="3" t="s">
        <v>55</v>
      </c>
      <c r="P334" s="3" t="s">
        <v>55</v>
      </c>
      <c r="Q334" s="3" t="s">
        <v>55</v>
      </c>
      <c r="R334" s="3" t="s">
        <v>55</v>
      </c>
      <c r="S334" s="2">
        <v>4</v>
      </c>
      <c r="T334" s="2">
        <v>1</v>
      </c>
      <c r="U334" s="3">
        <v>0</v>
      </c>
      <c r="V334" s="28">
        <v>46064</v>
      </c>
      <c r="W334" s="28">
        <v>46071</v>
      </c>
      <c r="X334" s="28">
        <v>46076</v>
      </c>
      <c r="Y334" s="28">
        <v>46080</v>
      </c>
      <c r="Z334" s="37">
        <v>46083</v>
      </c>
      <c r="AA334" s="33">
        <f t="shared" si="36"/>
        <v>3</v>
      </c>
      <c r="AB334" s="144" t="s">
        <v>1028</v>
      </c>
      <c r="AC334" s="35" t="s">
        <v>1332</v>
      </c>
      <c r="AD334" s="19">
        <f t="shared" si="34"/>
        <v>1</v>
      </c>
      <c r="AE334" s="67">
        <f>IFERROR(NETWORKDAYS(B334,I334,Hoja1!$A$1:$A$29),"N/A")</f>
        <v>3</v>
      </c>
      <c r="AF334" s="21">
        <f>IFERROR(NETWORKDAYS(B334,W334,Hoja1!$A$1:$A$29),"N/A")</f>
        <v>13</v>
      </c>
      <c r="AG334" s="78">
        <v>0</v>
      </c>
      <c r="AH334" s="21">
        <f t="shared" si="33"/>
        <v>13</v>
      </c>
      <c r="AI334" s="21">
        <f>IFERROR(NETWORKDAYS(X334,Y334,Hoja1!$A$1:$A$29),"N/A")</f>
        <v>5</v>
      </c>
      <c r="AJ334" s="78">
        <v>0</v>
      </c>
      <c r="AK334" s="75">
        <f t="shared" si="37"/>
        <v>5</v>
      </c>
      <c r="AL334" s="21">
        <f>IFERROR(NETWORKDAYS(B334,Y334,Hoja1!$A$1:$A$29),"N/A")</f>
        <v>20</v>
      </c>
      <c r="AM334" s="21">
        <f t="shared" si="35"/>
        <v>20</v>
      </c>
      <c r="AN334" s="111"/>
      <c r="AO334" s="111"/>
      <c r="AP334" s="111"/>
      <c r="AQ334" s="111"/>
      <c r="AR334" s="111"/>
      <c r="AS334" s="111" t="s">
        <v>1962</v>
      </c>
      <c r="AT334" s="111" t="s">
        <v>1992</v>
      </c>
      <c r="AU334" s="111" t="s">
        <v>2219</v>
      </c>
      <c r="AV334" s="321" t="s">
        <v>2427</v>
      </c>
      <c r="AW334" s="403" t="s">
        <v>2920</v>
      </c>
      <c r="AY334" s="415"/>
    </row>
    <row r="335" spans="1:51" ht="15" customHeight="1" x14ac:dyDescent="0.25">
      <c r="A335" s="298">
        <v>15780</v>
      </c>
      <c r="B335" s="142">
        <v>46055</v>
      </c>
      <c r="C335" s="142">
        <v>46055</v>
      </c>
      <c r="D335" s="21">
        <v>1</v>
      </c>
      <c r="E335" s="87" t="s">
        <v>54</v>
      </c>
      <c r="F335" s="3" t="s">
        <v>55</v>
      </c>
      <c r="G335" s="3">
        <v>0</v>
      </c>
      <c r="H335" s="33"/>
      <c r="I335" s="116" t="s">
        <v>55</v>
      </c>
      <c r="J335" s="116" t="s">
        <v>55</v>
      </c>
      <c r="K335" s="3">
        <v>0</v>
      </c>
      <c r="L335" s="3" t="s">
        <v>55</v>
      </c>
      <c r="M335" s="3" t="s">
        <v>55</v>
      </c>
      <c r="N335" s="3" t="s">
        <v>55</v>
      </c>
      <c r="O335" s="3" t="s">
        <v>55</v>
      </c>
      <c r="P335" s="3" t="s">
        <v>55</v>
      </c>
      <c r="Q335" s="3" t="s">
        <v>55</v>
      </c>
      <c r="R335" s="3" t="s">
        <v>55</v>
      </c>
      <c r="S335" s="1">
        <v>0</v>
      </c>
      <c r="T335" s="1">
        <v>0</v>
      </c>
      <c r="U335" s="3">
        <v>0</v>
      </c>
      <c r="V335" s="16" t="s">
        <v>55</v>
      </c>
      <c r="W335" s="28">
        <v>46055</v>
      </c>
      <c r="X335" s="28">
        <v>46056</v>
      </c>
      <c r="Y335" s="28">
        <v>46083</v>
      </c>
      <c r="Z335" s="16">
        <v>46083</v>
      </c>
      <c r="AA335" s="33">
        <v>3</v>
      </c>
      <c r="AB335" s="144" t="s">
        <v>1029</v>
      </c>
      <c r="AC335" s="35" t="s">
        <v>1030</v>
      </c>
      <c r="AD335" s="19" t="str">
        <f t="shared" si="34"/>
        <v>N/A</v>
      </c>
      <c r="AE335" s="67" t="str">
        <f>IFERROR(NETWORKDAYS(B335,I335,Hoja1!$A$1:$A$29),"N/A")</f>
        <v>N/A</v>
      </c>
      <c r="AF335" s="21">
        <f>IFERROR(NETWORKDAYS(B335,W335,Hoja1!$A$1:$A$29),"N/A")</f>
        <v>1</v>
      </c>
      <c r="AG335" s="78">
        <v>0</v>
      </c>
      <c r="AH335" s="19" t="s">
        <v>82</v>
      </c>
      <c r="AI335" s="21">
        <f>IFERROR(NETWORKDAYS(X335,Y335,Hoja1!$A$1:$A$29),"N/A")</f>
        <v>20</v>
      </c>
      <c r="AJ335" s="78">
        <v>15</v>
      </c>
      <c r="AK335" s="75">
        <f t="shared" si="37"/>
        <v>5</v>
      </c>
      <c r="AL335" s="21">
        <f>IFERROR(NETWORKDAYS(B335,Y335,Hoja1!$A$1:$A$29),"N/A")</f>
        <v>21</v>
      </c>
      <c r="AM335" s="21">
        <f t="shared" si="35"/>
        <v>6</v>
      </c>
      <c r="AN335" s="114"/>
      <c r="AO335" s="114"/>
      <c r="AP335" s="114"/>
      <c r="AQ335" s="114"/>
      <c r="AR335" s="114"/>
      <c r="AS335" s="114" t="s">
        <v>1958</v>
      </c>
      <c r="AT335" s="114" t="s">
        <v>2116</v>
      </c>
      <c r="AU335" s="114" t="s">
        <v>2218</v>
      </c>
      <c r="AV335" s="322" t="s">
        <v>2250</v>
      </c>
      <c r="AW335" s="403" t="s">
        <v>2921</v>
      </c>
      <c r="AY335" s="414"/>
    </row>
    <row r="336" spans="1:51" ht="15" customHeight="1" x14ac:dyDescent="0.25">
      <c r="A336" s="296">
        <v>15783</v>
      </c>
      <c r="B336" s="142">
        <v>46056</v>
      </c>
      <c r="C336" s="142">
        <v>46055</v>
      </c>
      <c r="D336" s="21">
        <v>1</v>
      </c>
      <c r="E336" s="87" t="s">
        <v>54</v>
      </c>
      <c r="F336" s="3" t="s">
        <v>55</v>
      </c>
      <c r="G336" s="3">
        <v>3</v>
      </c>
      <c r="H336" s="3" t="s">
        <v>112</v>
      </c>
      <c r="I336" s="155">
        <v>46065</v>
      </c>
      <c r="J336" s="155">
        <v>46078</v>
      </c>
      <c r="K336" s="3">
        <v>3</v>
      </c>
      <c r="L336" s="30">
        <v>46058</v>
      </c>
      <c r="M336" s="30">
        <v>46059</v>
      </c>
      <c r="N336" s="30">
        <v>46065</v>
      </c>
      <c r="O336" s="3" t="s">
        <v>55</v>
      </c>
      <c r="P336" s="3" t="s">
        <v>55</v>
      </c>
      <c r="Q336" s="3" t="s">
        <v>55</v>
      </c>
      <c r="R336" s="37">
        <v>46078</v>
      </c>
      <c r="S336" s="3">
        <v>2</v>
      </c>
      <c r="T336" s="3">
        <v>2</v>
      </c>
      <c r="U336" s="3">
        <v>0</v>
      </c>
      <c r="V336" s="28">
        <v>46093</v>
      </c>
      <c r="W336" s="28">
        <v>46093</v>
      </c>
      <c r="X336" s="28">
        <v>46094</v>
      </c>
      <c r="Y336" s="28">
        <v>46100</v>
      </c>
      <c r="Z336" s="140">
        <v>46106</v>
      </c>
      <c r="AA336" s="33">
        <f t="shared" ref="AA336:AA369" si="38">MONTH(Z336)</f>
        <v>3</v>
      </c>
      <c r="AB336" s="144" t="s">
        <v>1032</v>
      </c>
      <c r="AC336" s="35" t="s">
        <v>1333</v>
      </c>
      <c r="AD336" s="19">
        <f t="shared" si="34"/>
        <v>1</v>
      </c>
      <c r="AE336" s="67">
        <f>IFERROR(NETWORKDAYS(B336,I336,Hoja1!$A$1:$A$29),"N/A")</f>
        <v>8</v>
      </c>
      <c r="AF336" s="21">
        <f>IFERROR(NETWORKDAYS(B336,W336,Hoja1!$A$1:$A$29),"N/A")</f>
        <v>28</v>
      </c>
      <c r="AG336" s="78">
        <v>5</v>
      </c>
      <c r="AH336" s="21">
        <f t="shared" ref="AH336:AH399" si="39">AF336-AG336</f>
        <v>23</v>
      </c>
      <c r="AI336" s="21">
        <f>IFERROR(NETWORKDAYS(X336,Y336,Hoja1!$A$1:$A$29),"N/A")</f>
        <v>5</v>
      </c>
      <c r="AJ336" s="78">
        <v>0</v>
      </c>
      <c r="AK336" s="75">
        <f t="shared" si="37"/>
        <v>5</v>
      </c>
      <c r="AL336" s="21">
        <f>IFERROR(NETWORKDAYS(B336,Y336,Hoja1!$A$1:$A$29),"N/A")</f>
        <v>33</v>
      </c>
      <c r="AM336" s="21">
        <f t="shared" si="35"/>
        <v>28</v>
      </c>
      <c r="AN336" s="46"/>
      <c r="AO336" s="87"/>
      <c r="AP336" s="87"/>
      <c r="AQ336" s="87"/>
      <c r="AR336" s="87"/>
      <c r="AS336" s="87" t="s">
        <v>1932</v>
      </c>
      <c r="AT336" s="87" t="s">
        <v>2117</v>
      </c>
      <c r="AU336" s="87" t="s">
        <v>2220</v>
      </c>
      <c r="AV336" s="320" t="s">
        <v>2428</v>
      </c>
      <c r="AW336" s="403" t="s">
        <v>2922</v>
      </c>
      <c r="AY336" s="415"/>
    </row>
    <row r="337" spans="1:51" ht="15" customHeight="1" x14ac:dyDescent="0.25">
      <c r="A337" s="295">
        <v>15784</v>
      </c>
      <c r="B337" s="142">
        <v>46064</v>
      </c>
      <c r="C337" s="142">
        <v>46055</v>
      </c>
      <c r="D337" s="21">
        <v>1</v>
      </c>
      <c r="E337" s="87" t="s">
        <v>54</v>
      </c>
      <c r="F337" s="2" t="s">
        <v>55</v>
      </c>
      <c r="G337" s="3">
        <v>0</v>
      </c>
      <c r="H337" s="33"/>
      <c r="I337" s="18" t="s">
        <v>55</v>
      </c>
      <c r="J337" s="18" t="s">
        <v>55</v>
      </c>
      <c r="K337" s="3">
        <v>0</v>
      </c>
      <c r="L337" s="18" t="s">
        <v>55</v>
      </c>
      <c r="M337" s="18" t="s">
        <v>55</v>
      </c>
      <c r="N337" s="18" t="s">
        <v>55</v>
      </c>
      <c r="O337" s="18" t="s">
        <v>55</v>
      </c>
      <c r="P337" s="18" t="s">
        <v>55</v>
      </c>
      <c r="Q337" s="18" t="s">
        <v>55</v>
      </c>
      <c r="R337" s="18" t="s">
        <v>55</v>
      </c>
      <c r="S337" s="3">
        <v>1</v>
      </c>
      <c r="T337" s="3">
        <v>1</v>
      </c>
      <c r="U337" s="3">
        <v>0</v>
      </c>
      <c r="V337" s="148">
        <v>46076</v>
      </c>
      <c r="W337" s="148">
        <v>46076</v>
      </c>
      <c r="X337" s="148">
        <v>46076</v>
      </c>
      <c r="Y337" s="28">
        <v>46080</v>
      </c>
      <c r="Z337" s="38">
        <v>46083</v>
      </c>
      <c r="AA337" s="33">
        <f t="shared" si="38"/>
        <v>3</v>
      </c>
      <c r="AB337" s="144" t="s">
        <v>1034</v>
      </c>
      <c r="AC337" s="35" t="s">
        <v>1035</v>
      </c>
      <c r="AD337" s="19" t="str">
        <f t="shared" si="34"/>
        <v>N/A</v>
      </c>
      <c r="AE337" s="67" t="str">
        <f>IFERROR(NETWORKDAYS(B337,I337,Hoja1!$A$1:$A$29),"N/A")</f>
        <v>N/A</v>
      </c>
      <c r="AF337" s="21">
        <f>IFERROR(NETWORKDAYS(B337,W337,Hoja1!$A$1:$A$29),"N/A")</f>
        <v>9</v>
      </c>
      <c r="AG337" s="78">
        <v>0</v>
      </c>
      <c r="AH337" s="21">
        <f t="shared" si="39"/>
        <v>9</v>
      </c>
      <c r="AI337" s="21">
        <f>IFERROR(NETWORKDAYS(X337,Y337,Hoja1!$A$1:$A$29),"N/A")</f>
        <v>5</v>
      </c>
      <c r="AJ337" s="78">
        <v>0</v>
      </c>
      <c r="AK337" s="75">
        <f t="shared" si="37"/>
        <v>5</v>
      </c>
      <c r="AL337" s="21">
        <f>IFERROR(NETWORKDAYS(B337,Y337,Hoja1!$A$1:$A$29),"N/A")</f>
        <v>13</v>
      </c>
      <c r="AM337" s="21">
        <f t="shared" si="35"/>
        <v>13</v>
      </c>
      <c r="AN337" s="87" t="s">
        <v>454</v>
      </c>
      <c r="AO337" s="87"/>
      <c r="AP337" s="87"/>
      <c r="AQ337" s="87"/>
      <c r="AR337" s="87"/>
      <c r="AS337" s="87" t="s">
        <v>1888</v>
      </c>
      <c r="AT337" s="87" t="s">
        <v>2062</v>
      </c>
      <c r="AU337" s="87" t="s">
        <v>2211</v>
      </c>
      <c r="AV337" s="320" t="s">
        <v>2411</v>
      </c>
      <c r="AW337" s="403" t="s">
        <v>2923</v>
      </c>
      <c r="AY337" s="414"/>
    </row>
    <row r="338" spans="1:51" ht="15" customHeight="1" x14ac:dyDescent="0.25">
      <c r="A338" s="295">
        <v>15785</v>
      </c>
      <c r="B338" s="142">
        <v>46055</v>
      </c>
      <c r="C338" s="142">
        <v>46055</v>
      </c>
      <c r="D338" s="21">
        <v>1</v>
      </c>
      <c r="E338" s="87" t="s">
        <v>54</v>
      </c>
      <c r="F338" s="18" t="s">
        <v>55</v>
      </c>
      <c r="G338" s="3">
        <v>0</v>
      </c>
      <c r="H338" s="33"/>
      <c r="I338" s="2" t="s">
        <v>55</v>
      </c>
      <c r="J338" s="2" t="s">
        <v>55</v>
      </c>
      <c r="K338" s="3">
        <v>0</v>
      </c>
      <c r="L338" s="18" t="s">
        <v>55</v>
      </c>
      <c r="M338" s="18" t="s">
        <v>55</v>
      </c>
      <c r="N338" s="18" t="s">
        <v>55</v>
      </c>
      <c r="O338" s="18" t="s">
        <v>55</v>
      </c>
      <c r="P338" s="18" t="s">
        <v>55</v>
      </c>
      <c r="Q338" s="18" t="s">
        <v>55</v>
      </c>
      <c r="R338" s="18" t="s">
        <v>55</v>
      </c>
      <c r="S338" s="3">
        <v>1</v>
      </c>
      <c r="T338" s="3">
        <v>1</v>
      </c>
      <c r="U338" s="3">
        <v>0</v>
      </c>
      <c r="V338" s="148">
        <v>46076</v>
      </c>
      <c r="W338" s="148">
        <v>46076</v>
      </c>
      <c r="X338" s="148">
        <v>46076</v>
      </c>
      <c r="Y338" s="28">
        <v>46080</v>
      </c>
      <c r="Z338" s="38">
        <v>46083</v>
      </c>
      <c r="AA338" s="33">
        <f t="shared" si="38"/>
        <v>3</v>
      </c>
      <c r="AB338" s="144" t="s">
        <v>1036</v>
      </c>
      <c r="AC338" s="35" t="s">
        <v>1037</v>
      </c>
      <c r="AD338" s="19" t="str">
        <f t="shared" si="34"/>
        <v>N/A</v>
      </c>
      <c r="AE338" s="67" t="str">
        <f>IFERROR(NETWORKDAYS(B338,I338,Hoja1!$A$1:$A$29),"N/A")</f>
        <v>N/A</v>
      </c>
      <c r="AF338" s="21">
        <f>IFERROR(NETWORKDAYS(B338,W338,Hoja1!$A$1:$A$29),"N/A")</f>
        <v>16</v>
      </c>
      <c r="AG338" s="78">
        <v>6</v>
      </c>
      <c r="AH338" s="21">
        <f t="shared" si="39"/>
        <v>10</v>
      </c>
      <c r="AI338" s="21">
        <f>IFERROR(NETWORKDAYS(X338,Y338,Hoja1!$A$1:$A$29),"N/A")</f>
        <v>5</v>
      </c>
      <c r="AJ338" s="78">
        <v>0</v>
      </c>
      <c r="AK338" s="75">
        <f t="shared" si="37"/>
        <v>5</v>
      </c>
      <c r="AL338" s="21">
        <f>IFERROR(NETWORKDAYS(B338,Y338,Hoja1!$A$1:$A$29),"N/A")</f>
        <v>20</v>
      </c>
      <c r="AM338" s="21">
        <f t="shared" si="35"/>
        <v>14</v>
      </c>
      <c r="AN338" s="87"/>
      <c r="AO338" s="87"/>
      <c r="AP338" s="87"/>
      <c r="AQ338" s="87"/>
      <c r="AR338" s="87"/>
      <c r="AS338" s="87" t="s">
        <v>1888</v>
      </c>
      <c r="AT338" s="87" t="s">
        <v>2062</v>
      </c>
      <c r="AU338" s="87" t="s">
        <v>2211</v>
      </c>
      <c r="AV338" s="320" t="s">
        <v>2429</v>
      </c>
      <c r="AW338" s="403" t="s">
        <v>2924</v>
      </c>
      <c r="AY338" s="415"/>
    </row>
    <row r="339" spans="1:51" ht="15" customHeight="1" x14ac:dyDescent="0.25">
      <c r="A339" s="293">
        <v>15788</v>
      </c>
      <c r="B339" s="142">
        <v>46056</v>
      </c>
      <c r="C339" s="142">
        <v>46056</v>
      </c>
      <c r="D339" s="21">
        <v>1</v>
      </c>
      <c r="E339" s="87" t="s">
        <v>54</v>
      </c>
      <c r="F339" s="18" t="s">
        <v>55</v>
      </c>
      <c r="G339" s="18">
        <v>0</v>
      </c>
      <c r="H339" s="33"/>
      <c r="I339" s="18" t="s">
        <v>55</v>
      </c>
      <c r="J339" s="18" t="s">
        <v>55</v>
      </c>
      <c r="K339" s="18">
        <v>0</v>
      </c>
      <c r="L339" s="18" t="s">
        <v>55</v>
      </c>
      <c r="M339" s="18" t="s">
        <v>55</v>
      </c>
      <c r="N339" s="18" t="s">
        <v>55</v>
      </c>
      <c r="O339" s="18" t="s">
        <v>55</v>
      </c>
      <c r="P339" s="18" t="s">
        <v>55</v>
      </c>
      <c r="Q339" s="18" t="s">
        <v>55</v>
      </c>
      <c r="R339" s="18" t="s">
        <v>55</v>
      </c>
      <c r="S339" s="3">
        <v>1</v>
      </c>
      <c r="T339" s="3">
        <v>1</v>
      </c>
      <c r="U339" s="3">
        <v>0</v>
      </c>
      <c r="V339" s="30">
        <v>46063</v>
      </c>
      <c r="W339" s="28">
        <v>46065</v>
      </c>
      <c r="X339" s="28">
        <v>46065</v>
      </c>
      <c r="Y339" s="28">
        <v>46073</v>
      </c>
      <c r="Z339" s="37">
        <v>46083</v>
      </c>
      <c r="AA339" s="33">
        <f t="shared" si="38"/>
        <v>3</v>
      </c>
      <c r="AB339" s="144" t="s">
        <v>1039</v>
      </c>
      <c r="AC339" s="35" t="s">
        <v>1334</v>
      </c>
      <c r="AD339" s="19" t="str">
        <f t="shared" si="34"/>
        <v>N/A</v>
      </c>
      <c r="AE339" s="67" t="str">
        <f>IFERROR(NETWORKDAYS(B339,I339,Hoja1!$A$1:$A$29),"N/A")</f>
        <v>N/A</v>
      </c>
      <c r="AF339" s="21">
        <f>IFERROR(NETWORKDAYS(B339,W339,Hoja1!$A$1:$A$29),"N/A")</f>
        <v>8</v>
      </c>
      <c r="AG339" s="78">
        <v>0</v>
      </c>
      <c r="AH339" s="21">
        <f t="shared" si="39"/>
        <v>8</v>
      </c>
      <c r="AI339" s="21">
        <f>IFERROR(NETWORKDAYS(X339,Y339,Hoja1!$A$1:$A$29),"N/A")</f>
        <v>7</v>
      </c>
      <c r="AJ339" s="78">
        <v>0</v>
      </c>
      <c r="AK339" s="75">
        <f t="shared" si="37"/>
        <v>7</v>
      </c>
      <c r="AL339" s="21">
        <f>IFERROR(NETWORKDAYS(B339,Y339,Hoja1!$A$1:$A$29),"N/A")</f>
        <v>14</v>
      </c>
      <c r="AM339" s="21">
        <f t="shared" si="35"/>
        <v>14</v>
      </c>
      <c r="AN339" s="87"/>
      <c r="AO339" s="87"/>
      <c r="AP339" s="87"/>
      <c r="AQ339" s="87"/>
      <c r="AR339" s="87"/>
      <c r="AS339" s="87" t="s">
        <v>1917</v>
      </c>
      <c r="AT339" s="87" t="s">
        <v>2062</v>
      </c>
      <c r="AU339" s="87" t="s">
        <v>2215</v>
      </c>
      <c r="AV339" s="320" t="s">
        <v>2430</v>
      </c>
      <c r="AW339" s="403" t="s">
        <v>2925</v>
      </c>
      <c r="AY339" s="414"/>
    </row>
    <row r="340" spans="1:51" ht="15" customHeight="1" x14ac:dyDescent="0.25">
      <c r="A340" s="295">
        <v>15792</v>
      </c>
      <c r="B340" s="142">
        <v>46056</v>
      </c>
      <c r="C340" s="142">
        <v>46056</v>
      </c>
      <c r="D340" s="21">
        <v>1</v>
      </c>
      <c r="E340" s="87" t="s">
        <v>54</v>
      </c>
      <c r="F340" s="3" t="s">
        <v>55</v>
      </c>
      <c r="G340" s="3">
        <v>16</v>
      </c>
      <c r="H340" s="33" t="s">
        <v>56</v>
      </c>
      <c r="I340" s="30">
        <v>46084</v>
      </c>
      <c r="J340" s="30">
        <v>46084</v>
      </c>
      <c r="K340" s="3">
        <v>16</v>
      </c>
      <c r="L340" s="3" t="s">
        <v>55</v>
      </c>
      <c r="M340" s="3" t="s">
        <v>55</v>
      </c>
      <c r="N340" s="3" t="s">
        <v>55</v>
      </c>
      <c r="O340" s="3" t="s">
        <v>55</v>
      </c>
      <c r="P340" s="3" t="s">
        <v>55</v>
      </c>
      <c r="Q340" s="3" t="s">
        <v>55</v>
      </c>
      <c r="R340" s="18" t="s">
        <v>55</v>
      </c>
      <c r="S340" s="3">
        <v>3</v>
      </c>
      <c r="T340" s="3">
        <v>3</v>
      </c>
      <c r="U340" s="3">
        <v>0</v>
      </c>
      <c r="V340" s="30">
        <v>46091</v>
      </c>
      <c r="W340" s="28">
        <v>46091</v>
      </c>
      <c r="X340" s="28">
        <v>46091</v>
      </c>
      <c r="Y340" s="28">
        <v>46100</v>
      </c>
      <c r="Z340" s="30">
        <v>46100</v>
      </c>
      <c r="AA340" s="33">
        <f t="shared" si="38"/>
        <v>3</v>
      </c>
      <c r="AB340" s="144" t="s">
        <v>1040</v>
      </c>
      <c r="AC340" s="35" t="s">
        <v>1041</v>
      </c>
      <c r="AD340" s="19">
        <f t="shared" si="34"/>
        <v>1</v>
      </c>
      <c r="AE340" s="67">
        <f>IFERROR(NETWORKDAYS(B340,I340,Hoja1!$A$1:$A$29),"N/A")</f>
        <v>21</v>
      </c>
      <c r="AF340" s="21">
        <f>IFERROR(NETWORKDAYS(B340,W340,Hoja1!$A$1:$A$29),"N/A")</f>
        <v>26</v>
      </c>
      <c r="AG340" s="78">
        <v>7</v>
      </c>
      <c r="AH340" s="21">
        <f t="shared" si="39"/>
        <v>19</v>
      </c>
      <c r="AI340" s="21">
        <f>IFERROR(NETWORKDAYS(X340,Y340,Hoja1!$A$1:$A$29),"N/A")</f>
        <v>8</v>
      </c>
      <c r="AJ340" s="78">
        <v>3</v>
      </c>
      <c r="AK340" s="75">
        <f t="shared" si="37"/>
        <v>5</v>
      </c>
      <c r="AL340" s="21">
        <f>IFERROR(NETWORKDAYS(B340,Y340,Hoja1!$A$1:$A$29),"N/A")</f>
        <v>33</v>
      </c>
      <c r="AM340" s="21">
        <f t="shared" si="35"/>
        <v>23</v>
      </c>
      <c r="AN340" s="87"/>
      <c r="AO340" s="87"/>
      <c r="AP340" s="87"/>
      <c r="AQ340" s="87"/>
      <c r="AR340" s="87"/>
      <c r="AS340" s="87" t="s">
        <v>1913</v>
      </c>
      <c r="AT340" s="87" t="s">
        <v>2095</v>
      </c>
      <c r="AU340" s="87" t="s">
        <v>2209</v>
      </c>
      <c r="AV340" s="320" t="s">
        <v>2431</v>
      </c>
      <c r="AW340" s="403" t="s">
        <v>2926</v>
      </c>
      <c r="AY340" s="415"/>
    </row>
    <row r="341" spans="1:51" ht="15" customHeight="1" x14ac:dyDescent="0.25">
      <c r="A341" s="294">
        <v>15796</v>
      </c>
      <c r="B341" s="142">
        <v>46085</v>
      </c>
      <c r="C341" s="142">
        <v>46057</v>
      </c>
      <c r="D341" s="21">
        <v>1</v>
      </c>
      <c r="E341" s="87" t="s">
        <v>54</v>
      </c>
      <c r="F341" s="3" t="s">
        <v>55</v>
      </c>
      <c r="G341" s="3">
        <v>3</v>
      </c>
      <c r="H341" s="3" t="s">
        <v>112</v>
      </c>
      <c r="I341" s="73">
        <v>46090</v>
      </c>
      <c r="J341" s="73">
        <v>46090</v>
      </c>
      <c r="K341" s="3">
        <v>3</v>
      </c>
      <c r="L341" s="3" t="s">
        <v>55</v>
      </c>
      <c r="M341" s="3" t="s">
        <v>55</v>
      </c>
      <c r="N341" s="3" t="s">
        <v>55</v>
      </c>
      <c r="O341" s="3" t="s">
        <v>55</v>
      </c>
      <c r="P341" s="3" t="s">
        <v>55</v>
      </c>
      <c r="Q341" s="3" t="s">
        <v>55</v>
      </c>
      <c r="R341" s="3" t="s">
        <v>55</v>
      </c>
      <c r="S341" s="2">
        <v>3</v>
      </c>
      <c r="T341" s="2">
        <v>1</v>
      </c>
      <c r="U341" s="3">
        <v>0</v>
      </c>
      <c r="V341" s="30">
        <v>46097</v>
      </c>
      <c r="W341" s="30">
        <v>46097</v>
      </c>
      <c r="X341" s="30">
        <v>46097</v>
      </c>
      <c r="Y341" s="28">
        <v>46101</v>
      </c>
      <c r="Z341" s="140">
        <v>46106</v>
      </c>
      <c r="AA341" s="33">
        <f t="shared" si="38"/>
        <v>3</v>
      </c>
      <c r="AB341" s="144" t="s">
        <v>1043</v>
      </c>
      <c r="AC341" s="146" t="s">
        <v>1335</v>
      </c>
      <c r="AD341" s="19">
        <f t="shared" si="34"/>
        <v>1</v>
      </c>
      <c r="AE341" s="67">
        <f>IFERROR(NETWORKDAYS(B341,I341,Hoja1!$A$1:$A$29),"N/A")</f>
        <v>4</v>
      </c>
      <c r="AF341" s="21">
        <f>IFERROR(NETWORKDAYS(B341,W341,Hoja1!$A$1:$A$29),"N/A")</f>
        <v>9</v>
      </c>
      <c r="AG341" s="78">
        <v>0</v>
      </c>
      <c r="AH341" s="21">
        <f t="shared" si="39"/>
        <v>9</v>
      </c>
      <c r="AI341" s="21">
        <f>IFERROR(NETWORKDAYS(X341,Y341,Hoja1!$A$1:$A$29),"N/A")</f>
        <v>5</v>
      </c>
      <c r="AJ341" s="78">
        <v>0</v>
      </c>
      <c r="AK341" s="75">
        <f t="shared" si="37"/>
        <v>5</v>
      </c>
      <c r="AL341" s="21">
        <f>IFERROR(NETWORKDAYS(B341,Y341,Hoja1!$A$1:$A$29),"N/A")</f>
        <v>13</v>
      </c>
      <c r="AM341" s="21">
        <f t="shared" si="35"/>
        <v>13</v>
      </c>
      <c r="AN341" s="87" t="s">
        <v>871</v>
      </c>
      <c r="AO341" s="87"/>
      <c r="AP341" s="87"/>
      <c r="AQ341" s="87"/>
      <c r="AR341" s="87"/>
      <c r="AS341" s="87" t="s">
        <v>1890</v>
      </c>
      <c r="AT341" s="87" t="s">
        <v>2020</v>
      </c>
      <c r="AU341" s="87" t="s">
        <v>2216</v>
      </c>
      <c r="AV341" s="320" t="s">
        <v>2432</v>
      </c>
      <c r="AW341" s="403" t="s">
        <v>2927</v>
      </c>
      <c r="AY341" s="414"/>
    </row>
    <row r="342" spans="1:51" ht="15" customHeight="1" x14ac:dyDescent="0.25">
      <c r="A342" s="295">
        <v>15800</v>
      </c>
      <c r="B342" s="142">
        <v>46058</v>
      </c>
      <c r="C342" s="142">
        <v>46058</v>
      </c>
      <c r="D342" s="21">
        <v>1</v>
      </c>
      <c r="E342" s="87" t="s">
        <v>54</v>
      </c>
      <c r="F342" s="2" t="s">
        <v>55</v>
      </c>
      <c r="G342" s="151">
        <v>0</v>
      </c>
      <c r="H342" s="33"/>
      <c r="I342" s="2" t="s">
        <v>55</v>
      </c>
      <c r="J342" s="2" t="s">
        <v>55</v>
      </c>
      <c r="K342" s="2">
        <v>0</v>
      </c>
      <c r="L342" s="2" t="s">
        <v>55</v>
      </c>
      <c r="M342" s="2" t="s">
        <v>55</v>
      </c>
      <c r="N342" s="2" t="s">
        <v>55</v>
      </c>
      <c r="O342" s="2" t="s">
        <v>55</v>
      </c>
      <c r="P342" s="2" t="s">
        <v>55</v>
      </c>
      <c r="Q342" s="2" t="s">
        <v>55</v>
      </c>
      <c r="R342" s="2" t="s">
        <v>55</v>
      </c>
      <c r="S342" s="151">
        <v>1</v>
      </c>
      <c r="T342" s="151">
        <v>1</v>
      </c>
      <c r="U342" s="2">
        <v>0</v>
      </c>
      <c r="V342" s="104">
        <v>46069</v>
      </c>
      <c r="W342" s="104">
        <v>46069</v>
      </c>
      <c r="X342" s="104">
        <v>46069</v>
      </c>
      <c r="Y342" s="28">
        <v>46079</v>
      </c>
      <c r="Z342" s="37">
        <v>46083</v>
      </c>
      <c r="AA342" s="33">
        <f t="shared" si="38"/>
        <v>3</v>
      </c>
      <c r="AB342" s="144" t="s">
        <v>1045</v>
      </c>
      <c r="AC342" s="35" t="s">
        <v>1046</v>
      </c>
      <c r="AD342" s="19" t="str">
        <f t="shared" si="34"/>
        <v>N/A</v>
      </c>
      <c r="AE342" s="67" t="str">
        <f>IFERROR(NETWORKDAYS(B342,I342,Hoja1!$A$1:$A$29),"N/A")</f>
        <v>N/A</v>
      </c>
      <c r="AF342" s="21">
        <f>IFERROR(NETWORKDAYS(B342,W342,Hoja1!$A$1:$A$29),"N/A")</f>
        <v>8</v>
      </c>
      <c r="AG342" s="78">
        <v>2</v>
      </c>
      <c r="AH342" s="21">
        <f t="shared" si="39"/>
        <v>6</v>
      </c>
      <c r="AI342" s="21">
        <f>IFERROR(NETWORKDAYS(X342,Y342,Hoja1!$A$1:$A$29),"N/A")</f>
        <v>9</v>
      </c>
      <c r="AJ342" s="78">
        <v>5</v>
      </c>
      <c r="AK342" s="75">
        <f t="shared" si="37"/>
        <v>4</v>
      </c>
      <c r="AL342" s="21">
        <f>IFERROR(NETWORKDAYS(B342,Y342,Hoja1!$A$1:$A$29),"N/A")</f>
        <v>16</v>
      </c>
      <c r="AM342" s="21">
        <f t="shared" si="35"/>
        <v>9</v>
      </c>
      <c r="AN342" s="152"/>
      <c r="AO342" s="152"/>
      <c r="AP342" s="152"/>
      <c r="AQ342" s="152"/>
      <c r="AR342" s="152"/>
      <c r="AS342" s="152" t="s">
        <v>1901</v>
      </c>
      <c r="AT342" s="152" t="s">
        <v>2077</v>
      </c>
      <c r="AU342" s="152" t="s">
        <v>2217</v>
      </c>
      <c r="AV342" s="323" t="s">
        <v>2433</v>
      </c>
      <c r="AW342" s="403" t="s">
        <v>2928</v>
      </c>
      <c r="AY342" s="415"/>
    </row>
    <row r="343" spans="1:51" ht="15" customHeight="1" x14ac:dyDescent="0.25">
      <c r="A343" s="294">
        <v>15802</v>
      </c>
      <c r="B343" s="142">
        <v>46057</v>
      </c>
      <c r="C343" s="142">
        <v>46057</v>
      </c>
      <c r="D343" s="21">
        <v>1</v>
      </c>
      <c r="E343" s="87" t="s">
        <v>54</v>
      </c>
      <c r="F343" s="3" t="s">
        <v>55</v>
      </c>
      <c r="G343" s="3">
        <v>1</v>
      </c>
      <c r="H343" s="3" t="s">
        <v>112</v>
      </c>
      <c r="I343" s="153">
        <v>46063</v>
      </c>
      <c r="J343" s="153">
        <v>46073</v>
      </c>
      <c r="K343" s="3">
        <v>1</v>
      </c>
      <c r="L343" s="3" t="s">
        <v>55</v>
      </c>
      <c r="M343" s="3" t="s">
        <v>55</v>
      </c>
      <c r="N343" s="3" t="s">
        <v>55</v>
      </c>
      <c r="O343" s="3" t="s">
        <v>55</v>
      </c>
      <c r="P343" s="3" t="s">
        <v>55</v>
      </c>
      <c r="Q343" s="3" t="s">
        <v>55</v>
      </c>
      <c r="R343" s="3" t="s">
        <v>55</v>
      </c>
      <c r="S343" s="2">
        <v>1</v>
      </c>
      <c r="T343" s="2">
        <v>1</v>
      </c>
      <c r="U343" s="3">
        <v>0</v>
      </c>
      <c r="V343" s="104">
        <v>46076</v>
      </c>
      <c r="W343" s="104">
        <v>46076</v>
      </c>
      <c r="X343" s="104">
        <v>46076</v>
      </c>
      <c r="Y343" s="28">
        <v>46080</v>
      </c>
      <c r="Z343" s="37">
        <v>46083</v>
      </c>
      <c r="AA343" s="33">
        <f t="shared" si="38"/>
        <v>3</v>
      </c>
      <c r="AB343" s="144" t="s">
        <v>1048</v>
      </c>
      <c r="AC343" s="35" t="s">
        <v>1336</v>
      </c>
      <c r="AD343" s="19">
        <f t="shared" si="34"/>
        <v>1</v>
      </c>
      <c r="AE343" s="67">
        <f>IFERROR(NETWORKDAYS(B343,I343,Hoja1!$A$1:$A$29),"N/A")</f>
        <v>5</v>
      </c>
      <c r="AF343" s="21">
        <f>IFERROR(NETWORKDAYS(B343,W343,Hoja1!$A$1:$A$29),"N/A")</f>
        <v>14</v>
      </c>
      <c r="AG343" s="78">
        <v>0</v>
      </c>
      <c r="AH343" s="21">
        <f t="shared" si="39"/>
        <v>14</v>
      </c>
      <c r="AI343" s="21">
        <f>IFERROR(NETWORKDAYS(X343,Y343,Hoja1!$A$1:$A$29),"N/A")</f>
        <v>5</v>
      </c>
      <c r="AJ343" s="78">
        <v>0</v>
      </c>
      <c r="AK343" s="75">
        <f t="shared" si="37"/>
        <v>5</v>
      </c>
      <c r="AL343" s="21">
        <f>IFERROR(NETWORKDAYS(B343,Y343,Hoja1!$A$1:$A$29),"N/A")</f>
        <v>18</v>
      </c>
      <c r="AM343" s="21">
        <f t="shared" si="35"/>
        <v>18</v>
      </c>
      <c r="AN343" s="46"/>
      <c r="AO343" s="111"/>
      <c r="AP343" s="111"/>
      <c r="AQ343" s="111"/>
      <c r="AR343" s="111"/>
      <c r="AS343" s="111" t="s">
        <v>1963</v>
      </c>
      <c r="AT343" s="111" t="s">
        <v>1994</v>
      </c>
      <c r="AU343" s="111" t="s">
        <v>2218</v>
      </c>
      <c r="AV343" s="321" t="s">
        <v>2239</v>
      </c>
      <c r="AW343" s="403" t="s">
        <v>2929</v>
      </c>
      <c r="AY343" s="414"/>
    </row>
    <row r="344" spans="1:51" ht="15" customHeight="1" x14ac:dyDescent="0.25">
      <c r="A344" s="307">
        <v>15803</v>
      </c>
      <c r="B344" s="174">
        <v>46065</v>
      </c>
      <c r="C344" s="174">
        <v>46054</v>
      </c>
      <c r="D344" s="66">
        <v>1</v>
      </c>
      <c r="E344" s="184" t="s">
        <v>54</v>
      </c>
      <c r="F344" s="137" t="s">
        <v>55</v>
      </c>
      <c r="G344" s="230">
        <v>6</v>
      </c>
      <c r="H344" s="99"/>
      <c r="I344" s="137" t="s">
        <v>55</v>
      </c>
      <c r="J344" s="137" t="s">
        <v>55</v>
      </c>
      <c r="K344" s="137">
        <v>3</v>
      </c>
      <c r="L344" s="137" t="s">
        <v>55</v>
      </c>
      <c r="M344" s="137" t="s">
        <v>55</v>
      </c>
      <c r="N344" s="137" t="s">
        <v>55</v>
      </c>
      <c r="O344" s="137" t="s">
        <v>55</v>
      </c>
      <c r="P344" s="137" t="s">
        <v>55</v>
      </c>
      <c r="Q344" s="137" t="s">
        <v>55</v>
      </c>
      <c r="R344" s="137" t="s">
        <v>55</v>
      </c>
      <c r="S344" s="230">
        <v>2</v>
      </c>
      <c r="T344" s="230">
        <v>2</v>
      </c>
      <c r="U344" s="137">
        <v>0</v>
      </c>
      <c r="V344" s="178">
        <v>46079</v>
      </c>
      <c r="W344" s="178">
        <v>46080</v>
      </c>
      <c r="X344" s="178">
        <v>46080</v>
      </c>
      <c r="Y344" s="178">
        <v>46091</v>
      </c>
      <c r="Z344" s="231">
        <v>46093</v>
      </c>
      <c r="AA344" s="99">
        <f t="shared" si="38"/>
        <v>3</v>
      </c>
      <c r="AB344" s="227" t="s">
        <v>1049</v>
      </c>
      <c r="AC344" s="97" t="s">
        <v>1050</v>
      </c>
      <c r="AD344" s="19">
        <f t="shared" si="34"/>
        <v>0.5</v>
      </c>
      <c r="AE344" s="67" t="str">
        <f>IFERROR(NETWORKDAYS(B344,I344,Hoja1!$A$1:$A$29),"N/A")</f>
        <v>N/A</v>
      </c>
      <c r="AF344" s="21">
        <f>IFERROR(NETWORKDAYS(B344,W344,Hoja1!$A$1:$A$29),"N/A")</f>
        <v>12</v>
      </c>
      <c r="AG344" s="273">
        <v>0</v>
      </c>
      <c r="AH344" s="66">
        <f t="shared" si="39"/>
        <v>12</v>
      </c>
      <c r="AI344" s="21">
        <f>IFERROR(NETWORKDAYS(X344,Y344,Hoja1!$A$1:$A$29),"N/A")</f>
        <v>8</v>
      </c>
      <c r="AJ344" s="65">
        <v>4</v>
      </c>
      <c r="AK344" s="68">
        <f t="shared" si="37"/>
        <v>4</v>
      </c>
      <c r="AL344" s="21">
        <f>IFERROR(NETWORKDAYS(B344,Y344,Hoja1!$A$1:$A$29),"N/A")</f>
        <v>19</v>
      </c>
      <c r="AM344" s="66">
        <f t="shared" si="35"/>
        <v>15</v>
      </c>
      <c r="AN344" s="184" t="s">
        <v>871</v>
      </c>
      <c r="AO344" s="173"/>
      <c r="AP344" s="173"/>
      <c r="AQ344" s="173"/>
      <c r="AR344" s="173"/>
      <c r="AS344" s="173" t="s">
        <v>1946</v>
      </c>
      <c r="AT344" s="173" t="s">
        <v>2118</v>
      </c>
      <c r="AU344" s="173" t="s">
        <v>2217</v>
      </c>
      <c r="AV344" s="327" t="s">
        <v>2434</v>
      </c>
      <c r="AW344" s="403" t="s">
        <v>2930</v>
      </c>
      <c r="AY344" s="415"/>
    </row>
    <row r="345" spans="1:51" ht="15" customHeight="1" x14ac:dyDescent="0.25">
      <c r="A345" s="295">
        <v>15804</v>
      </c>
      <c r="B345" s="142">
        <v>46079</v>
      </c>
      <c r="C345" s="142">
        <v>46058</v>
      </c>
      <c r="D345" s="21">
        <v>1</v>
      </c>
      <c r="E345" s="87" t="s">
        <v>54</v>
      </c>
      <c r="F345" s="2" t="s">
        <v>55</v>
      </c>
      <c r="G345" s="151">
        <v>3</v>
      </c>
      <c r="H345" s="33"/>
      <c r="I345" s="2" t="s">
        <v>55</v>
      </c>
      <c r="J345" s="2" t="s">
        <v>55</v>
      </c>
      <c r="K345" s="2">
        <v>3</v>
      </c>
      <c r="L345" s="2" t="s">
        <v>55</v>
      </c>
      <c r="M345" s="2" t="s">
        <v>55</v>
      </c>
      <c r="N345" s="2" t="s">
        <v>55</v>
      </c>
      <c r="O345" s="2" t="s">
        <v>55</v>
      </c>
      <c r="P345" s="2" t="s">
        <v>55</v>
      </c>
      <c r="Q345" s="2" t="s">
        <v>55</v>
      </c>
      <c r="R345" s="2" t="s">
        <v>55</v>
      </c>
      <c r="S345" s="151">
        <v>2</v>
      </c>
      <c r="T345" s="151">
        <v>2</v>
      </c>
      <c r="U345" s="2">
        <v>0</v>
      </c>
      <c r="V345" s="104">
        <v>46086</v>
      </c>
      <c r="W345" s="104">
        <v>46086</v>
      </c>
      <c r="X345" s="104">
        <v>46086</v>
      </c>
      <c r="Y345" s="28">
        <v>46092</v>
      </c>
      <c r="Z345" s="28">
        <v>46093</v>
      </c>
      <c r="AA345" s="33">
        <f t="shared" si="38"/>
        <v>3</v>
      </c>
      <c r="AB345" s="144" t="s">
        <v>1052</v>
      </c>
      <c r="AC345" s="35" t="s">
        <v>1337</v>
      </c>
      <c r="AD345" s="19">
        <f t="shared" si="34"/>
        <v>1</v>
      </c>
      <c r="AE345" s="67" t="str">
        <f>IFERROR(NETWORKDAYS(B345,I345,Hoja1!$A$1:$A$29),"N/A")</f>
        <v>N/A</v>
      </c>
      <c r="AF345" s="21">
        <f>IFERROR(NETWORKDAYS(B345,W345,Hoja1!$A$1:$A$29),"N/A")</f>
        <v>6</v>
      </c>
      <c r="AG345" s="272">
        <v>0</v>
      </c>
      <c r="AH345" s="21">
        <f t="shared" si="39"/>
        <v>6</v>
      </c>
      <c r="AI345" s="21">
        <f>IFERROR(NETWORKDAYS(X345,Y345,Hoja1!$A$1:$A$29),"N/A")</f>
        <v>5</v>
      </c>
      <c r="AJ345" s="78">
        <v>1</v>
      </c>
      <c r="AK345" s="75">
        <f t="shared" si="37"/>
        <v>4</v>
      </c>
      <c r="AL345" s="21">
        <f>IFERROR(NETWORKDAYS(B345,Y345,Hoja1!$A$1:$A$29),"N/A")</f>
        <v>10</v>
      </c>
      <c r="AM345" s="21">
        <f t="shared" si="35"/>
        <v>9</v>
      </c>
      <c r="AN345" s="87" t="s">
        <v>871</v>
      </c>
      <c r="AO345" s="152"/>
      <c r="AP345" s="152"/>
      <c r="AQ345" s="152"/>
      <c r="AR345" s="152"/>
      <c r="AS345" s="152" t="s">
        <v>1901</v>
      </c>
      <c r="AT345" s="152" t="s">
        <v>2062</v>
      </c>
      <c r="AU345" s="152" t="s">
        <v>2217</v>
      </c>
      <c r="AV345" s="323" t="s">
        <v>2435</v>
      </c>
      <c r="AW345" s="403" t="s">
        <v>2931</v>
      </c>
      <c r="AY345" s="414"/>
    </row>
    <row r="346" spans="1:51" ht="15" customHeight="1" x14ac:dyDescent="0.25">
      <c r="A346" s="295">
        <v>15806</v>
      </c>
      <c r="B346" s="142">
        <v>46057</v>
      </c>
      <c r="C346" s="142">
        <v>46057</v>
      </c>
      <c r="D346" s="21">
        <v>1</v>
      </c>
      <c r="E346" s="87" t="s">
        <v>54</v>
      </c>
      <c r="F346" s="18" t="s">
        <v>55</v>
      </c>
      <c r="G346" s="3">
        <v>5</v>
      </c>
      <c r="H346" s="33" t="s">
        <v>112</v>
      </c>
      <c r="I346" s="44">
        <v>46069</v>
      </c>
      <c r="J346" s="44">
        <v>46079</v>
      </c>
      <c r="K346" s="3">
        <v>5</v>
      </c>
      <c r="L346" s="18" t="s">
        <v>55</v>
      </c>
      <c r="M346" s="37">
        <v>46058</v>
      </c>
      <c r="N346" s="37">
        <v>46069</v>
      </c>
      <c r="O346" s="37">
        <v>46084</v>
      </c>
      <c r="P346" s="37">
        <v>46086</v>
      </c>
      <c r="Q346" s="37">
        <v>46086</v>
      </c>
      <c r="R346" s="37">
        <v>46078</v>
      </c>
      <c r="S346" s="3">
        <v>3</v>
      </c>
      <c r="T346" s="3">
        <v>3</v>
      </c>
      <c r="U346" s="3">
        <v>0</v>
      </c>
      <c r="V346" s="28">
        <v>46087</v>
      </c>
      <c r="W346" s="28">
        <v>46094</v>
      </c>
      <c r="X346" s="28">
        <v>46097</v>
      </c>
      <c r="Y346" s="28">
        <v>46101</v>
      </c>
      <c r="Z346" s="140">
        <v>46106</v>
      </c>
      <c r="AA346" s="33">
        <f t="shared" si="38"/>
        <v>3</v>
      </c>
      <c r="AB346" s="144" t="s">
        <v>1054</v>
      </c>
      <c r="AC346" s="35" t="s">
        <v>1055</v>
      </c>
      <c r="AD346" s="19">
        <f t="shared" si="34"/>
        <v>1</v>
      </c>
      <c r="AE346" s="67">
        <f>IFERROR(NETWORKDAYS(B346,I346,Hoja1!$A$1:$A$29),"N/A")</f>
        <v>9</v>
      </c>
      <c r="AF346" s="21">
        <f>IFERROR(NETWORKDAYS(B346,W346,Hoja1!$A$1:$A$29),"N/A")</f>
        <v>28</v>
      </c>
      <c r="AG346" s="78">
        <v>8</v>
      </c>
      <c r="AH346" s="21">
        <f t="shared" si="39"/>
        <v>20</v>
      </c>
      <c r="AI346" s="21">
        <f>IFERROR(NETWORKDAYS(X346,Y346,Hoja1!$A$1:$A$29),"N/A")</f>
        <v>5</v>
      </c>
      <c r="AJ346" s="78">
        <v>0</v>
      </c>
      <c r="AK346" s="75">
        <f t="shared" si="37"/>
        <v>5</v>
      </c>
      <c r="AL346" s="21">
        <f>IFERROR(NETWORKDAYS(B346,Y346,Hoja1!$A$1:$A$29),"N/A")</f>
        <v>33</v>
      </c>
      <c r="AM346" s="21">
        <f t="shared" si="35"/>
        <v>25</v>
      </c>
      <c r="AN346" s="87"/>
      <c r="AO346" s="87"/>
      <c r="AP346" s="87"/>
      <c r="AQ346" s="87"/>
      <c r="AR346" s="87"/>
      <c r="AS346" s="87" t="s">
        <v>1931</v>
      </c>
      <c r="AT346" s="87" t="s">
        <v>2119</v>
      </c>
      <c r="AU346" s="87" t="s">
        <v>2211</v>
      </c>
      <c r="AV346" s="320" t="s">
        <v>2250</v>
      </c>
      <c r="AW346" s="403" t="s">
        <v>2932</v>
      </c>
      <c r="AY346" s="415"/>
    </row>
    <row r="347" spans="1:51" ht="15" customHeight="1" x14ac:dyDescent="0.25">
      <c r="A347" s="295">
        <v>15813</v>
      </c>
      <c r="B347" s="142">
        <v>46058</v>
      </c>
      <c r="C347" s="142">
        <v>46058</v>
      </c>
      <c r="D347" s="21">
        <v>1</v>
      </c>
      <c r="E347" s="87" t="s">
        <v>54</v>
      </c>
      <c r="F347" s="3" t="s">
        <v>55</v>
      </c>
      <c r="G347" s="3">
        <v>5</v>
      </c>
      <c r="H347" s="3" t="s">
        <v>112</v>
      </c>
      <c r="I347" s="30">
        <v>46063</v>
      </c>
      <c r="J347" s="30">
        <v>46063</v>
      </c>
      <c r="K347" s="3">
        <v>5</v>
      </c>
      <c r="L347" s="3" t="s">
        <v>55</v>
      </c>
      <c r="M347" s="3" t="s">
        <v>55</v>
      </c>
      <c r="N347" s="3" t="s">
        <v>55</v>
      </c>
      <c r="O347" s="3" t="s">
        <v>55</v>
      </c>
      <c r="P347" s="3" t="s">
        <v>55</v>
      </c>
      <c r="Q347" s="3" t="s">
        <v>55</v>
      </c>
      <c r="R347" s="18" t="s">
        <v>55</v>
      </c>
      <c r="S347" s="3">
        <v>3</v>
      </c>
      <c r="T347" s="3">
        <v>3</v>
      </c>
      <c r="U347" s="3">
        <v>0</v>
      </c>
      <c r="V347" s="30">
        <v>46071</v>
      </c>
      <c r="W347" s="28">
        <v>46076</v>
      </c>
      <c r="X347" s="28">
        <v>46077</v>
      </c>
      <c r="Y347" s="28">
        <v>46083</v>
      </c>
      <c r="Z347" s="37">
        <v>46083</v>
      </c>
      <c r="AA347" s="33">
        <f t="shared" si="38"/>
        <v>3</v>
      </c>
      <c r="AB347" s="144" t="s">
        <v>1056</v>
      </c>
      <c r="AC347" s="35" t="s">
        <v>1057</v>
      </c>
      <c r="AD347" s="19">
        <f t="shared" si="34"/>
        <v>1</v>
      </c>
      <c r="AE347" s="67">
        <f>IFERROR(NETWORKDAYS(B347,I347,Hoja1!$A$1:$A$29),"N/A")</f>
        <v>4</v>
      </c>
      <c r="AF347" s="21">
        <f>IFERROR(NETWORKDAYS(B347,W347,Hoja1!$A$1:$A$29),"N/A")</f>
        <v>13</v>
      </c>
      <c r="AG347" s="78">
        <v>0</v>
      </c>
      <c r="AH347" s="21">
        <f t="shared" si="39"/>
        <v>13</v>
      </c>
      <c r="AI347" s="21">
        <f>IFERROR(NETWORKDAYS(X347,Y347,Hoja1!$A$1:$A$29),"N/A")</f>
        <v>5</v>
      </c>
      <c r="AJ347" s="78">
        <v>0</v>
      </c>
      <c r="AK347" s="75">
        <f t="shared" si="37"/>
        <v>5</v>
      </c>
      <c r="AL347" s="21">
        <f>IFERROR(NETWORKDAYS(B347,Y347,Hoja1!$A$1:$A$29),"N/A")</f>
        <v>18</v>
      </c>
      <c r="AM347" s="21">
        <f t="shared" si="35"/>
        <v>18</v>
      </c>
      <c r="AN347" s="87"/>
      <c r="AO347" s="87"/>
      <c r="AP347" s="87"/>
      <c r="AQ347" s="87"/>
      <c r="AR347" s="87"/>
      <c r="AS347" s="87" t="s">
        <v>1913</v>
      </c>
      <c r="AT347" s="87" t="s">
        <v>2047</v>
      </c>
      <c r="AU347" s="87" t="s">
        <v>2209</v>
      </c>
      <c r="AV347" s="320" t="s">
        <v>2419</v>
      </c>
      <c r="AW347" s="403" t="s">
        <v>2933</v>
      </c>
      <c r="AY347" s="414"/>
    </row>
    <row r="348" spans="1:51" ht="15" customHeight="1" x14ac:dyDescent="0.25">
      <c r="A348" s="301">
        <v>15814</v>
      </c>
      <c r="B348" s="142">
        <v>46059</v>
      </c>
      <c r="C348" s="142">
        <v>46059</v>
      </c>
      <c r="D348" s="21">
        <v>1</v>
      </c>
      <c r="E348" s="87" t="s">
        <v>54</v>
      </c>
      <c r="F348" s="33" t="s">
        <v>55</v>
      </c>
      <c r="G348" s="33">
        <v>0</v>
      </c>
      <c r="H348" s="33"/>
      <c r="I348" s="142" t="s">
        <v>55</v>
      </c>
      <c r="J348" s="142" t="s">
        <v>55</v>
      </c>
      <c r="K348" s="33">
        <v>0</v>
      </c>
      <c r="L348" s="33" t="s">
        <v>55</v>
      </c>
      <c r="M348" s="33" t="s">
        <v>55</v>
      </c>
      <c r="N348" s="33" t="s">
        <v>55</v>
      </c>
      <c r="O348" s="33" t="s">
        <v>55</v>
      </c>
      <c r="P348" s="33" t="s">
        <v>55</v>
      </c>
      <c r="Q348" s="33" t="s">
        <v>55</v>
      </c>
      <c r="R348" s="33" t="s">
        <v>55</v>
      </c>
      <c r="S348" s="1">
        <v>1</v>
      </c>
      <c r="T348" s="1">
        <v>1</v>
      </c>
      <c r="U348" s="33">
        <v>0</v>
      </c>
      <c r="V348" s="148">
        <v>46076</v>
      </c>
      <c r="W348" s="28">
        <v>46078</v>
      </c>
      <c r="X348" s="28">
        <v>46079</v>
      </c>
      <c r="Y348" s="28">
        <v>46087</v>
      </c>
      <c r="Z348" s="140">
        <v>46093</v>
      </c>
      <c r="AA348" s="33">
        <f t="shared" si="38"/>
        <v>3</v>
      </c>
      <c r="AB348" s="144" t="s">
        <v>1058</v>
      </c>
      <c r="AC348" s="35" t="s">
        <v>1059</v>
      </c>
      <c r="AD348" s="19" t="str">
        <f t="shared" si="34"/>
        <v>N/A</v>
      </c>
      <c r="AE348" s="67" t="str">
        <f>IFERROR(NETWORKDAYS(B348,I348,Hoja1!$A$1:$A$29),"N/A")</f>
        <v>N/A</v>
      </c>
      <c r="AF348" s="21">
        <f>IFERROR(NETWORKDAYS(B348,W348,Hoja1!$A$1:$A$29),"N/A")</f>
        <v>14</v>
      </c>
      <c r="AG348" s="78">
        <v>0</v>
      </c>
      <c r="AH348" s="21">
        <f t="shared" si="39"/>
        <v>14</v>
      </c>
      <c r="AI348" s="21">
        <f>IFERROR(NETWORKDAYS(X348,Y348,Hoja1!$A$1:$A$29),"N/A")</f>
        <v>7</v>
      </c>
      <c r="AJ348" s="78">
        <v>2</v>
      </c>
      <c r="AK348" s="75">
        <f t="shared" si="37"/>
        <v>5</v>
      </c>
      <c r="AL348" s="21">
        <f>IFERROR(NETWORKDAYS(B348,Y348,Hoja1!$A$1:$A$29),"N/A")</f>
        <v>21</v>
      </c>
      <c r="AM348" s="21">
        <f t="shared" si="35"/>
        <v>19</v>
      </c>
      <c r="AN348" s="114"/>
      <c r="AO348" s="114"/>
      <c r="AP348" s="114"/>
      <c r="AQ348" s="114"/>
      <c r="AR348" s="114"/>
      <c r="AS348" s="114" t="s">
        <v>1903</v>
      </c>
      <c r="AT348" s="114" t="s">
        <v>2011</v>
      </c>
      <c r="AU348" s="114" t="s">
        <v>2210</v>
      </c>
      <c r="AV348" s="322" t="s">
        <v>2436</v>
      </c>
      <c r="AW348" s="403" t="s">
        <v>2934</v>
      </c>
      <c r="AY348" s="415"/>
    </row>
    <row r="349" spans="1:51" ht="15" customHeight="1" x14ac:dyDescent="0.25">
      <c r="A349" s="303">
        <v>15823</v>
      </c>
      <c r="B349" s="142">
        <v>46062</v>
      </c>
      <c r="C349" s="142">
        <v>46062</v>
      </c>
      <c r="D349" s="21">
        <v>1</v>
      </c>
      <c r="E349" s="87" t="s">
        <v>54</v>
      </c>
      <c r="F349" s="33" t="s">
        <v>55</v>
      </c>
      <c r="G349" s="33">
        <v>0</v>
      </c>
      <c r="H349" s="33"/>
      <c r="I349" s="142" t="s">
        <v>55</v>
      </c>
      <c r="J349" s="142" t="s">
        <v>55</v>
      </c>
      <c r="K349" s="33">
        <v>0</v>
      </c>
      <c r="L349" s="33" t="s">
        <v>55</v>
      </c>
      <c r="M349" s="33" t="s">
        <v>55</v>
      </c>
      <c r="N349" s="33" t="s">
        <v>55</v>
      </c>
      <c r="O349" s="33" t="s">
        <v>55</v>
      </c>
      <c r="P349" s="33" t="s">
        <v>55</v>
      </c>
      <c r="Q349" s="33" t="s">
        <v>55</v>
      </c>
      <c r="R349" s="33" t="s">
        <v>55</v>
      </c>
      <c r="S349" s="33">
        <v>1</v>
      </c>
      <c r="T349" s="33">
        <v>1</v>
      </c>
      <c r="U349" s="33">
        <v>0</v>
      </c>
      <c r="V349" s="148">
        <v>46076</v>
      </c>
      <c r="W349" s="148">
        <v>46076</v>
      </c>
      <c r="X349" s="148">
        <v>46076</v>
      </c>
      <c r="Y349" s="28">
        <v>46080</v>
      </c>
      <c r="Z349" s="38">
        <v>46083</v>
      </c>
      <c r="AA349" s="33">
        <f t="shared" si="38"/>
        <v>3</v>
      </c>
      <c r="AB349" s="144" t="s">
        <v>1061</v>
      </c>
      <c r="AC349" s="35" t="s">
        <v>1062</v>
      </c>
      <c r="AD349" s="19" t="str">
        <f t="shared" si="34"/>
        <v>N/A</v>
      </c>
      <c r="AE349" s="67" t="str">
        <f>IFERROR(NETWORKDAYS(B349,I349,Hoja1!$A$1:$A$29),"N/A")</f>
        <v>N/A</v>
      </c>
      <c r="AF349" s="21">
        <f>IFERROR(NETWORKDAYS(B349,W349,Hoja1!$A$1:$A$29),"N/A")</f>
        <v>11</v>
      </c>
      <c r="AG349" s="78">
        <v>0</v>
      </c>
      <c r="AH349" s="21">
        <f t="shared" si="39"/>
        <v>11</v>
      </c>
      <c r="AI349" s="21">
        <f>IFERROR(NETWORKDAYS(X349,Y349,Hoja1!$A$1:$A$29),"N/A")</f>
        <v>5</v>
      </c>
      <c r="AJ349" s="78">
        <v>0</v>
      </c>
      <c r="AK349" s="75">
        <f t="shared" si="37"/>
        <v>5</v>
      </c>
      <c r="AL349" s="21">
        <f>IFERROR(NETWORKDAYS(B349,Y349,Hoja1!$A$1:$A$29),"N/A")</f>
        <v>15</v>
      </c>
      <c r="AM349" s="21">
        <f t="shared" si="35"/>
        <v>15</v>
      </c>
      <c r="AN349" s="87"/>
      <c r="AO349" s="87"/>
      <c r="AP349" s="87"/>
      <c r="AQ349" s="87"/>
      <c r="AR349" s="87"/>
      <c r="AS349" s="87" t="s">
        <v>1938</v>
      </c>
      <c r="AT349" s="87" t="s">
        <v>2072</v>
      </c>
      <c r="AU349" s="87" t="s">
        <v>2212</v>
      </c>
      <c r="AV349" s="320" t="s">
        <v>2437</v>
      </c>
      <c r="AW349" s="403" t="s">
        <v>2935</v>
      </c>
      <c r="AY349" s="414"/>
    </row>
    <row r="350" spans="1:51" ht="15" customHeight="1" x14ac:dyDescent="0.25">
      <c r="A350" s="294">
        <v>15825</v>
      </c>
      <c r="B350" s="142">
        <v>46062</v>
      </c>
      <c r="C350" s="142">
        <v>46062</v>
      </c>
      <c r="D350" s="21">
        <v>1</v>
      </c>
      <c r="E350" s="87" t="s">
        <v>54</v>
      </c>
      <c r="F350" s="3" t="s">
        <v>55</v>
      </c>
      <c r="G350" s="3">
        <v>3</v>
      </c>
      <c r="H350" s="33" t="s">
        <v>56</v>
      </c>
      <c r="I350" s="155">
        <v>46069</v>
      </c>
      <c r="J350" s="155">
        <v>46078</v>
      </c>
      <c r="K350" s="3">
        <v>3</v>
      </c>
      <c r="L350" s="3" t="s">
        <v>55</v>
      </c>
      <c r="M350" s="3" t="s">
        <v>55</v>
      </c>
      <c r="N350" s="3" t="s">
        <v>55</v>
      </c>
      <c r="O350" s="3" t="s">
        <v>55</v>
      </c>
      <c r="P350" s="3" t="s">
        <v>55</v>
      </c>
      <c r="Q350" s="3" t="s">
        <v>55</v>
      </c>
      <c r="R350" s="3" t="s">
        <v>55</v>
      </c>
      <c r="S350" s="3">
        <v>4</v>
      </c>
      <c r="T350" s="3">
        <v>4</v>
      </c>
      <c r="U350" s="3">
        <v>0</v>
      </c>
      <c r="V350" s="28">
        <v>46085</v>
      </c>
      <c r="W350" s="28">
        <v>46090</v>
      </c>
      <c r="X350" s="28">
        <v>46090</v>
      </c>
      <c r="Y350" s="28">
        <v>46098</v>
      </c>
      <c r="Z350" s="140">
        <v>46106</v>
      </c>
      <c r="AA350" s="33">
        <f t="shared" si="38"/>
        <v>3</v>
      </c>
      <c r="AB350" s="144" t="s">
        <v>1064</v>
      </c>
      <c r="AC350" s="35" t="s">
        <v>1338</v>
      </c>
      <c r="AD350" s="19">
        <f t="shared" si="34"/>
        <v>1</v>
      </c>
      <c r="AE350" s="67">
        <f>IFERROR(NETWORKDAYS(B350,I350,Hoja1!$A$1:$A$29),"N/A")</f>
        <v>6</v>
      </c>
      <c r="AF350" s="21">
        <f>IFERROR(NETWORKDAYS(B350,W350,Hoja1!$A$1:$A$29),"N/A")</f>
        <v>21</v>
      </c>
      <c r="AG350" s="78">
        <v>4</v>
      </c>
      <c r="AH350" s="21">
        <f t="shared" si="39"/>
        <v>17</v>
      </c>
      <c r="AI350" s="21">
        <f>IFERROR(NETWORKDAYS(X350,Y350,Hoja1!$A$1:$A$29),"N/A")</f>
        <v>7</v>
      </c>
      <c r="AJ350" s="78">
        <v>2</v>
      </c>
      <c r="AK350" s="75">
        <f t="shared" si="37"/>
        <v>5</v>
      </c>
      <c r="AL350" s="21">
        <f>IFERROR(NETWORKDAYS(B350,Y350,Hoja1!$A$1:$A$29),"N/A")</f>
        <v>27</v>
      </c>
      <c r="AM350" s="21">
        <f t="shared" si="35"/>
        <v>21</v>
      </c>
      <c r="AN350" s="114"/>
      <c r="AO350" s="114"/>
      <c r="AP350" s="114"/>
      <c r="AQ350" s="114"/>
      <c r="AR350" s="114"/>
      <c r="AS350" s="114" t="s">
        <v>1908</v>
      </c>
      <c r="AT350" s="114" t="s">
        <v>1996</v>
      </c>
      <c r="AU350" s="114" t="s">
        <v>2220</v>
      </c>
      <c r="AV350" s="322" t="s">
        <v>2258</v>
      </c>
      <c r="AW350" s="403" t="s">
        <v>2936</v>
      </c>
      <c r="AY350" s="415"/>
    </row>
    <row r="351" spans="1:51" ht="15" customHeight="1" x14ac:dyDescent="0.25">
      <c r="A351" s="294">
        <v>15826</v>
      </c>
      <c r="B351" s="142">
        <v>46062</v>
      </c>
      <c r="C351" s="142">
        <v>46065</v>
      </c>
      <c r="D351" s="21">
        <v>1</v>
      </c>
      <c r="E351" s="87" t="s">
        <v>54</v>
      </c>
      <c r="F351" s="3" t="s">
        <v>55</v>
      </c>
      <c r="G351" s="3">
        <v>7</v>
      </c>
      <c r="H351" s="3" t="s">
        <v>112</v>
      </c>
      <c r="I351" s="153">
        <v>46064</v>
      </c>
      <c r="J351" s="153">
        <v>46073</v>
      </c>
      <c r="K351" s="3">
        <v>7</v>
      </c>
      <c r="L351" s="3" t="s">
        <v>55</v>
      </c>
      <c r="M351" s="3" t="s">
        <v>55</v>
      </c>
      <c r="N351" s="3" t="s">
        <v>55</v>
      </c>
      <c r="O351" s="3" t="s">
        <v>55</v>
      </c>
      <c r="P351" s="3" t="s">
        <v>55</v>
      </c>
      <c r="Q351" s="3" t="s">
        <v>55</v>
      </c>
      <c r="R351" s="3" t="s">
        <v>55</v>
      </c>
      <c r="S351" s="2">
        <v>3</v>
      </c>
      <c r="T351" s="2">
        <v>3</v>
      </c>
      <c r="U351" s="3">
        <v>0</v>
      </c>
      <c r="V351" s="104">
        <v>46076</v>
      </c>
      <c r="W351" s="104">
        <v>46076</v>
      </c>
      <c r="X351" s="104">
        <v>46076</v>
      </c>
      <c r="Y351" s="28">
        <v>46080</v>
      </c>
      <c r="Z351" s="37">
        <v>46083</v>
      </c>
      <c r="AA351" s="33">
        <f t="shared" si="38"/>
        <v>3</v>
      </c>
      <c r="AB351" s="144" t="s">
        <v>1065</v>
      </c>
      <c r="AC351" s="35" t="s">
        <v>1339</v>
      </c>
      <c r="AD351" s="19">
        <f t="shared" si="34"/>
        <v>1</v>
      </c>
      <c r="AE351" s="67">
        <f>IFERROR(NETWORKDAYS(B351,I351,Hoja1!$A$1:$A$29),"N/A")</f>
        <v>3</v>
      </c>
      <c r="AF351" s="21">
        <f>IFERROR(NETWORKDAYS(B351,W351,Hoja1!$A$1:$A$29),"N/A")</f>
        <v>11</v>
      </c>
      <c r="AG351" s="78">
        <v>0</v>
      </c>
      <c r="AH351" s="21">
        <f t="shared" si="39"/>
        <v>11</v>
      </c>
      <c r="AI351" s="21">
        <f>IFERROR(NETWORKDAYS(X351,Y351,Hoja1!$A$1:$A$29),"N/A")</f>
        <v>5</v>
      </c>
      <c r="AJ351" s="78">
        <v>0</v>
      </c>
      <c r="AK351" s="75">
        <f t="shared" si="37"/>
        <v>5</v>
      </c>
      <c r="AL351" s="21">
        <f>IFERROR(NETWORKDAYS(B351,Y351,Hoja1!$A$1:$A$29),"N/A")</f>
        <v>15</v>
      </c>
      <c r="AM351" s="21">
        <f t="shared" si="35"/>
        <v>15</v>
      </c>
      <c r="AN351" s="114"/>
      <c r="AO351" s="111"/>
      <c r="AP351" s="111"/>
      <c r="AQ351" s="111"/>
      <c r="AR351" s="111"/>
      <c r="AS351" s="111" t="s">
        <v>1958</v>
      </c>
      <c r="AT351" s="111" t="s">
        <v>2047</v>
      </c>
      <c r="AU351" s="111" t="s">
        <v>2218</v>
      </c>
      <c r="AV351" s="321" t="s">
        <v>2438</v>
      </c>
      <c r="AW351" s="403" t="s">
        <v>2937</v>
      </c>
      <c r="AY351" s="414"/>
    </row>
    <row r="352" spans="1:51" ht="15" customHeight="1" x14ac:dyDescent="0.25">
      <c r="A352" s="303">
        <v>15827</v>
      </c>
      <c r="B352" s="142">
        <v>46062</v>
      </c>
      <c r="C352" s="142">
        <v>46062</v>
      </c>
      <c r="D352" s="21">
        <v>1</v>
      </c>
      <c r="E352" s="87" t="s">
        <v>54</v>
      </c>
      <c r="F352" s="33" t="s">
        <v>55</v>
      </c>
      <c r="G352" s="33">
        <v>0</v>
      </c>
      <c r="H352" s="33"/>
      <c r="I352" s="142" t="s">
        <v>55</v>
      </c>
      <c r="J352" s="142" t="s">
        <v>55</v>
      </c>
      <c r="K352" s="33">
        <v>0</v>
      </c>
      <c r="L352" s="33" t="s">
        <v>55</v>
      </c>
      <c r="M352" s="33" t="s">
        <v>55</v>
      </c>
      <c r="N352" s="33" t="s">
        <v>55</v>
      </c>
      <c r="O352" s="33" t="s">
        <v>55</v>
      </c>
      <c r="P352" s="33" t="s">
        <v>55</v>
      </c>
      <c r="Q352" s="33" t="s">
        <v>55</v>
      </c>
      <c r="R352" s="33" t="s">
        <v>55</v>
      </c>
      <c r="S352" s="33">
        <v>3</v>
      </c>
      <c r="T352" s="33">
        <v>3</v>
      </c>
      <c r="U352" s="33">
        <v>0</v>
      </c>
      <c r="V352" s="28">
        <v>46070</v>
      </c>
      <c r="W352" s="28">
        <v>46071</v>
      </c>
      <c r="X352" s="28">
        <v>46071</v>
      </c>
      <c r="Y352" s="28">
        <v>46079</v>
      </c>
      <c r="Z352" s="38">
        <v>46083</v>
      </c>
      <c r="AA352" s="33">
        <f t="shared" si="38"/>
        <v>3</v>
      </c>
      <c r="AB352" s="144" t="s">
        <v>1068</v>
      </c>
      <c r="AC352" s="35" t="s">
        <v>1069</v>
      </c>
      <c r="AD352" s="19" t="str">
        <f t="shared" si="34"/>
        <v>N/A</v>
      </c>
      <c r="AE352" s="67" t="str">
        <f>IFERROR(NETWORKDAYS(B352,I352,Hoja1!$A$1:$A$29),"N/A")</f>
        <v>N/A</v>
      </c>
      <c r="AF352" s="21">
        <f>IFERROR(NETWORKDAYS(B352,W352,Hoja1!$A$1:$A$29),"N/A")</f>
        <v>8</v>
      </c>
      <c r="AG352" s="78">
        <v>0</v>
      </c>
      <c r="AH352" s="21">
        <f t="shared" si="39"/>
        <v>8</v>
      </c>
      <c r="AI352" s="21">
        <f>IFERROR(NETWORKDAYS(X352,Y352,Hoja1!$A$1:$A$29),"N/A")</f>
        <v>7</v>
      </c>
      <c r="AJ352" s="78">
        <v>2</v>
      </c>
      <c r="AK352" s="75">
        <f t="shared" si="37"/>
        <v>5</v>
      </c>
      <c r="AL352" s="21">
        <f>IFERROR(NETWORKDAYS(B352,Y352,Hoja1!$A$1:$A$29),"N/A")</f>
        <v>14</v>
      </c>
      <c r="AM352" s="21">
        <f t="shared" si="35"/>
        <v>12</v>
      </c>
      <c r="AN352" s="87"/>
      <c r="AO352" s="87"/>
      <c r="AP352" s="87"/>
      <c r="AQ352" s="87"/>
      <c r="AR352" s="87"/>
      <c r="AS352" s="87" t="s">
        <v>1889</v>
      </c>
      <c r="AT352" s="87" t="s">
        <v>2120</v>
      </c>
      <c r="AU352" s="87" t="s">
        <v>2212</v>
      </c>
      <c r="AV352" s="320" t="s">
        <v>2437</v>
      </c>
      <c r="AW352" s="403" t="s">
        <v>2938</v>
      </c>
      <c r="AY352" s="415"/>
    </row>
    <row r="353" spans="1:51" ht="15" customHeight="1" x14ac:dyDescent="0.25">
      <c r="A353" s="303">
        <v>15832</v>
      </c>
      <c r="B353" s="142">
        <v>46063</v>
      </c>
      <c r="C353" s="142">
        <v>46063</v>
      </c>
      <c r="D353" s="21">
        <v>1</v>
      </c>
      <c r="E353" s="87" t="s">
        <v>54</v>
      </c>
      <c r="F353" s="33" t="s">
        <v>55</v>
      </c>
      <c r="G353" s="33">
        <v>0</v>
      </c>
      <c r="H353" s="33"/>
      <c r="I353" s="142" t="s">
        <v>55</v>
      </c>
      <c r="J353" s="142" t="s">
        <v>55</v>
      </c>
      <c r="K353" s="33">
        <v>0</v>
      </c>
      <c r="L353" s="33" t="s">
        <v>55</v>
      </c>
      <c r="M353" s="33" t="s">
        <v>55</v>
      </c>
      <c r="N353" s="33" t="s">
        <v>55</v>
      </c>
      <c r="O353" s="33" t="s">
        <v>55</v>
      </c>
      <c r="P353" s="33" t="s">
        <v>55</v>
      </c>
      <c r="Q353" s="33" t="s">
        <v>55</v>
      </c>
      <c r="R353" s="33" t="s">
        <v>55</v>
      </c>
      <c r="S353" s="33">
        <v>1</v>
      </c>
      <c r="T353" s="33">
        <v>1</v>
      </c>
      <c r="U353" s="33">
        <v>0</v>
      </c>
      <c r="V353" s="53">
        <v>46069</v>
      </c>
      <c r="W353" s="28">
        <v>46071</v>
      </c>
      <c r="X353" s="28">
        <v>46072</v>
      </c>
      <c r="Y353" s="28">
        <v>46080</v>
      </c>
      <c r="Z353" s="38">
        <v>46083</v>
      </c>
      <c r="AA353" s="33">
        <f t="shared" si="38"/>
        <v>3</v>
      </c>
      <c r="AB353" s="144" t="s">
        <v>1071</v>
      </c>
      <c r="AC353" s="35" t="s">
        <v>1072</v>
      </c>
      <c r="AD353" s="19" t="str">
        <f t="shared" si="34"/>
        <v>N/A</v>
      </c>
      <c r="AE353" s="67" t="str">
        <f>IFERROR(NETWORKDAYS(B353,I353,Hoja1!$A$1:$A$29),"N/A")</f>
        <v>N/A</v>
      </c>
      <c r="AF353" s="21">
        <f>IFERROR(NETWORKDAYS(B353,W353,Hoja1!$A$1:$A$29),"N/A")</f>
        <v>7</v>
      </c>
      <c r="AG353" s="78">
        <v>0</v>
      </c>
      <c r="AH353" s="21">
        <f t="shared" si="39"/>
        <v>7</v>
      </c>
      <c r="AI353" s="21">
        <f>IFERROR(NETWORKDAYS(X353,Y353,Hoja1!$A$1:$A$29),"N/A")</f>
        <v>7</v>
      </c>
      <c r="AJ353" s="78">
        <v>2</v>
      </c>
      <c r="AK353" s="75">
        <f t="shared" si="37"/>
        <v>5</v>
      </c>
      <c r="AL353" s="21">
        <f>IFERROR(NETWORKDAYS(B353,Y353,Hoja1!$A$1:$A$29),"N/A")</f>
        <v>14</v>
      </c>
      <c r="AM353" s="21">
        <f t="shared" si="35"/>
        <v>12</v>
      </c>
      <c r="AN353" s="87"/>
      <c r="AO353" s="87"/>
      <c r="AP353" s="87"/>
      <c r="AQ353" s="87"/>
      <c r="AR353" s="87"/>
      <c r="AS353" s="87" t="s">
        <v>1889</v>
      </c>
      <c r="AT353" s="87" t="s">
        <v>2121</v>
      </c>
      <c r="AU353" s="87" t="s">
        <v>2212</v>
      </c>
      <c r="AV353" s="320" t="s">
        <v>2439</v>
      </c>
      <c r="AW353" s="403" t="s">
        <v>2939</v>
      </c>
      <c r="AY353" s="414"/>
    </row>
    <row r="354" spans="1:51" ht="15" customHeight="1" x14ac:dyDescent="0.25">
      <c r="A354" s="295">
        <v>15834</v>
      </c>
      <c r="B354" s="142">
        <v>46063</v>
      </c>
      <c r="C354" s="142">
        <v>46063</v>
      </c>
      <c r="D354" s="21">
        <v>1</v>
      </c>
      <c r="E354" s="87" t="s">
        <v>54</v>
      </c>
      <c r="F354" s="2" t="s">
        <v>55</v>
      </c>
      <c r="G354" s="3">
        <v>1</v>
      </c>
      <c r="H354" s="3" t="s">
        <v>112</v>
      </c>
      <c r="I354" s="37">
        <v>46064</v>
      </c>
      <c r="J354" s="37">
        <v>46064</v>
      </c>
      <c r="K354" s="3">
        <v>1</v>
      </c>
      <c r="L354" s="18" t="s">
        <v>55</v>
      </c>
      <c r="M354" s="18" t="s">
        <v>55</v>
      </c>
      <c r="N354" s="18" t="s">
        <v>55</v>
      </c>
      <c r="O354" s="18" t="s">
        <v>55</v>
      </c>
      <c r="P354" s="18" t="s">
        <v>55</v>
      </c>
      <c r="Q354" s="18" t="s">
        <v>55</v>
      </c>
      <c r="R354" s="18" t="s">
        <v>55</v>
      </c>
      <c r="S354" s="3">
        <v>2</v>
      </c>
      <c r="T354" s="3">
        <v>1</v>
      </c>
      <c r="U354" s="3">
        <v>0</v>
      </c>
      <c r="V354" s="28">
        <v>46073</v>
      </c>
      <c r="W354" s="28">
        <v>46073</v>
      </c>
      <c r="X354" s="28">
        <v>46073</v>
      </c>
      <c r="Y354" s="28">
        <v>46087</v>
      </c>
      <c r="Z354" s="28">
        <v>46090</v>
      </c>
      <c r="AA354" s="33">
        <f t="shared" si="38"/>
        <v>3</v>
      </c>
      <c r="AB354" s="144" t="s">
        <v>1074</v>
      </c>
      <c r="AC354" s="35" t="s">
        <v>1340</v>
      </c>
      <c r="AD354" s="19">
        <f t="shared" si="34"/>
        <v>1</v>
      </c>
      <c r="AE354" s="67">
        <f>IFERROR(NETWORKDAYS(B354,I354,Hoja1!$A$1:$A$29),"N/A")</f>
        <v>2</v>
      </c>
      <c r="AF354" s="21">
        <f>IFERROR(NETWORKDAYS(B354,W354,Hoja1!$A$1:$A$29),"N/A")</f>
        <v>9</v>
      </c>
      <c r="AG354" s="78">
        <v>0</v>
      </c>
      <c r="AH354" s="21">
        <f t="shared" si="39"/>
        <v>9</v>
      </c>
      <c r="AI354" s="21">
        <f>IFERROR(NETWORKDAYS(X354,Y354,Hoja1!$A$1:$A$29),"N/A")</f>
        <v>11</v>
      </c>
      <c r="AJ354" s="78">
        <v>6</v>
      </c>
      <c r="AK354" s="75">
        <f t="shared" si="37"/>
        <v>5</v>
      </c>
      <c r="AL354" s="21">
        <f>IFERROR(NETWORKDAYS(B354,Y354,Hoja1!$A$1:$A$29),"N/A")</f>
        <v>19</v>
      </c>
      <c r="AM354" s="21">
        <f t="shared" si="35"/>
        <v>13</v>
      </c>
      <c r="AN354" s="87"/>
      <c r="AO354" s="87"/>
      <c r="AP354" s="87"/>
      <c r="AQ354" s="87"/>
      <c r="AR354" s="87"/>
      <c r="AS354" s="87" t="s">
        <v>1888</v>
      </c>
      <c r="AT354" s="87" t="s">
        <v>1994</v>
      </c>
      <c r="AU354" s="87" t="s">
        <v>2211</v>
      </c>
      <c r="AV354" s="320" t="s">
        <v>2232</v>
      </c>
      <c r="AW354" s="403" t="s">
        <v>2940</v>
      </c>
      <c r="AY354" s="415"/>
    </row>
    <row r="355" spans="1:51" ht="15" customHeight="1" x14ac:dyDescent="0.25">
      <c r="A355" s="296">
        <v>15835</v>
      </c>
      <c r="B355" s="142">
        <v>46065</v>
      </c>
      <c r="C355" s="142">
        <v>46064</v>
      </c>
      <c r="D355" s="21">
        <v>1</v>
      </c>
      <c r="E355" s="87" t="s">
        <v>54</v>
      </c>
      <c r="F355" s="3" t="s">
        <v>55</v>
      </c>
      <c r="G355" s="3">
        <v>0</v>
      </c>
      <c r="H355" s="33"/>
      <c r="I355" s="3" t="s">
        <v>55</v>
      </c>
      <c r="J355" s="3" t="s">
        <v>55</v>
      </c>
      <c r="K355" s="3">
        <v>0</v>
      </c>
      <c r="L355" s="3" t="s">
        <v>55</v>
      </c>
      <c r="M355" s="3" t="s">
        <v>55</v>
      </c>
      <c r="N355" s="3" t="s">
        <v>55</v>
      </c>
      <c r="O355" s="3" t="s">
        <v>55</v>
      </c>
      <c r="P355" s="3" t="s">
        <v>55</v>
      </c>
      <c r="Q355" s="3" t="s">
        <v>55</v>
      </c>
      <c r="R355" s="3" t="s">
        <v>55</v>
      </c>
      <c r="S355" s="3">
        <v>1</v>
      </c>
      <c r="T355" s="3">
        <v>1</v>
      </c>
      <c r="U355" s="3">
        <v>0</v>
      </c>
      <c r="V355" s="28">
        <v>46073</v>
      </c>
      <c r="W355" s="28">
        <v>46077</v>
      </c>
      <c r="X355" s="28">
        <v>46077</v>
      </c>
      <c r="Y355" s="28">
        <v>46080</v>
      </c>
      <c r="Z355" s="38">
        <v>46083</v>
      </c>
      <c r="AA355" s="33">
        <f t="shared" si="38"/>
        <v>3</v>
      </c>
      <c r="AB355" s="144" t="s">
        <v>1075</v>
      </c>
      <c r="AC355" s="35" t="s">
        <v>1341</v>
      </c>
      <c r="AD355" s="19" t="str">
        <f t="shared" si="34"/>
        <v>N/A</v>
      </c>
      <c r="AE355" s="67" t="str">
        <f>IFERROR(NETWORKDAYS(B355,I355,Hoja1!$A$1:$A$29),"N/A")</f>
        <v>N/A</v>
      </c>
      <c r="AF355" s="21">
        <f>IFERROR(NETWORKDAYS(B355,W355,Hoja1!$A$1:$A$29),"N/A")</f>
        <v>9</v>
      </c>
      <c r="AG355" s="78">
        <v>0</v>
      </c>
      <c r="AH355" s="21">
        <f t="shared" si="39"/>
        <v>9</v>
      </c>
      <c r="AI355" s="21">
        <f>IFERROR(NETWORKDAYS(X355,Y355,Hoja1!$A$1:$A$29),"N/A")</f>
        <v>4</v>
      </c>
      <c r="AJ355" s="78">
        <v>0</v>
      </c>
      <c r="AK355" s="75">
        <f t="shared" si="37"/>
        <v>4</v>
      </c>
      <c r="AL355" s="21">
        <f>IFERROR(NETWORKDAYS(B355,Y355,Hoja1!$A$1:$A$29),"N/A")</f>
        <v>12</v>
      </c>
      <c r="AM355" s="21">
        <f t="shared" si="35"/>
        <v>12</v>
      </c>
      <c r="AN355" s="84"/>
      <c r="AO355" s="87"/>
      <c r="AP355" s="87"/>
      <c r="AQ355" s="87"/>
      <c r="AR355" s="87"/>
      <c r="AS355" s="87" t="s">
        <v>1911</v>
      </c>
      <c r="AT355" s="87" t="s">
        <v>2122</v>
      </c>
      <c r="AU355" s="87" t="s">
        <v>2210</v>
      </c>
      <c r="AV355" s="320" t="s">
        <v>2440</v>
      </c>
      <c r="AW355" s="403" t="s">
        <v>2941</v>
      </c>
      <c r="AY355" s="414"/>
    </row>
    <row r="356" spans="1:51" ht="15" customHeight="1" x14ac:dyDescent="0.25">
      <c r="A356" s="301">
        <v>15836</v>
      </c>
      <c r="B356" s="142">
        <v>46064</v>
      </c>
      <c r="C356" s="142">
        <v>46064</v>
      </c>
      <c r="D356" s="21">
        <v>1</v>
      </c>
      <c r="E356" s="87" t="s">
        <v>54</v>
      </c>
      <c r="F356" s="33" t="s">
        <v>55</v>
      </c>
      <c r="G356" s="33">
        <v>4</v>
      </c>
      <c r="H356" s="3" t="s">
        <v>112</v>
      </c>
      <c r="I356" s="44">
        <v>46071</v>
      </c>
      <c r="J356" s="142">
        <v>46072</v>
      </c>
      <c r="K356" s="33">
        <v>4</v>
      </c>
      <c r="L356" s="33" t="s">
        <v>55</v>
      </c>
      <c r="M356" s="33" t="s">
        <v>55</v>
      </c>
      <c r="N356" s="33" t="s">
        <v>55</v>
      </c>
      <c r="O356" s="33" t="s">
        <v>55</v>
      </c>
      <c r="P356" s="33" t="s">
        <v>55</v>
      </c>
      <c r="Q356" s="33" t="s">
        <v>55</v>
      </c>
      <c r="R356" s="33" t="s">
        <v>55</v>
      </c>
      <c r="S356" s="33">
        <v>1</v>
      </c>
      <c r="T356" s="33">
        <v>1</v>
      </c>
      <c r="U356" s="33">
        <v>0</v>
      </c>
      <c r="V356" s="28">
        <v>46078</v>
      </c>
      <c r="W356" s="28">
        <v>46078</v>
      </c>
      <c r="X356" s="28">
        <v>46085</v>
      </c>
      <c r="Y356" s="28">
        <v>46099</v>
      </c>
      <c r="Z356" s="140">
        <v>46106</v>
      </c>
      <c r="AA356" s="33">
        <f t="shared" si="38"/>
        <v>3</v>
      </c>
      <c r="AB356" s="144" t="s">
        <v>1076</v>
      </c>
      <c r="AC356" s="35" t="s">
        <v>1077</v>
      </c>
      <c r="AD356" s="19">
        <f t="shared" si="34"/>
        <v>1</v>
      </c>
      <c r="AE356" s="67">
        <f>IFERROR(NETWORKDAYS(B356,I356,Hoja1!$A$1:$A$29),"N/A")</f>
        <v>6</v>
      </c>
      <c r="AF356" s="21">
        <f>IFERROR(NETWORKDAYS(B356,W356,Hoja1!$A$1:$A$29),"N/A")</f>
        <v>11</v>
      </c>
      <c r="AG356" s="78">
        <v>0</v>
      </c>
      <c r="AH356" s="21">
        <f t="shared" si="39"/>
        <v>11</v>
      </c>
      <c r="AI356" s="21">
        <f>IFERROR(NETWORKDAYS(X356,Y356,Hoja1!$A$1:$A$29),"N/A")</f>
        <v>11</v>
      </c>
      <c r="AJ356" s="78">
        <v>6</v>
      </c>
      <c r="AK356" s="75">
        <f t="shared" si="37"/>
        <v>5</v>
      </c>
      <c r="AL356" s="21">
        <f>IFERROR(NETWORKDAYS(B356,Y356,Hoja1!$A$1:$A$29),"N/A")</f>
        <v>26</v>
      </c>
      <c r="AM356" s="21">
        <f t="shared" si="35"/>
        <v>20</v>
      </c>
      <c r="AN356" s="114"/>
      <c r="AO356" s="114"/>
      <c r="AP356" s="114"/>
      <c r="AQ356" s="114"/>
      <c r="AR356" s="114"/>
      <c r="AS356" s="114" t="s">
        <v>1911</v>
      </c>
      <c r="AT356" s="114" t="s">
        <v>2095</v>
      </c>
      <c r="AU356" s="114" t="s">
        <v>2210</v>
      </c>
      <c r="AV356" s="322" t="s">
        <v>2441</v>
      </c>
      <c r="AW356" s="403" t="s">
        <v>2942</v>
      </c>
      <c r="AY356" s="415"/>
    </row>
    <row r="357" spans="1:51" ht="15" customHeight="1" x14ac:dyDescent="0.25">
      <c r="A357" s="301">
        <v>15837</v>
      </c>
      <c r="B357" s="142">
        <v>46064</v>
      </c>
      <c r="C357" s="142">
        <v>46063</v>
      </c>
      <c r="D357" s="21">
        <v>1</v>
      </c>
      <c r="E357" s="87" t="s">
        <v>54</v>
      </c>
      <c r="F357" s="33" t="s">
        <v>55</v>
      </c>
      <c r="G357" s="33">
        <v>4</v>
      </c>
      <c r="H357" s="3" t="s">
        <v>112</v>
      </c>
      <c r="I357" s="44">
        <v>46071</v>
      </c>
      <c r="J357" s="116">
        <v>46100</v>
      </c>
      <c r="K357" s="33">
        <v>4</v>
      </c>
      <c r="L357" s="33" t="s">
        <v>55</v>
      </c>
      <c r="M357" s="33" t="s">
        <v>55</v>
      </c>
      <c r="N357" s="33" t="s">
        <v>55</v>
      </c>
      <c r="O357" s="33" t="s">
        <v>55</v>
      </c>
      <c r="P357" s="33" t="s">
        <v>55</v>
      </c>
      <c r="Q357" s="33" t="s">
        <v>55</v>
      </c>
      <c r="R357" s="33" t="s">
        <v>55</v>
      </c>
      <c r="S357" s="1">
        <v>1</v>
      </c>
      <c r="T357" s="1">
        <v>1</v>
      </c>
      <c r="U357" s="33">
        <v>0</v>
      </c>
      <c r="V357" s="28">
        <v>46083</v>
      </c>
      <c r="W357" s="28">
        <v>46085</v>
      </c>
      <c r="X357" s="28">
        <v>46085</v>
      </c>
      <c r="Y357" s="28">
        <v>46098</v>
      </c>
      <c r="Z357" s="140">
        <v>46106</v>
      </c>
      <c r="AA357" s="33">
        <f t="shared" si="38"/>
        <v>3</v>
      </c>
      <c r="AB357" s="144" t="s">
        <v>1078</v>
      </c>
      <c r="AC357" s="35" t="s">
        <v>1079</v>
      </c>
      <c r="AD357" s="19">
        <f t="shared" si="34"/>
        <v>1</v>
      </c>
      <c r="AE357" s="67">
        <f>IFERROR(NETWORKDAYS(B357,I357,Hoja1!$A$1:$A$29),"N/A")</f>
        <v>6</v>
      </c>
      <c r="AF357" s="21">
        <f>IFERROR(NETWORKDAYS(B357,W357,Hoja1!$A$1:$A$29),"N/A")</f>
        <v>16</v>
      </c>
      <c r="AG357" s="78">
        <v>0</v>
      </c>
      <c r="AH357" s="21">
        <f t="shared" si="39"/>
        <v>16</v>
      </c>
      <c r="AI357" s="21">
        <f>IFERROR(NETWORKDAYS(X357,Y357,Hoja1!$A$1:$A$29),"N/A")</f>
        <v>10</v>
      </c>
      <c r="AJ357" s="78">
        <v>5</v>
      </c>
      <c r="AK357" s="75">
        <f t="shared" si="37"/>
        <v>5</v>
      </c>
      <c r="AL357" s="21">
        <f>IFERROR(NETWORKDAYS(B357,Y357,Hoja1!$A$1:$A$29),"N/A")</f>
        <v>25</v>
      </c>
      <c r="AM357" s="21">
        <f t="shared" si="35"/>
        <v>20</v>
      </c>
      <c r="AN357" s="84"/>
      <c r="AO357" s="84"/>
      <c r="AP357" s="84"/>
      <c r="AQ357" s="84"/>
      <c r="AR357" s="84"/>
      <c r="AS357" s="84" t="s">
        <v>1911</v>
      </c>
      <c r="AT357" s="84" t="s">
        <v>2095</v>
      </c>
      <c r="AU357" s="84" t="s">
        <v>2210</v>
      </c>
      <c r="AV357" s="324" t="s">
        <v>2442</v>
      </c>
      <c r="AW357" s="403" t="s">
        <v>2943</v>
      </c>
      <c r="AY357" s="414"/>
    </row>
    <row r="358" spans="1:51" ht="15" customHeight="1" x14ac:dyDescent="0.25">
      <c r="A358" s="304">
        <v>15842</v>
      </c>
      <c r="B358" s="142">
        <v>46063</v>
      </c>
      <c r="C358" s="142">
        <v>46063</v>
      </c>
      <c r="D358" s="21">
        <v>1</v>
      </c>
      <c r="E358" s="87" t="s">
        <v>54</v>
      </c>
      <c r="F358" s="33" t="s">
        <v>55</v>
      </c>
      <c r="G358" s="33">
        <v>2</v>
      </c>
      <c r="H358" s="3" t="s">
        <v>112</v>
      </c>
      <c r="I358" s="160">
        <v>46073</v>
      </c>
      <c r="J358" s="160">
        <v>46073</v>
      </c>
      <c r="K358" s="33">
        <v>2</v>
      </c>
      <c r="L358" s="33" t="s">
        <v>55</v>
      </c>
      <c r="M358" s="33" t="s">
        <v>55</v>
      </c>
      <c r="N358" s="33" t="s">
        <v>55</v>
      </c>
      <c r="O358" s="33" t="s">
        <v>55</v>
      </c>
      <c r="P358" s="33" t="s">
        <v>55</v>
      </c>
      <c r="Q358" s="33" t="s">
        <v>55</v>
      </c>
      <c r="R358" s="33" t="s">
        <v>55</v>
      </c>
      <c r="S358" s="33">
        <v>1</v>
      </c>
      <c r="T358" s="33">
        <v>1</v>
      </c>
      <c r="U358" s="33">
        <v>0</v>
      </c>
      <c r="V358" s="28">
        <v>46077</v>
      </c>
      <c r="W358" s="28">
        <v>46077</v>
      </c>
      <c r="X358" s="28">
        <v>46077</v>
      </c>
      <c r="Y358" s="28">
        <v>46080</v>
      </c>
      <c r="Z358" s="37">
        <v>46083</v>
      </c>
      <c r="AA358" s="33">
        <f t="shared" si="38"/>
        <v>3</v>
      </c>
      <c r="AB358" s="144" t="s">
        <v>1082</v>
      </c>
      <c r="AC358" s="35" t="s">
        <v>1083</v>
      </c>
      <c r="AD358" s="19">
        <f t="shared" si="34"/>
        <v>1</v>
      </c>
      <c r="AE358" s="67">
        <f>IFERROR(NETWORKDAYS(B358,I358,Hoja1!$A$1:$A$29),"N/A")</f>
        <v>9</v>
      </c>
      <c r="AF358" s="21">
        <f>IFERROR(NETWORKDAYS(B358,W358,Hoja1!$A$1:$A$29),"N/A")</f>
        <v>11</v>
      </c>
      <c r="AG358" s="78">
        <v>0</v>
      </c>
      <c r="AH358" s="21">
        <f t="shared" si="39"/>
        <v>11</v>
      </c>
      <c r="AI358" s="21">
        <f>IFERROR(NETWORKDAYS(X358,Y358,Hoja1!$A$1:$A$29),"N/A")</f>
        <v>4</v>
      </c>
      <c r="AJ358" s="78">
        <v>0</v>
      </c>
      <c r="AK358" s="75">
        <f t="shared" si="37"/>
        <v>4</v>
      </c>
      <c r="AL358" s="21">
        <f>IFERROR(NETWORKDAYS(B358,Y358,Hoja1!$A$1:$A$29),"N/A")</f>
        <v>14</v>
      </c>
      <c r="AM358" s="21">
        <f t="shared" si="35"/>
        <v>14</v>
      </c>
      <c r="AN358" s="87"/>
      <c r="AO358" s="87"/>
      <c r="AP358" s="87"/>
      <c r="AQ358" s="87"/>
      <c r="AR358" s="87"/>
      <c r="AS358" s="87" t="s">
        <v>1964</v>
      </c>
      <c r="AT358" s="87" t="s">
        <v>1994</v>
      </c>
      <c r="AU358" s="87" t="s">
        <v>2214</v>
      </c>
      <c r="AV358" s="320" t="s">
        <v>2239</v>
      </c>
      <c r="AW358" s="403" t="s">
        <v>2944</v>
      </c>
      <c r="AY358" s="415"/>
    </row>
    <row r="359" spans="1:51" ht="15" customHeight="1" x14ac:dyDescent="0.25">
      <c r="A359" s="294">
        <v>15843</v>
      </c>
      <c r="B359" s="142">
        <v>46063</v>
      </c>
      <c r="C359" s="142">
        <v>46063</v>
      </c>
      <c r="D359" s="21">
        <v>1</v>
      </c>
      <c r="E359" s="87" t="s">
        <v>54</v>
      </c>
      <c r="F359" s="3" t="s">
        <v>55</v>
      </c>
      <c r="G359" s="3">
        <v>3</v>
      </c>
      <c r="H359" s="3" t="s">
        <v>112</v>
      </c>
      <c r="I359" s="160">
        <v>46078</v>
      </c>
      <c r="J359" s="160">
        <v>46078</v>
      </c>
      <c r="K359" s="3">
        <v>3</v>
      </c>
      <c r="L359" s="3" t="s">
        <v>55</v>
      </c>
      <c r="M359" s="3" t="s">
        <v>55</v>
      </c>
      <c r="N359" s="3" t="s">
        <v>55</v>
      </c>
      <c r="O359" s="3" t="s">
        <v>55</v>
      </c>
      <c r="P359" s="3" t="s">
        <v>55</v>
      </c>
      <c r="Q359" s="3" t="s">
        <v>55</v>
      </c>
      <c r="R359" s="3" t="s">
        <v>55</v>
      </c>
      <c r="S359" s="2">
        <v>2</v>
      </c>
      <c r="T359" s="2">
        <v>2</v>
      </c>
      <c r="U359" s="3">
        <v>0</v>
      </c>
      <c r="V359" s="44">
        <v>46083</v>
      </c>
      <c r="W359" s="28">
        <v>46084</v>
      </c>
      <c r="X359" s="28">
        <v>46086</v>
      </c>
      <c r="Y359" s="28">
        <v>46092</v>
      </c>
      <c r="Z359" s="16">
        <v>46093</v>
      </c>
      <c r="AA359" s="33">
        <f t="shared" si="38"/>
        <v>3</v>
      </c>
      <c r="AB359" s="144" t="s">
        <v>1084</v>
      </c>
      <c r="AC359" s="35" t="s">
        <v>1085</v>
      </c>
      <c r="AD359" s="19">
        <f t="shared" si="34"/>
        <v>1</v>
      </c>
      <c r="AE359" s="67">
        <f>IFERROR(NETWORKDAYS(B359,I359,Hoja1!$A$1:$A$29),"N/A")</f>
        <v>12</v>
      </c>
      <c r="AF359" s="21">
        <f>IFERROR(NETWORKDAYS(B359,W359,Hoja1!$A$1:$A$29),"N/A")</f>
        <v>16</v>
      </c>
      <c r="AG359" s="78">
        <v>0</v>
      </c>
      <c r="AH359" s="21">
        <f t="shared" si="39"/>
        <v>16</v>
      </c>
      <c r="AI359" s="21">
        <f>IFERROR(NETWORKDAYS(X359,Y359,Hoja1!$A$1:$A$29),"N/A")</f>
        <v>5</v>
      </c>
      <c r="AJ359" s="78">
        <v>0</v>
      </c>
      <c r="AK359" s="75">
        <f t="shared" si="37"/>
        <v>5</v>
      </c>
      <c r="AL359" s="21">
        <f>IFERROR(NETWORKDAYS(B359,Y359,Hoja1!$A$1:$A$29),"N/A")</f>
        <v>22</v>
      </c>
      <c r="AM359" s="21">
        <f t="shared" si="35"/>
        <v>22</v>
      </c>
      <c r="AN359" s="46"/>
      <c r="AO359" s="111"/>
      <c r="AP359" s="111"/>
      <c r="AQ359" s="111"/>
      <c r="AR359" s="111"/>
      <c r="AS359" s="111" t="s">
        <v>1964</v>
      </c>
      <c r="AT359" s="111" t="s">
        <v>1996</v>
      </c>
      <c r="AU359" s="111" t="s">
        <v>2214</v>
      </c>
      <c r="AV359" s="321" t="s">
        <v>2239</v>
      </c>
      <c r="AW359" s="403" t="s">
        <v>2945</v>
      </c>
      <c r="AY359" s="414"/>
    </row>
    <row r="360" spans="1:51" ht="15" customHeight="1" x14ac:dyDescent="0.25">
      <c r="A360" s="301">
        <v>15845</v>
      </c>
      <c r="B360" s="142">
        <v>46063</v>
      </c>
      <c r="C360" s="142">
        <v>46063</v>
      </c>
      <c r="D360" s="21">
        <v>1</v>
      </c>
      <c r="E360" s="87" t="s">
        <v>54</v>
      </c>
      <c r="F360" s="33" t="s">
        <v>55</v>
      </c>
      <c r="G360" s="33">
        <v>5</v>
      </c>
      <c r="H360" s="3" t="s">
        <v>112</v>
      </c>
      <c r="I360" s="30">
        <v>46066</v>
      </c>
      <c r="J360" s="30">
        <v>46066</v>
      </c>
      <c r="K360" s="33">
        <v>5</v>
      </c>
      <c r="L360" s="33" t="s">
        <v>55</v>
      </c>
      <c r="M360" s="33" t="s">
        <v>55</v>
      </c>
      <c r="N360" s="33" t="s">
        <v>55</v>
      </c>
      <c r="O360" s="33" t="s">
        <v>55</v>
      </c>
      <c r="P360" s="33" t="s">
        <v>55</v>
      </c>
      <c r="Q360" s="33" t="s">
        <v>55</v>
      </c>
      <c r="R360" s="33" t="s">
        <v>55</v>
      </c>
      <c r="S360" s="33">
        <v>1</v>
      </c>
      <c r="T360" s="33">
        <v>1</v>
      </c>
      <c r="U360" s="33">
        <v>0</v>
      </c>
      <c r="V360" s="28">
        <v>46071</v>
      </c>
      <c r="W360" s="28">
        <v>46072</v>
      </c>
      <c r="X360" s="28">
        <v>46072</v>
      </c>
      <c r="Y360" s="28">
        <v>46083</v>
      </c>
      <c r="Z360" s="37">
        <v>46083</v>
      </c>
      <c r="AA360" s="33">
        <f t="shared" si="38"/>
        <v>3</v>
      </c>
      <c r="AB360" s="144" t="s">
        <v>1086</v>
      </c>
      <c r="AC360" s="35" t="s">
        <v>1087</v>
      </c>
      <c r="AD360" s="19">
        <f t="shared" si="34"/>
        <v>1</v>
      </c>
      <c r="AE360" s="67">
        <f>IFERROR(NETWORKDAYS(B360,I360,Hoja1!$A$1:$A$29),"N/A")</f>
        <v>4</v>
      </c>
      <c r="AF360" s="21">
        <f>IFERROR(NETWORKDAYS(B360,W360,Hoja1!$A$1:$A$29),"N/A")</f>
        <v>8</v>
      </c>
      <c r="AG360" s="78">
        <v>0</v>
      </c>
      <c r="AH360" s="21">
        <f t="shared" si="39"/>
        <v>8</v>
      </c>
      <c r="AI360" s="21">
        <f>IFERROR(NETWORKDAYS(X360,Y360,Hoja1!$A$1:$A$29),"N/A")</f>
        <v>8</v>
      </c>
      <c r="AJ360" s="78">
        <v>3</v>
      </c>
      <c r="AK360" s="75">
        <f t="shared" si="37"/>
        <v>5</v>
      </c>
      <c r="AL360" s="21">
        <f>IFERROR(NETWORKDAYS(B360,Y360,Hoja1!$A$1:$A$29),"N/A")</f>
        <v>15</v>
      </c>
      <c r="AM360" s="21">
        <f t="shared" si="35"/>
        <v>12</v>
      </c>
      <c r="AN360" s="84"/>
      <c r="AO360" s="84"/>
      <c r="AP360" s="84"/>
      <c r="AQ360" s="84"/>
      <c r="AR360" s="84"/>
      <c r="AS360" s="84" t="s">
        <v>1927</v>
      </c>
      <c r="AT360" s="84" t="s">
        <v>2095</v>
      </c>
      <c r="AU360" s="84" t="s">
        <v>2214</v>
      </c>
      <c r="AV360" s="324" t="s">
        <v>2443</v>
      </c>
      <c r="AW360" s="403" t="s">
        <v>2946</v>
      </c>
      <c r="AY360" s="415"/>
    </row>
    <row r="361" spans="1:51" ht="15" customHeight="1" x14ac:dyDescent="0.25">
      <c r="A361" s="301">
        <v>15846</v>
      </c>
      <c r="B361" s="142">
        <v>46063</v>
      </c>
      <c r="C361" s="142">
        <v>46063</v>
      </c>
      <c r="D361" s="21">
        <v>1</v>
      </c>
      <c r="E361" s="87" t="s">
        <v>54</v>
      </c>
      <c r="F361" s="33" t="s">
        <v>55</v>
      </c>
      <c r="G361" s="33">
        <v>0</v>
      </c>
      <c r="H361" s="33"/>
      <c r="I361" s="142" t="s">
        <v>55</v>
      </c>
      <c r="J361" s="142" t="s">
        <v>55</v>
      </c>
      <c r="K361" s="33">
        <v>0</v>
      </c>
      <c r="L361" s="33" t="s">
        <v>55</v>
      </c>
      <c r="M361" s="33" t="s">
        <v>55</v>
      </c>
      <c r="N361" s="33" t="s">
        <v>55</v>
      </c>
      <c r="O361" s="33" t="s">
        <v>55</v>
      </c>
      <c r="P361" s="33" t="s">
        <v>55</v>
      </c>
      <c r="Q361" s="33" t="s">
        <v>55</v>
      </c>
      <c r="R361" s="33" t="s">
        <v>55</v>
      </c>
      <c r="S361" s="33">
        <v>1</v>
      </c>
      <c r="T361" s="33">
        <v>1</v>
      </c>
      <c r="U361" s="33">
        <v>0</v>
      </c>
      <c r="V361" s="28">
        <v>46071</v>
      </c>
      <c r="W361" s="28">
        <v>46072</v>
      </c>
      <c r="X361" s="28">
        <v>46072</v>
      </c>
      <c r="Y361" s="28">
        <v>46080</v>
      </c>
      <c r="Z361" s="37">
        <v>46083</v>
      </c>
      <c r="AA361" s="33">
        <f t="shared" si="38"/>
        <v>3</v>
      </c>
      <c r="AB361" s="144" t="s">
        <v>1088</v>
      </c>
      <c r="AC361" s="35" t="s">
        <v>1089</v>
      </c>
      <c r="AD361" s="19" t="str">
        <f t="shared" si="34"/>
        <v>N/A</v>
      </c>
      <c r="AE361" s="67" t="str">
        <f>IFERROR(NETWORKDAYS(B361,I361,Hoja1!$A$1:$A$29),"N/A")</f>
        <v>N/A</v>
      </c>
      <c r="AF361" s="21">
        <f>IFERROR(NETWORKDAYS(B361,W361,Hoja1!$A$1:$A$29),"N/A")</f>
        <v>8</v>
      </c>
      <c r="AG361" s="78">
        <v>0</v>
      </c>
      <c r="AH361" s="21">
        <f t="shared" si="39"/>
        <v>8</v>
      </c>
      <c r="AI361" s="21">
        <f>IFERROR(NETWORKDAYS(X361,Y361,Hoja1!$A$1:$A$29),"N/A")</f>
        <v>7</v>
      </c>
      <c r="AJ361" s="78">
        <v>3</v>
      </c>
      <c r="AK361" s="75">
        <f t="shared" si="37"/>
        <v>4</v>
      </c>
      <c r="AL361" s="21">
        <f>IFERROR(NETWORKDAYS(B361,Y361,Hoja1!$A$1:$A$29),"N/A")</f>
        <v>14</v>
      </c>
      <c r="AM361" s="21">
        <f t="shared" si="35"/>
        <v>11</v>
      </c>
      <c r="AN361" s="84"/>
      <c r="AO361" s="84"/>
      <c r="AP361" s="84"/>
      <c r="AQ361" s="84"/>
      <c r="AR361" s="84"/>
      <c r="AS361" s="84" t="s">
        <v>1965</v>
      </c>
      <c r="AT361" s="84" t="s">
        <v>2122</v>
      </c>
      <c r="AU361" s="84" t="s">
        <v>2214</v>
      </c>
      <c r="AV361" s="324" t="s">
        <v>2444</v>
      </c>
      <c r="AW361" s="403" t="s">
        <v>2947</v>
      </c>
      <c r="AY361" s="414"/>
    </row>
    <row r="362" spans="1:51" ht="15" customHeight="1" x14ac:dyDescent="0.25">
      <c r="A362" s="303">
        <v>15847</v>
      </c>
      <c r="B362" s="142">
        <v>46063</v>
      </c>
      <c r="C362" s="142">
        <v>46063</v>
      </c>
      <c r="D362" s="21">
        <v>1</v>
      </c>
      <c r="E362" s="87" t="s">
        <v>54</v>
      </c>
      <c r="F362" s="33" t="s">
        <v>55</v>
      </c>
      <c r="G362" s="33">
        <v>0</v>
      </c>
      <c r="H362" s="33"/>
      <c r="I362" s="142" t="s">
        <v>55</v>
      </c>
      <c r="J362" s="142" t="s">
        <v>55</v>
      </c>
      <c r="K362" s="33">
        <v>0</v>
      </c>
      <c r="L362" s="33" t="s">
        <v>55</v>
      </c>
      <c r="M362" s="33" t="s">
        <v>55</v>
      </c>
      <c r="N362" s="33" t="s">
        <v>55</v>
      </c>
      <c r="O362" s="33" t="s">
        <v>55</v>
      </c>
      <c r="P362" s="33" t="s">
        <v>55</v>
      </c>
      <c r="Q362" s="33" t="s">
        <v>55</v>
      </c>
      <c r="R362" s="33" t="s">
        <v>55</v>
      </c>
      <c r="S362" s="33">
        <v>1</v>
      </c>
      <c r="T362" s="33">
        <v>1</v>
      </c>
      <c r="U362" s="33">
        <v>0</v>
      </c>
      <c r="V362" s="28">
        <v>46073</v>
      </c>
      <c r="W362" s="28">
        <v>46073</v>
      </c>
      <c r="X362" s="28">
        <v>46076</v>
      </c>
      <c r="Y362" s="28">
        <v>46080</v>
      </c>
      <c r="Z362" s="38">
        <v>46083</v>
      </c>
      <c r="AA362" s="33">
        <f t="shared" si="38"/>
        <v>3</v>
      </c>
      <c r="AB362" s="144" t="s">
        <v>1090</v>
      </c>
      <c r="AC362" s="35" t="s">
        <v>1091</v>
      </c>
      <c r="AD362" s="19" t="str">
        <f t="shared" si="34"/>
        <v>N/A</v>
      </c>
      <c r="AE362" s="67" t="str">
        <f>IFERROR(NETWORKDAYS(B362,I362,Hoja1!$A$1:$A$29),"N/A")</f>
        <v>N/A</v>
      </c>
      <c r="AF362" s="21">
        <f>IFERROR(NETWORKDAYS(B362,W362,Hoja1!$A$1:$A$29),"N/A")</f>
        <v>9</v>
      </c>
      <c r="AG362" s="78">
        <v>0</v>
      </c>
      <c r="AH362" s="21">
        <f t="shared" si="39"/>
        <v>9</v>
      </c>
      <c r="AI362" s="21">
        <f>IFERROR(NETWORKDAYS(X362,Y362,Hoja1!$A$1:$A$29),"N/A")</f>
        <v>5</v>
      </c>
      <c r="AJ362" s="78">
        <v>0</v>
      </c>
      <c r="AK362" s="75">
        <f t="shared" si="37"/>
        <v>5</v>
      </c>
      <c r="AL362" s="21">
        <f>IFERROR(NETWORKDAYS(B362,Y362,Hoja1!$A$1:$A$29),"N/A")</f>
        <v>14</v>
      </c>
      <c r="AM362" s="21">
        <f t="shared" si="35"/>
        <v>14</v>
      </c>
      <c r="AN362" s="87"/>
      <c r="AO362" s="87"/>
      <c r="AP362" s="87"/>
      <c r="AQ362" s="87"/>
      <c r="AR362" s="87"/>
      <c r="AS362" s="87" t="s">
        <v>1906</v>
      </c>
      <c r="AT362" s="87" t="s">
        <v>2021</v>
      </c>
      <c r="AU362" s="87" t="s">
        <v>2212</v>
      </c>
      <c r="AV362" s="320" t="s">
        <v>2445</v>
      </c>
      <c r="AW362" s="403" t="s">
        <v>2948</v>
      </c>
      <c r="AY362" s="415"/>
    </row>
    <row r="363" spans="1:51" ht="15" customHeight="1" x14ac:dyDescent="0.25">
      <c r="A363" s="303">
        <v>15849</v>
      </c>
      <c r="B363" s="142">
        <v>46063</v>
      </c>
      <c r="C363" s="142">
        <v>46063</v>
      </c>
      <c r="D363" s="21">
        <v>1</v>
      </c>
      <c r="E363" s="87" t="s">
        <v>54</v>
      </c>
      <c r="F363" s="33" t="s">
        <v>55</v>
      </c>
      <c r="G363" s="33">
        <v>0</v>
      </c>
      <c r="H363" s="33"/>
      <c r="I363" s="142" t="s">
        <v>55</v>
      </c>
      <c r="J363" s="142" t="s">
        <v>55</v>
      </c>
      <c r="K363" s="33">
        <v>0</v>
      </c>
      <c r="L363" s="33" t="s">
        <v>55</v>
      </c>
      <c r="M363" s="33" t="s">
        <v>55</v>
      </c>
      <c r="N363" s="33" t="s">
        <v>55</v>
      </c>
      <c r="O363" s="33" t="s">
        <v>55</v>
      </c>
      <c r="P363" s="33" t="s">
        <v>55</v>
      </c>
      <c r="Q363" s="33" t="s">
        <v>55</v>
      </c>
      <c r="R363" s="33" t="s">
        <v>55</v>
      </c>
      <c r="S363" s="33">
        <v>1</v>
      </c>
      <c r="T363" s="33">
        <v>1</v>
      </c>
      <c r="U363" s="33">
        <v>0</v>
      </c>
      <c r="V363" s="28">
        <v>46080</v>
      </c>
      <c r="W363" s="28">
        <v>46080</v>
      </c>
      <c r="X363" s="28">
        <v>46080</v>
      </c>
      <c r="Y363" s="28">
        <v>46092</v>
      </c>
      <c r="Z363" s="53">
        <v>46093</v>
      </c>
      <c r="AA363" s="33">
        <f t="shared" si="38"/>
        <v>3</v>
      </c>
      <c r="AB363" s="144" t="s">
        <v>1093</v>
      </c>
      <c r="AC363" s="35" t="s">
        <v>1094</v>
      </c>
      <c r="AD363" s="19" t="str">
        <f t="shared" si="34"/>
        <v>N/A</v>
      </c>
      <c r="AE363" s="67" t="str">
        <f>IFERROR(NETWORKDAYS(B363,I363,Hoja1!$A$1:$A$29),"N/A")</f>
        <v>N/A</v>
      </c>
      <c r="AF363" s="21">
        <f>IFERROR(NETWORKDAYS(B363,W363,Hoja1!$A$1:$A$29),"N/A")</f>
        <v>14</v>
      </c>
      <c r="AG363" s="78">
        <v>3</v>
      </c>
      <c r="AH363" s="21">
        <f t="shared" si="39"/>
        <v>11</v>
      </c>
      <c r="AI363" s="21">
        <f>IFERROR(NETWORKDAYS(X363,Y363,Hoja1!$A$1:$A$29),"N/A")</f>
        <v>9</v>
      </c>
      <c r="AJ363" s="78">
        <v>4</v>
      </c>
      <c r="AK363" s="75">
        <f t="shared" si="37"/>
        <v>5</v>
      </c>
      <c r="AL363" s="21">
        <f>IFERROR(NETWORKDAYS(B363,Y363,Hoja1!$A$1:$A$29),"N/A")</f>
        <v>22</v>
      </c>
      <c r="AM363" s="21">
        <f t="shared" si="35"/>
        <v>15</v>
      </c>
      <c r="AN363" s="87" t="s">
        <v>881</v>
      </c>
      <c r="AO363" s="87"/>
      <c r="AP363" s="87"/>
      <c r="AQ363" s="87"/>
      <c r="AR363" s="87"/>
      <c r="AS363" s="87" t="s">
        <v>1906</v>
      </c>
      <c r="AT363" s="87" t="s">
        <v>2021</v>
      </c>
      <c r="AU363" s="87" t="s">
        <v>2212</v>
      </c>
      <c r="AV363" s="320" t="s">
        <v>2446</v>
      </c>
      <c r="AW363" s="403" t="s">
        <v>2949</v>
      </c>
      <c r="AY363" s="414"/>
    </row>
    <row r="364" spans="1:51" ht="15" customHeight="1" x14ac:dyDescent="0.25">
      <c r="A364" s="294">
        <v>15851</v>
      </c>
      <c r="B364" s="142">
        <v>46064</v>
      </c>
      <c r="C364" s="142">
        <v>46064</v>
      </c>
      <c r="D364" s="21">
        <v>1</v>
      </c>
      <c r="E364" s="87" t="s">
        <v>54</v>
      </c>
      <c r="F364" s="3" t="s">
        <v>55</v>
      </c>
      <c r="G364" s="3">
        <v>0</v>
      </c>
      <c r="H364" s="33"/>
      <c r="I364" s="155" t="s">
        <v>55</v>
      </c>
      <c r="J364" s="155" t="s">
        <v>55</v>
      </c>
      <c r="K364" s="3">
        <v>0</v>
      </c>
      <c r="L364" s="3" t="s">
        <v>55</v>
      </c>
      <c r="M364" s="3" t="s">
        <v>55</v>
      </c>
      <c r="N364" s="3" t="s">
        <v>55</v>
      </c>
      <c r="O364" s="3" t="s">
        <v>55</v>
      </c>
      <c r="P364" s="3" t="s">
        <v>55</v>
      </c>
      <c r="Q364" s="3" t="s">
        <v>55</v>
      </c>
      <c r="R364" s="3" t="s">
        <v>55</v>
      </c>
      <c r="S364" s="3">
        <v>1</v>
      </c>
      <c r="T364" s="3">
        <v>1</v>
      </c>
      <c r="U364" s="3">
        <v>0</v>
      </c>
      <c r="V364" s="148">
        <v>46076</v>
      </c>
      <c r="W364" s="148">
        <v>46076</v>
      </c>
      <c r="X364" s="148">
        <v>46076</v>
      </c>
      <c r="Y364" s="28">
        <v>46080</v>
      </c>
      <c r="Z364" s="38">
        <v>46083</v>
      </c>
      <c r="AA364" s="33">
        <f t="shared" si="38"/>
        <v>3</v>
      </c>
      <c r="AB364" s="144" t="s">
        <v>1096</v>
      </c>
      <c r="AC364" s="35" t="s">
        <v>1097</v>
      </c>
      <c r="AD364" s="19" t="str">
        <f t="shared" si="34"/>
        <v>N/A</v>
      </c>
      <c r="AE364" s="67" t="str">
        <f>IFERROR(NETWORKDAYS(B364,I364,Hoja1!$A$1:$A$29),"N/A")</f>
        <v>N/A</v>
      </c>
      <c r="AF364" s="21">
        <f>IFERROR(NETWORKDAYS(B364,W364,Hoja1!$A$1:$A$29),"N/A")</f>
        <v>9</v>
      </c>
      <c r="AG364" s="78">
        <v>0</v>
      </c>
      <c r="AH364" s="21">
        <f t="shared" si="39"/>
        <v>9</v>
      </c>
      <c r="AI364" s="21">
        <f>IFERROR(NETWORKDAYS(X364,Y364,Hoja1!$A$1:$A$29),"N/A")</f>
        <v>5</v>
      </c>
      <c r="AJ364" s="78">
        <v>0</v>
      </c>
      <c r="AK364" s="75">
        <f t="shared" si="37"/>
        <v>5</v>
      </c>
      <c r="AL364" s="21">
        <f>IFERROR(NETWORKDAYS(B364,Y364,Hoja1!$A$1:$A$29),"N/A")</f>
        <v>13</v>
      </c>
      <c r="AM364" s="21">
        <f t="shared" si="35"/>
        <v>13</v>
      </c>
      <c r="AN364" s="114" t="s">
        <v>446</v>
      </c>
      <c r="AO364" s="114"/>
      <c r="AP364" s="114"/>
      <c r="AQ364" s="114"/>
      <c r="AR364" s="114"/>
      <c r="AS364" s="114" t="s">
        <v>1911</v>
      </c>
      <c r="AT364" s="114" t="s">
        <v>2030</v>
      </c>
      <c r="AU364" s="114" t="s">
        <v>2210</v>
      </c>
      <c r="AV364" s="322" t="s">
        <v>2235</v>
      </c>
      <c r="AW364" s="403" t="s">
        <v>2950</v>
      </c>
      <c r="AY364" s="415"/>
    </row>
    <row r="365" spans="1:51" ht="15" customHeight="1" x14ac:dyDescent="0.25">
      <c r="A365" s="295">
        <v>15859</v>
      </c>
      <c r="B365" s="142">
        <v>46073</v>
      </c>
      <c r="C365" s="142">
        <v>46065</v>
      </c>
      <c r="D365" s="21">
        <v>1</v>
      </c>
      <c r="E365" s="87" t="s">
        <v>54</v>
      </c>
      <c r="F365" s="3" t="s">
        <v>55</v>
      </c>
      <c r="G365" s="3">
        <v>8</v>
      </c>
      <c r="H365" s="3" t="s">
        <v>112</v>
      </c>
      <c r="I365" s="30">
        <v>46086</v>
      </c>
      <c r="J365" s="30">
        <v>46086</v>
      </c>
      <c r="K365" s="3">
        <v>8</v>
      </c>
      <c r="L365" s="3" t="s">
        <v>55</v>
      </c>
      <c r="M365" s="3" t="s">
        <v>55</v>
      </c>
      <c r="N365" s="3" t="s">
        <v>55</v>
      </c>
      <c r="O365" s="3" t="s">
        <v>55</v>
      </c>
      <c r="P365" s="3" t="s">
        <v>55</v>
      </c>
      <c r="Q365" s="3" t="s">
        <v>55</v>
      </c>
      <c r="R365" s="18" t="s">
        <v>55</v>
      </c>
      <c r="S365" s="3">
        <v>2</v>
      </c>
      <c r="T365" s="3">
        <v>2</v>
      </c>
      <c r="U365" s="3">
        <v>0</v>
      </c>
      <c r="V365" s="28">
        <v>46094</v>
      </c>
      <c r="W365" s="28">
        <v>46094</v>
      </c>
      <c r="X365" s="28">
        <v>46094</v>
      </c>
      <c r="Y365" s="28">
        <v>46106</v>
      </c>
      <c r="Z365" s="140">
        <v>46106</v>
      </c>
      <c r="AA365" s="33">
        <f t="shared" si="38"/>
        <v>3</v>
      </c>
      <c r="AB365" s="144" t="s">
        <v>1098</v>
      </c>
      <c r="AC365" s="35" t="s">
        <v>1099</v>
      </c>
      <c r="AD365" s="19">
        <f t="shared" si="34"/>
        <v>1</v>
      </c>
      <c r="AE365" s="67">
        <f>IFERROR(NETWORKDAYS(B365,I365,Hoja1!$A$1:$A$29),"N/A")</f>
        <v>10</v>
      </c>
      <c r="AF365" s="21">
        <f>IFERROR(NETWORKDAYS(B365,W365,Hoja1!$A$1:$A$29),"N/A")</f>
        <v>16</v>
      </c>
      <c r="AG365" s="78">
        <v>0</v>
      </c>
      <c r="AH365" s="21">
        <f t="shared" si="39"/>
        <v>16</v>
      </c>
      <c r="AI365" s="21">
        <f>IFERROR(NETWORKDAYS(X365,Y365,Hoja1!$A$1:$A$29),"N/A")</f>
        <v>8</v>
      </c>
      <c r="AJ365" s="78">
        <v>3</v>
      </c>
      <c r="AK365" s="75">
        <f t="shared" si="37"/>
        <v>5</v>
      </c>
      <c r="AL365" s="21">
        <f>IFERROR(NETWORKDAYS(B365,Y365,Hoja1!$A$1:$A$29),"N/A")</f>
        <v>23</v>
      </c>
      <c r="AM365" s="21">
        <f t="shared" si="35"/>
        <v>20</v>
      </c>
      <c r="AN365" s="114"/>
      <c r="AO365" s="114"/>
      <c r="AP365" s="114"/>
      <c r="AQ365" s="114"/>
      <c r="AR365" s="114"/>
      <c r="AS365" s="114" t="s">
        <v>1953</v>
      </c>
      <c r="AT365" s="114" t="s">
        <v>2017</v>
      </c>
      <c r="AU365" s="114" t="s">
        <v>2209</v>
      </c>
      <c r="AV365" s="322" t="s">
        <v>2447</v>
      </c>
      <c r="AW365" s="403" t="s">
        <v>2951</v>
      </c>
      <c r="AY365" s="414"/>
    </row>
    <row r="366" spans="1:51" ht="15" customHeight="1" x14ac:dyDescent="0.25">
      <c r="A366" s="303">
        <v>15860</v>
      </c>
      <c r="B366" s="142">
        <v>46065</v>
      </c>
      <c r="C366" s="142">
        <v>46065</v>
      </c>
      <c r="D366" s="21">
        <v>1</v>
      </c>
      <c r="E366" s="87" t="s">
        <v>54</v>
      </c>
      <c r="F366" s="33" t="s">
        <v>55</v>
      </c>
      <c r="G366" s="33">
        <v>0</v>
      </c>
      <c r="H366" s="33"/>
      <c r="I366" s="142" t="s">
        <v>55</v>
      </c>
      <c r="J366" s="142" t="s">
        <v>55</v>
      </c>
      <c r="K366" s="33">
        <v>0</v>
      </c>
      <c r="L366" s="33" t="s">
        <v>55</v>
      </c>
      <c r="M366" s="33" t="s">
        <v>55</v>
      </c>
      <c r="N366" s="33" t="s">
        <v>55</v>
      </c>
      <c r="O366" s="33" t="s">
        <v>55</v>
      </c>
      <c r="P366" s="33" t="s">
        <v>55</v>
      </c>
      <c r="Q366" s="33" t="s">
        <v>55</v>
      </c>
      <c r="R366" s="33" t="s">
        <v>55</v>
      </c>
      <c r="S366" s="33">
        <v>1</v>
      </c>
      <c r="T366" s="33">
        <v>1</v>
      </c>
      <c r="U366" s="33">
        <v>0</v>
      </c>
      <c r="V366" s="28">
        <v>46076</v>
      </c>
      <c r="W366" s="28">
        <v>46076</v>
      </c>
      <c r="X366" s="28">
        <v>46077</v>
      </c>
      <c r="Y366" s="28">
        <v>46091</v>
      </c>
      <c r="Z366" s="38">
        <v>46093</v>
      </c>
      <c r="AA366" s="33">
        <f t="shared" si="38"/>
        <v>3</v>
      </c>
      <c r="AB366" s="144" t="s">
        <v>1101</v>
      </c>
      <c r="AC366" s="35" t="s">
        <v>1102</v>
      </c>
      <c r="AD366" s="19" t="str">
        <f t="shared" si="34"/>
        <v>N/A</v>
      </c>
      <c r="AE366" s="67" t="str">
        <f>IFERROR(NETWORKDAYS(B366,I366,Hoja1!$A$1:$A$29),"N/A")</f>
        <v>N/A</v>
      </c>
      <c r="AF366" s="21">
        <f>IFERROR(NETWORKDAYS(B366,W366,Hoja1!$A$1:$A$29),"N/A")</f>
        <v>8</v>
      </c>
      <c r="AG366" s="78">
        <v>0</v>
      </c>
      <c r="AH366" s="21">
        <f t="shared" si="39"/>
        <v>8</v>
      </c>
      <c r="AI366" s="21">
        <f>IFERROR(NETWORKDAYS(X366,Y366,Hoja1!$A$1:$A$29),"N/A")</f>
        <v>11</v>
      </c>
      <c r="AJ366" s="78">
        <v>6</v>
      </c>
      <c r="AK366" s="75">
        <f t="shared" si="37"/>
        <v>5</v>
      </c>
      <c r="AL366" s="21">
        <f>IFERROR(NETWORKDAYS(B366,Y366,Hoja1!$A$1:$A$29),"N/A")</f>
        <v>19</v>
      </c>
      <c r="AM366" s="21">
        <f t="shared" si="35"/>
        <v>13</v>
      </c>
      <c r="AN366" s="111"/>
      <c r="AO366" s="87"/>
      <c r="AP366" s="87"/>
      <c r="AQ366" s="87"/>
      <c r="AR366" s="87"/>
      <c r="AS366" s="87" t="s">
        <v>1938</v>
      </c>
      <c r="AT366" s="87" t="s">
        <v>2056</v>
      </c>
      <c r="AU366" s="87" t="s">
        <v>2212</v>
      </c>
      <c r="AV366" s="320" t="s">
        <v>2437</v>
      </c>
      <c r="AW366" s="403" t="s">
        <v>2952</v>
      </c>
      <c r="AY366" s="415"/>
    </row>
    <row r="367" spans="1:51" ht="15" customHeight="1" x14ac:dyDescent="0.25">
      <c r="A367" s="303">
        <v>15862</v>
      </c>
      <c r="B367" s="142">
        <v>46065</v>
      </c>
      <c r="C367" s="142">
        <v>46065</v>
      </c>
      <c r="D367" s="21">
        <v>1</v>
      </c>
      <c r="E367" s="87" t="s">
        <v>54</v>
      </c>
      <c r="F367" s="33" t="s">
        <v>55</v>
      </c>
      <c r="G367" s="33">
        <v>0</v>
      </c>
      <c r="H367" s="33"/>
      <c r="I367" s="142" t="s">
        <v>55</v>
      </c>
      <c r="J367" s="142" t="s">
        <v>55</v>
      </c>
      <c r="K367" s="33">
        <v>0</v>
      </c>
      <c r="L367" s="33" t="s">
        <v>55</v>
      </c>
      <c r="M367" s="33" t="s">
        <v>55</v>
      </c>
      <c r="N367" s="33" t="s">
        <v>55</v>
      </c>
      <c r="O367" s="33" t="s">
        <v>55</v>
      </c>
      <c r="P367" s="33" t="s">
        <v>55</v>
      </c>
      <c r="Q367" s="33" t="s">
        <v>55</v>
      </c>
      <c r="R367" s="33" t="s">
        <v>55</v>
      </c>
      <c r="S367" s="33">
        <v>1</v>
      </c>
      <c r="T367" s="33">
        <v>1</v>
      </c>
      <c r="U367" s="33">
        <v>0</v>
      </c>
      <c r="V367" s="28">
        <v>46077</v>
      </c>
      <c r="W367" s="28">
        <v>46077</v>
      </c>
      <c r="X367" s="28">
        <v>46077</v>
      </c>
      <c r="Y367" s="28">
        <v>46086</v>
      </c>
      <c r="Z367" s="53">
        <v>46093</v>
      </c>
      <c r="AA367" s="33">
        <f t="shared" si="38"/>
        <v>3</v>
      </c>
      <c r="AB367" s="144" t="s">
        <v>1103</v>
      </c>
      <c r="AC367" s="35" t="s">
        <v>1104</v>
      </c>
      <c r="AD367" s="19" t="str">
        <f t="shared" si="34"/>
        <v>N/A</v>
      </c>
      <c r="AE367" s="67" t="str">
        <f>IFERROR(NETWORKDAYS(B367,I367,Hoja1!$A$1:$A$29),"N/A")</f>
        <v>N/A</v>
      </c>
      <c r="AF367" s="21">
        <f>IFERROR(NETWORKDAYS(B367,W367,Hoja1!$A$1:$A$29),"N/A")</f>
        <v>9</v>
      </c>
      <c r="AG367" s="78">
        <v>0</v>
      </c>
      <c r="AH367" s="21">
        <f t="shared" si="39"/>
        <v>9</v>
      </c>
      <c r="AI367" s="21">
        <f>IFERROR(NETWORKDAYS(X367,Y367,Hoja1!$A$1:$A$29),"N/A")</f>
        <v>8</v>
      </c>
      <c r="AJ367" s="78">
        <v>3</v>
      </c>
      <c r="AK367" s="75">
        <f t="shared" si="37"/>
        <v>5</v>
      </c>
      <c r="AL367" s="21">
        <f>IFERROR(NETWORKDAYS(B367,Y367,Hoja1!$A$1:$A$29),"N/A")</f>
        <v>16</v>
      </c>
      <c r="AM367" s="21">
        <f t="shared" si="35"/>
        <v>13</v>
      </c>
      <c r="AN367" s="111"/>
      <c r="AO367" s="111"/>
      <c r="AP367" s="111"/>
      <c r="AQ367" s="111"/>
      <c r="AR367" s="111"/>
      <c r="AS367" s="111" t="s">
        <v>1938</v>
      </c>
      <c r="AT367" s="111" t="s">
        <v>2027</v>
      </c>
      <c r="AU367" s="111" t="s">
        <v>2212</v>
      </c>
      <c r="AV367" s="321" t="s">
        <v>2412</v>
      </c>
      <c r="AW367" s="403" t="s">
        <v>2953</v>
      </c>
      <c r="AY367" s="414"/>
    </row>
    <row r="368" spans="1:51" ht="15" customHeight="1" x14ac:dyDescent="0.25">
      <c r="A368" s="303">
        <v>15863</v>
      </c>
      <c r="B368" s="142">
        <v>46065</v>
      </c>
      <c r="C368" s="142">
        <v>46065</v>
      </c>
      <c r="D368" s="21">
        <v>1</v>
      </c>
      <c r="E368" s="87" t="s">
        <v>54</v>
      </c>
      <c r="F368" s="33" t="s">
        <v>55</v>
      </c>
      <c r="G368" s="33">
        <v>0</v>
      </c>
      <c r="H368" s="33"/>
      <c r="I368" s="142" t="s">
        <v>55</v>
      </c>
      <c r="J368" s="142" t="s">
        <v>55</v>
      </c>
      <c r="K368" s="33">
        <v>0</v>
      </c>
      <c r="L368" s="33" t="s">
        <v>55</v>
      </c>
      <c r="M368" s="33" t="s">
        <v>55</v>
      </c>
      <c r="N368" s="33" t="s">
        <v>55</v>
      </c>
      <c r="O368" s="33" t="s">
        <v>55</v>
      </c>
      <c r="P368" s="33" t="s">
        <v>55</v>
      </c>
      <c r="Q368" s="33" t="s">
        <v>55</v>
      </c>
      <c r="R368" s="33" t="s">
        <v>55</v>
      </c>
      <c r="S368" s="33">
        <v>1</v>
      </c>
      <c r="T368" s="33">
        <v>1</v>
      </c>
      <c r="U368" s="33">
        <v>0</v>
      </c>
      <c r="V368" s="28">
        <v>46087</v>
      </c>
      <c r="W368" s="28">
        <v>46090</v>
      </c>
      <c r="X368" s="28">
        <v>46091</v>
      </c>
      <c r="Y368" s="28">
        <v>46100</v>
      </c>
      <c r="Z368" s="140">
        <v>46106</v>
      </c>
      <c r="AA368" s="33">
        <f t="shared" si="38"/>
        <v>3</v>
      </c>
      <c r="AB368" s="144" t="s">
        <v>1105</v>
      </c>
      <c r="AC368" s="35" t="s">
        <v>1106</v>
      </c>
      <c r="AD368" s="19" t="str">
        <f t="shared" si="34"/>
        <v>N/A</v>
      </c>
      <c r="AE368" s="67" t="str">
        <f>IFERROR(NETWORKDAYS(B368,I368,Hoja1!$A$1:$A$29),"N/A")</f>
        <v>N/A</v>
      </c>
      <c r="AF368" s="21">
        <f>IFERROR(NETWORKDAYS(B368,W368,Hoja1!$A$1:$A$29),"N/A")</f>
        <v>18</v>
      </c>
      <c r="AG368" s="78">
        <v>0</v>
      </c>
      <c r="AH368" s="21">
        <f t="shared" si="39"/>
        <v>18</v>
      </c>
      <c r="AI368" s="21">
        <f>IFERROR(NETWORKDAYS(X368,Y368,Hoja1!$A$1:$A$29),"N/A")</f>
        <v>8</v>
      </c>
      <c r="AJ368" s="78">
        <v>3</v>
      </c>
      <c r="AK368" s="75">
        <f t="shared" si="37"/>
        <v>5</v>
      </c>
      <c r="AL368" s="21">
        <f>IFERROR(NETWORKDAYS(B368,Y368,Hoja1!$A$1:$A$29),"N/A")</f>
        <v>26</v>
      </c>
      <c r="AM368" s="21">
        <f t="shared" si="35"/>
        <v>23</v>
      </c>
      <c r="AN368" s="87"/>
      <c r="AO368" s="87"/>
      <c r="AP368" s="87"/>
      <c r="AQ368" s="87"/>
      <c r="AR368" s="87"/>
      <c r="AS368" s="87" t="s">
        <v>1938</v>
      </c>
      <c r="AT368" s="87" t="s">
        <v>2056</v>
      </c>
      <c r="AU368" s="87" t="s">
        <v>2212</v>
      </c>
      <c r="AV368" s="320" t="s">
        <v>2437</v>
      </c>
      <c r="AW368" s="403" t="s">
        <v>2954</v>
      </c>
      <c r="AY368" s="415"/>
    </row>
    <row r="369" spans="1:51" ht="15" customHeight="1" x14ac:dyDescent="0.25">
      <c r="A369" s="294">
        <v>15864</v>
      </c>
      <c r="B369" s="142">
        <v>46065</v>
      </c>
      <c r="C369" s="142">
        <v>46065</v>
      </c>
      <c r="D369" s="21">
        <v>1</v>
      </c>
      <c r="E369" s="87" t="s">
        <v>54</v>
      </c>
      <c r="F369" s="3" t="s">
        <v>55</v>
      </c>
      <c r="G369" s="3">
        <v>6</v>
      </c>
      <c r="H369" s="3" t="s">
        <v>112</v>
      </c>
      <c r="I369" s="116">
        <v>46070</v>
      </c>
      <c r="J369" s="116">
        <v>46093</v>
      </c>
      <c r="K369" s="3">
        <v>6</v>
      </c>
      <c r="L369" s="3" t="s">
        <v>55</v>
      </c>
      <c r="M369" s="3" t="s">
        <v>55</v>
      </c>
      <c r="N369" s="3" t="s">
        <v>55</v>
      </c>
      <c r="O369" s="3" t="s">
        <v>55</v>
      </c>
      <c r="P369" s="3" t="s">
        <v>55</v>
      </c>
      <c r="Q369" s="3" t="s">
        <v>55</v>
      </c>
      <c r="R369" s="3" t="s">
        <v>55</v>
      </c>
      <c r="S369" s="1">
        <v>3</v>
      </c>
      <c r="T369" s="1">
        <v>3</v>
      </c>
      <c r="U369" s="3">
        <v>0</v>
      </c>
      <c r="V369" s="28">
        <v>46094</v>
      </c>
      <c r="W369" s="28">
        <v>46093</v>
      </c>
      <c r="X369" s="28">
        <v>46094</v>
      </c>
      <c r="Y369" s="28">
        <v>46101</v>
      </c>
      <c r="Z369" s="140">
        <v>46106</v>
      </c>
      <c r="AA369" s="33">
        <f t="shared" si="38"/>
        <v>3</v>
      </c>
      <c r="AB369" s="144" t="s">
        <v>1107</v>
      </c>
      <c r="AC369" s="35" t="s">
        <v>1342</v>
      </c>
      <c r="AD369" s="19">
        <f t="shared" si="34"/>
        <v>1</v>
      </c>
      <c r="AE369" s="67">
        <f>IFERROR(NETWORKDAYS(B369,I369,Hoja1!$A$1:$A$29),"N/A")</f>
        <v>4</v>
      </c>
      <c r="AF369" s="21">
        <f>IFERROR(NETWORKDAYS(B369,W369,Hoja1!$A$1:$A$29),"N/A")</f>
        <v>21</v>
      </c>
      <c r="AG369" s="78">
        <v>4</v>
      </c>
      <c r="AH369" s="21">
        <f t="shared" si="39"/>
        <v>17</v>
      </c>
      <c r="AI369" s="21">
        <f>IFERROR(NETWORKDAYS(X369,Y369,Hoja1!$A$1:$A$29),"N/A")</f>
        <v>6</v>
      </c>
      <c r="AJ369" s="78">
        <v>1</v>
      </c>
      <c r="AK369" s="75">
        <f t="shared" si="37"/>
        <v>5</v>
      </c>
      <c r="AL369" s="21">
        <f>IFERROR(NETWORKDAYS(B369,Y369,Hoja1!$A$1:$A$29),"N/A")</f>
        <v>27</v>
      </c>
      <c r="AM369" s="21">
        <f t="shared" si="35"/>
        <v>22</v>
      </c>
      <c r="AN369" s="46"/>
      <c r="AO369" s="84"/>
      <c r="AP369" s="84"/>
      <c r="AQ369" s="84"/>
      <c r="AR369" s="84"/>
      <c r="AS369" s="84" t="s">
        <v>1909</v>
      </c>
      <c r="AT369" s="84" t="s">
        <v>2067</v>
      </c>
      <c r="AU369" s="84" t="s">
        <v>2218</v>
      </c>
      <c r="AV369" s="324" t="s">
        <v>2448</v>
      </c>
      <c r="AW369" s="403" t="s">
        <v>2955</v>
      </c>
      <c r="AY369" s="414"/>
    </row>
    <row r="370" spans="1:51" ht="15" customHeight="1" x14ac:dyDescent="0.25">
      <c r="A370" s="295">
        <v>15867</v>
      </c>
      <c r="B370" s="142">
        <v>46065</v>
      </c>
      <c r="C370" s="142">
        <v>46065</v>
      </c>
      <c r="D370" s="21">
        <v>1</v>
      </c>
      <c r="E370" s="87" t="s">
        <v>54</v>
      </c>
      <c r="F370" s="18" t="s">
        <v>55</v>
      </c>
      <c r="G370" s="3">
        <v>3</v>
      </c>
      <c r="H370" s="3" t="s">
        <v>112</v>
      </c>
      <c r="I370" s="160">
        <v>46073</v>
      </c>
      <c r="J370" s="30">
        <v>46080</v>
      </c>
      <c r="K370" s="3">
        <v>3</v>
      </c>
      <c r="L370" s="142">
        <v>46066</v>
      </c>
      <c r="M370" s="37">
        <v>46069</v>
      </c>
      <c r="N370" s="37">
        <v>46077</v>
      </c>
      <c r="O370" s="18" t="s">
        <v>55</v>
      </c>
      <c r="P370" s="18" t="s">
        <v>55</v>
      </c>
      <c r="Q370" s="18" t="s">
        <v>55</v>
      </c>
      <c r="R370" s="37">
        <v>46079</v>
      </c>
      <c r="S370" s="3">
        <v>3</v>
      </c>
      <c r="T370" s="3">
        <v>3</v>
      </c>
      <c r="U370" s="3">
        <v>0</v>
      </c>
      <c r="V370" s="28">
        <v>46090</v>
      </c>
      <c r="W370" s="28">
        <v>46092</v>
      </c>
      <c r="X370" s="28">
        <v>46092</v>
      </c>
      <c r="Y370" s="28">
        <v>46099</v>
      </c>
      <c r="Z370" s="28">
        <v>46106</v>
      </c>
      <c r="AA370" s="3">
        <v>3</v>
      </c>
      <c r="AB370" s="144" t="s">
        <v>1110</v>
      </c>
      <c r="AC370" s="35" t="s">
        <v>1111</v>
      </c>
      <c r="AD370" s="19">
        <f t="shared" si="34"/>
        <v>1</v>
      </c>
      <c r="AE370" s="67">
        <f>IFERROR(NETWORKDAYS(B370,I370,Hoja1!$A$1:$A$29),"N/A")</f>
        <v>7</v>
      </c>
      <c r="AF370" s="21">
        <f>IFERROR(NETWORKDAYS(B370,W370,Hoja1!$A$1:$A$29),"N/A")</f>
        <v>20</v>
      </c>
      <c r="AG370" s="78">
        <v>0</v>
      </c>
      <c r="AH370" s="21">
        <f t="shared" si="39"/>
        <v>20</v>
      </c>
      <c r="AI370" s="21">
        <f>IFERROR(NETWORKDAYS(X370,Y370,Hoja1!$A$1:$A$29),"N/A")</f>
        <v>6</v>
      </c>
      <c r="AJ370" s="78">
        <v>1</v>
      </c>
      <c r="AK370" s="75">
        <f t="shared" si="37"/>
        <v>5</v>
      </c>
      <c r="AL370" s="21">
        <f>IFERROR(NETWORKDAYS(B370,Y370,Hoja1!$A$1:$A$29),"N/A")</f>
        <v>25</v>
      </c>
      <c r="AM370" s="21">
        <f t="shared" si="35"/>
        <v>24</v>
      </c>
      <c r="AN370" s="87"/>
      <c r="AO370" s="87"/>
      <c r="AP370" s="87"/>
      <c r="AQ370" s="87"/>
      <c r="AR370" s="87"/>
      <c r="AS370" s="87" t="s">
        <v>1922</v>
      </c>
      <c r="AT370" s="87" t="s">
        <v>2123</v>
      </c>
      <c r="AU370" s="87" t="s">
        <v>2211</v>
      </c>
      <c r="AV370" s="320" t="s">
        <v>2449</v>
      </c>
      <c r="AW370" s="403" t="s">
        <v>2956</v>
      </c>
      <c r="AY370" s="415"/>
    </row>
    <row r="371" spans="1:51" ht="15" customHeight="1" x14ac:dyDescent="0.25">
      <c r="A371" s="295">
        <v>15870</v>
      </c>
      <c r="B371" s="142">
        <v>46066</v>
      </c>
      <c r="C371" s="142">
        <v>46066</v>
      </c>
      <c r="D371" s="21">
        <v>1</v>
      </c>
      <c r="E371" s="159" t="s">
        <v>247</v>
      </c>
      <c r="F371" s="3" t="s">
        <v>55</v>
      </c>
      <c r="G371" s="3">
        <v>1</v>
      </c>
      <c r="H371" s="3" t="s">
        <v>112</v>
      </c>
      <c r="I371" s="30">
        <v>46100</v>
      </c>
      <c r="J371" s="30">
        <v>46100</v>
      </c>
      <c r="K371" s="3">
        <v>1</v>
      </c>
      <c r="L371" s="3" t="s">
        <v>55</v>
      </c>
      <c r="M371" s="3" t="s">
        <v>55</v>
      </c>
      <c r="N371" s="3" t="s">
        <v>55</v>
      </c>
      <c r="O371" s="3" t="s">
        <v>55</v>
      </c>
      <c r="P371" s="3" t="s">
        <v>55</v>
      </c>
      <c r="Q371" s="3" t="s">
        <v>55</v>
      </c>
      <c r="R371" s="18" t="s">
        <v>55</v>
      </c>
      <c r="S371" s="3">
        <v>1</v>
      </c>
      <c r="T371" s="3">
        <v>1</v>
      </c>
      <c r="U371" s="3">
        <v>0</v>
      </c>
      <c r="V371" s="30">
        <v>46083</v>
      </c>
      <c r="W371" s="28">
        <v>46087</v>
      </c>
      <c r="X371" s="28" t="s">
        <v>55</v>
      </c>
      <c r="Y371" s="28">
        <v>46087</v>
      </c>
      <c r="Z371" s="3" t="s">
        <v>55</v>
      </c>
      <c r="AA371" s="33">
        <v>3</v>
      </c>
      <c r="AB371" s="144" t="s">
        <v>1113</v>
      </c>
      <c r="AC371" s="48" t="s">
        <v>1114</v>
      </c>
      <c r="AD371" s="19">
        <f t="shared" si="34"/>
        <v>1</v>
      </c>
      <c r="AE371" s="67">
        <f>IFERROR(NETWORKDAYS(B371,I371,Hoja1!$A$1:$A$29),"N/A")</f>
        <v>25</v>
      </c>
      <c r="AF371" s="21">
        <f>IFERROR(NETWORKDAYS(B371,W371,Hoja1!$A$1:$A$29),"N/A")</f>
        <v>16</v>
      </c>
      <c r="AG371" s="272">
        <v>4</v>
      </c>
      <c r="AH371" s="21">
        <f t="shared" si="39"/>
        <v>12</v>
      </c>
      <c r="AI371" s="21" t="str">
        <f>IFERROR(NETWORKDAYS(X371,Y371,Hoja1!$A$1:$A$29),"N/A")</f>
        <v>N/A</v>
      </c>
      <c r="AJ371" s="78">
        <v>0</v>
      </c>
      <c r="AK371" s="19" t="s">
        <v>82</v>
      </c>
      <c r="AL371" s="21">
        <f>IFERROR(NETWORKDAYS(B371,Y371,Hoja1!$A$1:$A$29),"N/A")</f>
        <v>16</v>
      </c>
      <c r="AM371" s="21">
        <f t="shared" si="35"/>
        <v>12</v>
      </c>
      <c r="AN371" s="1"/>
      <c r="AO371" s="1"/>
      <c r="AP371" s="1"/>
      <c r="AQ371" s="1"/>
      <c r="AR371" s="1"/>
      <c r="AS371" s="1" t="s">
        <v>1913</v>
      </c>
      <c r="AT371" s="1" t="s">
        <v>2124</v>
      </c>
      <c r="AU371" s="1" t="s">
        <v>2209</v>
      </c>
      <c r="AV371" s="315" t="s">
        <v>2250</v>
      </c>
      <c r="AW371" s="403" t="s">
        <v>2957</v>
      </c>
      <c r="AY371" s="414"/>
    </row>
    <row r="372" spans="1:51" ht="15" customHeight="1" x14ac:dyDescent="0.25">
      <c r="A372" s="306">
        <v>15871</v>
      </c>
      <c r="B372" s="222">
        <v>46090</v>
      </c>
      <c r="C372" s="222">
        <v>46072</v>
      </c>
      <c r="D372" s="72">
        <v>1</v>
      </c>
      <c r="E372" s="129" t="s">
        <v>54</v>
      </c>
      <c r="F372" s="133" t="s">
        <v>55</v>
      </c>
      <c r="G372" s="263">
        <v>3</v>
      </c>
      <c r="H372" s="110"/>
      <c r="I372" s="133" t="s">
        <v>55</v>
      </c>
      <c r="J372" s="133" t="s">
        <v>55</v>
      </c>
      <c r="K372" s="263">
        <v>3</v>
      </c>
      <c r="L372" s="133" t="s">
        <v>55</v>
      </c>
      <c r="M372" s="133" t="s">
        <v>55</v>
      </c>
      <c r="N372" s="133" t="s">
        <v>55</v>
      </c>
      <c r="O372" s="133" t="s">
        <v>55</v>
      </c>
      <c r="P372" s="133" t="s">
        <v>55</v>
      </c>
      <c r="Q372" s="133" t="s">
        <v>55</v>
      </c>
      <c r="R372" s="133" t="s">
        <v>55</v>
      </c>
      <c r="S372" s="263">
        <v>2</v>
      </c>
      <c r="T372" s="263">
        <v>2</v>
      </c>
      <c r="U372" s="133">
        <v>0</v>
      </c>
      <c r="V372" s="131">
        <v>46094</v>
      </c>
      <c r="W372" s="131">
        <v>46094</v>
      </c>
      <c r="X372" s="131">
        <v>46094</v>
      </c>
      <c r="Y372" s="131">
        <v>46100</v>
      </c>
      <c r="Z372" s="135">
        <v>46106</v>
      </c>
      <c r="AA372" s="110">
        <f>MONTH(Z372)</f>
        <v>3</v>
      </c>
      <c r="AB372" s="225" t="s">
        <v>1115</v>
      </c>
      <c r="AC372" s="132" t="s">
        <v>1116</v>
      </c>
      <c r="AD372" s="19">
        <f t="shared" si="34"/>
        <v>1</v>
      </c>
      <c r="AE372" s="67" t="str">
        <f>IFERROR(NETWORKDAYS(B372,I372,Hoja1!$A$1:$A$29),"N/A")</f>
        <v>N/A</v>
      </c>
      <c r="AF372" s="21">
        <f>IFERROR(NETWORKDAYS(B372,W372,Hoja1!$A$1:$A$29),"N/A")</f>
        <v>5</v>
      </c>
      <c r="AG372" s="270">
        <v>0</v>
      </c>
      <c r="AH372" s="72">
        <f t="shared" si="39"/>
        <v>5</v>
      </c>
      <c r="AI372" s="21">
        <f>IFERROR(NETWORKDAYS(X372,Y372,Hoja1!$A$1:$A$29),"N/A")</f>
        <v>5</v>
      </c>
      <c r="AJ372" s="71">
        <v>1</v>
      </c>
      <c r="AK372" s="80">
        <f>AI372-AJ372</f>
        <v>4</v>
      </c>
      <c r="AL372" s="21">
        <f>IFERROR(NETWORKDAYS(B372,Y372,Hoja1!$A$1:$A$29),"N/A")</f>
        <v>9</v>
      </c>
      <c r="AM372" s="72">
        <f t="shared" si="35"/>
        <v>8</v>
      </c>
      <c r="AN372" s="129" t="s">
        <v>445</v>
      </c>
      <c r="AO372" s="221"/>
      <c r="AP372" s="221"/>
      <c r="AQ372" s="221"/>
      <c r="AR372" s="221"/>
      <c r="AS372" s="221" t="s">
        <v>1901</v>
      </c>
      <c r="AT372" s="221" t="s">
        <v>2125</v>
      </c>
      <c r="AU372" s="221" t="s">
        <v>2217</v>
      </c>
      <c r="AV372" s="326" t="s">
        <v>2450</v>
      </c>
      <c r="AW372" s="403" t="s">
        <v>2958</v>
      </c>
      <c r="AY372" s="415"/>
    </row>
    <row r="373" spans="1:51" ht="15" customHeight="1" x14ac:dyDescent="0.25">
      <c r="A373" s="301">
        <v>15873</v>
      </c>
      <c r="B373" s="142">
        <v>46069</v>
      </c>
      <c r="C373" s="142">
        <v>46069</v>
      </c>
      <c r="D373" s="21">
        <v>1</v>
      </c>
      <c r="E373" s="87" t="s">
        <v>54</v>
      </c>
      <c r="F373" s="3" t="s">
        <v>55</v>
      </c>
      <c r="G373" s="3">
        <v>13</v>
      </c>
      <c r="H373" s="3" t="s">
        <v>112</v>
      </c>
      <c r="I373" s="116">
        <v>46078</v>
      </c>
      <c r="J373" s="147">
        <v>46093</v>
      </c>
      <c r="K373" s="3">
        <v>13</v>
      </c>
      <c r="L373" s="3" t="s">
        <v>55</v>
      </c>
      <c r="M373" s="30">
        <v>46070</v>
      </c>
      <c r="N373" s="30">
        <v>46078</v>
      </c>
      <c r="O373" s="3" t="s">
        <v>55</v>
      </c>
      <c r="P373" s="3" t="s">
        <v>55</v>
      </c>
      <c r="Q373" s="3" t="s">
        <v>55</v>
      </c>
      <c r="R373" s="3" t="s">
        <v>55</v>
      </c>
      <c r="S373" s="33">
        <v>3</v>
      </c>
      <c r="T373" s="33">
        <v>3</v>
      </c>
      <c r="U373" s="3">
        <v>0</v>
      </c>
      <c r="V373" s="28">
        <v>46094</v>
      </c>
      <c r="W373" s="28">
        <v>46094</v>
      </c>
      <c r="X373" s="28">
        <v>46094</v>
      </c>
      <c r="Y373" s="28">
        <v>46100</v>
      </c>
      <c r="Z373" s="140">
        <v>46106</v>
      </c>
      <c r="AA373" s="33">
        <v>3</v>
      </c>
      <c r="AB373" s="144" t="s">
        <v>1118</v>
      </c>
      <c r="AC373" s="35" t="s">
        <v>1343</v>
      </c>
      <c r="AD373" s="19">
        <f t="shared" si="34"/>
        <v>1</v>
      </c>
      <c r="AE373" s="67">
        <f>IFERROR(NETWORKDAYS(B373,I373,Hoja1!$A$1:$A$29),"N/A")</f>
        <v>8</v>
      </c>
      <c r="AF373" s="21">
        <f>IFERROR(NETWORKDAYS(B373,W373,Hoja1!$A$1:$A$29),"N/A")</f>
        <v>20</v>
      </c>
      <c r="AG373" s="78">
        <v>0</v>
      </c>
      <c r="AH373" s="21">
        <f t="shared" si="39"/>
        <v>20</v>
      </c>
      <c r="AI373" s="21">
        <f>IFERROR(NETWORKDAYS(X373,Y373,Hoja1!$A$1:$A$29),"N/A")</f>
        <v>5</v>
      </c>
      <c r="AJ373" s="78">
        <v>0</v>
      </c>
      <c r="AK373" s="75">
        <f>AI373-AJ373</f>
        <v>5</v>
      </c>
      <c r="AL373" s="21">
        <f>IFERROR(NETWORKDAYS(B373,Y373,Hoja1!$A$1:$A$29),"N/A")</f>
        <v>24</v>
      </c>
      <c r="AM373" s="21">
        <f t="shared" si="35"/>
        <v>24</v>
      </c>
      <c r="AN373" s="84"/>
      <c r="AO373" s="84"/>
      <c r="AP373" s="84"/>
      <c r="AQ373" s="84"/>
      <c r="AR373" s="84"/>
      <c r="AS373" s="84" t="s">
        <v>1958</v>
      </c>
      <c r="AT373" s="84" t="s">
        <v>2126</v>
      </c>
      <c r="AU373" s="84" t="s">
        <v>2218</v>
      </c>
      <c r="AV373" s="324" t="s">
        <v>2451</v>
      </c>
      <c r="AW373" s="403" t="s">
        <v>2959</v>
      </c>
      <c r="AY373" s="414"/>
    </row>
    <row r="374" spans="1:51" ht="15" customHeight="1" x14ac:dyDescent="0.25">
      <c r="A374" s="303">
        <v>15874</v>
      </c>
      <c r="B374" s="142">
        <v>46069</v>
      </c>
      <c r="C374" s="142">
        <v>46069</v>
      </c>
      <c r="D374" s="21">
        <v>1</v>
      </c>
      <c r="E374" s="87" t="s">
        <v>54</v>
      </c>
      <c r="F374" s="33" t="s">
        <v>55</v>
      </c>
      <c r="G374" s="33">
        <v>0</v>
      </c>
      <c r="H374" s="33"/>
      <c r="I374" s="142" t="s">
        <v>55</v>
      </c>
      <c r="J374" s="142" t="s">
        <v>55</v>
      </c>
      <c r="K374" s="33">
        <v>0</v>
      </c>
      <c r="L374" s="33" t="s">
        <v>55</v>
      </c>
      <c r="M374" s="33" t="s">
        <v>55</v>
      </c>
      <c r="N374" s="33" t="s">
        <v>55</v>
      </c>
      <c r="O374" s="33" t="s">
        <v>55</v>
      </c>
      <c r="P374" s="33" t="s">
        <v>55</v>
      </c>
      <c r="Q374" s="33" t="s">
        <v>55</v>
      </c>
      <c r="R374" s="33" t="s">
        <v>55</v>
      </c>
      <c r="S374" s="21">
        <v>1</v>
      </c>
      <c r="T374" s="21">
        <v>1</v>
      </c>
      <c r="U374" s="33">
        <v>0</v>
      </c>
      <c r="V374" s="53">
        <v>46076</v>
      </c>
      <c r="W374" s="53">
        <v>46076</v>
      </c>
      <c r="X374" s="53">
        <v>46076</v>
      </c>
      <c r="Y374" s="28">
        <v>46080</v>
      </c>
      <c r="Z374" s="38">
        <v>46083</v>
      </c>
      <c r="AA374" s="33">
        <f>MONTH(Z374)</f>
        <v>3</v>
      </c>
      <c r="AB374" s="144" t="s">
        <v>1119</v>
      </c>
      <c r="AC374" s="35" t="s">
        <v>1120</v>
      </c>
      <c r="AD374" s="19" t="str">
        <f t="shared" si="34"/>
        <v>N/A</v>
      </c>
      <c r="AE374" s="67" t="str">
        <f>IFERROR(NETWORKDAYS(B374,I374,Hoja1!$A$1:$A$29),"N/A")</f>
        <v>N/A</v>
      </c>
      <c r="AF374" s="21">
        <f>IFERROR(NETWORKDAYS(B374,W374,Hoja1!$A$1:$A$29),"N/A")</f>
        <v>6</v>
      </c>
      <c r="AG374" s="78">
        <v>0</v>
      </c>
      <c r="AH374" s="21">
        <f t="shared" si="39"/>
        <v>6</v>
      </c>
      <c r="AI374" s="21">
        <f>IFERROR(NETWORKDAYS(X374,Y374,Hoja1!$A$1:$A$29),"N/A")</f>
        <v>5</v>
      </c>
      <c r="AJ374" s="78">
        <v>0</v>
      </c>
      <c r="AK374" s="75">
        <f>AI374-AJ374</f>
        <v>5</v>
      </c>
      <c r="AL374" s="21">
        <f>IFERROR(NETWORKDAYS(B374,Y374,Hoja1!$A$1:$A$29),"N/A")</f>
        <v>10</v>
      </c>
      <c r="AM374" s="21">
        <f t="shared" si="35"/>
        <v>10</v>
      </c>
      <c r="AN374" s="111"/>
      <c r="AO374" s="111"/>
      <c r="AP374" s="111"/>
      <c r="AQ374" s="111"/>
      <c r="AR374" s="111"/>
      <c r="AS374" s="111" t="s">
        <v>1889</v>
      </c>
      <c r="AT374" s="111" t="s">
        <v>2073</v>
      </c>
      <c r="AU374" s="111" t="s">
        <v>2212</v>
      </c>
      <c r="AV374" s="321" t="s">
        <v>2452</v>
      </c>
      <c r="AW374" s="403" t="s">
        <v>2960</v>
      </c>
      <c r="AY374" s="415"/>
    </row>
    <row r="375" spans="1:51" ht="15" customHeight="1" x14ac:dyDescent="0.25">
      <c r="A375" s="294">
        <v>15877</v>
      </c>
      <c r="B375" s="142">
        <v>46069</v>
      </c>
      <c r="C375" s="142">
        <v>46069</v>
      </c>
      <c r="D375" s="21">
        <v>1</v>
      </c>
      <c r="E375" s="159" t="s">
        <v>247</v>
      </c>
      <c r="F375" s="3" t="s">
        <v>55</v>
      </c>
      <c r="G375" s="3">
        <v>0</v>
      </c>
      <c r="H375" s="33"/>
      <c r="I375" s="3" t="s">
        <v>55</v>
      </c>
      <c r="J375" s="3" t="s">
        <v>55</v>
      </c>
      <c r="K375" s="3">
        <v>0</v>
      </c>
      <c r="L375" s="3" t="s">
        <v>55</v>
      </c>
      <c r="M375" s="3" t="s">
        <v>55</v>
      </c>
      <c r="N375" s="3" t="s">
        <v>55</v>
      </c>
      <c r="O375" s="3" t="s">
        <v>55</v>
      </c>
      <c r="P375" s="3" t="s">
        <v>55</v>
      </c>
      <c r="Q375" s="3" t="s">
        <v>55</v>
      </c>
      <c r="R375" s="3" t="s">
        <v>55</v>
      </c>
      <c r="S375" s="3">
        <v>1</v>
      </c>
      <c r="T375" s="3">
        <v>1</v>
      </c>
      <c r="U375" s="3">
        <v>0</v>
      </c>
      <c r="V375" s="28">
        <v>46099</v>
      </c>
      <c r="W375" s="28">
        <v>46099</v>
      </c>
      <c r="X375" s="28" t="s">
        <v>55</v>
      </c>
      <c r="Y375" s="140">
        <v>46107</v>
      </c>
      <c r="Z375" s="140">
        <v>46107</v>
      </c>
      <c r="AA375" s="33">
        <v>3</v>
      </c>
      <c r="AB375" s="144" t="s">
        <v>1123</v>
      </c>
      <c r="AC375" s="35" t="s">
        <v>1344</v>
      </c>
      <c r="AD375" s="19" t="str">
        <f t="shared" si="34"/>
        <v>N/A</v>
      </c>
      <c r="AE375" s="67" t="str">
        <f>IFERROR(NETWORKDAYS(B375,I375,Hoja1!$A$1:$A$29),"N/A")</f>
        <v>N/A</v>
      </c>
      <c r="AF375" s="21">
        <f>IFERROR(NETWORKDAYS(B375,W375,Hoja1!$A$1:$A$29),"N/A")</f>
        <v>23</v>
      </c>
      <c r="AG375" s="78">
        <v>0</v>
      </c>
      <c r="AH375" s="21">
        <f t="shared" si="39"/>
        <v>23</v>
      </c>
      <c r="AI375" s="21" t="str">
        <f>IFERROR(NETWORKDAYS(X375,Y375,Hoja1!$A$1:$A$29),"N/A")</f>
        <v>N/A</v>
      </c>
      <c r="AJ375" s="78">
        <v>0</v>
      </c>
      <c r="AK375" s="19" t="s">
        <v>82</v>
      </c>
      <c r="AL375" s="21">
        <f>IFERROR(NETWORKDAYS(B375,Y375,Hoja1!$A$1:$A$29),"N/A")</f>
        <v>28</v>
      </c>
      <c r="AM375" s="21">
        <f t="shared" si="35"/>
        <v>28</v>
      </c>
      <c r="AN375" s="1"/>
      <c r="AO375" s="1"/>
      <c r="AP375" s="1"/>
      <c r="AQ375" s="1"/>
      <c r="AR375" s="1"/>
      <c r="AS375" s="1" t="s">
        <v>1889</v>
      </c>
      <c r="AT375" s="1" t="s">
        <v>2127</v>
      </c>
      <c r="AU375" s="1" t="s">
        <v>2212</v>
      </c>
      <c r="AV375" s="315" t="s">
        <v>2372</v>
      </c>
      <c r="AW375" s="403" t="s">
        <v>2961</v>
      </c>
      <c r="AY375" s="414"/>
    </row>
    <row r="376" spans="1:51" ht="15" customHeight="1" x14ac:dyDescent="0.25">
      <c r="A376" s="294">
        <v>15878</v>
      </c>
      <c r="B376" s="142">
        <v>46069</v>
      </c>
      <c r="C376" s="142">
        <v>46069</v>
      </c>
      <c r="D376" s="21">
        <v>1</v>
      </c>
      <c r="E376" s="159" t="s">
        <v>247</v>
      </c>
      <c r="F376" s="3" t="s">
        <v>55</v>
      </c>
      <c r="G376" s="3">
        <v>0</v>
      </c>
      <c r="H376" s="33"/>
      <c r="I376" s="3" t="s">
        <v>55</v>
      </c>
      <c r="J376" s="3" t="s">
        <v>55</v>
      </c>
      <c r="K376" s="3">
        <v>0</v>
      </c>
      <c r="L376" s="3" t="s">
        <v>55</v>
      </c>
      <c r="M376" s="3" t="s">
        <v>55</v>
      </c>
      <c r="N376" s="3" t="s">
        <v>55</v>
      </c>
      <c r="O376" s="3" t="s">
        <v>55</v>
      </c>
      <c r="P376" s="3" t="s">
        <v>55</v>
      </c>
      <c r="Q376" s="3" t="s">
        <v>55</v>
      </c>
      <c r="R376" s="3" t="s">
        <v>55</v>
      </c>
      <c r="S376" s="2">
        <v>1</v>
      </c>
      <c r="T376" s="2">
        <v>1</v>
      </c>
      <c r="U376" s="3">
        <v>0</v>
      </c>
      <c r="V376" s="28">
        <v>46097</v>
      </c>
      <c r="W376" s="28">
        <v>46097</v>
      </c>
      <c r="X376" s="28" t="s">
        <v>55</v>
      </c>
      <c r="Y376" s="140">
        <v>46108</v>
      </c>
      <c r="Z376" s="140">
        <v>46108</v>
      </c>
      <c r="AA376" s="33">
        <v>3</v>
      </c>
      <c r="AB376" s="144" t="s">
        <v>1125</v>
      </c>
      <c r="AC376" s="146" t="s">
        <v>1126</v>
      </c>
      <c r="AD376" s="19" t="str">
        <f t="shared" si="34"/>
        <v>N/A</v>
      </c>
      <c r="AE376" s="67" t="str">
        <f>IFERROR(NETWORKDAYS(B376,I376,Hoja1!$A$1:$A$29),"N/A")</f>
        <v>N/A</v>
      </c>
      <c r="AF376" s="21">
        <f>IFERROR(NETWORKDAYS(B376,W376,Hoja1!$A$1:$A$29),"N/A")</f>
        <v>21</v>
      </c>
      <c r="AG376" s="78">
        <v>0</v>
      </c>
      <c r="AH376" s="21">
        <f t="shared" si="39"/>
        <v>21</v>
      </c>
      <c r="AI376" s="21" t="str">
        <f>IFERROR(NETWORKDAYS(X376,Y376,Hoja1!$A$1:$A$29),"N/A")</f>
        <v>N/A</v>
      </c>
      <c r="AJ376" s="78">
        <v>0</v>
      </c>
      <c r="AK376" s="19" t="s">
        <v>82</v>
      </c>
      <c r="AL376" s="21">
        <f>IFERROR(NETWORKDAYS(B376,Y376,Hoja1!$A$1:$A$29),"N/A")</f>
        <v>29</v>
      </c>
      <c r="AM376" s="21">
        <f t="shared" si="35"/>
        <v>29</v>
      </c>
      <c r="AN376" s="2"/>
      <c r="AO376" s="2"/>
      <c r="AP376" s="2"/>
      <c r="AQ376" s="2"/>
      <c r="AR376" s="2"/>
      <c r="AS376" s="2" t="s">
        <v>1889</v>
      </c>
      <c r="AT376" s="2" t="s">
        <v>2128</v>
      </c>
      <c r="AU376" s="2" t="s">
        <v>2212</v>
      </c>
      <c r="AV376" s="328" t="s">
        <v>2372</v>
      </c>
      <c r="AW376" s="403" t="s">
        <v>2962</v>
      </c>
      <c r="AY376" s="415"/>
    </row>
    <row r="377" spans="1:51" ht="15" customHeight="1" x14ac:dyDescent="0.25">
      <c r="A377" s="294">
        <v>15879</v>
      </c>
      <c r="B377" s="142">
        <v>46069</v>
      </c>
      <c r="C377" s="142">
        <v>46069</v>
      </c>
      <c r="D377" s="21">
        <v>1</v>
      </c>
      <c r="E377" s="87" t="s">
        <v>54</v>
      </c>
      <c r="F377" s="3" t="s">
        <v>55</v>
      </c>
      <c r="G377" s="3">
        <v>4</v>
      </c>
      <c r="H377" s="3" t="s">
        <v>112</v>
      </c>
      <c r="I377" s="73">
        <v>46071</v>
      </c>
      <c r="J377" s="73">
        <v>46071</v>
      </c>
      <c r="K377" s="3">
        <v>4</v>
      </c>
      <c r="L377" s="3" t="s">
        <v>55</v>
      </c>
      <c r="M377" s="3" t="s">
        <v>55</v>
      </c>
      <c r="N377" s="3" t="s">
        <v>55</v>
      </c>
      <c r="O377" s="3" t="s">
        <v>55</v>
      </c>
      <c r="P377" s="3" t="s">
        <v>55</v>
      </c>
      <c r="Q377" s="3" t="s">
        <v>55</v>
      </c>
      <c r="R377" s="3" t="s">
        <v>55</v>
      </c>
      <c r="S377" s="2">
        <v>4</v>
      </c>
      <c r="T377" s="2">
        <v>1</v>
      </c>
      <c r="U377" s="3">
        <v>0</v>
      </c>
      <c r="V377" s="28">
        <v>46071</v>
      </c>
      <c r="W377" s="28">
        <v>46079</v>
      </c>
      <c r="X377" s="28">
        <v>46091</v>
      </c>
      <c r="Y377" s="28">
        <v>46097</v>
      </c>
      <c r="Z377" s="140">
        <v>46106</v>
      </c>
      <c r="AA377" s="33">
        <f t="shared" ref="AA377:AA386" si="40">MONTH(Z377)</f>
        <v>3</v>
      </c>
      <c r="AB377" s="144" t="s">
        <v>1127</v>
      </c>
      <c r="AC377" s="146" t="s">
        <v>1128</v>
      </c>
      <c r="AD377" s="19">
        <f t="shared" si="34"/>
        <v>1</v>
      </c>
      <c r="AE377" s="67">
        <f>IFERROR(NETWORKDAYS(B377,I377,Hoja1!$A$1:$A$29),"N/A")</f>
        <v>3</v>
      </c>
      <c r="AF377" s="21">
        <f>IFERROR(NETWORKDAYS(B377,W377,Hoja1!$A$1:$A$29),"N/A")</f>
        <v>9</v>
      </c>
      <c r="AG377" s="78">
        <v>0</v>
      </c>
      <c r="AH377" s="21">
        <f t="shared" si="39"/>
        <v>9</v>
      </c>
      <c r="AI377" s="21">
        <f>IFERROR(NETWORKDAYS(X377,Y377,Hoja1!$A$1:$A$29),"N/A")</f>
        <v>5</v>
      </c>
      <c r="AJ377" s="78">
        <v>0</v>
      </c>
      <c r="AK377" s="75">
        <f t="shared" ref="AK377:AK382" si="41">AI377-AJ377</f>
        <v>5</v>
      </c>
      <c r="AL377" s="21">
        <f>IFERROR(NETWORKDAYS(B377,Y377,Hoja1!$A$1:$A$29),"N/A")</f>
        <v>21</v>
      </c>
      <c r="AM377" s="21">
        <f t="shared" si="35"/>
        <v>21</v>
      </c>
      <c r="AN377" s="111"/>
      <c r="AO377" s="111"/>
      <c r="AP377" s="111"/>
      <c r="AQ377" s="111"/>
      <c r="AR377" s="111"/>
      <c r="AS377" s="111" t="s">
        <v>1966</v>
      </c>
      <c r="AT377" s="111" t="s">
        <v>1992</v>
      </c>
      <c r="AU377" s="111" t="s">
        <v>2219</v>
      </c>
      <c r="AV377" s="321" t="s">
        <v>2453</v>
      </c>
      <c r="AW377" s="403" t="s">
        <v>2963</v>
      </c>
      <c r="AY377" s="414"/>
    </row>
    <row r="378" spans="1:51" ht="15" customHeight="1" x14ac:dyDescent="0.25">
      <c r="A378" s="295">
        <v>15898</v>
      </c>
      <c r="B378" s="142">
        <v>46070</v>
      </c>
      <c r="C378" s="142">
        <v>46070</v>
      </c>
      <c r="D378" s="21">
        <v>1</v>
      </c>
      <c r="E378" s="87" t="s">
        <v>54</v>
      </c>
      <c r="F378" s="2" t="s">
        <v>55</v>
      </c>
      <c r="G378" s="151">
        <v>2</v>
      </c>
      <c r="H378" s="3" t="s">
        <v>112</v>
      </c>
      <c r="I378" s="160">
        <v>46073</v>
      </c>
      <c r="J378" s="160">
        <v>46073</v>
      </c>
      <c r="K378" s="151">
        <v>2</v>
      </c>
      <c r="L378" s="2" t="s">
        <v>55</v>
      </c>
      <c r="M378" s="2" t="s">
        <v>55</v>
      </c>
      <c r="N378" s="2" t="s">
        <v>55</v>
      </c>
      <c r="O378" s="2" t="s">
        <v>55</v>
      </c>
      <c r="P378" s="2" t="s">
        <v>55</v>
      </c>
      <c r="Q378" s="2" t="s">
        <v>55</v>
      </c>
      <c r="R378" s="2" t="s">
        <v>55</v>
      </c>
      <c r="S378" s="151">
        <v>1</v>
      </c>
      <c r="T378" s="151">
        <v>1</v>
      </c>
      <c r="U378" s="2">
        <v>0</v>
      </c>
      <c r="V378" s="104">
        <v>46084</v>
      </c>
      <c r="W378" s="28">
        <v>46084</v>
      </c>
      <c r="X378" s="28">
        <v>46084</v>
      </c>
      <c r="Y378" s="28">
        <v>46097</v>
      </c>
      <c r="Z378" s="262">
        <v>46106</v>
      </c>
      <c r="AA378" s="33">
        <f t="shared" si="40"/>
        <v>3</v>
      </c>
      <c r="AB378" s="144" t="s">
        <v>1130</v>
      </c>
      <c r="AC378" s="35" t="s">
        <v>1345</v>
      </c>
      <c r="AD378" s="19">
        <f t="shared" si="34"/>
        <v>1</v>
      </c>
      <c r="AE378" s="67">
        <f>IFERROR(NETWORKDAYS(B378,I378,Hoja1!$A$1:$A$29),"N/A")</f>
        <v>4</v>
      </c>
      <c r="AF378" s="21">
        <f>IFERROR(NETWORKDAYS(B378,W378,Hoja1!$A$1:$A$29),"N/A")</f>
        <v>11</v>
      </c>
      <c r="AG378" s="78">
        <v>0</v>
      </c>
      <c r="AH378" s="21">
        <f t="shared" si="39"/>
        <v>11</v>
      </c>
      <c r="AI378" s="21">
        <f>IFERROR(NETWORKDAYS(X378,Y378,Hoja1!$A$1:$A$29),"N/A")</f>
        <v>10</v>
      </c>
      <c r="AJ378" s="78">
        <v>5</v>
      </c>
      <c r="AK378" s="75">
        <f t="shared" si="41"/>
        <v>5</v>
      </c>
      <c r="AL378" s="21">
        <f>IFERROR(NETWORKDAYS(B378,Y378,Hoja1!$A$1:$A$29),"N/A")</f>
        <v>20</v>
      </c>
      <c r="AM378" s="21">
        <f t="shared" si="35"/>
        <v>15</v>
      </c>
      <c r="AN378" s="87" t="s">
        <v>871</v>
      </c>
      <c r="AO378" s="152"/>
      <c r="AP378" s="152"/>
      <c r="AQ378" s="152"/>
      <c r="AR378" s="152"/>
      <c r="AS378" s="152" t="s">
        <v>1959</v>
      </c>
      <c r="AT378" s="152" t="s">
        <v>1994</v>
      </c>
      <c r="AU378" s="152" t="s">
        <v>2217</v>
      </c>
      <c r="AV378" s="323" t="s">
        <v>2239</v>
      </c>
      <c r="AW378" s="403" t="s">
        <v>2964</v>
      </c>
      <c r="AY378" s="415"/>
    </row>
    <row r="379" spans="1:51" ht="15" customHeight="1" x14ac:dyDescent="0.25">
      <c r="A379" s="295">
        <v>15899</v>
      </c>
      <c r="B379" s="142">
        <v>46070</v>
      </c>
      <c r="C379" s="142">
        <v>46070</v>
      </c>
      <c r="D379" s="21">
        <v>1</v>
      </c>
      <c r="E379" s="87" t="s">
        <v>54</v>
      </c>
      <c r="F379" s="2" t="s">
        <v>55</v>
      </c>
      <c r="G379" s="151">
        <v>4</v>
      </c>
      <c r="H379" s="33" t="s">
        <v>56</v>
      </c>
      <c r="I379" s="104">
        <v>46079</v>
      </c>
      <c r="J379" s="104">
        <v>46079</v>
      </c>
      <c r="K379" s="151">
        <v>4</v>
      </c>
      <c r="L379" s="2" t="s">
        <v>55</v>
      </c>
      <c r="M379" s="2" t="s">
        <v>55</v>
      </c>
      <c r="N379" s="2" t="s">
        <v>55</v>
      </c>
      <c r="O379" s="2" t="s">
        <v>55</v>
      </c>
      <c r="P379" s="2" t="s">
        <v>55</v>
      </c>
      <c r="Q379" s="2" t="s">
        <v>55</v>
      </c>
      <c r="R379" s="2" t="s">
        <v>55</v>
      </c>
      <c r="S379" s="151">
        <v>2</v>
      </c>
      <c r="T379" s="151">
        <v>1</v>
      </c>
      <c r="U379" s="2">
        <v>0</v>
      </c>
      <c r="V379" s="28">
        <v>46094</v>
      </c>
      <c r="W379" s="28">
        <v>46094</v>
      </c>
      <c r="X379" s="28">
        <v>46094</v>
      </c>
      <c r="Y379" s="262">
        <v>46101</v>
      </c>
      <c r="Z379" s="140">
        <v>46106</v>
      </c>
      <c r="AA379" s="33">
        <f t="shared" si="40"/>
        <v>3</v>
      </c>
      <c r="AB379" s="144" t="s">
        <v>1131</v>
      </c>
      <c r="AC379" s="35" t="s">
        <v>1346</v>
      </c>
      <c r="AD379" s="19">
        <f t="shared" si="34"/>
        <v>1</v>
      </c>
      <c r="AE379" s="67">
        <f>IFERROR(NETWORKDAYS(B379,I379,Hoja1!$A$1:$A$29),"N/A")</f>
        <v>8</v>
      </c>
      <c r="AF379" s="21">
        <f>IFERROR(NETWORKDAYS(B379,W379,Hoja1!$A$1:$A$29),"N/A")</f>
        <v>19</v>
      </c>
      <c r="AG379" s="78">
        <v>4</v>
      </c>
      <c r="AH379" s="21">
        <f t="shared" si="39"/>
        <v>15</v>
      </c>
      <c r="AI379" s="21">
        <f>IFERROR(NETWORKDAYS(X379,Y379,Hoja1!$A$1:$A$29),"N/A")</f>
        <v>6</v>
      </c>
      <c r="AJ379" s="78">
        <v>1</v>
      </c>
      <c r="AK379" s="75">
        <f t="shared" si="41"/>
        <v>5</v>
      </c>
      <c r="AL379" s="21">
        <f>IFERROR(NETWORKDAYS(B379,Y379,Hoja1!$A$1:$A$29),"N/A")</f>
        <v>24</v>
      </c>
      <c r="AM379" s="21">
        <f t="shared" si="35"/>
        <v>19</v>
      </c>
      <c r="AN379" s="87" t="s">
        <v>871</v>
      </c>
      <c r="AO379" s="87"/>
      <c r="AP379" s="152"/>
      <c r="AQ379" s="152"/>
      <c r="AR379" s="152"/>
      <c r="AS379" s="152" t="s">
        <v>1967</v>
      </c>
      <c r="AT379" s="152" t="s">
        <v>1994</v>
      </c>
      <c r="AU379" s="152" t="s">
        <v>2217</v>
      </c>
      <c r="AV379" s="323" t="s">
        <v>2239</v>
      </c>
      <c r="AW379" s="403" t="s">
        <v>2965</v>
      </c>
      <c r="AY379" s="414"/>
    </row>
    <row r="380" spans="1:51" ht="15" customHeight="1" x14ac:dyDescent="0.25">
      <c r="A380" s="294">
        <v>15902</v>
      </c>
      <c r="B380" s="161">
        <v>46070</v>
      </c>
      <c r="C380" s="142">
        <v>46070</v>
      </c>
      <c r="D380" s="21">
        <v>1</v>
      </c>
      <c r="E380" s="87" t="s">
        <v>54</v>
      </c>
      <c r="F380" s="3" t="s">
        <v>55</v>
      </c>
      <c r="G380" s="3">
        <v>4</v>
      </c>
      <c r="H380" s="3" t="s">
        <v>112</v>
      </c>
      <c r="I380" s="73">
        <v>46079</v>
      </c>
      <c r="J380" s="73">
        <v>46079</v>
      </c>
      <c r="K380" s="3">
        <v>4</v>
      </c>
      <c r="L380" s="3" t="s">
        <v>55</v>
      </c>
      <c r="M380" s="3" t="s">
        <v>55</v>
      </c>
      <c r="N380" s="3" t="s">
        <v>55</v>
      </c>
      <c r="O380" s="3" t="s">
        <v>55</v>
      </c>
      <c r="P380" s="3" t="s">
        <v>55</v>
      </c>
      <c r="Q380" s="3" t="s">
        <v>55</v>
      </c>
      <c r="R380" s="3" t="s">
        <v>55</v>
      </c>
      <c r="S380" s="2">
        <v>1</v>
      </c>
      <c r="T380" s="2">
        <v>1</v>
      </c>
      <c r="U380" s="3">
        <v>0</v>
      </c>
      <c r="V380" s="28">
        <v>46086</v>
      </c>
      <c r="W380" s="28">
        <v>46086</v>
      </c>
      <c r="X380" s="28">
        <v>46086</v>
      </c>
      <c r="Y380" s="28">
        <v>46092</v>
      </c>
      <c r="Z380" s="140">
        <v>46093</v>
      </c>
      <c r="AA380" s="33">
        <f t="shared" si="40"/>
        <v>3</v>
      </c>
      <c r="AB380" s="144" t="s">
        <v>1132</v>
      </c>
      <c r="AC380" s="146" t="s">
        <v>1133</v>
      </c>
      <c r="AD380" s="19">
        <f t="shared" si="34"/>
        <v>1</v>
      </c>
      <c r="AE380" s="67">
        <f>IFERROR(NETWORKDAYS(B380,I380,Hoja1!$A$1:$A$29),"N/A")</f>
        <v>8</v>
      </c>
      <c r="AF380" s="21">
        <f>IFERROR(NETWORKDAYS(B380,W380,Hoja1!$A$1:$A$29),"N/A")</f>
        <v>13</v>
      </c>
      <c r="AG380" s="78">
        <v>0</v>
      </c>
      <c r="AH380" s="21">
        <f t="shared" si="39"/>
        <v>13</v>
      </c>
      <c r="AI380" s="21">
        <f>IFERROR(NETWORKDAYS(X380,Y380,Hoja1!$A$1:$A$29),"N/A")</f>
        <v>5</v>
      </c>
      <c r="AJ380" s="78">
        <v>0</v>
      </c>
      <c r="AK380" s="75">
        <f t="shared" si="41"/>
        <v>5</v>
      </c>
      <c r="AL380" s="21">
        <f>IFERROR(NETWORKDAYS(B380,Y380,Hoja1!$A$1:$A$29),"N/A")</f>
        <v>17</v>
      </c>
      <c r="AM380" s="21">
        <f t="shared" si="35"/>
        <v>17</v>
      </c>
      <c r="AN380" s="87" t="s">
        <v>871</v>
      </c>
      <c r="AO380" s="87"/>
      <c r="AP380" s="87"/>
      <c r="AQ380" s="87"/>
      <c r="AR380" s="87"/>
      <c r="AS380" s="87" t="s">
        <v>1890</v>
      </c>
      <c r="AT380" s="87" t="s">
        <v>1995</v>
      </c>
      <c r="AU380" s="87" t="s">
        <v>2216</v>
      </c>
      <c r="AV380" s="320" t="s">
        <v>2454</v>
      </c>
      <c r="AW380" s="403" t="s">
        <v>2966</v>
      </c>
      <c r="AY380" s="415"/>
    </row>
    <row r="381" spans="1:51" ht="15" customHeight="1" x14ac:dyDescent="0.25">
      <c r="A381" s="303">
        <v>15904</v>
      </c>
      <c r="B381" s="142">
        <v>46070</v>
      </c>
      <c r="C381" s="142">
        <v>46070</v>
      </c>
      <c r="D381" s="21">
        <v>1</v>
      </c>
      <c r="E381" s="87" t="s">
        <v>54</v>
      </c>
      <c r="F381" s="33" t="s">
        <v>55</v>
      </c>
      <c r="G381" s="33">
        <v>0</v>
      </c>
      <c r="H381" s="33"/>
      <c r="I381" s="142" t="s">
        <v>55</v>
      </c>
      <c r="J381" s="142" t="s">
        <v>55</v>
      </c>
      <c r="K381" s="33">
        <v>0</v>
      </c>
      <c r="L381" s="33" t="s">
        <v>55</v>
      </c>
      <c r="M381" s="33" t="s">
        <v>55</v>
      </c>
      <c r="N381" s="33" t="s">
        <v>55</v>
      </c>
      <c r="O381" s="33" t="s">
        <v>55</v>
      </c>
      <c r="P381" s="33" t="s">
        <v>55</v>
      </c>
      <c r="Q381" s="33" t="s">
        <v>55</v>
      </c>
      <c r="R381" s="33" t="s">
        <v>55</v>
      </c>
      <c r="S381" s="33">
        <v>1</v>
      </c>
      <c r="T381" s="33">
        <v>1</v>
      </c>
      <c r="U381" s="33">
        <v>0</v>
      </c>
      <c r="V381" s="28">
        <v>46071</v>
      </c>
      <c r="W381" s="28">
        <v>46071</v>
      </c>
      <c r="X381" s="28">
        <v>46072</v>
      </c>
      <c r="Y381" s="28">
        <v>46080</v>
      </c>
      <c r="Z381" s="38">
        <v>46083</v>
      </c>
      <c r="AA381" s="33">
        <f t="shared" si="40"/>
        <v>3</v>
      </c>
      <c r="AB381" s="144" t="s">
        <v>1136</v>
      </c>
      <c r="AC381" s="35" t="s">
        <v>1137</v>
      </c>
      <c r="AD381" s="19" t="str">
        <f t="shared" si="34"/>
        <v>N/A</v>
      </c>
      <c r="AE381" s="67" t="str">
        <f>IFERROR(NETWORKDAYS(B381,I381,Hoja1!$A$1:$A$29),"N/A")</f>
        <v>N/A</v>
      </c>
      <c r="AF381" s="21">
        <f>IFERROR(NETWORKDAYS(B381,W381,Hoja1!$A$1:$A$29),"N/A")</f>
        <v>2</v>
      </c>
      <c r="AG381" s="78">
        <v>0</v>
      </c>
      <c r="AH381" s="21">
        <f t="shared" si="39"/>
        <v>2</v>
      </c>
      <c r="AI381" s="21">
        <f>IFERROR(NETWORKDAYS(X381,Y381,Hoja1!$A$1:$A$29),"N/A")</f>
        <v>7</v>
      </c>
      <c r="AJ381" s="78">
        <v>2</v>
      </c>
      <c r="AK381" s="75">
        <f t="shared" si="41"/>
        <v>5</v>
      </c>
      <c r="AL381" s="21">
        <f>IFERROR(NETWORKDAYS(B381,Y381,Hoja1!$A$1:$A$29),"N/A")</f>
        <v>9</v>
      </c>
      <c r="AM381" s="21">
        <f t="shared" si="35"/>
        <v>7</v>
      </c>
      <c r="AN381" s="87"/>
      <c r="AO381" s="87"/>
      <c r="AP381" s="87"/>
      <c r="AQ381" s="87"/>
      <c r="AR381" s="87"/>
      <c r="AS381" s="87" t="s">
        <v>1889</v>
      </c>
      <c r="AT381" s="87" t="s">
        <v>2129</v>
      </c>
      <c r="AU381" s="87" t="s">
        <v>2212</v>
      </c>
      <c r="AV381" s="320" t="s">
        <v>2455</v>
      </c>
      <c r="AW381" s="403" t="s">
        <v>2967</v>
      </c>
      <c r="AY381" s="414"/>
    </row>
    <row r="382" spans="1:51" ht="15" customHeight="1" x14ac:dyDescent="0.25">
      <c r="A382" s="303">
        <v>15905</v>
      </c>
      <c r="B382" s="142">
        <v>46070</v>
      </c>
      <c r="C382" s="142">
        <v>46070</v>
      </c>
      <c r="D382" s="21">
        <v>1</v>
      </c>
      <c r="E382" s="87" t="s">
        <v>54</v>
      </c>
      <c r="F382" s="33" t="s">
        <v>55</v>
      </c>
      <c r="G382" s="33">
        <v>0</v>
      </c>
      <c r="H382" s="33"/>
      <c r="I382" s="142" t="s">
        <v>55</v>
      </c>
      <c r="J382" s="142" t="s">
        <v>55</v>
      </c>
      <c r="K382" s="33">
        <v>0</v>
      </c>
      <c r="L382" s="33" t="s">
        <v>55</v>
      </c>
      <c r="M382" s="33" t="s">
        <v>55</v>
      </c>
      <c r="N382" s="33" t="s">
        <v>55</v>
      </c>
      <c r="O382" s="33" t="s">
        <v>55</v>
      </c>
      <c r="P382" s="33" t="s">
        <v>55</v>
      </c>
      <c r="Q382" s="33" t="s">
        <v>55</v>
      </c>
      <c r="R382" s="33" t="s">
        <v>55</v>
      </c>
      <c r="S382" s="33">
        <v>1</v>
      </c>
      <c r="T382" s="33">
        <v>1</v>
      </c>
      <c r="U382" s="33">
        <v>0</v>
      </c>
      <c r="V382" s="28">
        <v>46077</v>
      </c>
      <c r="W382" s="28">
        <v>46078</v>
      </c>
      <c r="X382" s="28">
        <v>46079</v>
      </c>
      <c r="Y382" s="28">
        <v>46085</v>
      </c>
      <c r="Z382" s="28">
        <v>46093</v>
      </c>
      <c r="AA382" s="33">
        <f t="shared" si="40"/>
        <v>3</v>
      </c>
      <c r="AB382" s="144" t="s">
        <v>1138</v>
      </c>
      <c r="AC382" s="35" t="s">
        <v>1139</v>
      </c>
      <c r="AD382" s="19" t="str">
        <f t="shared" si="34"/>
        <v>N/A</v>
      </c>
      <c r="AE382" s="67" t="str">
        <f>IFERROR(NETWORKDAYS(B382,I382,Hoja1!$A$1:$A$29),"N/A")</f>
        <v>N/A</v>
      </c>
      <c r="AF382" s="21">
        <f>IFERROR(NETWORKDAYS(B382,W382,Hoja1!$A$1:$A$29),"N/A")</f>
        <v>7</v>
      </c>
      <c r="AG382" s="78">
        <v>0</v>
      </c>
      <c r="AH382" s="21">
        <f t="shared" si="39"/>
        <v>7</v>
      </c>
      <c r="AI382" s="21">
        <f>IFERROR(NETWORKDAYS(X382,Y382,Hoja1!$A$1:$A$29),"N/A")</f>
        <v>5</v>
      </c>
      <c r="AJ382" s="78">
        <v>0</v>
      </c>
      <c r="AK382" s="75">
        <f t="shared" si="41"/>
        <v>5</v>
      </c>
      <c r="AL382" s="21">
        <f>IFERROR(NETWORKDAYS(B382,Y382,Hoja1!$A$1:$A$29),"N/A")</f>
        <v>12</v>
      </c>
      <c r="AM382" s="21">
        <f t="shared" si="35"/>
        <v>12</v>
      </c>
      <c r="AN382" s="111"/>
      <c r="AO382" s="87"/>
      <c r="AP382" s="87"/>
      <c r="AQ382" s="87"/>
      <c r="AR382" s="87"/>
      <c r="AS382" s="87" t="s">
        <v>1889</v>
      </c>
      <c r="AT382" s="87" t="s">
        <v>2129</v>
      </c>
      <c r="AU382" s="87" t="s">
        <v>2212</v>
      </c>
      <c r="AV382" s="320" t="s">
        <v>2437</v>
      </c>
      <c r="AW382" s="403" t="s">
        <v>2968</v>
      </c>
      <c r="AY382" s="415"/>
    </row>
    <row r="383" spans="1:51" ht="15" customHeight="1" x14ac:dyDescent="0.25">
      <c r="A383" s="295">
        <v>15906</v>
      </c>
      <c r="B383" s="142">
        <v>46071</v>
      </c>
      <c r="C383" s="142">
        <v>46071</v>
      </c>
      <c r="D383" s="21">
        <v>1</v>
      </c>
      <c r="E383" s="87" t="s">
        <v>54</v>
      </c>
      <c r="F383" s="2" t="s">
        <v>55</v>
      </c>
      <c r="G383" s="151">
        <v>2</v>
      </c>
      <c r="H383" s="3" t="s">
        <v>112</v>
      </c>
      <c r="I383" s="160">
        <v>46073</v>
      </c>
      <c r="J383" s="160">
        <v>46073</v>
      </c>
      <c r="K383" s="151">
        <v>2</v>
      </c>
      <c r="L383" s="2" t="s">
        <v>55</v>
      </c>
      <c r="M383" s="2" t="s">
        <v>55</v>
      </c>
      <c r="N383" s="2" t="s">
        <v>55</v>
      </c>
      <c r="O383" s="2" t="s">
        <v>55</v>
      </c>
      <c r="P383" s="2" t="s">
        <v>55</v>
      </c>
      <c r="Q383" s="2" t="s">
        <v>55</v>
      </c>
      <c r="R383" s="2" t="s">
        <v>55</v>
      </c>
      <c r="S383" s="151">
        <v>1</v>
      </c>
      <c r="T383" s="151">
        <v>1</v>
      </c>
      <c r="U383" s="2">
        <v>0</v>
      </c>
      <c r="V383" s="104">
        <v>46085</v>
      </c>
      <c r="W383" s="104">
        <v>46085</v>
      </c>
      <c r="X383" s="104">
        <v>46085</v>
      </c>
      <c r="Y383" s="28">
        <v>46091</v>
      </c>
      <c r="Z383" s="104">
        <v>46093</v>
      </c>
      <c r="AA383" s="33">
        <f t="shared" si="40"/>
        <v>3</v>
      </c>
      <c r="AB383" s="144" t="s">
        <v>1140</v>
      </c>
      <c r="AC383" s="35" t="s">
        <v>1141</v>
      </c>
      <c r="AD383" s="19">
        <f t="shared" si="34"/>
        <v>1</v>
      </c>
      <c r="AE383" s="67">
        <f>IFERROR(NETWORKDAYS(B383,I383,Hoja1!$A$1:$A$29),"N/A")</f>
        <v>3</v>
      </c>
      <c r="AF383" s="21">
        <f>IFERROR(NETWORKDAYS(B383,W383,Hoja1!$A$1:$A$29),"N/A")</f>
        <v>11</v>
      </c>
      <c r="AG383" s="78">
        <v>0</v>
      </c>
      <c r="AH383" s="21">
        <f t="shared" si="39"/>
        <v>11</v>
      </c>
      <c r="AI383" s="21">
        <f>IFERROR(NETWORKDAYS(X383,Y383,Hoja1!$A$1:$A$29),"N/A")</f>
        <v>5</v>
      </c>
      <c r="AJ383" s="78">
        <v>0</v>
      </c>
      <c r="AK383" s="163">
        <v>4</v>
      </c>
      <c r="AL383" s="21">
        <f>IFERROR(NETWORKDAYS(B383,Y383,Hoja1!$A$1:$A$29),"N/A")</f>
        <v>15</v>
      </c>
      <c r="AM383" s="21">
        <f t="shared" si="35"/>
        <v>15</v>
      </c>
      <c r="AN383" s="152"/>
      <c r="AO383" s="152"/>
      <c r="AP383" s="152"/>
      <c r="AQ383" s="152"/>
      <c r="AR383" s="152"/>
      <c r="AS383" s="152" t="s">
        <v>1925</v>
      </c>
      <c r="AT383" s="152" t="s">
        <v>1994</v>
      </c>
      <c r="AU383" s="152" t="s">
        <v>2217</v>
      </c>
      <c r="AV383" s="323" t="s">
        <v>2239</v>
      </c>
      <c r="AW383" s="403" t="s">
        <v>2969</v>
      </c>
      <c r="AY383" s="414"/>
    </row>
    <row r="384" spans="1:51" ht="15" customHeight="1" x14ac:dyDescent="0.25">
      <c r="A384" s="303">
        <v>15907</v>
      </c>
      <c r="B384" s="142">
        <v>46070</v>
      </c>
      <c r="C384" s="142">
        <v>46070</v>
      </c>
      <c r="D384" s="21">
        <v>1</v>
      </c>
      <c r="E384" s="87" t="s">
        <v>54</v>
      </c>
      <c r="F384" s="33" t="s">
        <v>55</v>
      </c>
      <c r="G384" s="33">
        <v>0</v>
      </c>
      <c r="H384" s="33"/>
      <c r="I384" s="142" t="s">
        <v>55</v>
      </c>
      <c r="J384" s="142" t="s">
        <v>55</v>
      </c>
      <c r="K384" s="33">
        <v>0</v>
      </c>
      <c r="L384" s="33" t="s">
        <v>55</v>
      </c>
      <c r="M384" s="33" t="s">
        <v>55</v>
      </c>
      <c r="N384" s="33" t="s">
        <v>55</v>
      </c>
      <c r="O384" s="33" t="s">
        <v>55</v>
      </c>
      <c r="P384" s="33" t="s">
        <v>55</v>
      </c>
      <c r="Q384" s="33" t="s">
        <v>55</v>
      </c>
      <c r="R384" s="33" t="s">
        <v>55</v>
      </c>
      <c r="S384" s="33">
        <v>1</v>
      </c>
      <c r="T384" s="33">
        <v>1</v>
      </c>
      <c r="U384" s="33">
        <v>0</v>
      </c>
      <c r="V384" s="28">
        <v>46077</v>
      </c>
      <c r="W384" s="28">
        <v>46078</v>
      </c>
      <c r="X384" s="28">
        <v>46079</v>
      </c>
      <c r="Y384" s="28">
        <v>46090</v>
      </c>
      <c r="Z384" s="53">
        <v>46093</v>
      </c>
      <c r="AA384" s="33">
        <f t="shared" si="40"/>
        <v>3</v>
      </c>
      <c r="AB384" s="144" t="s">
        <v>1143</v>
      </c>
      <c r="AC384" s="35" t="s">
        <v>1144</v>
      </c>
      <c r="AD384" s="19" t="str">
        <f t="shared" si="34"/>
        <v>N/A</v>
      </c>
      <c r="AE384" s="67" t="str">
        <f>IFERROR(NETWORKDAYS(B384,I384,Hoja1!$A$1:$A$29),"N/A")</f>
        <v>N/A</v>
      </c>
      <c r="AF384" s="21">
        <f>IFERROR(NETWORKDAYS(B384,W384,Hoja1!$A$1:$A$29),"N/A")</f>
        <v>7</v>
      </c>
      <c r="AG384" s="78">
        <v>0</v>
      </c>
      <c r="AH384" s="21">
        <f t="shared" si="39"/>
        <v>7</v>
      </c>
      <c r="AI384" s="21">
        <f>IFERROR(NETWORKDAYS(X384,Y384,Hoja1!$A$1:$A$29),"N/A")</f>
        <v>8</v>
      </c>
      <c r="AJ384" s="78">
        <v>3</v>
      </c>
      <c r="AK384" s="75">
        <f>AI384-AJ384</f>
        <v>5</v>
      </c>
      <c r="AL384" s="21">
        <f>IFERROR(NETWORKDAYS(B384,Y384,Hoja1!$A$1:$A$29),"N/A")</f>
        <v>15</v>
      </c>
      <c r="AM384" s="21">
        <f t="shared" si="35"/>
        <v>12</v>
      </c>
      <c r="AN384" s="87"/>
      <c r="AO384" s="87"/>
      <c r="AP384" s="87"/>
      <c r="AQ384" s="87"/>
      <c r="AR384" s="87"/>
      <c r="AS384" s="87" t="s">
        <v>1889</v>
      </c>
      <c r="AT384" s="87" t="s">
        <v>2130</v>
      </c>
      <c r="AU384" s="87" t="s">
        <v>2212</v>
      </c>
      <c r="AV384" s="320" t="s">
        <v>2456</v>
      </c>
      <c r="AW384" s="403" t="s">
        <v>2970</v>
      </c>
      <c r="AY384" s="415"/>
    </row>
    <row r="385" spans="1:51" ht="15" customHeight="1" x14ac:dyDescent="0.25">
      <c r="A385" s="303">
        <v>15909</v>
      </c>
      <c r="B385" s="142">
        <v>46071</v>
      </c>
      <c r="C385" s="142">
        <v>46071</v>
      </c>
      <c r="D385" s="21">
        <v>1</v>
      </c>
      <c r="E385" s="87" t="s">
        <v>54</v>
      </c>
      <c r="F385" s="33" t="s">
        <v>55</v>
      </c>
      <c r="G385" s="33">
        <v>0</v>
      </c>
      <c r="H385" s="33"/>
      <c r="I385" s="142" t="s">
        <v>55</v>
      </c>
      <c r="J385" s="142" t="s">
        <v>55</v>
      </c>
      <c r="K385" s="33">
        <v>0</v>
      </c>
      <c r="L385" s="33" t="s">
        <v>55</v>
      </c>
      <c r="M385" s="33" t="s">
        <v>55</v>
      </c>
      <c r="N385" s="33" t="s">
        <v>55</v>
      </c>
      <c r="O385" s="33" t="s">
        <v>55</v>
      </c>
      <c r="P385" s="33" t="s">
        <v>55</v>
      </c>
      <c r="Q385" s="33" t="s">
        <v>55</v>
      </c>
      <c r="R385" s="33" t="s">
        <v>55</v>
      </c>
      <c r="S385" s="33">
        <v>1</v>
      </c>
      <c r="T385" s="33">
        <v>1</v>
      </c>
      <c r="U385" s="33">
        <v>0</v>
      </c>
      <c r="V385" s="28">
        <v>46077</v>
      </c>
      <c r="W385" s="28">
        <v>46078</v>
      </c>
      <c r="X385" s="28">
        <v>46079</v>
      </c>
      <c r="Y385" s="28">
        <v>46091</v>
      </c>
      <c r="Z385" s="53">
        <v>46093</v>
      </c>
      <c r="AA385" s="33">
        <f t="shared" si="40"/>
        <v>3</v>
      </c>
      <c r="AB385" s="144" t="s">
        <v>1147</v>
      </c>
      <c r="AC385" s="35" t="s">
        <v>1148</v>
      </c>
      <c r="AD385" s="19" t="str">
        <f t="shared" si="34"/>
        <v>N/A</v>
      </c>
      <c r="AE385" s="67" t="str">
        <f>IFERROR(NETWORKDAYS(B385,I385,Hoja1!$A$1:$A$29),"N/A")</f>
        <v>N/A</v>
      </c>
      <c r="AF385" s="21">
        <f>IFERROR(NETWORKDAYS(B385,W385,Hoja1!$A$1:$A$29),"N/A")</f>
        <v>6</v>
      </c>
      <c r="AG385" s="78">
        <v>0</v>
      </c>
      <c r="AH385" s="21">
        <f t="shared" si="39"/>
        <v>6</v>
      </c>
      <c r="AI385" s="21">
        <f>IFERROR(NETWORKDAYS(X385,Y385,Hoja1!$A$1:$A$29),"N/A")</f>
        <v>9</v>
      </c>
      <c r="AJ385" s="78">
        <v>4</v>
      </c>
      <c r="AK385" s="75">
        <f>AI385-AJ385</f>
        <v>5</v>
      </c>
      <c r="AL385" s="21">
        <f>IFERROR(NETWORKDAYS(B385,Y385,Hoja1!$A$1:$A$29),"N/A")</f>
        <v>15</v>
      </c>
      <c r="AM385" s="21">
        <f t="shared" si="35"/>
        <v>11</v>
      </c>
      <c r="AN385" s="87"/>
      <c r="AO385" s="87"/>
      <c r="AP385" s="87"/>
      <c r="AQ385" s="87"/>
      <c r="AR385" s="87"/>
      <c r="AS385" s="87" t="s">
        <v>1889</v>
      </c>
      <c r="AT385" s="87" t="s">
        <v>2131</v>
      </c>
      <c r="AU385" s="87" t="s">
        <v>2212</v>
      </c>
      <c r="AV385" s="320" t="s">
        <v>2437</v>
      </c>
      <c r="AW385" s="403" t="s">
        <v>2971</v>
      </c>
      <c r="AY385" s="414"/>
    </row>
    <row r="386" spans="1:51" ht="15" customHeight="1" x14ac:dyDescent="0.25">
      <c r="A386" s="303">
        <v>15911</v>
      </c>
      <c r="B386" s="142">
        <v>46071</v>
      </c>
      <c r="C386" s="142">
        <v>46071</v>
      </c>
      <c r="D386" s="21">
        <v>1</v>
      </c>
      <c r="E386" s="87" t="s">
        <v>54</v>
      </c>
      <c r="F386" s="33" t="s">
        <v>55</v>
      </c>
      <c r="G386" s="33">
        <v>0</v>
      </c>
      <c r="H386" s="33"/>
      <c r="I386" s="142" t="s">
        <v>55</v>
      </c>
      <c r="J386" s="142" t="s">
        <v>55</v>
      </c>
      <c r="K386" s="33">
        <v>0</v>
      </c>
      <c r="L386" s="33" t="s">
        <v>55</v>
      </c>
      <c r="M386" s="33" t="s">
        <v>55</v>
      </c>
      <c r="N386" s="33" t="s">
        <v>55</v>
      </c>
      <c r="O386" s="33" t="s">
        <v>55</v>
      </c>
      <c r="P386" s="33" t="s">
        <v>55</v>
      </c>
      <c r="Q386" s="33" t="s">
        <v>55</v>
      </c>
      <c r="R386" s="33" t="s">
        <v>55</v>
      </c>
      <c r="S386" s="33">
        <v>1</v>
      </c>
      <c r="T386" s="33">
        <v>1</v>
      </c>
      <c r="U386" s="33">
        <v>0</v>
      </c>
      <c r="V386" s="28">
        <v>46077</v>
      </c>
      <c r="W386" s="28">
        <v>46078</v>
      </c>
      <c r="X386" s="28">
        <v>46079</v>
      </c>
      <c r="Y386" s="28">
        <v>46091</v>
      </c>
      <c r="Z386" s="53">
        <v>46093</v>
      </c>
      <c r="AA386" s="33">
        <f t="shared" si="40"/>
        <v>3</v>
      </c>
      <c r="AB386" s="144" t="s">
        <v>1150</v>
      </c>
      <c r="AC386" s="35" t="s">
        <v>1151</v>
      </c>
      <c r="AD386" s="19" t="str">
        <f t="shared" ref="AD386:AD449" si="42">IFERROR(K386/G386,"N/A")</f>
        <v>N/A</v>
      </c>
      <c r="AE386" s="67" t="str">
        <f>IFERROR(NETWORKDAYS(B386,I386,Hoja1!$A$1:$A$29),"N/A")</f>
        <v>N/A</v>
      </c>
      <c r="AF386" s="21">
        <f>IFERROR(NETWORKDAYS(B386,W386,Hoja1!$A$1:$A$29),"N/A")</f>
        <v>6</v>
      </c>
      <c r="AG386" s="78">
        <v>0</v>
      </c>
      <c r="AH386" s="21">
        <f t="shared" si="39"/>
        <v>6</v>
      </c>
      <c r="AI386" s="21">
        <f>IFERROR(NETWORKDAYS(X386,Y386,Hoja1!$A$1:$A$29),"N/A")</f>
        <v>9</v>
      </c>
      <c r="AJ386" s="78">
        <v>4</v>
      </c>
      <c r="AK386" s="75">
        <f>AI386-AJ386</f>
        <v>5</v>
      </c>
      <c r="AL386" s="21">
        <f>IFERROR(NETWORKDAYS(B386,Y386,Hoja1!$A$1:$A$29),"N/A")</f>
        <v>15</v>
      </c>
      <c r="AM386" s="21">
        <f t="shared" ref="AM386:AM449" si="43">AL386-AG386-AJ386</f>
        <v>11</v>
      </c>
      <c r="AN386" s="87"/>
      <c r="AO386" s="87"/>
      <c r="AP386" s="87"/>
      <c r="AQ386" s="87"/>
      <c r="AR386" s="87"/>
      <c r="AS386" s="87" t="s">
        <v>1889</v>
      </c>
      <c r="AT386" s="87" t="s">
        <v>2132</v>
      </c>
      <c r="AU386" s="87" t="s">
        <v>2212</v>
      </c>
      <c r="AV386" s="320" t="s">
        <v>2437</v>
      </c>
      <c r="AW386" s="403" t="s">
        <v>2971</v>
      </c>
      <c r="AY386" s="415"/>
    </row>
    <row r="387" spans="1:51" ht="15" customHeight="1" x14ac:dyDescent="0.25">
      <c r="A387" s="294">
        <v>15914</v>
      </c>
      <c r="B387" s="142">
        <v>46071</v>
      </c>
      <c r="C387" s="142">
        <v>46071</v>
      </c>
      <c r="D387" s="21">
        <v>1</v>
      </c>
      <c r="E387" s="159" t="s">
        <v>247</v>
      </c>
      <c r="F387" s="3" t="s">
        <v>55</v>
      </c>
      <c r="G387" s="3">
        <v>0</v>
      </c>
      <c r="H387" s="33"/>
      <c r="I387" s="3" t="s">
        <v>55</v>
      </c>
      <c r="J387" s="3" t="s">
        <v>55</v>
      </c>
      <c r="K387" s="3">
        <v>0</v>
      </c>
      <c r="L387" s="3" t="s">
        <v>55</v>
      </c>
      <c r="M387" s="3" t="s">
        <v>55</v>
      </c>
      <c r="N387" s="3" t="s">
        <v>55</v>
      </c>
      <c r="O387" s="3" t="s">
        <v>55</v>
      </c>
      <c r="P387" s="3" t="s">
        <v>55</v>
      </c>
      <c r="Q387" s="3" t="s">
        <v>55</v>
      </c>
      <c r="R387" s="3" t="s">
        <v>55</v>
      </c>
      <c r="S387" s="2">
        <v>1</v>
      </c>
      <c r="T387" s="2">
        <v>1</v>
      </c>
      <c r="U387" s="3">
        <v>0</v>
      </c>
      <c r="V387" s="28">
        <v>46077</v>
      </c>
      <c r="W387" s="28">
        <v>46077</v>
      </c>
      <c r="X387" s="28" t="s">
        <v>55</v>
      </c>
      <c r="Y387" s="140">
        <v>46083</v>
      </c>
      <c r="Z387" s="140">
        <v>46083</v>
      </c>
      <c r="AA387" s="33">
        <v>3</v>
      </c>
      <c r="AB387" s="144" t="s">
        <v>1153</v>
      </c>
      <c r="AC387" s="146" t="s">
        <v>1154</v>
      </c>
      <c r="AD387" s="19" t="str">
        <f t="shared" si="42"/>
        <v>N/A</v>
      </c>
      <c r="AE387" s="67" t="str">
        <f>IFERROR(NETWORKDAYS(B387,I387,Hoja1!$A$1:$A$29),"N/A")</f>
        <v>N/A</v>
      </c>
      <c r="AF387" s="21">
        <f>IFERROR(NETWORKDAYS(B387,W387,Hoja1!$A$1:$A$29),"N/A")</f>
        <v>5</v>
      </c>
      <c r="AG387" s="78">
        <v>0</v>
      </c>
      <c r="AH387" s="21">
        <f t="shared" si="39"/>
        <v>5</v>
      </c>
      <c r="AI387" s="21" t="str">
        <f>IFERROR(NETWORKDAYS(X387,Y387,Hoja1!$A$1:$A$29),"N/A")</f>
        <v>N/A</v>
      </c>
      <c r="AJ387" s="78">
        <v>0</v>
      </c>
      <c r="AK387" s="19" t="s">
        <v>82</v>
      </c>
      <c r="AL387" s="21">
        <f>IFERROR(NETWORKDAYS(B387,Y387,Hoja1!$A$1:$A$29),"N/A")</f>
        <v>9</v>
      </c>
      <c r="AM387" s="21">
        <f t="shared" si="43"/>
        <v>9</v>
      </c>
      <c r="AN387" s="2"/>
      <c r="AO387" s="2"/>
      <c r="AP387" s="2"/>
      <c r="AQ387" s="2"/>
      <c r="AR387" s="2"/>
      <c r="AS387" s="2" t="s">
        <v>1889</v>
      </c>
      <c r="AT387" s="2" t="s">
        <v>2133</v>
      </c>
      <c r="AU387" s="2" t="s">
        <v>2212</v>
      </c>
      <c r="AV387" s="328" t="s">
        <v>2372</v>
      </c>
      <c r="AW387" s="403" t="s">
        <v>2972</v>
      </c>
      <c r="AY387" s="414"/>
    </row>
    <row r="388" spans="1:51" ht="15" customHeight="1" x14ac:dyDescent="0.25">
      <c r="A388" s="303">
        <v>15916</v>
      </c>
      <c r="B388" s="142">
        <v>46071</v>
      </c>
      <c r="C388" s="142">
        <v>46071</v>
      </c>
      <c r="D388" s="21">
        <v>1</v>
      </c>
      <c r="E388" s="87" t="s">
        <v>54</v>
      </c>
      <c r="F388" s="33" t="s">
        <v>55</v>
      </c>
      <c r="G388" s="33">
        <v>0</v>
      </c>
      <c r="H388" s="33"/>
      <c r="I388" s="142" t="s">
        <v>55</v>
      </c>
      <c r="J388" s="142" t="s">
        <v>55</v>
      </c>
      <c r="K388" s="33">
        <v>0</v>
      </c>
      <c r="L388" s="33" t="s">
        <v>55</v>
      </c>
      <c r="M388" s="33" t="s">
        <v>55</v>
      </c>
      <c r="N388" s="33" t="s">
        <v>55</v>
      </c>
      <c r="O388" s="33" t="s">
        <v>55</v>
      </c>
      <c r="P388" s="33" t="s">
        <v>55</v>
      </c>
      <c r="Q388" s="33" t="s">
        <v>55</v>
      </c>
      <c r="R388" s="33" t="s">
        <v>55</v>
      </c>
      <c r="S388" s="33">
        <v>1</v>
      </c>
      <c r="T388" s="33">
        <v>1</v>
      </c>
      <c r="U388" s="33">
        <v>0</v>
      </c>
      <c r="V388" s="28">
        <v>46086</v>
      </c>
      <c r="W388" s="28">
        <v>46093</v>
      </c>
      <c r="X388" s="28">
        <v>46094</v>
      </c>
      <c r="Y388" s="28">
        <v>46105</v>
      </c>
      <c r="Z388" s="140">
        <v>46106</v>
      </c>
      <c r="AA388" s="33">
        <f>MONTH(Z388)</f>
        <v>3</v>
      </c>
      <c r="AB388" s="144" t="s">
        <v>1156</v>
      </c>
      <c r="AC388" s="35" t="s">
        <v>1157</v>
      </c>
      <c r="AD388" s="19" t="str">
        <f t="shared" si="42"/>
        <v>N/A</v>
      </c>
      <c r="AE388" s="67" t="str">
        <f>IFERROR(NETWORKDAYS(B388,I388,Hoja1!$A$1:$A$29),"N/A")</f>
        <v>N/A</v>
      </c>
      <c r="AF388" s="21">
        <f>IFERROR(NETWORKDAYS(B388,W388,Hoja1!$A$1:$A$29),"N/A")</f>
        <v>17</v>
      </c>
      <c r="AG388" s="78">
        <v>0</v>
      </c>
      <c r="AH388" s="21">
        <f t="shared" si="39"/>
        <v>17</v>
      </c>
      <c r="AI388" s="21">
        <f>IFERROR(NETWORKDAYS(X388,Y388,Hoja1!$A$1:$A$29),"N/A")</f>
        <v>7</v>
      </c>
      <c r="AJ388" s="78">
        <v>2</v>
      </c>
      <c r="AK388" s="75">
        <f>AI388-AJ388</f>
        <v>5</v>
      </c>
      <c r="AL388" s="21">
        <f>IFERROR(NETWORKDAYS(B388,Y388,Hoja1!$A$1:$A$29),"N/A")</f>
        <v>24</v>
      </c>
      <c r="AM388" s="21">
        <f t="shared" si="43"/>
        <v>22</v>
      </c>
      <c r="AN388" s="87"/>
      <c r="AO388" s="87"/>
      <c r="AP388" s="87"/>
      <c r="AQ388" s="87"/>
      <c r="AR388" s="87"/>
      <c r="AS388" s="87" t="s">
        <v>1889</v>
      </c>
      <c r="AT388" s="87" t="s">
        <v>2134</v>
      </c>
      <c r="AU388" s="87" t="s">
        <v>2212</v>
      </c>
      <c r="AV388" s="320" t="s">
        <v>2250</v>
      </c>
      <c r="AW388" s="403" t="s">
        <v>2973</v>
      </c>
      <c r="AY388" s="415"/>
    </row>
    <row r="389" spans="1:51" ht="15" customHeight="1" x14ac:dyDescent="0.25">
      <c r="A389" s="307">
        <v>15917</v>
      </c>
      <c r="B389" s="174">
        <v>46071</v>
      </c>
      <c r="C389" s="174">
        <v>46071</v>
      </c>
      <c r="D389" s="66">
        <v>1</v>
      </c>
      <c r="E389" s="200" t="s">
        <v>247</v>
      </c>
      <c r="F389" s="96" t="s">
        <v>55</v>
      </c>
      <c r="G389" s="96">
        <v>1</v>
      </c>
      <c r="H389" s="96" t="s">
        <v>112</v>
      </c>
      <c r="I389" s="138">
        <v>46072</v>
      </c>
      <c r="J389" s="138">
        <v>46072</v>
      </c>
      <c r="K389" s="96">
        <v>1</v>
      </c>
      <c r="L389" s="96" t="s">
        <v>55</v>
      </c>
      <c r="M389" s="96" t="s">
        <v>55</v>
      </c>
      <c r="N389" s="96" t="s">
        <v>55</v>
      </c>
      <c r="O389" s="96" t="s">
        <v>55</v>
      </c>
      <c r="P389" s="96" t="s">
        <v>55</v>
      </c>
      <c r="Q389" s="96" t="s">
        <v>55</v>
      </c>
      <c r="R389" s="175" t="s">
        <v>55</v>
      </c>
      <c r="S389" s="96">
        <v>1</v>
      </c>
      <c r="T389" s="96">
        <v>1</v>
      </c>
      <c r="U389" s="96">
        <v>0</v>
      </c>
      <c r="V389" s="138">
        <v>46084</v>
      </c>
      <c r="W389" s="178">
        <v>46086</v>
      </c>
      <c r="X389" s="178" t="s">
        <v>55</v>
      </c>
      <c r="Y389" s="178">
        <v>46086</v>
      </c>
      <c r="Z389" s="96" t="s">
        <v>55</v>
      </c>
      <c r="AA389" s="99">
        <v>3</v>
      </c>
      <c r="AB389" s="227" t="s">
        <v>1158</v>
      </c>
      <c r="AC389" s="185" t="s">
        <v>1159</v>
      </c>
      <c r="AD389" s="19">
        <f t="shared" si="42"/>
        <v>1</v>
      </c>
      <c r="AE389" s="67">
        <f>IFERROR(NETWORKDAYS(B389,I389,Hoja1!$A$1:$A$29),"N/A")</f>
        <v>2</v>
      </c>
      <c r="AF389" s="21">
        <f>IFERROR(NETWORKDAYS(B389,W389,Hoja1!$A$1:$A$29),"N/A")</f>
        <v>12</v>
      </c>
      <c r="AG389" s="273">
        <v>0</v>
      </c>
      <c r="AH389" s="66">
        <f t="shared" si="39"/>
        <v>12</v>
      </c>
      <c r="AI389" s="21" t="str">
        <f>IFERROR(NETWORKDAYS(X389,Y389,Hoja1!$A$1:$A$29),"N/A")</f>
        <v>N/A</v>
      </c>
      <c r="AJ389" s="65">
        <v>0</v>
      </c>
      <c r="AK389" s="105" t="s">
        <v>82</v>
      </c>
      <c r="AL389" s="21">
        <f>IFERROR(NETWORKDAYS(B389,Y389,Hoja1!$A$1:$A$29),"N/A")</f>
        <v>12</v>
      </c>
      <c r="AM389" s="66">
        <f t="shared" si="43"/>
        <v>12</v>
      </c>
      <c r="AN389" s="106"/>
      <c r="AO389" s="106"/>
      <c r="AP389" s="106"/>
      <c r="AQ389" s="106"/>
      <c r="AR389" s="106"/>
      <c r="AS389" s="106" t="s">
        <v>1913</v>
      </c>
      <c r="AT389" s="106" t="s">
        <v>2124</v>
      </c>
      <c r="AU389" s="106" t="s">
        <v>2209</v>
      </c>
      <c r="AV389" s="329" t="s">
        <v>2250</v>
      </c>
      <c r="AW389" s="403" t="s">
        <v>2974</v>
      </c>
      <c r="AY389" s="414"/>
    </row>
    <row r="390" spans="1:51" ht="15" customHeight="1" x14ac:dyDescent="0.25">
      <c r="A390" s="295">
        <v>15918</v>
      </c>
      <c r="B390" s="142">
        <v>46058</v>
      </c>
      <c r="C390" s="142">
        <v>46071</v>
      </c>
      <c r="D390" s="21">
        <v>1</v>
      </c>
      <c r="E390" s="87" t="s">
        <v>54</v>
      </c>
      <c r="F390" s="3" t="s">
        <v>55</v>
      </c>
      <c r="G390" s="3">
        <v>5</v>
      </c>
      <c r="H390" s="3" t="s">
        <v>112</v>
      </c>
      <c r="I390" s="30">
        <v>46063</v>
      </c>
      <c r="J390" s="30">
        <v>46063</v>
      </c>
      <c r="K390" s="3">
        <v>5</v>
      </c>
      <c r="L390" s="3" t="s">
        <v>55</v>
      </c>
      <c r="M390" s="3" t="s">
        <v>55</v>
      </c>
      <c r="N390" s="3" t="s">
        <v>55</v>
      </c>
      <c r="O390" s="3" t="s">
        <v>55</v>
      </c>
      <c r="P390" s="3" t="s">
        <v>55</v>
      </c>
      <c r="Q390" s="3" t="s">
        <v>55</v>
      </c>
      <c r="R390" s="18" t="s">
        <v>55</v>
      </c>
      <c r="S390" s="3">
        <v>1</v>
      </c>
      <c r="T390" s="3">
        <v>1</v>
      </c>
      <c r="U390" s="3">
        <v>0</v>
      </c>
      <c r="V390" s="30">
        <v>46071</v>
      </c>
      <c r="W390" s="28">
        <v>46076</v>
      </c>
      <c r="X390" s="28">
        <v>46077</v>
      </c>
      <c r="Y390" s="28">
        <v>46083</v>
      </c>
      <c r="Z390" s="37">
        <v>46083</v>
      </c>
      <c r="AA390" s="33">
        <f>MONTH(Z390)</f>
        <v>3</v>
      </c>
      <c r="AB390" s="144" t="s">
        <v>1160</v>
      </c>
      <c r="AC390" s="35" t="s">
        <v>1161</v>
      </c>
      <c r="AD390" s="19">
        <f t="shared" si="42"/>
        <v>1</v>
      </c>
      <c r="AE390" s="67">
        <f>IFERROR(NETWORKDAYS(B390,I390,Hoja1!$A$1:$A$29),"N/A")</f>
        <v>4</v>
      </c>
      <c r="AF390" s="21">
        <f>IFERROR(NETWORKDAYS(B390,W390,Hoja1!$A$1:$A$29),"N/A")</f>
        <v>13</v>
      </c>
      <c r="AG390" s="78">
        <v>0</v>
      </c>
      <c r="AH390" s="21">
        <f t="shared" si="39"/>
        <v>13</v>
      </c>
      <c r="AI390" s="21">
        <f>IFERROR(NETWORKDAYS(X390,Y390,Hoja1!$A$1:$A$29),"N/A")</f>
        <v>5</v>
      </c>
      <c r="AJ390" s="78">
        <v>0</v>
      </c>
      <c r="AK390" s="75">
        <f>AI390-AJ390</f>
        <v>5</v>
      </c>
      <c r="AL390" s="21">
        <f>IFERROR(NETWORKDAYS(B390,Y390,Hoja1!$A$1:$A$29),"N/A")</f>
        <v>18</v>
      </c>
      <c r="AM390" s="21">
        <f t="shared" si="43"/>
        <v>18</v>
      </c>
      <c r="AN390" s="87" t="s">
        <v>871</v>
      </c>
      <c r="AO390" s="87"/>
      <c r="AP390" s="87"/>
      <c r="AQ390" s="87"/>
      <c r="AR390" s="87"/>
      <c r="AS390" s="87" t="s">
        <v>1913</v>
      </c>
      <c r="AT390" s="87" t="s">
        <v>2047</v>
      </c>
      <c r="AU390" s="87" t="s">
        <v>2209</v>
      </c>
      <c r="AV390" s="320" t="s">
        <v>2261</v>
      </c>
      <c r="AW390" s="403" t="s">
        <v>2975</v>
      </c>
      <c r="AY390" s="415"/>
    </row>
    <row r="391" spans="1:51" ht="15" customHeight="1" x14ac:dyDescent="0.25">
      <c r="A391" s="295">
        <v>15919</v>
      </c>
      <c r="B391" s="142">
        <v>46071</v>
      </c>
      <c r="C391" s="142">
        <v>46071</v>
      </c>
      <c r="D391" s="21">
        <v>1</v>
      </c>
      <c r="E391" s="87" t="s">
        <v>54</v>
      </c>
      <c r="F391" s="3" t="s">
        <v>55</v>
      </c>
      <c r="G391" s="3">
        <v>5</v>
      </c>
      <c r="H391" s="3" t="s">
        <v>112</v>
      </c>
      <c r="I391" s="30">
        <v>46083</v>
      </c>
      <c r="J391" s="30">
        <v>46083</v>
      </c>
      <c r="K391" s="3">
        <v>5</v>
      </c>
      <c r="L391" s="3" t="s">
        <v>55</v>
      </c>
      <c r="M391" s="3" t="s">
        <v>55</v>
      </c>
      <c r="N391" s="3" t="s">
        <v>55</v>
      </c>
      <c r="O391" s="3" t="s">
        <v>55</v>
      </c>
      <c r="P391" s="3" t="s">
        <v>55</v>
      </c>
      <c r="Q391" s="3" t="s">
        <v>55</v>
      </c>
      <c r="R391" s="18" t="s">
        <v>55</v>
      </c>
      <c r="S391" s="3">
        <v>2</v>
      </c>
      <c r="T391" s="3">
        <v>2</v>
      </c>
      <c r="U391" s="3">
        <v>0</v>
      </c>
      <c r="V391" s="30">
        <v>46090</v>
      </c>
      <c r="W391" s="28">
        <v>46092</v>
      </c>
      <c r="X391" s="28">
        <v>46094</v>
      </c>
      <c r="Y391" s="28">
        <v>46106</v>
      </c>
      <c r="Z391" s="140">
        <v>46106</v>
      </c>
      <c r="AA391" s="33">
        <f>MONTH(Z391)</f>
        <v>3</v>
      </c>
      <c r="AB391" s="144" t="s">
        <v>1162</v>
      </c>
      <c r="AC391" s="35" t="s">
        <v>1163</v>
      </c>
      <c r="AD391" s="19">
        <f t="shared" si="42"/>
        <v>1</v>
      </c>
      <c r="AE391" s="67">
        <f>IFERROR(NETWORKDAYS(B391,I391,Hoja1!$A$1:$A$29),"N/A")</f>
        <v>9</v>
      </c>
      <c r="AF391" s="21">
        <f>IFERROR(NETWORKDAYS(B391,W391,Hoja1!$A$1:$A$29),"N/A")</f>
        <v>16</v>
      </c>
      <c r="AG391" s="78">
        <v>3</v>
      </c>
      <c r="AH391" s="21">
        <f t="shared" si="39"/>
        <v>13</v>
      </c>
      <c r="AI391" s="21">
        <f>IFERROR(NETWORKDAYS(X391,Y391,Hoja1!$A$1:$A$29),"N/A")</f>
        <v>8</v>
      </c>
      <c r="AJ391" s="78">
        <v>3</v>
      </c>
      <c r="AK391" s="75">
        <f>AI391-AJ391</f>
        <v>5</v>
      </c>
      <c r="AL391" s="21">
        <f>IFERROR(NETWORKDAYS(B391,Y391,Hoja1!$A$1:$A$29),"N/A")</f>
        <v>25</v>
      </c>
      <c r="AM391" s="21">
        <f t="shared" si="43"/>
        <v>19</v>
      </c>
      <c r="AN391" s="114"/>
      <c r="AO391" s="114"/>
      <c r="AP391" s="114"/>
      <c r="AQ391" s="114"/>
      <c r="AR391" s="114"/>
      <c r="AS391" s="114" t="s">
        <v>1913</v>
      </c>
      <c r="AT391" s="114" t="s">
        <v>2047</v>
      </c>
      <c r="AU391" s="114" t="s">
        <v>2209</v>
      </c>
      <c r="AV391" s="322" t="s">
        <v>2457</v>
      </c>
      <c r="AW391" s="403" t="s">
        <v>2976</v>
      </c>
      <c r="AY391" s="414"/>
    </row>
    <row r="392" spans="1:51" ht="15" customHeight="1" x14ac:dyDescent="0.25">
      <c r="A392" s="295">
        <v>15920</v>
      </c>
      <c r="B392" s="142">
        <v>46071</v>
      </c>
      <c r="C392" s="142">
        <v>46071</v>
      </c>
      <c r="D392" s="21">
        <v>1</v>
      </c>
      <c r="E392" s="87" t="s">
        <v>54</v>
      </c>
      <c r="F392" s="3" t="s">
        <v>55</v>
      </c>
      <c r="G392" s="3">
        <v>5</v>
      </c>
      <c r="H392" s="3" t="s">
        <v>112</v>
      </c>
      <c r="I392" s="30">
        <v>46078</v>
      </c>
      <c r="J392" s="30">
        <v>46078</v>
      </c>
      <c r="K392" s="3">
        <v>5</v>
      </c>
      <c r="L392" s="3" t="s">
        <v>55</v>
      </c>
      <c r="M392" s="3" t="s">
        <v>55</v>
      </c>
      <c r="N392" s="3" t="s">
        <v>55</v>
      </c>
      <c r="O392" s="3" t="s">
        <v>55</v>
      </c>
      <c r="P392" s="3" t="s">
        <v>55</v>
      </c>
      <c r="Q392" s="3" t="s">
        <v>55</v>
      </c>
      <c r="R392" s="18" t="s">
        <v>55</v>
      </c>
      <c r="S392" s="3">
        <v>2</v>
      </c>
      <c r="T392" s="3">
        <v>2</v>
      </c>
      <c r="U392" s="3">
        <v>0</v>
      </c>
      <c r="V392" s="30">
        <v>46090</v>
      </c>
      <c r="W392" s="28">
        <v>46092</v>
      </c>
      <c r="X392" s="28">
        <v>46094</v>
      </c>
      <c r="Y392" s="28">
        <v>46106</v>
      </c>
      <c r="Z392" s="140">
        <v>46106</v>
      </c>
      <c r="AA392" s="33">
        <f>MONTH(Z392)</f>
        <v>3</v>
      </c>
      <c r="AB392" s="144" t="s">
        <v>1164</v>
      </c>
      <c r="AC392" s="35" t="s">
        <v>1165</v>
      </c>
      <c r="AD392" s="19">
        <f t="shared" si="42"/>
        <v>1</v>
      </c>
      <c r="AE392" s="67">
        <f>IFERROR(NETWORKDAYS(B392,I392,Hoja1!$A$1:$A$29),"N/A")</f>
        <v>6</v>
      </c>
      <c r="AF392" s="21">
        <f>IFERROR(NETWORKDAYS(B392,W392,Hoja1!$A$1:$A$29),"N/A")</f>
        <v>16</v>
      </c>
      <c r="AG392" s="78">
        <v>3</v>
      </c>
      <c r="AH392" s="21">
        <f t="shared" si="39"/>
        <v>13</v>
      </c>
      <c r="AI392" s="21">
        <f>IFERROR(NETWORKDAYS(X392,Y392,Hoja1!$A$1:$A$29),"N/A")</f>
        <v>8</v>
      </c>
      <c r="AJ392" s="78">
        <v>3</v>
      </c>
      <c r="AK392" s="75">
        <f>AI392-AJ392</f>
        <v>5</v>
      </c>
      <c r="AL392" s="21">
        <f>IFERROR(NETWORKDAYS(B392,Y392,Hoja1!$A$1:$A$29),"N/A")</f>
        <v>25</v>
      </c>
      <c r="AM392" s="21">
        <f t="shared" si="43"/>
        <v>19</v>
      </c>
      <c r="AN392" s="114"/>
      <c r="AO392" s="114"/>
      <c r="AP392" s="114"/>
      <c r="AQ392" s="114"/>
      <c r="AR392" s="114"/>
      <c r="AS392" s="114" t="s">
        <v>1913</v>
      </c>
      <c r="AT392" s="114" t="s">
        <v>2047</v>
      </c>
      <c r="AU392" s="114" t="s">
        <v>2209</v>
      </c>
      <c r="AV392" s="322" t="s">
        <v>2457</v>
      </c>
      <c r="AW392" s="403" t="s">
        <v>2977</v>
      </c>
      <c r="AY392" s="415"/>
    </row>
    <row r="393" spans="1:51" ht="15" customHeight="1" x14ac:dyDescent="0.25">
      <c r="A393" s="295">
        <v>15922</v>
      </c>
      <c r="B393" s="142">
        <v>46045</v>
      </c>
      <c r="C393" s="142">
        <v>46071</v>
      </c>
      <c r="D393" s="21">
        <v>1</v>
      </c>
      <c r="E393" s="159" t="s">
        <v>247</v>
      </c>
      <c r="F393" s="3" t="s">
        <v>55</v>
      </c>
      <c r="G393" s="3">
        <v>5</v>
      </c>
      <c r="H393" s="3" t="s">
        <v>112</v>
      </c>
      <c r="I393" s="30">
        <v>46057</v>
      </c>
      <c r="J393" s="30">
        <v>46057</v>
      </c>
      <c r="K393" s="3">
        <v>5</v>
      </c>
      <c r="L393" s="3" t="s">
        <v>55</v>
      </c>
      <c r="M393" s="3" t="s">
        <v>55</v>
      </c>
      <c r="N393" s="3" t="s">
        <v>55</v>
      </c>
      <c r="O393" s="3" t="s">
        <v>55</v>
      </c>
      <c r="P393" s="3" t="s">
        <v>55</v>
      </c>
      <c r="Q393" s="3" t="s">
        <v>55</v>
      </c>
      <c r="R393" s="18" t="s">
        <v>55</v>
      </c>
      <c r="S393" s="3">
        <v>3</v>
      </c>
      <c r="T393" s="3">
        <v>3</v>
      </c>
      <c r="U393" s="3">
        <v>0</v>
      </c>
      <c r="V393" s="30">
        <v>46078</v>
      </c>
      <c r="W393" s="28">
        <v>46085</v>
      </c>
      <c r="X393" s="28" t="s">
        <v>55</v>
      </c>
      <c r="Y393" s="28">
        <v>46085</v>
      </c>
      <c r="Z393" s="3" t="s">
        <v>55</v>
      </c>
      <c r="AA393" s="33">
        <v>3</v>
      </c>
      <c r="AB393" s="144" t="s">
        <v>1166</v>
      </c>
      <c r="AC393" s="48" t="s">
        <v>1347</v>
      </c>
      <c r="AD393" s="19">
        <f t="shared" si="42"/>
        <v>1</v>
      </c>
      <c r="AE393" s="67">
        <f>IFERROR(NETWORKDAYS(B393,I393,Hoja1!$A$1:$A$29),"N/A")</f>
        <v>9</v>
      </c>
      <c r="AF393" s="21">
        <f>IFERROR(NETWORKDAYS(B393,W393,Hoja1!$A$1:$A$29),"N/A")</f>
        <v>29</v>
      </c>
      <c r="AG393" s="272">
        <v>9</v>
      </c>
      <c r="AH393" s="21">
        <f t="shared" si="39"/>
        <v>20</v>
      </c>
      <c r="AI393" s="21" t="str">
        <f>IFERROR(NETWORKDAYS(X393,Y393,Hoja1!$A$1:$A$29),"N/A")</f>
        <v>N/A</v>
      </c>
      <c r="AJ393" s="78">
        <v>0</v>
      </c>
      <c r="AK393" s="19" t="s">
        <v>82</v>
      </c>
      <c r="AL393" s="21">
        <f>IFERROR(NETWORKDAYS(B393,Y393,Hoja1!$A$1:$A$29),"N/A")</f>
        <v>29</v>
      </c>
      <c r="AM393" s="21">
        <f t="shared" si="43"/>
        <v>20</v>
      </c>
      <c r="AN393" s="1"/>
      <c r="AO393" s="1"/>
      <c r="AP393" s="1"/>
      <c r="AQ393" s="1"/>
      <c r="AR393" s="1"/>
      <c r="AS393" s="1" t="s">
        <v>1913</v>
      </c>
      <c r="AT393" s="1" t="s">
        <v>2124</v>
      </c>
      <c r="AU393" s="1" t="s">
        <v>2209</v>
      </c>
      <c r="AV393" s="315" t="s">
        <v>2250</v>
      </c>
      <c r="AW393" s="403" t="s">
        <v>2978</v>
      </c>
      <c r="AY393" s="414"/>
    </row>
    <row r="394" spans="1:51" ht="15" customHeight="1" x14ac:dyDescent="0.25">
      <c r="A394" s="303">
        <v>15924</v>
      </c>
      <c r="B394" s="142">
        <v>46078</v>
      </c>
      <c r="C394" s="142">
        <v>46071</v>
      </c>
      <c r="D394" s="21">
        <v>1</v>
      </c>
      <c r="E394" s="87" t="s">
        <v>54</v>
      </c>
      <c r="F394" s="33" t="s">
        <v>55</v>
      </c>
      <c r="G394" s="33">
        <v>3</v>
      </c>
      <c r="H394" s="33" t="s">
        <v>56</v>
      </c>
      <c r="I394" s="142">
        <v>46080</v>
      </c>
      <c r="J394" s="142">
        <v>46086</v>
      </c>
      <c r="K394" s="33">
        <v>3</v>
      </c>
      <c r="L394" s="33" t="s">
        <v>55</v>
      </c>
      <c r="M394" s="33" t="s">
        <v>55</v>
      </c>
      <c r="N394" s="33" t="s">
        <v>55</v>
      </c>
      <c r="O394" s="33" t="s">
        <v>55</v>
      </c>
      <c r="P394" s="33" t="s">
        <v>55</v>
      </c>
      <c r="Q394" s="33" t="s">
        <v>55</v>
      </c>
      <c r="R394" s="18" t="s">
        <v>55</v>
      </c>
      <c r="S394" s="33">
        <v>4</v>
      </c>
      <c r="T394" s="33">
        <v>1</v>
      </c>
      <c r="U394" s="33">
        <v>0</v>
      </c>
      <c r="V394" s="28">
        <v>46092</v>
      </c>
      <c r="W394" s="28">
        <v>46093</v>
      </c>
      <c r="X394" s="28">
        <v>46097</v>
      </c>
      <c r="Y394" s="28">
        <v>46101</v>
      </c>
      <c r="Z394" s="140">
        <v>46106</v>
      </c>
      <c r="AA394" s="33">
        <f>MONTH(Z394)</f>
        <v>3</v>
      </c>
      <c r="AB394" s="144" t="s">
        <v>1167</v>
      </c>
      <c r="AC394" s="35" t="s">
        <v>1348</v>
      </c>
      <c r="AD394" s="19">
        <f t="shared" si="42"/>
        <v>1</v>
      </c>
      <c r="AE394" s="67">
        <f>IFERROR(NETWORKDAYS(B394,I394,Hoja1!$A$1:$A$29),"N/A")</f>
        <v>3</v>
      </c>
      <c r="AF394" s="21">
        <f>IFERROR(NETWORKDAYS(B394,W394,Hoja1!$A$1:$A$29),"N/A")</f>
        <v>12</v>
      </c>
      <c r="AG394" s="78">
        <v>0</v>
      </c>
      <c r="AH394" s="21">
        <f t="shared" si="39"/>
        <v>12</v>
      </c>
      <c r="AI394" s="21">
        <f>IFERROR(NETWORKDAYS(X394,Y394,Hoja1!$A$1:$A$29),"N/A")</f>
        <v>5</v>
      </c>
      <c r="AJ394" s="78">
        <v>0</v>
      </c>
      <c r="AK394" s="75">
        <f>AI394-AJ394</f>
        <v>5</v>
      </c>
      <c r="AL394" s="21">
        <f>IFERROR(NETWORKDAYS(B394,Y394,Hoja1!$A$1:$A$29),"N/A")</f>
        <v>18</v>
      </c>
      <c r="AM394" s="21">
        <f t="shared" si="43"/>
        <v>18</v>
      </c>
      <c r="AN394" s="87" t="s">
        <v>990</v>
      </c>
      <c r="AO394" s="87"/>
      <c r="AP394" s="87"/>
      <c r="AQ394" s="87"/>
      <c r="AR394" s="87"/>
      <c r="AS394" s="87" t="s">
        <v>1889</v>
      </c>
      <c r="AT394" s="87" t="s">
        <v>1994</v>
      </c>
      <c r="AU394" s="87" t="s">
        <v>2212</v>
      </c>
      <c r="AV394" s="320" t="s">
        <v>2232</v>
      </c>
      <c r="AW394" s="403" t="s">
        <v>2979</v>
      </c>
      <c r="AY394" s="415"/>
    </row>
    <row r="395" spans="1:51" ht="15" customHeight="1" x14ac:dyDescent="0.25">
      <c r="A395" s="303">
        <v>15928</v>
      </c>
      <c r="B395" s="142">
        <v>46072</v>
      </c>
      <c r="C395" s="142">
        <v>46072</v>
      </c>
      <c r="D395" s="21">
        <v>1</v>
      </c>
      <c r="E395" s="87" t="s">
        <v>54</v>
      </c>
      <c r="F395" s="33" t="s">
        <v>55</v>
      </c>
      <c r="G395" s="33">
        <v>0</v>
      </c>
      <c r="H395" s="33"/>
      <c r="I395" s="142" t="s">
        <v>55</v>
      </c>
      <c r="J395" s="142" t="s">
        <v>55</v>
      </c>
      <c r="K395" s="33">
        <v>0</v>
      </c>
      <c r="L395" s="33" t="s">
        <v>55</v>
      </c>
      <c r="M395" s="33" t="s">
        <v>55</v>
      </c>
      <c r="N395" s="33" t="s">
        <v>55</v>
      </c>
      <c r="O395" s="33" t="s">
        <v>55</v>
      </c>
      <c r="P395" s="33" t="s">
        <v>55</v>
      </c>
      <c r="Q395" s="33" t="s">
        <v>55</v>
      </c>
      <c r="R395" s="33" t="s">
        <v>55</v>
      </c>
      <c r="S395" s="33">
        <v>1</v>
      </c>
      <c r="T395" s="33">
        <v>1</v>
      </c>
      <c r="U395" s="33">
        <v>0</v>
      </c>
      <c r="V395" s="28">
        <v>46078</v>
      </c>
      <c r="W395" s="28">
        <v>46079</v>
      </c>
      <c r="X395" s="28">
        <v>46080</v>
      </c>
      <c r="Y395" s="28">
        <v>46091</v>
      </c>
      <c r="Z395" s="38">
        <v>46093</v>
      </c>
      <c r="AA395" s="33">
        <f>MONTH(Z395)</f>
        <v>3</v>
      </c>
      <c r="AB395" s="144" t="s">
        <v>1168</v>
      </c>
      <c r="AC395" s="35" t="s">
        <v>1169</v>
      </c>
      <c r="AD395" s="19" t="str">
        <f t="shared" si="42"/>
        <v>N/A</v>
      </c>
      <c r="AE395" s="67" t="str">
        <f>IFERROR(NETWORKDAYS(B395,I395,Hoja1!$A$1:$A$29),"N/A")</f>
        <v>N/A</v>
      </c>
      <c r="AF395" s="21">
        <f>IFERROR(NETWORKDAYS(B395,W395,Hoja1!$A$1:$A$29),"N/A")</f>
        <v>6</v>
      </c>
      <c r="AG395" s="78">
        <v>0</v>
      </c>
      <c r="AH395" s="21">
        <f t="shared" si="39"/>
        <v>6</v>
      </c>
      <c r="AI395" s="21">
        <f>IFERROR(NETWORKDAYS(X395,Y395,Hoja1!$A$1:$A$29),"N/A")</f>
        <v>8</v>
      </c>
      <c r="AJ395" s="78">
        <v>3</v>
      </c>
      <c r="AK395" s="75">
        <f>AI395-AJ395</f>
        <v>5</v>
      </c>
      <c r="AL395" s="21">
        <f>IFERROR(NETWORKDAYS(B395,Y395,Hoja1!$A$1:$A$29),"N/A")</f>
        <v>14</v>
      </c>
      <c r="AM395" s="21">
        <f t="shared" si="43"/>
        <v>11</v>
      </c>
      <c r="AN395" s="87"/>
      <c r="AO395" s="87"/>
      <c r="AP395" s="87"/>
      <c r="AQ395" s="87"/>
      <c r="AR395" s="87"/>
      <c r="AS395" s="87" t="s">
        <v>1906</v>
      </c>
      <c r="AT395" s="87" t="s">
        <v>2004</v>
      </c>
      <c r="AU395" s="87" t="s">
        <v>2212</v>
      </c>
      <c r="AV395" s="320" t="s">
        <v>2258</v>
      </c>
      <c r="AW395" s="403" t="s">
        <v>2980</v>
      </c>
      <c r="AY395" s="414"/>
    </row>
    <row r="396" spans="1:51" ht="15" customHeight="1" x14ac:dyDescent="0.25">
      <c r="A396" s="307">
        <v>15931</v>
      </c>
      <c r="B396" s="174">
        <v>46072</v>
      </c>
      <c r="C396" s="174">
        <v>46072</v>
      </c>
      <c r="D396" s="66">
        <v>1</v>
      </c>
      <c r="E396" s="200" t="s">
        <v>247</v>
      </c>
      <c r="F396" s="96" t="s">
        <v>55</v>
      </c>
      <c r="G396" s="96">
        <v>1</v>
      </c>
      <c r="H396" s="96" t="s">
        <v>112</v>
      </c>
      <c r="I396" s="138">
        <v>46097</v>
      </c>
      <c r="J396" s="138">
        <v>46097</v>
      </c>
      <c r="K396" s="96">
        <v>1</v>
      </c>
      <c r="L396" s="96" t="s">
        <v>55</v>
      </c>
      <c r="M396" s="96" t="s">
        <v>55</v>
      </c>
      <c r="N396" s="96" t="s">
        <v>55</v>
      </c>
      <c r="O396" s="96" t="s">
        <v>55</v>
      </c>
      <c r="P396" s="96" t="s">
        <v>55</v>
      </c>
      <c r="Q396" s="96" t="s">
        <v>55</v>
      </c>
      <c r="R396" s="175" t="s">
        <v>55</v>
      </c>
      <c r="S396" s="96">
        <v>1</v>
      </c>
      <c r="T396" s="96">
        <v>1</v>
      </c>
      <c r="U396" s="96">
        <v>0</v>
      </c>
      <c r="V396" s="138">
        <v>46111</v>
      </c>
      <c r="W396" s="178">
        <v>46112</v>
      </c>
      <c r="X396" s="178" t="s">
        <v>55</v>
      </c>
      <c r="Y396" s="178">
        <v>46112</v>
      </c>
      <c r="Z396" s="96" t="s">
        <v>55</v>
      </c>
      <c r="AA396" s="99">
        <v>3</v>
      </c>
      <c r="AB396" s="227" t="s">
        <v>1171</v>
      </c>
      <c r="AC396" s="185" t="s">
        <v>1172</v>
      </c>
      <c r="AD396" s="19">
        <f t="shared" si="42"/>
        <v>1</v>
      </c>
      <c r="AE396" s="67">
        <f>IFERROR(NETWORKDAYS(B396,I396,Hoja1!$A$1:$A$29),"N/A")</f>
        <v>18</v>
      </c>
      <c r="AF396" s="21">
        <f>IFERROR(NETWORKDAYS(B396,W396,Hoja1!$A$1:$A$29),"N/A")</f>
        <v>28</v>
      </c>
      <c r="AG396" s="273">
        <v>6</v>
      </c>
      <c r="AH396" s="66">
        <f t="shared" si="39"/>
        <v>22</v>
      </c>
      <c r="AI396" s="21" t="str">
        <f>IFERROR(NETWORKDAYS(X396,Y396,Hoja1!$A$1:$A$29),"N/A")</f>
        <v>N/A</v>
      </c>
      <c r="AJ396" s="65">
        <v>0</v>
      </c>
      <c r="AK396" s="105" t="s">
        <v>82</v>
      </c>
      <c r="AL396" s="21">
        <f>IFERROR(NETWORKDAYS(B396,Y396,Hoja1!$A$1:$A$29),"N/A")</f>
        <v>28</v>
      </c>
      <c r="AM396" s="66">
        <f t="shared" si="43"/>
        <v>22</v>
      </c>
      <c r="AN396" s="106"/>
      <c r="AO396" s="106"/>
      <c r="AP396" s="106"/>
      <c r="AQ396" s="106"/>
      <c r="AR396" s="106"/>
      <c r="AS396" s="106" t="s">
        <v>1913</v>
      </c>
      <c r="AT396" s="106" t="s">
        <v>2135</v>
      </c>
      <c r="AU396" s="106" t="s">
        <v>2209</v>
      </c>
      <c r="AV396" s="329" t="s">
        <v>2250</v>
      </c>
      <c r="AW396" s="403" t="s">
        <v>2981</v>
      </c>
      <c r="AY396" s="415"/>
    </row>
    <row r="397" spans="1:51" ht="15" customHeight="1" x14ac:dyDescent="0.25">
      <c r="A397" s="295">
        <v>15932</v>
      </c>
      <c r="B397" s="142">
        <v>46072</v>
      </c>
      <c r="C397" s="142">
        <v>46072</v>
      </c>
      <c r="D397" s="21">
        <v>1</v>
      </c>
      <c r="E397" s="87" t="s">
        <v>54</v>
      </c>
      <c r="F397" s="3" t="s">
        <v>55</v>
      </c>
      <c r="G397" s="3">
        <v>6</v>
      </c>
      <c r="H397" s="33" t="s">
        <v>56</v>
      </c>
      <c r="I397" s="30">
        <v>46084</v>
      </c>
      <c r="J397" s="30">
        <v>46084</v>
      </c>
      <c r="K397" s="3">
        <v>6</v>
      </c>
      <c r="L397" s="3" t="s">
        <v>55</v>
      </c>
      <c r="M397" s="3" t="s">
        <v>55</v>
      </c>
      <c r="N397" s="3" t="s">
        <v>55</v>
      </c>
      <c r="O397" s="3" t="s">
        <v>55</v>
      </c>
      <c r="P397" s="3" t="s">
        <v>55</v>
      </c>
      <c r="Q397" s="3" t="s">
        <v>55</v>
      </c>
      <c r="R397" s="18" t="s">
        <v>55</v>
      </c>
      <c r="S397" s="3">
        <v>1</v>
      </c>
      <c r="T397" s="3">
        <v>1</v>
      </c>
      <c r="U397" s="3">
        <v>0</v>
      </c>
      <c r="V397" s="30">
        <v>46090</v>
      </c>
      <c r="W397" s="28">
        <v>46091</v>
      </c>
      <c r="X397" s="28">
        <v>46092</v>
      </c>
      <c r="Y397" s="28">
        <v>46100</v>
      </c>
      <c r="Z397" s="30">
        <v>46100</v>
      </c>
      <c r="AA397" s="33">
        <f t="shared" ref="AA397:AA417" si="44">MONTH(Z397)</f>
        <v>3</v>
      </c>
      <c r="AB397" s="144" t="s">
        <v>1173</v>
      </c>
      <c r="AC397" s="35" t="s">
        <v>1174</v>
      </c>
      <c r="AD397" s="19">
        <f t="shared" si="42"/>
        <v>1</v>
      </c>
      <c r="AE397" s="67">
        <f>IFERROR(NETWORKDAYS(B397,I397,Hoja1!$A$1:$A$29),"N/A")</f>
        <v>9</v>
      </c>
      <c r="AF397" s="21">
        <f>IFERROR(NETWORKDAYS(B397,W397,Hoja1!$A$1:$A$29),"N/A")</f>
        <v>14</v>
      </c>
      <c r="AG397" s="78">
        <v>0</v>
      </c>
      <c r="AH397" s="21">
        <f t="shared" si="39"/>
        <v>14</v>
      </c>
      <c r="AI397" s="21">
        <f>IFERROR(NETWORKDAYS(X397,Y397,Hoja1!$A$1:$A$29),"N/A")</f>
        <v>7</v>
      </c>
      <c r="AJ397" s="78">
        <v>2</v>
      </c>
      <c r="AK397" s="75">
        <f t="shared" ref="AK397:AK417" si="45">AI397-AJ397</f>
        <v>5</v>
      </c>
      <c r="AL397" s="21">
        <f>IFERROR(NETWORKDAYS(B397,Y397,Hoja1!$A$1:$A$29),"N/A")</f>
        <v>21</v>
      </c>
      <c r="AM397" s="21">
        <f t="shared" si="43"/>
        <v>19</v>
      </c>
      <c r="AN397" s="87"/>
      <c r="AO397" s="87"/>
      <c r="AP397" s="87"/>
      <c r="AQ397" s="87"/>
      <c r="AR397" s="87"/>
      <c r="AS397" s="87" t="s">
        <v>1913</v>
      </c>
      <c r="AT397" s="87" t="s">
        <v>2095</v>
      </c>
      <c r="AU397" s="87" t="s">
        <v>2209</v>
      </c>
      <c r="AV397" s="320" t="s">
        <v>2458</v>
      </c>
      <c r="AW397" s="403" t="s">
        <v>2982</v>
      </c>
      <c r="AY397" s="414"/>
    </row>
    <row r="398" spans="1:51" ht="15" customHeight="1" x14ac:dyDescent="0.25">
      <c r="A398" s="295">
        <v>15933</v>
      </c>
      <c r="B398" s="142">
        <v>46073</v>
      </c>
      <c r="C398" s="142">
        <v>46072</v>
      </c>
      <c r="D398" s="21">
        <v>1</v>
      </c>
      <c r="E398" s="87" t="s">
        <v>54</v>
      </c>
      <c r="F398" s="2" t="s">
        <v>55</v>
      </c>
      <c r="G398" s="3">
        <v>0</v>
      </c>
      <c r="H398" s="33"/>
      <c r="I398" s="18" t="s">
        <v>55</v>
      </c>
      <c r="J398" s="18" t="s">
        <v>55</v>
      </c>
      <c r="K398" s="3">
        <v>0</v>
      </c>
      <c r="L398" s="18" t="s">
        <v>55</v>
      </c>
      <c r="M398" s="18" t="s">
        <v>55</v>
      </c>
      <c r="N398" s="18" t="s">
        <v>55</v>
      </c>
      <c r="O398" s="18" t="s">
        <v>55</v>
      </c>
      <c r="P398" s="18" t="s">
        <v>55</v>
      </c>
      <c r="Q398" s="18" t="s">
        <v>55</v>
      </c>
      <c r="R398" s="18" t="s">
        <v>55</v>
      </c>
      <c r="S398" s="3">
        <v>1</v>
      </c>
      <c r="T398" s="3">
        <v>1</v>
      </c>
      <c r="U398" s="3">
        <v>0</v>
      </c>
      <c r="V398" s="28">
        <v>46085</v>
      </c>
      <c r="W398" s="28">
        <v>46085</v>
      </c>
      <c r="X398" s="28">
        <v>46085</v>
      </c>
      <c r="Y398" s="28">
        <v>46092</v>
      </c>
      <c r="Z398" s="28">
        <v>46093</v>
      </c>
      <c r="AA398" s="33">
        <f t="shared" si="44"/>
        <v>3</v>
      </c>
      <c r="AB398" s="144" t="s">
        <v>1176</v>
      </c>
      <c r="AC398" s="35" t="s">
        <v>1177</v>
      </c>
      <c r="AD398" s="19" t="str">
        <f t="shared" si="42"/>
        <v>N/A</v>
      </c>
      <c r="AE398" s="67" t="str">
        <f>IFERROR(NETWORKDAYS(B398,I398,Hoja1!$A$1:$A$29),"N/A")</f>
        <v>N/A</v>
      </c>
      <c r="AF398" s="21">
        <f>IFERROR(NETWORKDAYS(B398,W398,Hoja1!$A$1:$A$29),"N/A")</f>
        <v>9</v>
      </c>
      <c r="AG398" s="78">
        <v>4</v>
      </c>
      <c r="AH398" s="21">
        <f t="shared" si="39"/>
        <v>5</v>
      </c>
      <c r="AI398" s="21">
        <f>IFERROR(NETWORKDAYS(X398,Y398,Hoja1!$A$1:$A$29),"N/A")</f>
        <v>6</v>
      </c>
      <c r="AJ398" s="78">
        <v>1</v>
      </c>
      <c r="AK398" s="75">
        <f t="shared" si="45"/>
        <v>5</v>
      </c>
      <c r="AL398" s="21">
        <f>IFERROR(NETWORKDAYS(B398,Y398,Hoja1!$A$1:$A$29),"N/A")</f>
        <v>14</v>
      </c>
      <c r="AM398" s="21">
        <f t="shared" si="43"/>
        <v>9</v>
      </c>
      <c r="AN398" s="87"/>
      <c r="AO398" s="87"/>
      <c r="AP398" s="87"/>
      <c r="AQ398" s="87"/>
      <c r="AR398" s="87"/>
      <c r="AS398" s="87" t="s">
        <v>1888</v>
      </c>
      <c r="AT398" s="87" t="s">
        <v>2062</v>
      </c>
      <c r="AU398" s="87" t="s">
        <v>2211</v>
      </c>
      <c r="AV398" s="320" t="s">
        <v>2459</v>
      </c>
      <c r="AW398" s="403" t="s">
        <v>2983</v>
      </c>
      <c r="AY398" s="415"/>
    </row>
    <row r="399" spans="1:51" ht="15" customHeight="1" x14ac:dyDescent="0.25">
      <c r="A399" s="295">
        <v>15934</v>
      </c>
      <c r="B399" s="142">
        <v>46073</v>
      </c>
      <c r="C399" s="142">
        <v>46073</v>
      </c>
      <c r="D399" s="21">
        <v>1</v>
      </c>
      <c r="E399" s="87" t="s">
        <v>54</v>
      </c>
      <c r="F399" s="18" t="s">
        <v>55</v>
      </c>
      <c r="G399" s="3">
        <v>0</v>
      </c>
      <c r="H399" s="33"/>
      <c r="I399" s="2" t="s">
        <v>55</v>
      </c>
      <c r="J399" s="2" t="s">
        <v>55</v>
      </c>
      <c r="K399" s="3">
        <v>0</v>
      </c>
      <c r="L399" s="18" t="s">
        <v>55</v>
      </c>
      <c r="M399" s="18" t="s">
        <v>55</v>
      </c>
      <c r="N399" s="18" t="s">
        <v>55</v>
      </c>
      <c r="O399" s="18" t="s">
        <v>55</v>
      </c>
      <c r="P399" s="18" t="s">
        <v>55</v>
      </c>
      <c r="Q399" s="18" t="s">
        <v>55</v>
      </c>
      <c r="R399" s="18" t="s">
        <v>55</v>
      </c>
      <c r="S399" s="3">
        <v>1</v>
      </c>
      <c r="T399" s="3">
        <v>1</v>
      </c>
      <c r="U399" s="3">
        <v>0</v>
      </c>
      <c r="V399" s="148">
        <v>46076</v>
      </c>
      <c r="W399" s="148">
        <v>46076</v>
      </c>
      <c r="X399" s="148">
        <v>46076</v>
      </c>
      <c r="Y399" s="28">
        <v>46080</v>
      </c>
      <c r="Z399" s="38">
        <v>46083</v>
      </c>
      <c r="AA399" s="33">
        <f t="shared" si="44"/>
        <v>3</v>
      </c>
      <c r="AB399" s="144" t="s">
        <v>1179</v>
      </c>
      <c r="AC399" s="35" t="s">
        <v>1180</v>
      </c>
      <c r="AD399" s="19" t="str">
        <f t="shared" si="42"/>
        <v>N/A</v>
      </c>
      <c r="AE399" s="67" t="str">
        <f>IFERROR(NETWORKDAYS(B399,I399,Hoja1!$A$1:$A$29),"N/A")</f>
        <v>N/A</v>
      </c>
      <c r="AF399" s="21">
        <f>IFERROR(NETWORKDAYS(B399,W399,Hoja1!$A$1:$A$29),"N/A")</f>
        <v>2</v>
      </c>
      <c r="AG399" s="78">
        <v>0</v>
      </c>
      <c r="AH399" s="21">
        <f t="shared" si="39"/>
        <v>2</v>
      </c>
      <c r="AI399" s="21">
        <f>IFERROR(NETWORKDAYS(X399,Y399,Hoja1!$A$1:$A$29),"N/A")</f>
        <v>5</v>
      </c>
      <c r="AJ399" s="78">
        <v>0</v>
      </c>
      <c r="AK399" s="75">
        <f t="shared" si="45"/>
        <v>5</v>
      </c>
      <c r="AL399" s="21">
        <f>IFERROR(NETWORKDAYS(B399,Y399,Hoja1!$A$1:$A$29),"N/A")</f>
        <v>6</v>
      </c>
      <c r="AM399" s="21">
        <f t="shared" si="43"/>
        <v>6</v>
      </c>
      <c r="AN399" s="87"/>
      <c r="AO399" s="87"/>
      <c r="AP399" s="87"/>
      <c r="AQ399" s="87"/>
      <c r="AR399" s="87"/>
      <c r="AS399" s="87" t="s">
        <v>1888</v>
      </c>
      <c r="AT399" s="87" t="s">
        <v>2125</v>
      </c>
      <c r="AU399" s="87" t="s">
        <v>2211</v>
      </c>
      <c r="AV399" s="320" t="s">
        <v>2460</v>
      </c>
      <c r="AW399" s="403" t="s">
        <v>2984</v>
      </c>
      <c r="AY399" s="414"/>
    </row>
    <row r="400" spans="1:51" ht="15" customHeight="1" x14ac:dyDescent="0.25">
      <c r="A400" s="294">
        <v>15937</v>
      </c>
      <c r="B400" s="142">
        <v>46073</v>
      </c>
      <c r="C400" s="142">
        <v>46073</v>
      </c>
      <c r="D400" s="21">
        <v>1</v>
      </c>
      <c r="E400" s="87" t="s">
        <v>54</v>
      </c>
      <c r="F400" s="3" t="s">
        <v>55</v>
      </c>
      <c r="G400" s="3">
        <v>0</v>
      </c>
      <c r="H400" s="3"/>
      <c r="I400" s="3" t="s">
        <v>55</v>
      </c>
      <c r="J400" s="3" t="s">
        <v>55</v>
      </c>
      <c r="K400" s="3">
        <v>0</v>
      </c>
      <c r="L400" s="3" t="s">
        <v>55</v>
      </c>
      <c r="M400" s="3" t="s">
        <v>55</v>
      </c>
      <c r="N400" s="3" t="s">
        <v>55</v>
      </c>
      <c r="O400" s="3" t="s">
        <v>55</v>
      </c>
      <c r="P400" s="3" t="s">
        <v>55</v>
      </c>
      <c r="Q400" s="3" t="s">
        <v>55</v>
      </c>
      <c r="R400" s="3" t="s">
        <v>55</v>
      </c>
      <c r="S400" s="2">
        <v>1</v>
      </c>
      <c r="T400" s="2">
        <v>1</v>
      </c>
      <c r="U400" s="3">
        <v>0</v>
      </c>
      <c r="V400" s="104">
        <v>46078</v>
      </c>
      <c r="W400" s="104">
        <v>46078</v>
      </c>
      <c r="X400" s="28">
        <v>46085</v>
      </c>
      <c r="Y400" s="28">
        <v>46091</v>
      </c>
      <c r="Z400" s="140">
        <v>46093</v>
      </c>
      <c r="AA400" s="33">
        <f t="shared" si="44"/>
        <v>3</v>
      </c>
      <c r="AB400" s="144" t="s">
        <v>1181</v>
      </c>
      <c r="AC400" s="146" t="s">
        <v>1182</v>
      </c>
      <c r="AD400" s="19" t="str">
        <f t="shared" si="42"/>
        <v>N/A</v>
      </c>
      <c r="AE400" s="67" t="str">
        <f>IFERROR(NETWORKDAYS(B400,I400,Hoja1!$A$1:$A$29),"N/A")</f>
        <v>N/A</v>
      </c>
      <c r="AF400" s="21">
        <f>IFERROR(NETWORKDAYS(B400,W400,Hoja1!$A$1:$A$29),"N/A")</f>
        <v>4</v>
      </c>
      <c r="AG400" s="78">
        <v>0</v>
      </c>
      <c r="AH400" s="21">
        <f t="shared" ref="AH400:AH409" si="46">AF400-AG400</f>
        <v>4</v>
      </c>
      <c r="AI400" s="21">
        <f>IFERROR(NETWORKDAYS(X400,Y400,Hoja1!$A$1:$A$29),"N/A")</f>
        <v>5</v>
      </c>
      <c r="AJ400" s="78">
        <v>0</v>
      </c>
      <c r="AK400" s="75">
        <f t="shared" si="45"/>
        <v>5</v>
      </c>
      <c r="AL400" s="21">
        <f>IFERROR(NETWORKDAYS(B400,Y400,Hoja1!$A$1:$A$29),"N/A")</f>
        <v>13</v>
      </c>
      <c r="AM400" s="21">
        <f t="shared" si="43"/>
        <v>13</v>
      </c>
      <c r="AN400" s="111"/>
      <c r="AO400" s="111"/>
      <c r="AP400" s="111"/>
      <c r="AQ400" s="111"/>
      <c r="AR400" s="111"/>
      <c r="AS400" s="111" t="s">
        <v>1952</v>
      </c>
      <c r="AT400" s="111" t="s">
        <v>2136</v>
      </c>
      <c r="AU400" s="111" t="s">
        <v>2219</v>
      </c>
      <c r="AV400" s="321" t="s">
        <v>2461</v>
      </c>
      <c r="AW400" s="403" t="s">
        <v>2985</v>
      </c>
      <c r="AY400" s="415"/>
    </row>
    <row r="401" spans="1:51" ht="15" customHeight="1" x14ac:dyDescent="0.25">
      <c r="A401" s="295">
        <v>15939</v>
      </c>
      <c r="B401" s="142">
        <v>46065</v>
      </c>
      <c r="C401" s="142">
        <v>46073</v>
      </c>
      <c r="D401" s="21">
        <v>1</v>
      </c>
      <c r="E401" s="87" t="s">
        <v>54</v>
      </c>
      <c r="F401" s="2" t="s">
        <v>55</v>
      </c>
      <c r="G401" s="3">
        <v>3</v>
      </c>
      <c r="H401" s="3" t="s">
        <v>112</v>
      </c>
      <c r="I401" s="30">
        <v>46066</v>
      </c>
      <c r="J401" s="44">
        <v>46070</v>
      </c>
      <c r="K401" s="3">
        <v>3</v>
      </c>
      <c r="L401" s="18" t="s">
        <v>55</v>
      </c>
      <c r="M401" s="18" t="s">
        <v>55</v>
      </c>
      <c r="N401" s="18" t="s">
        <v>55</v>
      </c>
      <c r="O401" s="18" t="s">
        <v>55</v>
      </c>
      <c r="P401" s="18" t="s">
        <v>55</v>
      </c>
      <c r="Q401" s="18" t="s">
        <v>55</v>
      </c>
      <c r="R401" s="18" t="s">
        <v>55</v>
      </c>
      <c r="S401" s="3">
        <v>1</v>
      </c>
      <c r="T401" s="3">
        <v>1</v>
      </c>
      <c r="U401" s="3">
        <v>0</v>
      </c>
      <c r="V401" s="28">
        <v>46073</v>
      </c>
      <c r="W401" s="28">
        <v>46073</v>
      </c>
      <c r="X401" s="28">
        <v>46073</v>
      </c>
      <c r="Y401" s="28">
        <v>46079</v>
      </c>
      <c r="Z401" s="38">
        <v>46083</v>
      </c>
      <c r="AA401" s="33">
        <f t="shared" si="44"/>
        <v>3</v>
      </c>
      <c r="AB401" s="144" t="s">
        <v>1183</v>
      </c>
      <c r="AC401" s="35" t="s">
        <v>1184</v>
      </c>
      <c r="AD401" s="19">
        <f t="shared" si="42"/>
        <v>1</v>
      </c>
      <c r="AE401" s="67">
        <f>IFERROR(NETWORKDAYS(B401,I401,Hoja1!$A$1:$A$29),"N/A")</f>
        <v>2</v>
      </c>
      <c r="AF401" s="21">
        <f>IFERROR(NETWORKDAYS(B401,W401,Hoja1!$A$1:$A$29),"N/A")</f>
        <v>7</v>
      </c>
      <c r="AG401" s="78">
        <v>0</v>
      </c>
      <c r="AH401" s="21">
        <f t="shared" si="46"/>
        <v>7</v>
      </c>
      <c r="AI401" s="21">
        <f>IFERROR(NETWORKDAYS(X401,Y401,Hoja1!$A$1:$A$29),"N/A")</f>
        <v>5</v>
      </c>
      <c r="AJ401" s="78">
        <v>0</v>
      </c>
      <c r="AK401" s="75">
        <f t="shared" si="45"/>
        <v>5</v>
      </c>
      <c r="AL401" s="21">
        <f>IFERROR(NETWORKDAYS(B401,Y401,Hoja1!$A$1:$A$29),"N/A")</f>
        <v>11</v>
      </c>
      <c r="AM401" s="21">
        <f t="shared" si="43"/>
        <v>11</v>
      </c>
      <c r="AN401" s="87"/>
      <c r="AO401" s="87"/>
      <c r="AP401" s="87"/>
      <c r="AQ401" s="87"/>
      <c r="AR401" s="87"/>
      <c r="AS401" s="87" t="s">
        <v>1891</v>
      </c>
      <c r="AT401" s="87" t="s">
        <v>1994</v>
      </c>
      <c r="AU401" s="87" t="s">
        <v>2211</v>
      </c>
      <c r="AV401" s="320" t="s">
        <v>2232</v>
      </c>
      <c r="AW401" s="403" t="s">
        <v>2986</v>
      </c>
      <c r="AY401" s="414"/>
    </row>
    <row r="402" spans="1:51" ht="15" customHeight="1" x14ac:dyDescent="0.25">
      <c r="A402" s="295">
        <v>15946</v>
      </c>
      <c r="B402" s="142">
        <v>46073</v>
      </c>
      <c r="C402" s="142">
        <v>46073</v>
      </c>
      <c r="D402" s="21">
        <v>1</v>
      </c>
      <c r="E402" s="87" t="s">
        <v>54</v>
      </c>
      <c r="F402" s="2" t="s">
        <v>55</v>
      </c>
      <c r="G402" s="3">
        <v>0</v>
      </c>
      <c r="H402" s="33"/>
      <c r="I402" s="18" t="s">
        <v>55</v>
      </c>
      <c r="J402" s="18" t="s">
        <v>55</v>
      </c>
      <c r="K402" s="3">
        <v>0</v>
      </c>
      <c r="L402" s="18" t="s">
        <v>55</v>
      </c>
      <c r="M402" s="18" t="s">
        <v>55</v>
      </c>
      <c r="N402" s="18" t="s">
        <v>55</v>
      </c>
      <c r="O402" s="18" t="s">
        <v>55</v>
      </c>
      <c r="P402" s="18" t="s">
        <v>55</v>
      </c>
      <c r="Q402" s="18" t="s">
        <v>55</v>
      </c>
      <c r="R402" s="18" t="s">
        <v>55</v>
      </c>
      <c r="S402" s="3">
        <v>1</v>
      </c>
      <c r="T402" s="3">
        <v>1</v>
      </c>
      <c r="U402" s="3">
        <v>0</v>
      </c>
      <c r="V402" s="28">
        <v>46093</v>
      </c>
      <c r="W402" s="28">
        <v>46093</v>
      </c>
      <c r="X402" s="28">
        <v>46093</v>
      </c>
      <c r="Y402" s="28">
        <v>46101</v>
      </c>
      <c r="Z402" s="140">
        <v>46106</v>
      </c>
      <c r="AA402" s="33">
        <f t="shared" si="44"/>
        <v>3</v>
      </c>
      <c r="AB402" s="144" t="s">
        <v>1185</v>
      </c>
      <c r="AC402" s="35" t="s">
        <v>1186</v>
      </c>
      <c r="AD402" s="19" t="str">
        <f t="shared" si="42"/>
        <v>N/A</v>
      </c>
      <c r="AE402" s="67" t="str">
        <f>IFERROR(NETWORKDAYS(B402,I402,Hoja1!$A$1:$A$29),"N/A")</f>
        <v>N/A</v>
      </c>
      <c r="AF402" s="21">
        <f>IFERROR(NETWORKDAYS(B402,W402,Hoja1!$A$1:$A$29),"N/A")</f>
        <v>15</v>
      </c>
      <c r="AG402" s="78">
        <v>4</v>
      </c>
      <c r="AH402" s="21">
        <f t="shared" si="46"/>
        <v>11</v>
      </c>
      <c r="AI402" s="21">
        <f>IFERROR(NETWORKDAYS(X402,Y402,Hoja1!$A$1:$A$29),"N/A")</f>
        <v>7</v>
      </c>
      <c r="AJ402" s="78">
        <v>2</v>
      </c>
      <c r="AK402" s="75">
        <f t="shared" si="45"/>
        <v>5</v>
      </c>
      <c r="AL402" s="21">
        <f>IFERROR(NETWORKDAYS(B402,Y402,Hoja1!$A$1:$A$29),"N/A")</f>
        <v>21</v>
      </c>
      <c r="AM402" s="21">
        <f t="shared" si="43"/>
        <v>15</v>
      </c>
      <c r="AN402" s="87" t="s">
        <v>871</v>
      </c>
      <c r="AO402" s="87"/>
      <c r="AP402" s="87"/>
      <c r="AQ402" s="87"/>
      <c r="AR402" s="87"/>
      <c r="AS402" s="87" t="s">
        <v>1888</v>
      </c>
      <c r="AT402" s="87" t="s">
        <v>2062</v>
      </c>
      <c r="AU402" s="87" t="s">
        <v>2211</v>
      </c>
      <c r="AV402" s="320" t="s">
        <v>2462</v>
      </c>
      <c r="AW402" s="403" t="s">
        <v>2987</v>
      </c>
      <c r="AY402" s="415"/>
    </row>
    <row r="403" spans="1:51" ht="15" customHeight="1" x14ac:dyDescent="0.25">
      <c r="A403" s="293">
        <v>15948</v>
      </c>
      <c r="B403" s="142">
        <v>46064</v>
      </c>
      <c r="C403" s="142">
        <v>46076</v>
      </c>
      <c r="D403" s="21">
        <v>1</v>
      </c>
      <c r="E403" s="87" t="s">
        <v>54</v>
      </c>
      <c r="F403" s="18" t="s">
        <v>55</v>
      </c>
      <c r="G403" s="3">
        <v>8</v>
      </c>
      <c r="H403" s="3" t="s">
        <v>112</v>
      </c>
      <c r="I403" s="30">
        <v>46066</v>
      </c>
      <c r="J403" s="30">
        <v>46066</v>
      </c>
      <c r="K403" s="3">
        <v>8</v>
      </c>
      <c r="L403" s="18" t="s">
        <v>55</v>
      </c>
      <c r="M403" s="18" t="s">
        <v>55</v>
      </c>
      <c r="N403" s="18" t="s">
        <v>55</v>
      </c>
      <c r="O403" s="18" t="s">
        <v>55</v>
      </c>
      <c r="P403" s="18" t="s">
        <v>55</v>
      </c>
      <c r="Q403" s="18" t="s">
        <v>55</v>
      </c>
      <c r="R403" s="18" t="s">
        <v>55</v>
      </c>
      <c r="S403" s="3">
        <v>3</v>
      </c>
      <c r="T403" s="3">
        <v>3</v>
      </c>
      <c r="U403" s="3">
        <v>0</v>
      </c>
      <c r="V403" s="104">
        <v>46076</v>
      </c>
      <c r="W403" s="104">
        <v>46076</v>
      </c>
      <c r="X403" s="28">
        <v>46079</v>
      </c>
      <c r="Y403" s="28">
        <v>46086</v>
      </c>
      <c r="Z403" s="37">
        <v>46093</v>
      </c>
      <c r="AA403" s="33">
        <f t="shared" si="44"/>
        <v>3</v>
      </c>
      <c r="AB403" s="144" t="s">
        <v>1189</v>
      </c>
      <c r="AC403" s="35" t="s">
        <v>1190</v>
      </c>
      <c r="AD403" s="19">
        <f t="shared" si="42"/>
        <v>1</v>
      </c>
      <c r="AE403" s="67">
        <f>IFERROR(NETWORKDAYS(B403,I403,Hoja1!$A$1:$A$29),"N/A")</f>
        <v>3</v>
      </c>
      <c r="AF403" s="21">
        <f>IFERROR(NETWORKDAYS(B403,W403,Hoja1!$A$1:$A$29),"N/A")</f>
        <v>9</v>
      </c>
      <c r="AG403" s="78">
        <v>0</v>
      </c>
      <c r="AH403" s="21">
        <f t="shared" si="46"/>
        <v>9</v>
      </c>
      <c r="AI403" s="21">
        <f>IFERROR(NETWORKDAYS(X403,Y403,Hoja1!$A$1:$A$29),"N/A")</f>
        <v>6</v>
      </c>
      <c r="AJ403" s="78">
        <v>0</v>
      </c>
      <c r="AK403" s="75">
        <f t="shared" si="45"/>
        <v>6</v>
      </c>
      <c r="AL403" s="21">
        <f>IFERROR(NETWORKDAYS(B403,Y403,Hoja1!$A$1:$A$29),"N/A")</f>
        <v>17</v>
      </c>
      <c r="AM403" s="21">
        <f t="shared" si="43"/>
        <v>17</v>
      </c>
      <c r="AN403" s="87" t="s">
        <v>445</v>
      </c>
      <c r="AO403" s="87"/>
      <c r="AP403" s="87"/>
      <c r="AQ403" s="87"/>
      <c r="AR403" s="87"/>
      <c r="AS403" s="87" t="s">
        <v>1893</v>
      </c>
      <c r="AT403" s="87" t="s">
        <v>2137</v>
      </c>
      <c r="AU403" s="87" t="s">
        <v>2215</v>
      </c>
      <c r="AV403" s="320" t="s">
        <v>2463</v>
      </c>
      <c r="AW403" s="403" t="s">
        <v>2988</v>
      </c>
      <c r="AY403" s="414"/>
    </row>
    <row r="404" spans="1:51" ht="15" customHeight="1" x14ac:dyDescent="0.25">
      <c r="A404" s="301">
        <v>15951</v>
      </c>
      <c r="B404" s="142">
        <v>46076</v>
      </c>
      <c r="C404" s="142">
        <v>46076</v>
      </c>
      <c r="D404" s="21">
        <v>1</v>
      </c>
      <c r="E404" s="87" t="s">
        <v>54</v>
      </c>
      <c r="F404" s="3" t="s">
        <v>55</v>
      </c>
      <c r="G404" s="3">
        <v>4</v>
      </c>
      <c r="H404" s="3" t="s">
        <v>112</v>
      </c>
      <c r="I404" s="104">
        <v>46079</v>
      </c>
      <c r="J404" s="147">
        <v>46084</v>
      </c>
      <c r="K404" s="3">
        <v>4</v>
      </c>
      <c r="L404" s="3" t="s">
        <v>55</v>
      </c>
      <c r="M404" s="3" t="s">
        <v>55</v>
      </c>
      <c r="N404" s="3" t="s">
        <v>55</v>
      </c>
      <c r="O404" s="3" t="s">
        <v>55</v>
      </c>
      <c r="P404" s="3" t="s">
        <v>55</v>
      </c>
      <c r="Q404" s="3" t="s">
        <v>55</v>
      </c>
      <c r="R404" s="3" t="s">
        <v>55</v>
      </c>
      <c r="S404" s="33">
        <v>1</v>
      </c>
      <c r="T404" s="33">
        <v>1</v>
      </c>
      <c r="U404" s="3">
        <v>0</v>
      </c>
      <c r="V404" s="28">
        <v>46091</v>
      </c>
      <c r="W404" s="28">
        <v>46087</v>
      </c>
      <c r="X404" s="28">
        <v>46091</v>
      </c>
      <c r="Y404" s="28">
        <v>46099</v>
      </c>
      <c r="Z404" s="140">
        <v>46106</v>
      </c>
      <c r="AA404" s="33">
        <f t="shared" si="44"/>
        <v>3</v>
      </c>
      <c r="AB404" s="144" t="s">
        <v>1192</v>
      </c>
      <c r="AC404" s="35" t="s">
        <v>1193</v>
      </c>
      <c r="AD404" s="19">
        <f t="shared" si="42"/>
        <v>1</v>
      </c>
      <c r="AE404" s="67">
        <f>IFERROR(NETWORKDAYS(B404,I404,Hoja1!$A$1:$A$29),"N/A")</f>
        <v>4</v>
      </c>
      <c r="AF404" s="21">
        <f>IFERROR(NETWORKDAYS(B404,W404,Hoja1!$A$1:$A$29),"N/A")</f>
        <v>10</v>
      </c>
      <c r="AG404" s="78">
        <v>0</v>
      </c>
      <c r="AH404" s="21">
        <f t="shared" si="46"/>
        <v>10</v>
      </c>
      <c r="AI404" s="21">
        <f>IFERROR(NETWORKDAYS(X404,Y404,Hoja1!$A$1:$A$29),"N/A")</f>
        <v>7</v>
      </c>
      <c r="AJ404" s="78">
        <v>2</v>
      </c>
      <c r="AK404" s="75">
        <f t="shared" si="45"/>
        <v>5</v>
      </c>
      <c r="AL404" s="21">
        <f>IFERROR(NETWORKDAYS(B404,Y404,Hoja1!$A$1:$A$29),"N/A")</f>
        <v>18</v>
      </c>
      <c r="AM404" s="21">
        <f t="shared" si="43"/>
        <v>16</v>
      </c>
      <c r="AN404" s="84"/>
      <c r="AO404" s="84"/>
      <c r="AP404" s="84"/>
      <c r="AQ404" s="84"/>
      <c r="AR404" s="84"/>
      <c r="AS404" s="84" t="s">
        <v>1948</v>
      </c>
      <c r="AT404" s="84" t="s">
        <v>2078</v>
      </c>
      <c r="AU404" s="84" t="s">
        <v>2218</v>
      </c>
      <c r="AV404" s="324" t="s">
        <v>2318</v>
      </c>
      <c r="AW404" s="403" t="s">
        <v>2989</v>
      </c>
      <c r="AY404" s="415"/>
    </row>
    <row r="405" spans="1:51" ht="15" customHeight="1" x14ac:dyDescent="0.25">
      <c r="A405" s="296">
        <v>15952</v>
      </c>
      <c r="B405" s="142">
        <v>46076</v>
      </c>
      <c r="C405" s="142">
        <v>46076</v>
      </c>
      <c r="D405" s="21">
        <v>1</v>
      </c>
      <c r="E405" s="87" t="s">
        <v>54</v>
      </c>
      <c r="F405" s="3" t="s">
        <v>55</v>
      </c>
      <c r="G405" s="3">
        <v>3</v>
      </c>
      <c r="H405" s="3" t="s">
        <v>112</v>
      </c>
      <c r="I405" s="155">
        <v>46086</v>
      </c>
      <c r="J405" s="155">
        <v>46086</v>
      </c>
      <c r="K405" s="3">
        <v>3</v>
      </c>
      <c r="L405" s="3" t="s">
        <v>55</v>
      </c>
      <c r="M405" s="3" t="s">
        <v>55</v>
      </c>
      <c r="N405" s="3" t="s">
        <v>55</v>
      </c>
      <c r="O405" s="3" t="s">
        <v>55</v>
      </c>
      <c r="P405" s="3" t="s">
        <v>55</v>
      </c>
      <c r="Q405" s="3" t="s">
        <v>55</v>
      </c>
      <c r="R405" s="3" t="s">
        <v>55</v>
      </c>
      <c r="S405" s="3">
        <v>3</v>
      </c>
      <c r="T405" s="3">
        <v>2</v>
      </c>
      <c r="U405" s="3">
        <v>0</v>
      </c>
      <c r="V405" s="44">
        <v>46093</v>
      </c>
      <c r="W405" s="28">
        <v>46094</v>
      </c>
      <c r="X405" s="28">
        <v>46094</v>
      </c>
      <c r="Y405" s="28">
        <v>46101</v>
      </c>
      <c r="Z405" s="140">
        <v>46106</v>
      </c>
      <c r="AA405" s="33">
        <f t="shared" si="44"/>
        <v>3</v>
      </c>
      <c r="AB405" s="144" t="s">
        <v>1194</v>
      </c>
      <c r="AC405" s="35" t="s">
        <v>1349</v>
      </c>
      <c r="AD405" s="19">
        <f t="shared" si="42"/>
        <v>1</v>
      </c>
      <c r="AE405" s="67">
        <f>IFERROR(NETWORKDAYS(B405,I405,Hoja1!$A$1:$A$29),"N/A")</f>
        <v>9</v>
      </c>
      <c r="AF405" s="21">
        <f>IFERROR(NETWORKDAYS(B405,W405,Hoja1!$A$1:$A$29),"N/A")</f>
        <v>15</v>
      </c>
      <c r="AG405" s="78">
        <v>0</v>
      </c>
      <c r="AH405" s="21">
        <f t="shared" si="46"/>
        <v>15</v>
      </c>
      <c r="AI405" s="21">
        <f>IFERROR(NETWORKDAYS(X405,Y405,Hoja1!$A$1:$A$29),"N/A")</f>
        <v>6</v>
      </c>
      <c r="AJ405" s="78">
        <v>1</v>
      </c>
      <c r="AK405" s="75">
        <f t="shared" si="45"/>
        <v>5</v>
      </c>
      <c r="AL405" s="21">
        <f>IFERROR(NETWORKDAYS(B405,Y405,Hoja1!$A$1:$A$29),"N/A")</f>
        <v>20</v>
      </c>
      <c r="AM405" s="21">
        <f t="shared" si="43"/>
        <v>19</v>
      </c>
      <c r="AN405" s="46"/>
      <c r="AO405" s="111"/>
      <c r="AP405" s="111"/>
      <c r="AQ405" s="111"/>
      <c r="AR405" s="111"/>
      <c r="AS405" s="111" t="s">
        <v>1927</v>
      </c>
      <c r="AT405" s="111" t="s">
        <v>2017</v>
      </c>
      <c r="AU405" s="111" t="s">
        <v>2214</v>
      </c>
      <c r="AV405" s="321" t="s">
        <v>2464</v>
      </c>
      <c r="AW405" s="403" t="s">
        <v>2990</v>
      </c>
      <c r="AY405" s="414"/>
    </row>
    <row r="406" spans="1:51" ht="15" customHeight="1" x14ac:dyDescent="0.25">
      <c r="A406" s="294">
        <v>15953</v>
      </c>
      <c r="B406" s="142">
        <v>46076</v>
      </c>
      <c r="C406" s="142">
        <v>46076</v>
      </c>
      <c r="D406" s="21">
        <v>1</v>
      </c>
      <c r="E406" s="87" t="s">
        <v>54</v>
      </c>
      <c r="F406" s="3" t="s">
        <v>55</v>
      </c>
      <c r="G406" s="3">
        <v>5</v>
      </c>
      <c r="H406" s="3" t="s">
        <v>112</v>
      </c>
      <c r="I406" s="104">
        <v>46079</v>
      </c>
      <c r="J406" s="153">
        <v>46093</v>
      </c>
      <c r="K406" s="3">
        <v>5</v>
      </c>
      <c r="L406" s="3" t="s">
        <v>55</v>
      </c>
      <c r="M406" s="3" t="s">
        <v>55</v>
      </c>
      <c r="N406" s="3" t="s">
        <v>55</v>
      </c>
      <c r="O406" s="3" t="s">
        <v>55</v>
      </c>
      <c r="P406" s="3" t="s">
        <v>55</v>
      </c>
      <c r="Q406" s="3" t="s">
        <v>55</v>
      </c>
      <c r="R406" s="3" t="s">
        <v>55</v>
      </c>
      <c r="S406" s="3">
        <v>1</v>
      </c>
      <c r="T406" s="3">
        <v>1</v>
      </c>
      <c r="U406" s="3">
        <v>0</v>
      </c>
      <c r="V406" s="28">
        <v>46094</v>
      </c>
      <c r="W406" s="28">
        <v>46093</v>
      </c>
      <c r="X406" s="28">
        <v>46094</v>
      </c>
      <c r="Y406" s="28">
        <v>46101</v>
      </c>
      <c r="Z406" s="140">
        <v>46106</v>
      </c>
      <c r="AA406" s="33">
        <f t="shared" si="44"/>
        <v>3</v>
      </c>
      <c r="AB406" s="144" t="s">
        <v>1195</v>
      </c>
      <c r="AC406" s="35" t="s">
        <v>1196</v>
      </c>
      <c r="AD406" s="19">
        <f t="shared" si="42"/>
        <v>1</v>
      </c>
      <c r="AE406" s="67">
        <f>IFERROR(NETWORKDAYS(B406,I406,Hoja1!$A$1:$A$29),"N/A")</f>
        <v>4</v>
      </c>
      <c r="AF406" s="21">
        <f>IFERROR(NETWORKDAYS(B406,W406,Hoja1!$A$1:$A$29),"N/A")</f>
        <v>14</v>
      </c>
      <c r="AG406" s="78">
        <v>0</v>
      </c>
      <c r="AH406" s="21">
        <f t="shared" si="46"/>
        <v>14</v>
      </c>
      <c r="AI406" s="21">
        <f>IFERROR(NETWORKDAYS(X406,Y406,Hoja1!$A$1:$A$29),"N/A")</f>
        <v>6</v>
      </c>
      <c r="AJ406" s="78">
        <v>1</v>
      </c>
      <c r="AK406" s="75">
        <f t="shared" si="45"/>
        <v>5</v>
      </c>
      <c r="AL406" s="21">
        <f>IFERROR(NETWORKDAYS(B406,Y406,Hoja1!$A$1:$A$29),"N/A")</f>
        <v>20</v>
      </c>
      <c r="AM406" s="21">
        <f t="shared" si="43"/>
        <v>19</v>
      </c>
      <c r="AN406" s="87"/>
      <c r="AO406" s="87"/>
      <c r="AP406" s="87"/>
      <c r="AQ406" s="87"/>
      <c r="AR406" s="87"/>
      <c r="AS406" s="87" t="s">
        <v>1909</v>
      </c>
      <c r="AT406" s="87" t="s">
        <v>2067</v>
      </c>
      <c r="AU406" s="87" t="s">
        <v>2218</v>
      </c>
      <c r="AV406" s="320" t="s">
        <v>2465</v>
      </c>
      <c r="AW406" s="403" t="s">
        <v>2991</v>
      </c>
      <c r="AY406" s="415"/>
    </row>
    <row r="407" spans="1:51" ht="15" customHeight="1" x14ac:dyDescent="0.25">
      <c r="A407" s="303">
        <v>15954</v>
      </c>
      <c r="B407" s="142">
        <v>46076</v>
      </c>
      <c r="C407" s="142">
        <v>46076</v>
      </c>
      <c r="D407" s="21">
        <v>1</v>
      </c>
      <c r="E407" s="87" t="s">
        <v>54</v>
      </c>
      <c r="F407" s="33" t="s">
        <v>55</v>
      </c>
      <c r="G407" s="33">
        <v>0</v>
      </c>
      <c r="H407" s="33"/>
      <c r="I407" s="142" t="s">
        <v>55</v>
      </c>
      <c r="J407" s="142" t="s">
        <v>55</v>
      </c>
      <c r="K407" s="33">
        <v>0</v>
      </c>
      <c r="L407" s="33" t="s">
        <v>55</v>
      </c>
      <c r="M407" s="33" t="s">
        <v>55</v>
      </c>
      <c r="N407" s="33" t="s">
        <v>55</v>
      </c>
      <c r="O407" s="33" t="s">
        <v>55</v>
      </c>
      <c r="P407" s="33" t="s">
        <v>55</v>
      </c>
      <c r="Q407" s="33" t="s">
        <v>55</v>
      </c>
      <c r="R407" s="33" t="s">
        <v>55</v>
      </c>
      <c r="S407" s="33">
        <v>2</v>
      </c>
      <c r="T407" s="33">
        <v>1</v>
      </c>
      <c r="U407" s="33">
        <v>0</v>
      </c>
      <c r="V407" s="28">
        <v>46094</v>
      </c>
      <c r="W407" s="28">
        <v>46094</v>
      </c>
      <c r="X407" s="28">
        <v>46094</v>
      </c>
      <c r="Y407" s="28">
        <v>46101</v>
      </c>
      <c r="Z407" s="140">
        <v>46106</v>
      </c>
      <c r="AA407" s="33">
        <f t="shared" si="44"/>
        <v>3</v>
      </c>
      <c r="AB407" s="144" t="s">
        <v>1198</v>
      </c>
      <c r="AC407" s="35" t="s">
        <v>1350</v>
      </c>
      <c r="AD407" s="19" t="str">
        <f t="shared" si="42"/>
        <v>N/A</v>
      </c>
      <c r="AE407" s="67" t="str">
        <f>IFERROR(NETWORKDAYS(B407,I407,Hoja1!$A$1:$A$29),"N/A")</f>
        <v>N/A</v>
      </c>
      <c r="AF407" s="21">
        <f>IFERROR(NETWORKDAYS(B407,W407,Hoja1!$A$1:$A$29),"N/A")</f>
        <v>15</v>
      </c>
      <c r="AG407" s="78">
        <v>0</v>
      </c>
      <c r="AH407" s="21">
        <f t="shared" si="46"/>
        <v>15</v>
      </c>
      <c r="AI407" s="21">
        <f>IFERROR(NETWORKDAYS(X407,Y407,Hoja1!$A$1:$A$29),"N/A")</f>
        <v>6</v>
      </c>
      <c r="AJ407" s="78">
        <v>1</v>
      </c>
      <c r="AK407" s="75">
        <f t="shared" si="45"/>
        <v>5</v>
      </c>
      <c r="AL407" s="21">
        <f>IFERROR(NETWORKDAYS(B407,Y407,Hoja1!$A$1:$A$29),"N/A")</f>
        <v>20</v>
      </c>
      <c r="AM407" s="21">
        <f t="shared" si="43"/>
        <v>19</v>
      </c>
      <c r="AN407" s="87"/>
      <c r="AO407" s="87"/>
      <c r="AP407" s="87"/>
      <c r="AQ407" s="87"/>
      <c r="AR407" s="87"/>
      <c r="AS407" s="87" t="s">
        <v>1907</v>
      </c>
      <c r="AT407" s="87" t="s">
        <v>2098</v>
      </c>
      <c r="AU407" s="87" t="s">
        <v>2212</v>
      </c>
      <c r="AV407" s="320" t="s">
        <v>2466</v>
      </c>
      <c r="AW407" s="403" t="s">
        <v>2992</v>
      </c>
      <c r="AY407" s="414"/>
    </row>
    <row r="408" spans="1:51" ht="15" customHeight="1" x14ac:dyDescent="0.25">
      <c r="A408" s="295">
        <v>15962</v>
      </c>
      <c r="B408" s="142">
        <v>46076</v>
      </c>
      <c r="C408" s="142">
        <v>46076</v>
      </c>
      <c r="D408" s="21">
        <v>1</v>
      </c>
      <c r="E408" s="87" t="s">
        <v>54</v>
      </c>
      <c r="F408" s="18" t="s">
        <v>55</v>
      </c>
      <c r="G408" s="3">
        <v>0</v>
      </c>
      <c r="H408" s="33"/>
      <c r="I408" s="2" t="s">
        <v>55</v>
      </c>
      <c r="J408" s="2" t="s">
        <v>55</v>
      </c>
      <c r="K408" s="3">
        <v>0</v>
      </c>
      <c r="L408" s="18" t="s">
        <v>55</v>
      </c>
      <c r="M408" s="18" t="s">
        <v>55</v>
      </c>
      <c r="N408" s="18" t="s">
        <v>55</v>
      </c>
      <c r="O408" s="18" t="s">
        <v>55</v>
      </c>
      <c r="P408" s="18" t="s">
        <v>55</v>
      </c>
      <c r="Q408" s="18" t="s">
        <v>55</v>
      </c>
      <c r="R408" s="18" t="s">
        <v>55</v>
      </c>
      <c r="S408" s="3">
        <v>1</v>
      </c>
      <c r="T408" s="3">
        <v>1</v>
      </c>
      <c r="U408" s="3">
        <v>0</v>
      </c>
      <c r="V408" s="28">
        <v>46084</v>
      </c>
      <c r="W408" s="28">
        <v>46084</v>
      </c>
      <c r="X408" s="28">
        <v>46085</v>
      </c>
      <c r="Y408" s="28">
        <v>46092</v>
      </c>
      <c r="Z408" s="28">
        <v>46093</v>
      </c>
      <c r="AA408" s="33">
        <f t="shared" si="44"/>
        <v>3</v>
      </c>
      <c r="AB408" s="144" t="s">
        <v>1200</v>
      </c>
      <c r="AC408" s="35" t="s">
        <v>1201</v>
      </c>
      <c r="AD408" s="19" t="str">
        <f t="shared" si="42"/>
        <v>N/A</v>
      </c>
      <c r="AE408" s="67" t="str">
        <f>IFERROR(NETWORKDAYS(B408,I408,Hoja1!$A$1:$A$29),"N/A")</f>
        <v>N/A</v>
      </c>
      <c r="AF408" s="21">
        <f>IFERROR(NETWORKDAYS(B408,W408,Hoja1!$A$1:$A$29),"N/A")</f>
        <v>7</v>
      </c>
      <c r="AG408" s="78">
        <v>0</v>
      </c>
      <c r="AH408" s="21">
        <f t="shared" si="46"/>
        <v>7</v>
      </c>
      <c r="AI408" s="21">
        <f>IFERROR(NETWORKDAYS(X408,Y408,Hoja1!$A$1:$A$29),"N/A")</f>
        <v>6</v>
      </c>
      <c r="AJ408" s="78">
        <v>1</v>
      </c>
      <c r="AK408" s="75">
        <f t="shared" si="45"/>
        <v>5</v>
      </c>
      <c r="AL408" s="21">
        <f>IFERROR(NETWORKDAYS(B408,Y408,Hoja1!$A$1:$A$29),"N/A")</f>
        <v>13</v>
      </c>
      <c r="AM408" s="21">
        <f t="shared" si="43"/>
        <v>12</v>
      </c>
      <c r="AN408" s="87"/>
      <c r="AO408" s="87"/>
      <c r="AP408" s="87"/>
      <c r="AQ408" s="87"/>
      <c r="AR408" s="87"/>
      <c r="AS408" s="87" t="s">
        <v>1922</v>
      </c>
      <c r="AT408" s="87" t="s">
        <v>2004</v>
      </c>
      <c r="AU408" s="87" t="s">
        <v>2211</v>
      </c>
      <c r="AV408" s="320" t="s">
        <v>2258</v>
      </c>
      <c r="AW408" s="403" t="s">
        <v>2993</v>
      </c>
      <c r="AY408" s="415"/>
    </row>
    <row r="409" spans="1:51" ht="15" customHeight="1" x14ac:dyDescent="0.25">
      <c r="A409" s="303">
        <v>15964</v>
      </c>
      <c r="B409" s="142">
        <v>46077</v>
      </c>
      <c r="C409" s="142">
        <v>46077</v>
      </c>
      <c r="D409" s="21">
        <v>1</v>
      </c>
      <c r="E409" s="87" t="s">
        <v>54</v>
      </c>
      <c r="F409" s="33" t="s">
        <v>55</v>
      </c>
      <c r="G409" s="33">
        <v>0</v>
      </c>
      <c r="H409" s="33"/>
      <c r="I409" s="142" t="s">
        <v>55</v>
      </c>
      <c r="J409" s="142" t="s">
        <v>55</v>
      </c>
      <c r="K409" s="33">
        <v>0</v>
      </c>
      <c r="L409" s="33" t="s">
        <v>55</v>
      </c>
      <c r="M409" s="33" t="s">
        <v>55</v>
      </c>
      <c r="N409" s="33" t="s">
        <v>55</v>
      </c>
      <c r="O409" s="33" t="s">
        <v>55</v>
      </c>
      <c r="P409" s="33" t="s">
        <v>55</v>
      </c>
      <c r="Q409" s="33" t="s">
        <v>55</v>
      </c>
      <c r="R409" s="33" t="s">
        <v>55</v>
      </c>
      <c r="S409" s="33">
        <v>1</v>
      </c>
      <c r="T409" s="33">
        <v>1</v>
      </c>
      <c r="U409" s="33">
        <v>0</v>
      </c>
      <c r="V409" s="28">
        <v>46092</v>
      </c>
      <c r="W409" s="28">
        <v>46092</v>
      </c>
      <c r="X409" s="28">
        <v>46092</v>
      </c>
      <c r="Y409" s="28">
        <v>46101</v>
      </c>
      <c r="Z409" s="140">
        <v>46106</v>
      </c>
      <c r="AA409" s="33">
        <f t="shared" si="44"/>
        <v>3</v>
      </c>
      <c r="AB409" s="144" t="s">
        <v>1202</v>
      </c>
      <c r="AC409" s="35" t="s">
        <v>1351</v>
      </c>
      <c r="AD409" s="19" t="str">
        <f t="shared" si="42"/>
        <v>N/A</v>
      </c>
      <c r="AE409" s="67" t="str">
        <f>IFERROR(NETWORKDAYS(B409,I409,Hoja1!$A$1:$A$29),"N/A")</f>
        <v>N/A</v>
      </c>
      <c r="AF409" s="21">
        <f>IFERROR(NETWORKDAYS(B409,W409,Hoja1!$A$1:$A$29),"N/A")</f>
        <v>12</v>
      </c>
      <c r="AG409" s="78">
        <v>0</v>
      </c>
      <c r="AH409" s="21">
        <f t="shared" si="46"/>
        <v>12</v>
      </c>
      <c r="AI409" s="21">
        <f>IFERROR(NETWORKDAYS(X409,Y409,Hoja1!$A$1:$A$29),"N/A")</f>
        <v>8</v>
      </c>
      <c r="AJ409" s="78">
        <v>3</v>
      </c>
      <c r="AK409" s="75">
        <f t="shared" si="45"/>
        <v>5</v>
      </c>
      <c r="AL409" s="21">
        <f>IFERROR(NETWORKDAYS(B409,Y409,Hoja1!$A$1:$A$29),"N/A")</f>
        <v>19</v>
      </c>
      <c r="AM409" s="21">
        <f t="shared" si="43"/>
        <v>16</v>
      </c>
      <c r="AN409" s="87"/>
      <c r="AO409" s="87"/>
      <c r="AP409" s="87"/>
      <c r="AQ409" s="87"/>
      <c r="AR409" s="87"/>
      <c r="AS409" s="87" t="s">
        <v>1906</v>
      </c>
      <c r="AT409" s="87" t="s">
        <v>2021</v>
      </c>
      <c r="AU409" s="87" t="s">
        <v>2212</v>
      </c>
      <c r="AV409" s="320" t="s">
        <v>2467</v>
      </c>
      <c r="AW409" s="403" t="s">
        <v>2994</v>
      </c>
      <c r="AY409" s="414"/>
    </row>
    <row r="410" spans="1:51" ht="15" customHeight="1" x14ac:dyDescent="0.25">
      <c r="A410" s="294">
        <v>15965</v>
      </c>
      <c r="B410" s="142">
        <v>46077</v>
      </c>
      <c r="C410" s="142">
        <v>46077</v>
      </c>
      <c r="D410" s="21">
        <v>1</v>
      </c>
      <c r="E410" s="87" t="s">
        <v>54</v>
      </c>
      <c r="F410" s="3" t="s">
        <v>55</v>
      </c>
      <c r="G410" s="3">
        <v>0</v>
      </c>
      <c r="H410" s="33"/>
      <c r="I410" s="155" t="s">
        <v>55</v>
      </c>
      <c r="J410" s="155" t="s">
        <v>55</v>
      </c>
      <c r="K410" s="3">
        <v>0</v>
      </c>
      <c r="L410" s="3" t="s">
        <v>55</v>
      </c>
      <c r="M410" s="3" t="s">
        <v>55</v>
      </c>
      <c r="N410" s="3" t="s">
        <v>55</v>
      </c>
      <c r="O410" s="3" t="s">
        <v>55</v>
      </c>
      <c r="P410" s="3" t="s">
        <v>55</v>
      </c>
      <c r="Q410" s="3" t="s">
        <v>55</v>
      </c>
      <c r="R410" s="3" t="s">
        <v>55</v>
      </c>
      <c r="S410" s="3">
        <v>0</v>
      </c>
      <c r="T410" s="3">
        <v>0</v>
      </c>
      <c r="U410" s="3">
        <v>0</v>
      </c>
      <c r="V410" s="33" t="s">
        <v>55</v>
      </c>
      <c r="W410" s="28">
        <v>46080</v>
      </c>
      <c r="X410" s="28">
        <v>46080</v>
      </c>
      <c r="Y410" s="28">
        <v>46091</v>
      </c>
      <c r="Z410" s="16">
        <v>46093</v>
      </c>
      <c r="AA410" s="3">
        <f t="shared" si="44"/>
        <v>3</v>
      </c>
      <c r="AB410" s="144" t="s">
        <v>1204</v>
      </c>
      <c r="AC410" s="35" t="s">
        <v>1352</v>
      </c>
      <c r="AD410" s="19" t="str">
        <f t="shared" si="42"/>
        <v>N/A</v>
      </c>
      <c r="AE410" s="67" t="str">
        <f>IFERROR(NETWORKDAYS(B410,I410,Hoja1!$A$1:$A$29),"N/A")</f>
        <v>N/A</v>
      </c>
      <c r="AF410" s="21">
        <f>IFERROR(NETWORKDAYS(B410,W410,Hoja1!$A$1:$A$29),"N/A")</f>
        <v>4</v>
      </c>
      <c r="AG410" s="78">
        <v>0</v>
      </c>
      <c r="AH410" s="19" t="s">
        <v>82</v>
      </c>
      <c r="AI410" s="21">
        <f>IFERROR(NETWORKDAYS(X410,Y410,Hoja1!$A$1:$A$29),"N/A")</f>
        <v>8</v>
      </c>
      <c r="AJ410" s="78">
        <v>3</v>
      </c>
      <c r="AK410" s="75">
        <f t="shared" si="45"/>
        <v>5</v>
      </c>
      <c r="AL410" s="21">
        <f>IFERROR(NETWORKDAYS(B410,Y410,Hoja1!$A$1:$A$29),"N/A")</f>
        <v>11</v>
      </c>
      <c r="AM410" s="21">
        <f t="shared" si="43"/>
        <v>8</v>
      </c>
      <c r="AN410" s="114"/>
      <c r="AO410" s="114"/>
      <c r="AP410" s="114"/>
      <c r="AQ410" s="114"/>
      <c r="AR410" s="114"/>
      <c r="AS410" s="114" t="s">
        <v>1932</v>
      </c>
      <c r="AT410" s="114" t="s">
        <v>2138</v>
      </c>
      <c r="AU410" s="114" t="s">
        <v>2220</v>
      </c>
      <c r="AV410" s="322" t="s">
        <v>2329</v>
      </c>
      <c r="AW410" s="403" t="s">
        <v>2995</v>
      </c>
      <c r="AY410" s="415"/>
    </row>
    <row r="411" spans="1:51" ht="15" customHeight="1" x14ac:dyDescent="0.25">
      <c r="A411" s="294">
        <v>15970</v>
      </c>
      <c r="B411" s="142">
        <v>46071</v>
      </c>
      <c r="C411" s="142">
        <v>46077</v>
      </c>
      <c r="D411" s="21">
        <v>1</v>
      </c>
      <c r="E411" s="87" t="s">
        <v>54</v>
      </c>
      <c r="F411" s="3" t="s">
        <v>55</v>
      </c>
      <c r="G411" s="3">
        <v>3</v>
      </c>
      <c r="H411" s="3" t="s">
        <v>112</v>
      </c>
      <c r="I411" s="73">
        <v>46078</v>
      </c>
      <c r="J411" s="73">
        <v>46078</v>
      </c>
      <c r="K411" s="3">
        <v>3</v>
      </c>
      <c r="L411" s="3" t="s">
        <v>55</v>
      </c>
      <c r="M411" s="3" t="s">
        <v>55</v>
      </c>
      <c r="N411" s="3" t="s">
        <v>55</v>
      </c>
      <c r="O411" s="3" t="s">
        <v>55</v>
      </c>
      <c r="P411" s="3" t="s">
        <v>55</v>
      </c>
      <c r="Q411" s="3" t="s">
        <v>55</v>
      </c>
      <c r="R411" s="3" t="s">
        <v>55</v>
      </c>
      <c r="S411" s="2">
        <v>3</v>
      </c>
      <c r="T411" s="2">
        <v>1</v>
      </c>
      <c r="U411" s="3">
        <v>0</v>
      </c>
      <c r="V411" s="28">
        <v>46079</v>
      </c>
      <c r="W411" s="28">
        <v>46079</v>
      </c>
      <c r="X411" s="28">
        <v>46079</v>
      </c>
      <c r="Y411" s="28">
        <v>46084</v>
      </c>
      <c r="Z411" s="140">
        <v>46085</v>
      </c>
      <c r="AA411" s="33">
        <f t="shared" si="44"/>
        <v>3</v>
      </c>
      <c r="AB411" s="144" t="s">
        <v>1205</v>
      </c>
      <c r="AC411" s="146" t="s">
        <v>1353</v>
      </c>
      <c r="AD411" s="19">
        <f t="shared" si="42"/>
        <v>1</v>
      </c>
      <c r="AE411" s="67">
        <f>IFERROR(NETWORKDAYS(B411,I411,Hoja1!$A$1:$A$29),"N/A")</f>
        <v>6</v>
      </c>
      <c r="AF411" s="21">
        <f>IFERROR(NETWORKDAYS(B411,W411,Hoja1!$A$1:$A$29),"N/A")</f>
        <v>7</v>
      </c>
      <c r="AG411" s="78">
        <v>0</v>
      </c>
      <c r="AH411" s="164">
        <f t="shared" ref="AH411:AH439" si="47">AF411-AG411</f>
        <v>7</v>
      </c>
      <c r="AI411" s="21">
        <f>IFERROR(NETWORKDAYS(X411,Y411,Hoja1!$A$1:$A$29),"N/A")</f>
        <v>4</v>
      </c>
      <c r="AJ411" s="78">
        <v>0</v>
      </c>
      <c r="AK411" s="75">
        <f t="shared" si="45"/>
        <v>4</v>
      </c>
      <c r="AL411" s="21">
        <f>IFERROR(NETWORKDAYS(B411,Y411,Hoja1!$A$1:$A$29),"N/A")</f>
        <v>10</v>
      </c>
      <c r="AM411" s="21">
        <f t="shared" si="43"/>
        <v>10</v>
      </c>
      <c r="AN411" s="111"/>
      <c r="AO411" s="111"/>
      <c r="AP411" s="111"/>
      <c r="AQ411" s="111"/>
      <c r="AR411" s="111"/>
      <c r="AS411" s="111" t="s">
        <v>1895</v>
      </c>
      <c r="AT411" s="111" t="s">
        <v>2061</v>
      </c>
      <c r="AU411" s="111" t="s">
        <v>2216</v>
      </c>
      <c r="AV411" s="321" t="s">
        <v>2468</v>
      </c>
      <c r="AW411" s="403" t="s">
        <v>2996</v>
      </c>
      <c r="AY411" s="414"/>
    </row>
    <row r="412" spans="1:51" ht="15" customHeight="1" x14ac:dyDescent="0.25">
      <c r="A412" s="294">
        <v>15972</v>
      </c>
      <c r="B412" s="142">
        <v>46071</v>
      </c>
      <c r="C412" s="142">
        <v>46077</v>
      </c>
      <c r="D412" s="21">
        <v>1</v>
      </c>
      <c r="E412" s="87" t="s">
        <v>54</v>
      </c>
      <c r="F412" s="3" t="s">
        <v>55</v>
      </c>
      <c r="G412" s="3">
        <v>4</v>
      </c>
      <c r="H412" s="3" t="s">
        <v>112</v>
      </c>
      <c r="I412" s="73">
        <v>46077</v>
      </c>
      <c r="J412" s="73">
        <v>46077</v>
      </c>
      <c r="K412" s="3">
        <v>4</v>
      </c>
      <c r="L412" s="3" t="s">
        <v>55</v>
      </c>
      <c r="M412" s="3" t="s">
        <v>55</v>
      </c>
      <c r="N412" s="3" t="s">
        <v>55</v>
      </c>
      <c r="O412" s="3" t="s">
        <v>55</v>
      </c>
      <c r="P412" s="3" t="s">
        <v>55</v>
      </c>
      <c r="Q412" s="3" t="s">
        <v>55</v>
      </c>
      <c r="R412" s="3" t="s">
        <v>55</v>
      </c>
      <c r="S412" s="2">
        <v>1</v>
      </c>
      <c r="T412" s="2">
        <v>1</v>
      </c>
      <c r="U412" s="3">
        <v>0</v>
      </c>
      <c r="V412" s="28">
        <v>46079</v>
      </c>
      <c r="W412" s="28">
        <v>46079</v>
      </c>
      <c r="X412" s="28">
        <v>46079</v>
      </c>
      <c r="Y412" s="28">
        <v>46084</v>
      </c>
      <c r="Z412" s="140">
        <v>46085</v>
      </c>
      <c r="AA412" s="33">
        <f t="shared" si="44"/>
        <v>3</v>
      </c>
      <c r="AB412" s="144" t="s">
        <v>1206</v>
      </c>
      <c r="AC412" s="146" t="s">
        <v>1207</v>
      </c>
      <c r="AD412" s="19">
        <f t="shared" si="42"/>
        <v>1</v>
      </c>
      <c r="AE412" s="67">
        <f>IFERROR(NETWORKDAYS(B412,I412,Hoja1!$A$1:$A$29),"N/A")</f>
        <v>5</v>
      </c>
      <c r="AF412" s="21">
        <f>IFERROR(NETWORKDAYS(B412,W412,Hoja1!$A$1:$A$29),"N/A")</f>
        <v>7</v>
      </c>
      <c r="AG412" s="78">
        <v>0</v>
      </c>
      <c r="AH412" s="164">
        <f t="shared" si="47"/>
        <v>7</v>
      </c>
      <c r="AI412" s="21">
        <f>IFERROR(NETWORKDAYS(X412,Y412,Hoja1!$A$1:$A$29),"N/A")</f>
        <v>4</v>
      </c>
      <c r="AJ412" s="78">
        <v>0</v>
      </c>
      <c r="AK412" s="75">
        <f t="shared" si="45"/>
        <v>4</v>
      </c>
      <c r="AL412" s="21">
        <f>IFERROR(NETWORKDAYS(B412,Y412,Hoja1!$A$1:$A$29),"N/A")</f>
        <v>10</v>
      </c>
      <c r="AM412" s="21">
        <f t="shared" si="43"/>
        <v>10</v>
      </c>
      <c r="AN412" s="87" t="s">
        <v>445</v>
      </c>
      <c r="AO412" s="87"/>
      <c r="AP412" s="87"/>
      <c r="AQ412" s="87"/>
      <c r="AR412" s="87"/>
      <c r="AS412" s="87" t="s">
        <v>1895</v>
      </c>
      <c r="AT412" s="87" t="s">
        <v>2061</v>
      </c>
      <c r="AU412" s="87" t="s">
        <v>2216</v>
      </c>
      <c r="AV412" s="320" t="s">
        <v>2248</v>
      </c>
      <c r="AW412" s="403" t="s">
        <v>2997</v>
      </c>
      <c r="AY412" s="415"/>
    </row>
    <row r="413" spans="1:51" ht="15" customHeight="1" x14ac:dyDescent="0.25">
      <c r="A413" s="303">
        <v>15980</v>
      </c>
      <c r="B413" s="142">
        <v>46078</v>
      </c>
      <c r="C413" s="142">
        <v>46078</v>
      </c>
      <c r="D413" s="21">
        <v>1</v>
      </c>
      <c r="E413" s="87" t="s">
        <v>54</v>
      </c>
      <c r="F413" s="33" t="s">
        <v>55</v>
      </c>
      <c r="G413" s="33">
        <v>0</v>
      </c>
      <c r="H413" s="33"/>
      <c r="I413" s="142" t="s">
        <v>55</v>
      </c>
      <c r="J413" s="142" t="s">
        <v>55</v>
      </c>
      <c r="K413" s="33">
        <v>0</v>
      </c>
      <c r="L413" s="33" t="s">
        <v>55</v>
      </c>
      <c r="M413" s="33" t="s">
        <v>55</v>
      </c>
      <c r="N413" s="33" t="s">
        <v>55</v>
      </c>
      <c r="O413" s="33" t="s">
        <v>55</v>
      </c>
      <c r="P413" s="33" t="s">
        <v>55</v>
      </c>
      <c r="Q413" s="33" t="s">
        <v>55</v>
      </c>
      <c r="R413" s="33" t="s">
        <v>55</v>
      </c>
      <c r="S413" s="33">
        <v>1</v>
      </c>
      <c r="T413" s="33">
        <v>1</v>
      </c>
      <c r="U413" s="33">
        <v>0</v>
      </c>
      <c r="V413" s="28">
        <v>46087</v>
      </c>
      <c r="W413" s="28">
        <v>46090</v>
      </c>
      <c r="X413" s="28">
        <v>46094</v>
      </c>
      <c r="Y413" s="28">
        <v>46100</v>
      </c>
      <c r="Z413" s="140">
        <v>46106</v>
      </c>
      <c r="AA413" s="33">
        <f t="shared" si="44"/>
        <v>3</v>
      </c>
      <c r="AB413" s="144" t="s">
        <v>1208</v>
      </c>
      <c r="AC413" s="35" t="s">
        <v>1209</v>
      </c>
      <c r="AD413" s="19" t="str">
        <f t="shared" si="42"/>
        <v>N/A</v>
      </c>
      <c r="AE413" s="67" t="str">
        <f>IFERROR(NETWORKDAYS(B413,I413,Hoja1!$A$1:$A$29),"N/A")</f>
        <v>N/A</v>
      </c>
      <c r="AF413" s="21">
        <f>IFERROR(NETWORKDAYS(B413,W413,Hoja1!$A$1:$A$29),"N/A")</f>
        <v>9</v>
      </c>
      <c r="AG413" s="78">
        <v>0</v>
      </c>
      <c r="AH413" s="21">
        <f t="shared" si="47"/>
        <v>9</v>
      </c>
      <c r="AI413" s="21">
        <f>IFERROR(NETWORKDAYS(X413,Y413,Hoja1!$A$1:$A$29),"N/A")</f>
        <v>5</v>
      </c>
      <c r="AJ413" s="78">
        <v>0</v>
      </c>
      <c r="AK413" s="75">
        <f t="shared" si="45"/>
        <v>5</v>
      </c>
      <c r="AL413" s="21">
        <f>IFERROR(NETWORKDAYS(B413,Y413,Hoja1!$A$1:$A$29),"N/A")</f>
        <v>17</v>
      </c>
      <c r="AM413" s="21">
        <f t="shared" si="43"/>
        <v>17</v>
      </c>
      <c r="AN413" s="87"/>
      <c r="AO413" s="87"/>
      <c r="AP413" s="87"/>
      <c r="AQ413" s="87"/>
      <c r="AR413" s="87"/>
      <c r="AS413" s="87" t="s">
        <v>1938</v>
      </c>
      <c r="AT413" s="87" t="s">
        <v>2027</v>
      </c>
      <c r="AU413" s="87" t="s">
        <v>2212</v>
      </c>
      <c r="AV413" s="320" t="s">
        <v>2437</v>
      </c>
      <c r="AW413" s="403" t="s">
        <v>2998</v>
      </c>
      <c r="AY413" s="414"/>
    </row>
    <row r="414" spans="1:51" ht="15" customHeight="1" x14ac:dyDescent="0.25">
      <c r="A414" s="301">
        <v>15981</v>
      </c>
      <c r="B414" s="142">
        <v>46066</v>
      </c>
      <c r="C414" s="142">
        <v>46080</v>
      </c>
      <c r="D414" s="21">
        <v>1</v>
      </c>
      <c r="E414" s="87" t="s">
        <v>54</v>
      </c>
      <c r="F414" s="33" t="s">
        <v>55</v>
      </c>
      <c r="G414" s="33">
        <v>0</v>
      </c>
      <c r="H414" s="33"/>
      <c r="I414" s="142" t="s">
        <v>55</v>
      </c>
      <c r="J414" s="142" t="s">
        <v>55</v>
      </c>
      <c r="K414" s="33">
        <v>0</v>
      </c>
      <c r="L414" s="33" t="s">
        <v>55</v>
      </c>
      <c r="M414" s="33" t="s">
        <v>55</v>
      </c>
      <c r="N414" s="33" t="s">
        <v>55</v>
      </c>
      <c r="O414" s="33" t="s">
        <v>55</v>
      </c>
      <c r="P414" s="33" t="s">
        <v>55</v>
      </c>
      <c r="Q414" s="33" t="s">
        <v>55</v>
      </c>
      <c r="R414" s="33" t="s">
        <v>55</v>
      </c>
      <c r="S414" s="33">
        <v>1</v>
      </c>
      <c r="T414" s="33">
        <v>1</v>
      </c>
      <c r="U414" s="33">
        <v>0</v>
      </c>
      <c r="V414" s="28">
        <v>46076</v>
      </c>
      <c r="W414" s="28">
        <v>46080</v>
      </c>
      <c r="X414" s="28">
        <v>46080</v>
      </c>
      <c r="Y414" s="28">
        <v>46091</v>
      </c>
      <c r="Z414" s="140">
        <v>46093</v>
      </c>
      <c r="AA414" s="33">
        <f t="shared" si="44"/>
        <v>3</v>
      </c>
      <c r="AB414" s="144" t="s">
        <v>1210</v>
      </c>
      <c r="AC414" s="35" t="s">
        <v>1211</v>
      </c>
      <c r="AD414" s="19" t="str">
        <f t="shared" si="42"/>
        <v>N/A</v>
      </c>
      <c r="AE414" s="67" t="str">
        <f>IFERROR(NETWORKDAYS(B414,I414,Hoja1!$A$1:$A$29),"N/A")</f>
        <v>N/A</v>
      </c>
      <c r="AF414" s="21">
        <f>IFERROR(NETWORKDAYS(B414,W414,Hoja1!$A$1:$A$29),"N/A")</f>
        <v>11</v>
      </c>
      <c r="AG414" s="78">
        <v>0</v>
      </c>
      <c r="AH414" s="21">
        <f t="shared" si="47"/>
        <v>11</v>
      </c>
      <c r="AI414" s="21">
        <f>IFERROR(NETWORKDAYS(X414,Y414,Hoja1!$A$1:$A$29),"N/A")</f>
        <v>8</v>
      </c>
      <c r="AJ414" s="78">
        <v>3</v>
      </c>
      <c r="AK414" s="75">
        <f t="shared" si="45"/>
        <v>5</v>
      </c>
      <c r="AL414" s="21">
        <f>IFERROR(NETWORKDAYS(B414,Y414,Hoja1!$A$1:$A$29),"N/A")</f>
        <v>18</v>
      </c>
      <c r="AM414" s="21">
        <f t="shared" si="43"/>
        <v>15</v>
      </c>
      <c r="AN414" s="84"/>
      <c r="AO414" s="84"/>
      <c r="AP414" s="84"/>
      <c r="AQ414" s="84"/>
      <c r="AR414" s="84"/>
      <c r="AS414" s="84" t="s">
        <v>1903</v>
      </c>
      <c r="AT414" s="84" t="s">
        <v>2011</v>
      </c>
      <c r="AU414" s="84" t="s">
        <v>2210</v>
      </c>
      <c r="AV414" s="324" t="s">
        <v>2469</v>
      </c>
      <c r="AW414" s="403" t="s">
        <v>2999</v>
      </c>
      <c r="AY414" s="415"/>
    </row>
    <row r="415" spans="1:51" ht="15" customHeight="1" x14ac:dyDescent="0.25">
      <c r="A415" s="294">
        <v>15983</v>
      </c>
      <c r="B415" s="142">
        <v>46078</v>
      </c>
      <c r="C415" s="142">
        <v>46078</v>
      </c>
      <c r="D415" s="21">
        <v>1</v>
      </c>
      <c r="E415" s="87" t="s">
        <v>54</v>
      </c>
      <c r="F415" s="3" t="s">
        <v>55</v>
      </c>
      <c r="G415" s="3">
        <v>3</v>
      </c>
      <c r="H415" s="3" t="s">
        <v>112</v>
      </c>
      <c r="I415" s="73">
        <v>46085</v>
      </c>
      <c r="J415" s="73">
        <v>46085</v>
      </c>
      <c r="K415" s="3">
        <v>3</v>
      </c>
      <c r="L415" s="3" t="s">
        <v>55</v>
      </c>
      <c r="M415" s="3" t="s">
        <v>55</v>
      </c>
      <c r="N415" s="3" t="s">
        <v>55</v>
      </c>
      <c r="O415" s="3" t="s">
        <v>55</v>
      </c>
      <c r="P415" s="3" t="s">
        <v>55</v>
      </c>
      <c r="Q415" s="3" t="s">
        <v>55</v>
      </c>
      <c r="R415" s="3" t="s">
        <v>55</v>
      </c>
      <c r="S415" s="2">
        <v>3</v>
      </c>
      <c r="T415" s="2">
        <v>1</v>
      </c>
      <c r="U415" s="3">
        <v>0</v>
      </c>
      <c r="V415" s="28">
        <v>46092</v>
      </c>
      <c r="W415" s="28">
        <v>46092</v>
      </c>
      <c r="X415" s="28">
        <v>46092</v>
      </c>
      <c r="Y415" s="28">
        <v>46098</v>
      </c>
      <c r="Z415" s="140">
        <v>46106</v>
      </c>
      <c r="AA415" s="33">
        <f t="shared" si="44"/>
        <v>3</v>
      </c>
      <c r="AB415" s="144" t="s">
        <v>1214</v>
      </c>
      <c r="AC415" s="146" t="s">
        <v>1215</v>
      </c>
      <c r="AD415" s="19">
        <f t="shared" si="42"/>
        <v>1</v>
      </c>
      <c r="AE415" s="67">
        <f>IFERROR(NETWORKDAYS(B415,I415,Hoja1!$A$1:$A$29),"N/A")</f>
        <v>6</v>
      </c>
      <c r="AF415" s="21">
        <f>IFERROR(NETWORKDAYS(B415,W415,Hoja1!$A$1:$A$29),"N/A")</f>
        <v>11</v>
      </c>
      <c r="AG415" s="78">
        <v>0</v>
      </c>
      <c r="AH415" s="164">
        <f t="shared" si="47"/>
        <v>11</v>
      </c>
      <c r="AI415" s="21">
        <f>IFERROR(NETWORKDAYS(X415,Y415,Hoja1!$A$1:$A$29),"N/A")</f>
        <v>5</v>
      </c>
      <c r="AJ415" s="78">
        <v>0</v>
      </c>
      <c r="AK415" s="75">
        <f t="shared" si="45"/>
        <v>5</v>
      </c>
      <c r="AL415" s="21">
        <f>IFERROR(NETWORKDAYS(B415,Y415,Hoja1!$A$1:$A$29),"N/A")</f>
        <v>15</v>
      </c>
      <c r="AM415" s="21">
        <f t="shared" si="43"/>
        <v>15</v>
      </c>
      <c r="AN415" s="111"/>
      <c r="AO415" s="111"/>
      <c r="AP415" s="111"/>
      <c r="AQ415" s="111"/>
      <c r="AR415" s="111"/>
      <c r="AS415" s="111" t="s">
        <v>1890</v>
      </c>
      <c r="AT415" s="111" t="s">
        <v>2139</v>
      </c>
      <c r="AU415" s="111" t="s">
        <v>2219</v>
      </c>
      <c r="AV415" s="321" t="s">
        <v>2470</v>
      </c>
      <c r="AW415" s="403" t="s">
        <v>3000</v>
      </c>
      <c r="AY415" s="414"/>
    </row>
    <row r="416" spans="1:51" ht="15" customHeight="1" x14ac:dyDescent="0.25">
      <c r="A416" s="294">
        <v>15984</v>
      </c>
      <c r="B416" s="142">
        <v>46069</v>
      </c>
      <c r="C416" s="142">
        <v>46078</v>
      </c>
      <c r="D416" s="21">
        <v>1</v>
      </c>
      <c r="E416" s="87" t="s">
        <v>54</v>
      </c>
      <c r="F416" s="3" t="s">
        <v>55</v>
      </c>
      <c r="G416" s="3">
        <v>5</v>
      </c>
      <c r="H416" s="3" t="s">
        <v>112</v>
      </c>
      <c r="I416" s="73">
        <v>46078</v>
      </c>
      <c r="J416" s="73">
        <v>46078</v>
      </c>
      <c r="K416" s="3">
        <v>5</v>
      </c>
      <c r="L416" s="3" t="s">
        <v>55</v>
      </c>
      <c r="M416" s="3" t="s">
        <v>55</v>
      </c>
      <c r="N416" s="3" t="s">
        <v>55</v>
      </c>
      <c r="O416" s="3" t="s">
        <v>55</v>
      </c>
      <c r="P416" s="3" t="s">
        <v>55</v>
      </c>
      <c r="Q416" s="3" t="s">
        <v>55</v>
      </c>
      <c r="R416" s="3" t="s">
        <v>55</v>
      </c>
      <c r="S416" s="2">
        <v>1</v>
      </c>
      <c r="T416" s="2">
        <v>1</v>
      </c>
      <c r="U416" s="3">
        <v>0</v>
      </c>
      <c r="V416" s="28">
        <v>46086</v>
      </c>
      <c r="W416" s="28">
        <v>46086</v>
      </c>
      <c r="X416" s="28">
        <v>46086</v>
      </c>
      <c r="Y416" s="28">
        <v>46092</v>
      </c>
      <c r="Z416" s="140">
        <v>46093</v>
      </c>
      <c r="AA416" s="33">
        <f t="shared" si="44"/>
        <v>3</v>
      </c>
      <c r="AB416" s="144" t="s">
        <v>1217</v>
      </c>
      <c r="AC416" s="146" t="s">
        <v>1218</v>
      </c>
      <c r="AD416" s="19">
        <f t="shared" si="42"/>
        <v>1</v>
      </c>
      <c r="AE416" s="67">
        <f>IFERROR(NETWORKDAYS(B416,I416,Hoja1!$A$1:$A$29),"N/A")</f>
        <v>8</v>
      </c>
      <c r="AF416" s="21">
        <f>IFERROR(NETWORKDAYS(B416,W416,Hoja1!$A$1:$A$29),"N/A")</f>
        <v>14</v>
      </c>
      <c r="AG416" s="78">
        <v>0</v>
      </c>
      <c r="AH416" s="21">
        <f t="shared" si="47"/>
        <v>14</v>
      </c>
      <c r="AI416" s="21">
        <f>IFERROR(NETWORKDAYS(X416,Y416,Hoja1!$A$1:$A$29),"N/A")</f>
        <v>5</v>
      </c>
      <c r="AJ416" s="78">
        <v>0</v>
      </c>
      <c r="AK416" s="75">
        <f t="shared" si="45"/>
        <v>5</v>
      </c>
      <c r="AL416" s="21">
        <f>IFERROR(NETWORKDAYS(B416,Y416,Hoja1!$A$1:$A$29),"N/A")</f>
        <v>18</v>
      </c>
      <c r="AM416" s="21">
        <f t="shared" si="43"/>
        <v>18</v>
      </c>
      <c r="AN416" s="87" t="s">
        <v>445</v>
      </c>
      <c r="AO416" s="87"/>
      <c r="AP416" s="87"/>
      <c r="AQ416" s="87"/>
      <c r="AR416" s="87"/>
      <c r="AS416" s="87" t="s">
        <v>1890</v>
      </c>
      <c r="AT416" s="87" t="s">
        <v>1995</v>
      </c>
      <c r="AU416" s="87" t="s">
        <v>2216</v>
      </c>
      <c r="AV416" s="320" t="s">
        <v>2471</v>
      </c>
      <c r="AW416" s="403" t="s">
        <v>3001</v>
      </c>
      <c r="AY416" s="415"/>
    </row>
    <row r="417" spans="1:51" ht="15" customHeight="1" x14ac:dyDescent="0.25">
      <c r="A417" s="304">
        <v>15988</v>
      </c>
      <c r="B417" s="142">
        <v>46079</v>
      </c>
      <c r="C417" s="142">
        <v>46079</v>
      </c>
      <c r="D417" s="21">
        <v>1</v>
      </c>
      <c r="E417" s="87" t="s">
        <v>54</v>
      </c>
      <c r="F417" s="33" t="s">
        <v>55</v>
      </c>
      <c r="G417" s="33">
        <v>0</v>
      </c>
      <c r="H417" s="33"/>
      <c r="I417" s="142" t="s">
        <v>55</v>
      </c>
      <c r="J417" s="142" t="s">
        <v>55</v>
      </c>
      <c r="K417" s="33">
        <v>0</v>
      </c>
      <c r="L417" s="33" t="s">
        <v>55</v>
      </c>
      <c r="M417" s="33" t="s">
        <v>55</v>
      </c>
      <c r="N417" s="33" t="s">
        <v>55</v>
      </c>
      <c r="O417" s="33" t="s">
        <v>55</v>
      </c>
      <c r="P417" s="33" t="s">
        <v>55</v>
      </c>
      <c r="Q417" s="33" t="s">
        <v>55</v>
      </c>
      <c r="R417" s="33" t="s">
        <v>55</v>
      </c>
      <c r="S417" s="33">
        <v>1</v>
      </c>
      <c r="T417" s="33">
        <v>1</v>
      </c>
      <c r="U417" s="33">
        <v>0</v>
      </c>
      <c r="V417" s="28">
        <v>46091</v>
      </c>
      <c r="W417" s="28">
        <v>46092</v>
      </c>
      <c r="X417" s="28">
        <v>46092</v>
      </c>
      <c r="Y417" s="28">
        <v>46101</v>
      </c>
      <c r="Z417" s="140">
        <v>46106</v>
      </c>
      <c r="AA417" s="33">
        <f t="shared" si="44"/>
        <v>3</v>
      </c>
      <c r="AB417" s="144" t="s">
        <v>1221</v>
      </c>
      <c r="AC417" s="35" t="s">
        <v>1222</v>
      </c>
      <c r="AD417" s="19" t="str">
        <f t="shared" si="42"/>
        <v>N/A</v>
      </c>
      <c r="AE417" s="67" t="str">
        <f>IFERROR(NETWORKDAYS(B417,I417,Hoja1!$A$1:$A$29),"N/A")</f>
        <v>N/A</v>
      </c>
      <c r="AF417" s="21">
        <f>IFERROR(NETWORKDAYS(B417,W417,Hoja1!$A$1:$A$29),"N/A")</f>
        <v>10</v>
      </c>
      <c r="AG417" s="78">
        <v>1</v>
      </c>
      <c r="AH417" s="21">
        <f t="shared" si="47"/>
        <v>9</v>
      </c>
      <c r="AI417" s="21">
        <f>IFERROR(NETWORKDAYS(X417,Y417,Hoja1!$A$1:$A$29),"N/A")</f>
        <v>8</v>
      </c>
      <c r="AJ417" s="78">
        <v>3</v>
      </c>
      <c r="AK417" s="75">
        <f t="shared" si="45"/>
        <v>5</v>
      </c>
      <c r="AL417" s="21">
        <f>IFERROR(NETWORKDAYS(B417,Y417,Hoja1!$A$1:$A$29),"N/A")</f>
        <v>17</v>
      </c>
      <c r="AM417" s="21">
        <f t="shared" si="43"/>
        <v>13</v>
      </c>
      <c r="AN417" s="87"/>
      <c r="AO417" s="87"/>
      <c r="AP417" s="87"/>
      <c r="AQ417" s="87"/>
      <c r="AR417" s="87"/>
      <c r="AS417" s="87" t="s">
        <v>1906</v>
      </c>
      <c r="AT417" s="87" t="s">
        <v>2140</v>
      </c>
      <c r="AU417" s="87" t="s">
        <v>2210</v>
      </c>
      <c r="AV417" s="320" t="s">
        <v>2472</v>
      </c>
      <c r="AW417" s="403" t="s">
        <v>3002</v>
      </c>
      <c r="AY417" s="414"/>
    </row>
    <row r="418" spans="1:51" ht="15" customHeight="1" x14ac:dyDescent="0.25">
      <c r="A418" s="304">
        <v>15990</v>
      </c>
      <c r="B418" s="142">
        <v>46085</v>
      </c>
      <c r="C418" s="142">
        <v>46079</v>
      </c>
      <c r="D418" s="21">
        <v>1</v>
      </c>
      <c r="E418" s="159" t="s">
        <v>247</v>
      </c>
      <c r="F418" s="33" t="s">
        <v>55</v>
      </c>
      <c r="G418" s="33">
        <v>0</v>
      </c>
      <c r="H418" s="33"/>
      <c r="I418" s="142" t="s">
        <v>55</v>
      </c>
      <c r="J418" s="142" t="s">
        <v>55</v>
      </c>
      <c r="K418" s="33">
        <v>0</v>
      </c>
      <c r="L418" s="33" t="s">
        <v>55</v>
      </c>
      <c r="M418" s="33" t="s">
        <v>55</v>
      </c>
      <c r="N418" s="33" t="s">
        <v>55</v>
      </c>
      <c r="O418" s="33" t="s">
        <v>55</v>
      </c>
      <c r="P418" s="33" t="s">
        <v>55</v>
      </c>
      <c r="Q418" s="33" t="s">
        <v>55</v>
      </c>
      <c r="R418" s="33" t="s">
        <v>55</v>
      </c>
      <c r="S418" s="33">
        <v>1</v>
      </c>
      <c r="T418" s="33">
        <v>1</v>
      </c>
      <c r="U418" s="33">
        <v>0</v>
      </c>
      <c r="V418" s="28">
        <v>46093</v>
      </c>
      <c r="W418" s="28">
        <v>46093</v>
      </c>
      <c r="X418" s="28" t="s">
        <v>55</v>
      </c>
      <c r="Y418" s="148">
        <v>46097</v>
      </c>
      <c r="Z418" s="148">
        <v>46097</v>
      </c>
      <c r="AA418" s="33">
        <v>3</v>
      </c>
      <c r="AB418" s="144" t="s">
        <v>1224</v>
      </c>
      <c r="AC418" s="35" t="s">
        <v>1225</v>
      </c>
      <c r="AD418" s="19" t="str">
        <f t="shared" si="42"/>
        <v>N/A</v>
      </c>
      <c r="AE418" s="67" t="str">
        <f>IFERROR(NETWORKDAYS(B418,I418,Hoja1!$A$1:$A$29),"N/A")</f>
        <v>N/A</v>
      </c>
      <c r="AF418" s="21">
        <f>IFERROR(NETWORKDAYS(B418,W418,Hoja1!$A$1:$A$29),"N/A")</f>
        <v>7</v>
      </c>
      <c r="AG418" s="78">
        <v>2</v>
      </c>
      <c r="AH418" s="21">
        <f t="shared" si="47"/>
        <v>5</v>
      </c>
      <c r="AI418" s="21" t="str">
        <f>IFERROR(NETWORKDAYS(X418,Y418,Hoja1!$A$1:$A$29),"N/A")</f>
        <v>N/A</v>
      </c>
      <c r="AJ418" s="78">
        <v>0</v>
      </c>
      <c r="AK418" s="19" t="s">
        <v>82</v>
      </c>
      <c r="AL418" s="21">
        <f>IFERROR(NETWORKDAYS(B418,Y418,Hoja1!$A$1:$A$29),"N/A")</f>
        <v>9</v>
      </c>
      <c r="AM418" s="21">
        <f t="shared" si="43"/>
        <v>7</v>
      </c>
      <c r="AN418" s="3"/>
      <c r="AO418" s="3"/>
      <c r="AP418" s="3"/>
      <c r="AQ418" s="3"/>
      <c r="AR418" s="3"/>
      <c r="AS418" s="3" t="s">
        <v>1968</v>
      </c>
      <c r="AT418" s="3" t="s">
        <v>2124</v>
      </c>
      <c r="AU418" s="3" t="s">
        <v>2210</v>
      </c>
      <c r="AV418" s="316" t="s">
        <v>2250</v>
      </c>
      <c r="AW418" s="403" t="s">
        <v>3003</v>
      </c>
      <c r="AY418" s="415"/>
    </row>
    <row r="419" spans="1:51" ht="15" customHeight="1" x14ac:dyDescent="0.25">
      <c r="A419" s="294">
        <v>15992</v>
      </c>
      <c r="B419" s="142">
        <v>46055</v>
      </c>
      <c r="C419" s="142">
        <v>46080</v>
      </c>
      <c r="D419" s="21">
        <v>1</v>
      </c>
      <c r="E419" s="87" t="s">
        <v>54</v>
      </c>
      <c r="F419" s="3" t="s">
        <v>55</v>
      </c>
      <c r="G419" s="3">
        <v>4</v>
      </c>
      <c r="H419" s="3" t="s">
        <v>112</v>
      </c>
      <c r="I419" s="73">
        <v>46062</v>
      </c>
      <c r="J419" s="73">
        <v>46062</v>
      </c>
      <c r="K419" s="3">
        <v>4</v>
      </c>
      <c r="L419" s="3" t="s">
        <v>55</v>
      </c>
      <c r="M419" s="3" t="s">
        <v>55</v>
      </c>
      <c r="N419" s="3" t="s">
        <v>55</v>
      </c>
      <c r="O419" s="3" t="s">
        <v>55</v>
      </c>
      <c r="P419" s="3" t="s">
        <v>55</v>
      </c>
      <c r="Q419" s="3" t="s">
        <v>55</v>
      </c>
      <c r="R419" s="3" t="s">
        <v>55</v>
      </c>
      <c r="S419" s="2">
        <v>1</v>
      </c>
      <c r="T419" s="2">
        <v>1</v>
      </c>
      <c r="U419" s="3">
        <v>0</v>
      </c>
      <c r="V419" s="28">
        <v>46078</v>
      </c>
      <c r="W419" s="28">
        <v>46078</v>
      </c>
      <c r="X419" s="28">
        <v>46078</v>
      </c>
      <c r="Y419" s="28">
        <v>46084</v>
      </c>
      <c r="Z419" s="140">
        <v>46085</v>
      </c>
      <c r="AA419" s="33">
        <f t="shared" ref="AA419:AA425" si="48">MONTH(Z419)</f>
        <v>3</v>
      </c>
      <c r="AB419" s="144" t="s">
        <v>1226</v>
      </c>
      <c r="AC419" s="146" t="s">
        <v>1354</v>
      </c>
      <c r="AD419" s="19">
        <f t="shared" si="42"/>
        <v>1</v>
      </c>
      <c r="AE419" s="67">
        <f>IFERROR(NETWORKDAYS(B419,I419,Hoja1!$A$1:$A$29),"N/A")</f>
        <v>6</v>
      </c>
      <c r="AF419" s="21">
        <f>IFERROR(NETWORKDAYS(B419,W419,Hoja1!$A$1:$A$29),"N/A")</f>
        <v>18</v>
      </c>
      <c r="AG419" s="78">
        <v>6</v>
      </c>
      <c r="AH419" s="21">
        <f t="shared" si="47"/>
        <v>12</v>
      </c>
      <c r="AI419" s="21">
        <f>IFERROR(NETWORKDAYS(X419,Y419,Hoja1!$A$1:$A$29),"N/A")</f>
        <v>5</v>
      </c>
      <c r="AJ419" s="78">
        <v>0</v>
      </c>
      <c r="AK419" s="75">
        <f t="shared" ref="AK419:AK436" si="49">AI419-AJ419</f>
        <v>5</v>
      </c>
      <c r="AL419" s="21">
        <f>IFERROR(NETWORKDAYS(B419,Y419,Hoja1!$A$1:$A$29),"N/A")</f>
        <v>22</v>
      </c>
      <c r="AM419" s="21">
        <f t="shared" si="43"/>
        <v>16</v>
      </c>
      <c r="AN419" s="111"/>
      <c r="AO419" s="111"/>
      <c r="AP419" s="111"/>
      <c r="AQ419" s="111"/>
      <c r="AR419" s="111"/>
      <c r="AS419" s="111" t="s">
        <v>1895</v>
      </c>
      <c r="AT419" s="111" t="s">
        <v>2067</v>
      </c>
      <c r="AU419" s="111" t="s">
        <v>2216</v>
      </c>
      <c r="AV419" s="321" t="s">
        <v>2473</v>
      </c>
      <c r="AW419" s="403" t="s">
        <v>3004</v>
      </c>
      <c r="AY419" s="414"/>
    </row>
    <row r="420" spans="1:51" ht="15" customHeight="1" x14ac:dyDescent="0.25">
      <c r="A420" s="294">
        <v>15993</v>
      </c>
      <c r="B420" s="142">
        <v>46080</v>
      </c>
      <c r="C420" s="142">
        <v>46080</v>
      </c>
      <c r="D420" s="21">
        <v>1</v>
      </c>
      <c r="E420" s="87" t="s">
        <v>54</v>
      </c>
      <c r="F420" s="3" t="s">
        <v>55</v>
      </c>
      <c r="G420" s="3">
        <v>3</v>
      </c>
      <c r="H420" s="3" t="s">
        <v>112</v>
      </c>
      <c r="I420" s="73">
        <v>46090</v>
      </c>
      <c r="J420" s="73">
        <v>46090</v>
      </c>
      <c r="K420" s="3">
        <v>3</v>
      </c>
      <c r="L420" s="3" t="s">
        <v>55</v>
      </c>
      <c r="M420" s="3" t="s">
        <v>55</v>
      </c>
      <c r="N420" s="3" t="s">
        <v>55</v>
      </c>
      <c r="O420" s="3" t="s">
        <v>55</v>
      </c>
      <c r="P420" s="3" t="s">
        <v>55</v>
      </c>
      <c r="Q420" s="3" t="s">
        <v>55</v>
      </c>
      <c r="R420" s="3" t="s">
        <v>55</v>
      </c>
      <c r="S420" s="2">
        <v>3</v>
      </c>
      <c r="T420" s="2">
        <v>1</v>
      </c>
      <c r="U420" s="3">
        <v>0</v>
      </c>
      <c r="V420" s="28">
        <v>46097</v>
      </c>
      <c r="W420" s="28">
        <v>46097</v>
      </c>
      <c r="X420" s="28">
        <v>46097</v>
      </c>
      <c r="Y420" s="28">
        <v>46101</v>
      </c>
      <c r="Z420" s="140">
        <v>46106</v>
      </c>
      <c r="AA420" s="33">
        <f t="shared" si="48"/>
        <v>3</v>
      </c>
      <c r="AB420" s="144" t="s">
        <v>1227</v>
      </c>
      <c r="AC420" s="146" t="s">
        <v>1228</v>
      </c>
      <c r="AD420" s="19">
        <f t="shared" si="42"/>
        <v>1</v>
      </c>
      <c r="AE420" s="67">
        <f>IFERROR(NETWORKDAYS(B420,I420,Hoja1!$A$1:$A$29),"N/A")</f>
        <v>7</v>
      </c>
      <c r="AF420" s="21">
        <f>IFERROR(NETWORKDAYS(B420,W420,Hoja1!$A$1:$A$29),"N/A")</f>
        <v>12</v>
      </c>
      <c r="AG420" s="78">
        <v>0</v>
      </c>
      <c r="AH420" s="21">
        <f t="shared" si="47"/>
        <v>12</v>
      </c>
      <c r="AI420" s="21">
        <f>IFERROR(NETWORKDAYS(X420,Y420,Hoja1!$A$1:$A$29),"N/A")</f>
        <v>5</v>
      </c>
      <c r="AJ420" s="78">
        <v>0</v>
      </c>
      <c r="AK420" s="75">
        <f t="shared" si="49"/>
        <v>5</v>
      </c>
      <c r="AL420" s="21">
        <f>IFERROR(NETWORKDAYS(B420,Y420,Hoja1!$A$1:$A$29),"N/A")</f>
        <v>16</v>
      </c>
      <c r="AM420" s="21">
        <f t="shared" si="43"/>
        <v>16</v>
      </c>
      <c r="AN420" s="111"/>
      <c r="AO420" s="111"/>
      <c r="AP420" s="111"/>
      <c r="AQ420" s="111"/>
      <c r="AR420" s="111"/>
      <c r="AS420" s="111" t="s">
        <v>1890</v>
      </c>
      <c r="AT420" s="111" t="s">
        <v>2019</v>
      </c>
      <c r="AU420" s="111" t="s">
        <v>2219</v>
      </c>
      <c r="AV420" s="321" t="s">
        <v>2474</v>
      </c>
      <c r="AW420" s="403" t="s">
        <v>3005</v>
      </c>
      <c r="AY420" s="415"/>
    </row>
    <row r="421" spans="1:51" ht="15" customHeight="1" x14ac:dyDescent="0.25">
      <c r="A421" s="294">
        <v>15995</v>
      </c>
      <c r="B421" s="142">
        <v>46080</v>
      </c>
      <c r="C421" s="142">
        <v>46080</v>
      </c>
      <c r="D421" s="21">
        <v>1</v>
      </c>
      <c r="E421" s="87" t="s">
        <v>54</v>
      </c>
      <c r="F421" s="3" t="s">
        <v>55</v>
      </c>
      <c r="G421" s="3">
        <v>0</v>
      </c>
      <c r="H421" s="33"/>
      <c r="I421" s="155" t="s">
        <v>55</v>
      </c>
      <c r="J421" s="155" t="s">
        <v>55</v>
      </c>
      <c r="K421" s="3">
        <v>0</v>
      </c>
      <c r="L421" s="3" t="s">
        <v>55</v>
      </c>
      <c r="M421" s="3" t="s">
        <v>55</v>
      </c>
      <c r="N421" s="3" t="s">
        <v>55</v>
      </c>
      <c r="O421" s="3" t="s">
        <v>55</v>
      </c>
      <c r="P421" s="3" t="s">
        <v>55</v>
      </c>
      <c r="Q421" s="3" t="s">
        <v>55</v>
      </c>
      <c r="R421" s="3" t="s">
        <v>55</v>
      </c>
      <c r="S421" s="3">
        <v>1</v>
      </c>
      <c r="T421" s="3">
        <v>1</v>
      </c>
      <c r="U421" s="3">
        <v>0</v>
      </c>
      <c r="V421" s="28">
        <v>46086</v>
      </c>
      <c r="W421" s="28">
        <v>46086</v>
      </c>
      <c r="X421" s="28">
        <v>46086</v>
      </c>
      <c r="Y421" s="28">
        <v>46093</v>
      </c>
      <c r="Z421" s="16">
        <v>46093</v>
      </c>
      <c r="AA421" s="33">
        <f t="shared" si="48"/>
        <v>3</v>
      </c>
      <c r="AB421" s="144" t="s">
        <v>1231</v>
      </c>
      <c r="AC421" s="35" t="s">
        <v>1355</v>
      </c>
      <c r="AD421" s="19" t="str">
        <f t="shared" si="42"/>
        <v>N/A</v>
      </c>
      <c r="AE421" s="67" t="str">
        <f>IFERROR(NETWORKDAYS(B421,I421,Hoja1!$A$1:$A$29),"N/A")</f>
        <v>N/A</v>
      </c>
      <c r="AF421" s="21">
        <f>IFERROR(NETWORKDAYS(B421,W421,Hoja1!$A$1:$A$29),"N/A")</f>
        <v>5</v>
      </c>
      <c r="AG421" s="78">
        <v>0</v>
      </c>
      <c r="AH421" s="21">
        <f t="shared" si="47"/>
        <v>5</v>
      </c>
      <c r="AI421" s="21">
        <f>IFERROR(NETWORKDAYS(X421,Y421,Hoja1!$A$1:$A$29),"N/A")</f>
        <v>6</v>
      </c>
      <c r="AJ421" s="78">
        <v>1</v>
      </c>
      <c r="AK421" s="75">
        <f t="shared" si="49"/>
        <v>5</v>
      </c>
      <c r="AL421" s="21">
        <f>IFERROR(NETWORKDAYS(B421,Y421,Hoja1!$A$1:$A$29),"N/A")</f>
        <v>10</v>
      </c>
      <c r="AM421" s="21">
        <f t="shared" si="43"/>
        <v>9</v>
      </c>
      <c r="AN421" s="114"/>
      <c r="AO421" s="114"/>
      <c r="AP421" s="114"/>
      <c r="AQ421" s="114"/>
      <c r="AR421" s="114"/>
      <c r="AS421" s="114" t="s">
        <v>1908</v>
      </c>
      <c r="AT421" s="114" t="s">
        <v>2141</v>
      </c>
      <c r="AU421" s="114" t="s">
        <v>2220</v>
      </c>
      <c r="AV421" s="322" t="s">
        <v>2250</v>
      </c>
      <c r="AW421" s="403" t="s">
        <v>3006</v>
      </c>
      <c r="AY421" s="414"/>
    </row>
    <row r="422" spans="1:51" ht="15" customHeight="1" x14ac:dyDescent="0.25">
      <c r="A422" s="304">
        <v>15997</v>
      </c>
      <c r="B422" s="142">
        <v>46079</v>
      </c>
      <c r="C422" s="142">
        <v>46080</v>
      </c>
      <c r="D422" s="21">
        <v>1</v>
      </c>
      <c r="E422" s="87" t="s">
        <v>54</v>
      </c>
      <c r="F422" s="33" t="s">
        <v>55</v>
      </c>
      <c r="G422" s="33">
        <v>0</v>
      </c>
      <c r="H422" s="33"/>
      <c r="I422" s="142" t="s">
        <v>55</v>
      </c>
      <c r="J422" s="142" t="s">
        <v>55</v>
      </c>
      <c r="K422" s="33">
        <v>0</v>
      </c>
      <c r="L422" s="33" t="s">
        <v>55</v>
      </c>
      <c r="M422" s="33" t="s">
        <v>55</v>
      </c>
      <c r="N422" s="33" t="s">
        <v>55</v>
      </c>
      <c r="O422" s="33" t="s">
        <v>55</v>
      </c>
      <c r="P422" s="33" t="s">
        <v>55</v>
      </c>
      <c r="Q422" s="33" t="s">
        <v>55</v>
      </c>
      <c r="R422" s="33" t="s">
        <v>55</v>
      </c>
      <c r="S422" s="33">
        <v>1</v>
      </c>
      <c r="T422" s="33">
        <v>1</v>
      </c>
      <c r="U422" s="33">
        <v>0</v>
      </c>
      <c r="V422" s="28">
        <v>46085</v>
      </c>
      <c r="W422" s="28">
        <v>46085</v>
      </c>
      <c r="X422" s="28">
        <v>46085</v>
      </c>
      <c r="Y422" s="28">
        <v>46092</v>
      </c>
      <c r="Z422" s="16">
        <v>46093</v>
      </c>
      <c r="AA422" s="33">
        <f t="shared" si="48"/>
        <v>3</v>
      </c>
      <c r="AB422" s="144" t="s">
        <v>1233</v>
      </c>
      <c r="AC422" s="35" t="s">
        <v>1234</v>
      </c>
      <c r="AD422" s="19" t="str">
        <f t="shared" si="42"/>
        <v>N/A</v>
      </c>
      <c r="AE422" s="67" t="str">
        <f>IFERROR(NETWORKDAYS(B422,I422,Hoja1!$A$1:$A$29),"N/A")</f>
        <v>N/A</v>
      </c>
      <c r="AF422" s="21">
        <f>IFERROR(NETWORKDAYS(B422,W422,Hoja1!$A$1:$A$29),"N/A")</f>
        <v>5</v>
      </c>
      <c r="AG422" s="78">
        <v>0</v>
      </c>
      <c r="AH422" s="21">
        <f t="shared" si="47"/>
        <v>5</v>
      </c>
      <c r="AI422" s="21">
        <f>IFERROR(NETWORKDAYS(X422,Y422,Hoja1!$A$1:$A$29),"N/A")</f>
        <v>6</v>
      </c>
      <c r="AJ422" s="78">
        <v>1</v>
      </c>
      <c r="AK422" s="75">
        <f t="shared" si="49"/>
        <v>5</v>
      </c>
      <c r="AL422" s="21">
        <f>IFERROR(NETWORKDAYS(B422,Y422,Hoja1!$A$1:$A$29),"N/A")</f>
        <v>10</v>
      </c>
      <c r="AM422" s="21">
        <f t="shared" si="43"/>
        <v>9</v>
      </c>
      <c r="AN422" s="87"/>
      <c r="AO422" s="87"/>
      <c r="AP422" s="87"/>
      <c r="AQ422" s="87"/>
      <c r="AR422" s="87"/>
      <c r="AS422" s="87" t="s">
        <v>1897</v>
      </c>
      <c r="AT422" s="87" t="s">
        <v>2142</v>
      </c>
      <c r="AU422" s="87" t="s">
        <v>2210</v>
      </c>
      <c r="AV422" s="320" t="s">
        <v>2349</v>
      </c>
      <c r="AW422" s="403" t="s">
        <v>3007</v>
      </c>
      <c r="AY422" s="415"/>
    </row>
    <row r="423" spans="1:51" ht="15" customHeight="1" x14ac:dyDescent="0.25">
      <c r="A423" s="304">
        <v>15998</v>
      </c>
      <c r="B423" s="142">
        <v>46079</v>
      </c>
      <c r="C423" s="142">
        <v>46080</v>
      </c>
      <c r="D423" s="21">
        <v>1</v>
      </c>
      <c r="E423" s="87" t="s">
        <v>54</v>
      </c>
      <c r="F423" s="33" t="s">
        <v>55</v>
      </c>
      <c r="G423" s="33">
        <v>0</v>
      </c>
      <c r="H423" s="33"/>
      <c r="I423" s="142" t="s">
        <v>55</v>
      </c>
      <c r="J423" s="142" t="s">
        <v>55</v>
      </c>
      <c r="K423" s="33">
        <v>0</v>
      </c>
      <c r="L423" s="33" t="s">
        <v>55</v>
      </c>
      <c r="M423" s="33" t="s">
        <v>55</v>
      </c>
      <c r="N423" s="33" t="s">
        <v>55</v>
      </c>
      <c r="O423" s="33" t="s">
        <v>55</v>
      </c>
      <c r="P423" s="33" t="s">
        <v>55</v>
      </c>
      <c r="Q423" s="33" t="s">
        <v>55</v>
      </c>
      <c r="R423" s="33" t="s">
        <v>55</v>
      </c>
      <c r="S423" s="33">
        <v>1</v>
      </c>
      <c r="T423" s="33">
        <v>1</v>
      </c>
      <c r="U423" s="33">
        <v>0</v>
      </c>
      <c r="V423" s="28">
        <v>46085</v>
      </c>
      <c r="W423" s="28">
        <v>46085</v>
      </c>
      <c r="X423" s="28">
        <v>46085</v>
      </c>
      <c r="Y423" s="28">
        <v>46091</v>
      </c>
      <c r="Z423" s="140">
        <v>46093</v>
      </c>
      <c r="AA423" s="33">
        <f t="shared" si="48"/>
        <v>3</v>
      </c>
      <c r="AB423" s="144" t="s">
        <v>1236</v>
      </c>
      <c r="AC423" s="35" t="s">
        <v>1237</v>
      </c>
      <c r="AD423" s="19" t="str">
        <f t="shared" si="42"/>
        <v>N/A</v>
      </c>
      <c r="AE423" s="67" t="str">
        <f>IFERROR(NETWORKDAYS(B423,I423,Hoja1!$A$1:$A$29),"N/A")</f>
        <v>N/A</v>
      </c>
      <c r="AF423" s="21">
        <f>IFERROR(NETWORKDAYS(B423,W423,Hoja1!$A$1:$A$29),"N/A")</f>
        <v>5</v>
      </c>
      <c r="AG423" s="78">
        <v>0</v>
      </c>
      <c r="AH423" s="21">
        <f t="shared" si="47"/>
        <v>5</v>
      </c>
      <c r="AI423" s="21">
        <f>IFERROR(NETWORKDAYS(X423,Y423,Hoja1!$A$1:$A$29),"N/A")</f>
        <v>5</v>
      </c>
      <c r="AJ423" s="78">
        <v>0</v>
      </c>
      <c r="AK423" s="75">
        <f t="shared" si="49"/>
        <v>5</v>
      </c>
      <c r="AL423" s="21">
        <f>IFERROR(NETWORKDAYS(B423,Y423,Hoja1!$A$1:$A$29),"N/A")</f>
        <v>9</v>
      </c>
      <c r="AM423" s="21">
        <f t="shared" si="43"/>
        <v>9</v>
      </c>
      <c r="AN423" s="87"/>
      <c r="AO423" s="87"/>
      <c r="AP423" s="87"/>
      <c r="AQ423" s="87"/>
      <c r="AR423" s="87"/>
      <c r="AS423" s="87" t="s">
        <v>1897</v>
      </c>
      <c r="AT423" s="87" t="s">
        <v>2143</v>
      </c>
      <c r="AU423" s="87" t="s">
        <v>2210</v>
      </c>
      <c r="AV423" s="320" t="s">
        <v>2349</v>
      </c>
      <c r="AW423" s="403" t="s">
        <v>3008</v>
      </c>
      <c r="AY423" s="414"/>
    </row>
    <row r="424" spans="1:51" ht="15" customHeight="1" x14ac:dyDescent="0.25">
      <c r="A424" s="294">
        <v>16018</v>
      </c>
      <c r="B424" s="142">
        <v>46063</v>
      </c>
      <c r="C424" s="142">
        <v>46083</v>
      </c>
      <c r="D424" s="21">
        <v>1</v>
      </c>
      <c r="E424" s="87" t="s">
        <v>54</v>
      </c>
      <c r="F424" s="3" t="s">
        <v>55</v>
      </c>
      <c r="G424" s="3">
        <v>3</v>
      </c>
      <c r="H424" s="3" t="s">
        <v>112</v>
      </c>
      <c r="I424" s="73">
        <v>46071</v>
      </c>
      <c r="J424" s="73">
        <v>46071</v>
      </c>
      <c r="K424" s="3">
        <v>3</v>
      </c>
      <c r="L424" s="3" t="s">
        <v>55</v>
      </c>
      <c r="M424" s="3" t="s">
        <v>55</v>
      </c>
      <c r="N424" s="3" t="s">
        <v>55</v>
      </c>
      <c r="O424" s="3" t="s">
        <v>55</v>
      </c>
      <c r="P424" s="3" t="s">
        <v>55</v>
      </c>
      <c r="Q424" s="3" t="s">
        <v>55</v>
      </c>
      <c r="R424" s="3" t="s">
        <v>55</v>
      </c>
      <c r="S424" s="2">
        <v>3</v>
      </c>
      <c r="T424" s="2">
        <v>1</v>
      </c>
      <c r="U424" s="3">
        <v>0</v>
      </c>
      <c r="V424" s="28">
        <v>46079</v>
      </c>
      <c r="W424" s="28">
        <v>46079</v>
      </c>
      <c r="X424" s="28">
        <v>46079</v>
      </c>
      <c r="Y424" s="28">
        <v>46085</v>
      </c>
      <c r="Z424" s="140">
        <v>46093</v>
      </c>
      <c r="AA424" s="33">
        <f t="shared" si="48"/>
        <v>3</v>
      </c>
      <c r="AB424" s="144" t="s">
        <v>1238</v>
      </c>
      <c r="AC424" s="146" t="s">
        <v>1239</v>
      </c>
      <c r="AD424" s="19">
        <f t="shared" si="42"/>
        <v>1</v>
      </c>
      <c r="AE424" s="67">
        <f>IFERROR(NETWORKDAYS(B424,I424,Hoja1!$A$1:$A$29),"N/A")</f>
        <v>7</v>
      </c>
      <c r="AF424" s="21">
        <f>IFERROR(NETWORKDAYS(B424,W424,Hoja1!$A$1:$A$29),"N/A")</f>
        <v>13</v>
      </c>
      <c r="AG424" s="78">
        <v>0</v>
      </c>
      <c r="AH424" s="21">
        <f t="shared" si="47"/>
        <v>13</v>
      </c>
      <c r="AI424" s="21">
        <f>IFERROR(NETWORKDAYS(X424,Y424,Hoja1!$A$1:$A$29),"N/A")</f>
        <v>5</v>
      </c>
      <c r="AJ424" s="78">
        <v>0</v>
      </c>
      <c r="AK424" s="75">
        <f t="shared" si="49"/>
        <v>5</v>
      </c>
      <c r="AL424" s="21">
        <f>IFERROR(NETWORKDAYS(B424,Y424,Hoja1!$A$1:$A$29),"N/A")</f>
        <v>17</v>
      </c>
      <c r="AM424" s="21">
        <f t="shared" si="43"/>
        <v>17</v>
      </c>
      <c r="AN424" s="111"/>
      <c r="AO424" s="111"/>
      <c r="AP424" s="111"/>
      <c r="AQ424" s="111"/>
      <c r="AR424" s="111"/>
      <c r="AS424" s="111" t="s">
        <v>1969</v>
      </c>
      <c r="AT424" s="111" t="s">
        <v>1994</v>
      </c>
      <c r="AU424" s="111" t="s">
        <v>2219</v>
      </c>
      <c r="AV424" s="321" t="s">
        <v>2475</v>
      </c>
      <c r="AW424" s="403" t="s">
        <v>3009</v>
      </c>
      <c r="AY424" s="415"/>
    </row>
    <row r="425" spans="1:51" ht="15" customHeight="1" x14ac:dyDescent="0.25">
      <c r="A425" s="294">
        <v>16022</v>
      </c>
      <c r="B425" s="142">
        <v>46083</v>
      </c>
      <c r="C425" s="142">
        <v>46083</v>
      </c>
      <c r="D425" s="21">
        <v>1</v>
      </c>
      <c r="E425" s="87" t="s">
        <v>54</v>
      </c>
      <c r="F425" s="3" t="s">
        <v>55</v>
      </c>
      <c r="G425" s="3">
        <v>1</v>
      </c>
      <c r="H425" s="3" t="s">
        <v>112</v>
      </c>
      <c r="I425" s="28">
        <v>46086</v>
      </c>
      <c r="J425" s="28">
        <v>46086</v>
      </c>
      <c r="K425" s="3">
        <v>1</v>
      </c>
      <c r="L425" s="3" t="s">
        <v>55</v>
      </c>
      <c r="M425" s="3" t="s">
        <v>55</v>
      </c>
      <c r="N425" s="3" t="s">
        <v>55</v>
      </c>
      <c r="O425" s="3" t="s">
        <v>55</v>
      </c>
      <c r="P425" s="3" t="s">
        <v>55</v>
      </c>
      <c r="Q425" s="3" t="s">
        <v>55</v>
      </c>
      <c r="R425" s="3" t="s">
        <v>55</v>
      </c>
      <c r="S425" s="2">
        <v>1</v>
      </c>
      <c r="T425" s="2">
        <v>1</v>
      </c>
      <c r="U425" s="3">
        <v>0</v>
      </c>
      <c r="V425" s="28">
        <v>46094</v>
      </c>
      <c r="W425" s="28">
        <v>46094</v>
      </c>
      <c r="X425" s="28">
        <v>46094</v>
      </c>
      <c r="Y425" s="28">
        <v>46100</v>
      </c>
      <c r="Z425" s="140">
        <v>46106</v>
      </c>
      <c r="AA425" s="33">
        <f t="shared" si="48"/>
        <v>3</v>
      </c>
      <c r="AB425" s="144" t="s">
        <v>1241</v>
      </c>
      <c r="AC425" s="146" t="s">
        <v>1242</v>
      </c>
      <c r="AD425" s="19">
        <f t="shared" si="42"/>
        <v>1</v>
      </c>
      <c r="AE425" s="67">
        <f>IFERROR(NETWORKDAYS(B425,I425,Hoja1!$A$1:$A$29),"N/A")</f>
        <v>4</v>
      </c>
      <c r="AF425" s="21">
        <f>IFERROR(NETWORKDAYS(B425,W425,Hoja1!$A$1:$A$29),"N/A")</f>
        <v>10</v>
      </c>
      <c r="AG425" s="272">
        <v>0</v>
      </c>
      <c r="AH425" s="21">
        <f t="shared" si="47"/>
        <v>10</v>
      </c>
      <c r="AI425" s="21">
        <f>IFERROR(NETWORKDAYS(X425,Y425,Hoja1!$A$1:$A$29),"N/A")</f>
        <v>5</v>
      </c>
      <c r="AJ425" s="78">
        <v>0</v>
      </c>
      <c r="AK425" s="75">
        <f t="shared" si="49"/>
        <v>5</v>
      </c>
      <c r="AL425" s="21">
        <f>IFERROR(NETWORKDAYS(B425,Y425,Hoja1!$A$1:$A$29),"N/A")</f>
        <v>14</v>
      </c>
      <c r="AM425" s="21">
        <f t="shared" si="43"/>
        <v>14</v>
      </c>
      <c r="AN425" s="111"/>
      <c r="AO425" s="111"/>
      <c r="AP425" s="111"/>
      <c r="AQ425" s="111"/>
      <c r="AR425" s="111"/>
      <c r="AS425" s="111" t="s">
        <v>1969</v>
      </c>
      <c r="AT425" s="111" t="s">
        <v>2144</v>
      </c>
      <c r="AU425" s="111" t="s">
        <v>2219</v>
      </c>
      <c r="AV425" s="321" t="s">
        <v>2349</v>
      </c>
      <c r="AW425" s="403" t="s">
        <v>3010</v>
      </c>
      <c r="AY425" s="414"/>
    </row>
    <row r="426" spans="1:51" ht="15" customHeight="1" x14ac:dyDescent="0.25">
      <c r="A426" s="295">
        <v>16023</v>
      </c>
      <c r="B426" s="165">
        <v>46084</v>
      </c>
      <c r="C426" s="166">
        <v>46084</v>
      </c>
      <c r="D426" s="1">
        <v>1</v>
      </c>
      <c r="E426" s="27" t="s">
        <v>54</v>
      </c>
      <c r="F426" s="167" t="s">
        <v>55</v>
      </c>
      <c r="G426" s="1">
        <v>4</v>
      </c>
      <c r="H426" s="1" t="s">
        <v>112</v>
      </c>
      <c r="I426" s="116">
        <v>46085</v>
      </c>
      <c r="J426" s="116">
        <v>46085</v>
      </c>
      <c r="K426" s="1">
        <v>4</v>
      </c>
      <c r="L426" s="167" t="s">
        <v>55</v>
      </c>
      <c r="M426" s="167" t="s">
        <v>55</v>
      </c>
      <c r="N426" s="167" t="s">
        <v>55</v>
      </c>
      <c r="O426" s="167" t="s">
        <v>55</v>
      </c>
      <c r="P426" s="167" t="s">
        <v>55</v>
      </c>
      <c r="Q426" s="2" t="s">
        <v>55</v>
      </c>
      <c r="R426" s="167" t="s">
        <v>55</v>
      </c>
      <c r="S426" s="1">
        <v>2</v>
      </c>
      <c r="T426" s="1">
        <v>2</v>
      </c>
      <c r="U426" s="1">
        <v>0</v>
      </c>
      <c r="V426" s="16">
        <v>46092</v>
      </c>
      <c r="W426" s="16">
        <v>46092</v>
      </c>
      <c r="X426" s="16">
        <v>46097</v>
      </c>
      <c r="Y426" s="246">
        <v>46101</v>
      </c>
      <c r="Z426" s="246">
        <v>46106</v>
      </c>
      <c r="AA426" s="168">
        <v>3</v>
      </c>
      <c r="AB426" s="169" t="s">
        <v>1243</v>
      </c>
      <c r="AC426" s="69" t="s">
        <v>1356</v>
      </c>
      <c r="AD426" s="19">
        <f t="shared" si="42"/>
        <v>1</v>
      </c>
      <c r="AE426" s="67">
        <f>IFERROR(NETWORKDAYS(B426,I426,Hoja1!$A$1:$A$29),"N/A")</f>
        <v>2</v>
      </c>
      <c r="AF426" s="21">
        <f>IFERROR(NETWORKDAYS(B426,W426,Hoja1!$A$1:$A$29),"N/A")</f>
        <v>7</v>
      </c>
      <c r="AG426" s="78">
        <v>0</v>
      </c>
      <c r="AH426" s="21">
        <f t="shared" si="47"/>
        <v>7</v>
      </c>
      <c r="AI426" s="21">
        <f>IFERROR(NETWORKDAYS(X426,Y426,Hoja1!$A$1:$A$29),"N/A")</f>
        <v>5</v>
      </c>
      <c r="AJ426" s="78">
        <v>0</v>
      </c>
      <c r="AK426" s="75">
        <f t="shared" si="49"/>
        <v>5</v>
      </c>
      <c r="AL426" s="21">
        <f>IFERROR(NETWORKDAYS(B426,Y426,Hoja1!$A$1:$A$29),"N/A")</f>
        <v>14</v>
      </c>
      <c r="AM426" s="21">
        <f t="shared" si="43"/>
        <v>14</v>
      </c>
      <c r="AN426" s="114"/>
      <c r="AO426" s="114"/>
      <c r="AP426" s="114"/>
      <c r="AQ426" s="114"/>
      <c r="AR426" s="114"/>
      <c r="AS426" s="114" t="s">
        <v>1935</v>
      </c>
      <c r="AT426" s="114" t="s">
        <v>2145</v>
      </c>
      <c r="AU426" s="114" t="s">
        <v>2217</v>
      </c>
      <c r="AV426" s="322" t="s">
        <v>2476</v>
      </c>
      <c r="AW426" s="403" t="s">
        <v>3011</v>
      </c>
      <c r="AY426" s="415"/>
    </row>
    <row r="427" spans="1:51" ht="15" customHeight="1" x14ac:dyDescent="0.25">
      <c r="A427" s="303">
        <v>16028</v>
      </c>
      <c r="B427" s="142">
        <v>46083</v>
      </c>
      <c r="C427" s="142">
        <v>46083</v>
      </c>
      <c r="D427" s="21">
        <v>1</v>
      </c>
      <c r="E427" s="87" t="s">
        <v>54</v>
      </c>
      <c r="F427" s="33" t="s">
        <v>55</v>
      </c>
      <c r="G427" s="33">
        <v>0</v>
      </c>
      <c r="H427" s="33"/>
      <c r="I427" s="142" t="s">
        <v>55</v>
      </c>
      <c r="J427" s="142" t="s">
        <v>55</v>
      </c>
      <c r="K427" s="33">
        <v>0</v>
      </c>
      <c r="L427" s="33" t="s">
        <v>55</v>
      </c>
      <c r="M427" s="33" t="s">
        <v>55</v>
      </c>
      <c r="N427" s="33" t="s">
        <v>55</v>
      </c>
      <c r="O427" s="33" t="s">
        <v>55</v>
      </c>
      <c r="P427" s="33" t="s">
        <v>55</v>
      </c>
      <c r="Q427" s="33" t="s">
        <v>55</v>
      </c>
      <c r="R427" s="33" t="s">
        <v>55</v>
      </c>
      <c r="S427" s="33">
        <v>1</v>
      </c>
      <c r="T427" s="33">
        <v>1</v>
      </c>
      <c r="U427" s="33">
        <v>0</v>
      </c>
      <c r="V427" s="28">
        <v>46087</v>
      </c>
      <c r="W427" s="28">
        <v>46090</v>
      </c>
      <c r="X427" s="28">
        <v>46091</v>
      </c>
      <c r="Y427" s="28">
        <v>46098</v>
      </c>
      <c r="Z427" s="140">
        <v>46106</v>
      </c>
      <c r="AA427" s="33">
        <f t="shared" ref="AA427:AA436" si="50">MONTH(Z427)</f>
        <v>3</v>
      </c>
      <c r="AB427" s="144" t="s">
        <v>1245</v>
      </c>
      <c r="AC427" s="35" t="s">
        <v>1246</v>
      </c>
      <c r="AD427" s="19" t="str">
        <f t="shared" si="42"/>
        <v>N/A</v>
      </c>
      <c r="AE427" s="67" t="str">
        <f>IFERROR(NETWORKDAYS(B427,I427,Hoja1!$A$1:$A$29),"N/A")</f>
        <v>N/A</v>
      </c>
      <c r="AF427" s="21">
        <f>IFERROR(NETWORKDAYS(B427,W427,Hoja1!$A$1:$A$29),"N/A")</f>
        <v>6</v>
      </c>
      <c r="AG427" s="78">
        <v>0</v>
      </c>
      <c r="AH427" s="21">
        <f t="shared" si="47"/>
        <v>6</v>
      </c>
      <c r="AI427" s="21">
        <f>IFERROR(NETWORKDAYS(X427,Y427,Hoja1!$A$1:$A$29),"N/A")</f>
        <v>6</v>
      </c>
      <c r="AJ427" s="78">
        <v>1</v>
      </c>
      <c r="AK427" s="75">
        <f t="shared" si="49"/>
        <v>5</v>
      </c>
      <c r="AL427" s="21">
        <f>IFERROR(NETWORKDAYS(B427,Y427,Hoja1!$A$1:$A$29),"N/A")</f>
        <v>12</v>
      </c>
      <c r="AM427" s="21">
        <f t="shared" si="43"/>
        <v>11</v>
      </c>
      <c r="AN427" s="87"/>
      <c r="AO427" s="87"/>
      <c r="AP427" s="87"/>
      <c r="AQ427" s="87"/>
      <c r="AR427" s="87"/>
      <c r="AS427" s="87" t="s">
        <v>1938</v>
      </c>
      <c r="AT427" s="87" t="s">
        <v>2027</v>
      </c>
      <c r="AU427" s="87" t="s">
        <v>2212</v>
      </c>
      <c r="AV427" s="320" t="s">
        <v>2437</v>
      </c>
      <c r="AW427" s="403" t="s">
        <v>3012</v>
      </c>
      <c r="AY427" s="414"/>
    </row>
    <row r="428" spans="1:51" ht="15" customHeight="1" x14ac:dyDescent="0.25">
      <c r="A428" s="303">
        <v>16029</v>
      </c>
      <c r="B428" s="142">
        <v>46083</v>
      </c>
      <c r="C428" s="142">
        <v>46083</v>
      </c>
      <c r="D428" s="21">
        <v>1</v>
      </c>
      <c r="E428" s="87" t="s">
        <v>54</v>
      </c>
      <c r="F428" s="33" t="s">
        <v>55</v>
      </c>
      <c r="G428" s="33">
        <v>0</v>
      </c>
      <c r="H428" s="33"/>
      <c r="I428" s="142" t="s">
        <v>55</v>
      </c>
      <c r="J428" s="142" t="s">
        <v>55</v>
      </c>
      <c r="K428" s="33">
        <v>0</v>
      </c>
      <c r="L428" s="33" t="s">
        <v>55</v>
      </c>
      <c r="M428" s="33" t="s">
        <v>55</v>
      </c>
      <c r="N428" s="33" t="s">
        <v>55</v>
      </c>
      <c r="O428" s="33" t="s">
        <v>55</v>
      </c>
      <c r="P428" s="33" t="s">
        <v>55</v>
      </c>
      <c r="Q428" s="33" t="s">
        <v>55</v>
      </c>
      <c r="R428" s="33" t="s">
        <v>55</v>
      </c>
      <c r="S428" s="33">
        <v>1</v>
      </c>
      <c r="T428" s="33">
        <v>1</v>
      </c>
      <c r="U428" s="33">
        <v>0</v>
      </c>
      <c r="V428" s="28">
        <v>46090</v>
      </c>
      <c r="W428" s="28">
        <v>46090</v>
      </c>
      <c r="X428" s="28">
        <v>46091</v>
      </c>
      <c r="Y428" s="28">
        <v>46101</v>
      </c>
      <c r="Z428" s="140">
        <v>46106</v>
      </c>
      <c r="AA428" s="33">
        <f t="shared" si="50"/>
        <v>3</v>
      </c>
      <c r="AB428" s="144" t="s">
        <v>1247</v>
      </c>
      <c r="AC428" s="35" t="s">
        <v>1248</v>
      </c>
      <c r="AD428" s="19" t="str">
        <f t="shared" si="42"/>
        <v>N/A</v>
      </c>
      <c r="AE428" s="67" t="str">
        <f>IFERROR(NETWORKDAYS(B428,I428,Hoja1!$A$1:$A$29),"N/A")</f>
        <v>N/A</v>
      </c>
      <c r="AF428" s="21">
        <f>IFERROR(NETWORKDAYS(B428,W428,Hoja1!$A$1:$A$29),"N/A")</f>
        <v>6</v>
      </c>
      <c r="AG428" s="78">
        <v>0</v>
      </c>
      <c r="AH428" s="21">
        <f t="shared" si="47"/>
        <v>6</v>
      </c>
      <c r="AI428" s="21">
        <f>IFERROR(NETWORKDAYS(X428,Y428,Hoja1!$A$1:$A$29),"N/A")</f>
        <v>9</v>
      </c>
      <c r="AJ428" s="78">
        <v>4</v>
      </c>
      <c r="AK428" s="75">
        <f t="shared" si="49"/>
        <v>5</v>
      </c>
      <c r="AL428" s="21">
        <f>IFERROR(NETWORKDAYS(B428,Y428,Hoja1!$A$1:$A$29),"N/A")</f>
        <v>15</v>
      </c>
      <c r="AM428" s="21">
        <f t="shared" si="43"/>
        <v>11</v>
      </c>
      <c r="AN428" s="87"/>
      <c r="AO428" s="87"/>
      <c r="AP428" s="87"/>
      <c r="AQ428" s="87"/>
      <c r="AR428" s="87"/>
      <c r="AS428" s="87" t="s">
        <v>1938</v>
      </c>
      <c r="AT428" s="87" t="s">
        <v>2027</v>
      </c>
      <c r="AU428" s="87" t="s">
        <v>2212</v>
      </c>
      <c r="AV428" s="320" t="s">
        <v>2437</v>
      </c>
      <c r="AW428" s="403" t="s">
        <v>3013</v>
      </c>
      <c r="AY428" s="415"/>
    </row>
    <row r="429" spans="1:51" ht="15" customHeight="1" x14ac:dyDescent="0.25">
      <c r="A429" s="303">
        <v>16032</v>
      </c>
      <c r="B429" s="142">
        <v>46083</v>
      </c>
      <c r="C429" s="142">
        <v>46083</v>
      </c>
      <c r="D429" s="21">
        <v>1</v>
      </c>
      <c r="E429" s="87" t="s">
        <v>54</v>
      </c>
      <c r="F429" s="33" t="s">
        <v>55</v>
      </c>
      <c r="G429" s="33">
        <v>0</v>
      </c>
      <c r="H429" s="33"/>
      <c r="I429" s="142" t="s">
        <v>55</v>
      </c>
      <c r="J429" s="142" t="s">
        <v>55</v>
      </c>
      <c r="K429" s="33">
        <v>0</v>
      </c>
      <c r="L429" s="33" t="s">
        <v>55</v>
      </c>
      <c r="M429" s="33" t="s">
        <v>55</v>
      </c>
      <c r="N429" s="33" t="s">
        <v>55</v>
      </c>
      <c r="O429" s="33" t="s">
        <v>55</v>
      </c>
      <c r="P429" s="33" t="s">
        <v>55</v>
      </c>
      <c r="Q429" s="33" t="s">
        <v>55</v>
      </c>
      <c r="R429" s="33" t="s">
        <v>55</v>
      </c>
      <c r="S429" s="33">
        <v>1</v>
      </c>
      <c r="T429" s="33">
        <v>1</v>
      </c>
      <c r="U429" s="33">
        <v>0</v>
      </c>
      <c r="V429" s="28">
        <v>46094</v>
      </c>
      <c r="W429" s="28">
        <v>46094</v>
      </c>
      <c r="X429" s="28">
        <v>46094</v>
      </c>
      <c r="Y429" s="28">
        <v>46101</v>
      </c>
      <c r="Z429" s="140">
        <v>46106</v>
      </c>
      <c r="AA429" s="33">
        <f t="shared" si="50"/>
        <v>3</v>
      </c>
      <c r="AB429" s="144" t="s">
        <v>1249</v>
      </c>
      <c r="AC429" s="35" t="s">
        <v>1250</v>
      </c>
      <c r="AD429" s="19" t="str">
        <f t="shared" si="42"/>
        <v>N/A</v>
      </c>
      <c r="AE429" s="67" t="str">
        <f>IFERROR(NETWORKDAYS(B429,I429,Hoja1!$A$1:$A$29),"N/A")</f>
        <v>N/A</v>
      </c>
      <c r="AF429" s="21">
        <f>IFERROR(NETWORKDAYS(B429,W429,Hoja1!$A$1:$A$29),"N/A")</f>
        <v>10</v>
      </c>
      <c r="AG429" s="78">
        <v>0</v>
      </c>
      <c r="AH429" s="21">
        <f t="shared" si="47"/>
        <v>10</v>
      </c>
      <c r="AI429" s="21">
        <f>IFERROR(NETWORKDAYS(X429,Y429,Hoja1!$A$1:$A$29),"N/A")</f>
        <v>6</v>
      </c>
      <c r="AJ429" s="78">
        <v>1</v>
      </c>
      <c r="AK429" s="75">
        <f t="shared" si="49"/>
        <v>5</v>
      </c>
      <c r="AL429" s="21">
        <f>IFERROR(NETWORKDAYS(B429,Y429,Hoja1!$A$1:$A$29),"N/A")</f>
        <v>15</v>
      </c>
      <c r="AM429" s="21">
        <f t="shared" si="43"/>
        <v>14</v>
      </c>
      <c r="AN429" s="87"/>
      <c r="AO429" s="87"/>
      <c r="AP429" s="87"/>
      <c r="AQ429" s="87"/>
      <c r="AR429" s="87"/>
      <c r="AS429" s="87" t="s">
        <v>1907</v>
      </c>
      <c r="AT429" s="87" t="s">
        <v>2109</v>
      </c>
      <c r="AU429" s="87" t="s">
        <v>2212</v>
      </c>
      <c r="AV429" s="320" t="s">
        <v>2477</v>
      </c>
      <c r="AW429" s="403" t="s">
        <v>3014</v>
      </c>
      <c r="AY429" s="414"/>
    </row>
    <row r="430" spans="1:51" ht="15" customHeight="1" x14ac:dyDescent="0.25">
      <c r="A430" s="293">
        <v>16039</v>
      </c>
      <c r="B430" s="142">
        <v>46084</v>
      </c>
      <c r="C430" s="142">
        <v>46084</v>
      </c>
      <c r="D430" s="21">
        <v>1</v>
      </c>
      <c r="E430" s="87" t="s">
        <v>54</v>
      </c>
      <c r="F430" s="18" t="s">
        <v>55</v>
      </c>
      <c r="G430" s="3">
        <v>4</v>
      </c>
      <c r="H430" s="3" t="s">
        <v>112</v>
      </c>
      <c r="I430" s="30">
        <v>46086</v>
      </c>
      <c r="J430" s="30">
        <v>46086</v>
      </c>
      <c r="K430" s="3">
        <v>4</v>
      </c>
      <c r="L430" s="18" t="s">
        <v>55</v>
      </c>
      <c r="M430" s="18" t="s">
        <v>55</v>
      </c>
      <c r="N430" s="18" t="s">
        <v>55</v>
      </c>
      <c r="O430" s="18" t="s">
        <v>55</v>
      </c>
      <c r="P430" s="18" t="s">
        <v>55</v>
      </c>
      <c r="Q430" s="18" t="s">
        <v>55</v>
      </c>
      <c r="R430" s="18" t="s">
        <v>55</v>
      </c>
      <c r="S430" s="3">
        <v>1</v>
      </c>
      <c r="T430" s="3">
        <v>1</v>
      </c>
      <c r="U430" s="3">
        <v>0</v>
      </c>
      <c r="V430" s="30">
        <v>46093</v>
      </c>
      <c r="W430" s="28">
        <v>46093</v>
      </c>
      <c r="X430" s="28">
        <v>46093</v>
      </c>
      <c r="Y430" s="28">
        <v>46100</v>
      </c>
      <c r="Z430" s="140">
        <v>46106</v>
      </c>
      <c r="AA430" s="33">
        <f t="shared" si="50"/>
        <v>3</v>
      </c>
      <c r="AB430" s="144" t="s">
        <v>1252</v>
      </c>
      <c r="AC430" s="35" t="s">
        <v>1357</v>
      </c>
      <c r="AD430" s="19">
        <f t="shared" si="42"/>
        <v>1</v>
      </c>
      <c r="AE430" s="67">
        <f>IFERROR(NETWORKDAYS(B430,I430,Hoja1!$A$1:$A$29),"N/A")</f>
        <v>3</v>
      </c>
      <c r="AF430" s="21">
        <f>IFERROR(NETWORKDAYS(B430,W430,Hoja1!$A$1:$A$29),"N/A")</f>
        <v>8</v>
      </c>
      <c r="AG430" s="78">
        <v>0</v>
      </c>
      <c r="AH430" s="21">
        <f t="shared" si="47"/>
        <v>8</v>
      </c>
      <c r="AI430" s="21">
        <f>IFERROR(NETWORKDAYS(X430,Y430,Hoja1!$A$1:$A$29),"N/A")</f>
        <v>6</v>
      </c>
      <c r="AJ430" s="78">
        <v>0</v>
      </c>
      <c r="AK430" s="75">
        <f t="shared" si="49"/>
        <v>6</v>
      </c>
      <c r="AL430" s="21">
        <f>IFERROR(NETWORKDAYS(B430,Y430,Hoja1!$A$1:$A$29),"N/A")</f>
        <v>13</v>
      </c>
      <c r="AM430" s="21">
        <f t="shared" si="43"/>
        <v>13</v>
      </c>
      <c r="AN430" s="87" t="s">
        <v>445</v>
      </c>
      <c r="AO430" s="87" t="s">
        <v>871</v>
      </c>
      <c r="AP430" s="87" t="s">
        <v>445</v>
      </c>
      <c r="AQ430" s="87" t="s">
        <v>445</v>
      </c>
      <c r="AR430" s="87" t="s">
        <v>445</v>
      </c>
      <c r="AS430" s="87" t="s">
        <v>1893</v>
      </c>
      <c r="AT430" s="87" t="s">
        <v>2146</v>
      </c>
      <c r="AU430" s="87" t="s">
        <v>2215</v>
      </c>
      <c r="AV430" s="320" t="s">
        <v>2478</v>
      </c>
      <c r="AW430" s="403" t="s">
        <v>3015</v>
      </c>
      <c r="AY430" s="415"/>
    </row>
    <row r="431" spans="1:51" ht="15" customHeight="1" x14ac:dyDescent="0.25">
      <c r="A431" s="301">
        <v>16045</v>
      </c>
      <c r="B431" s="142">
        <v>46084</v>
      </c>
      <c r="C431" s="142">
        <v>46084</v>
      </c>
      <c r="D431" s="21">
        <v>1</v>
      </c>
      <c r="E431" s="87" t="s">
        <v>54</v>
      </c>
      <c r="F431" s="3" t="s">
        <v>55</v>
      </c>
      <c r="G431" s="3">
        <v>3</v>
      </c>
      <c r="H431" s="3" t="s">
        <v>112</v>
      </c>
      <c r="I431" s="147">
        <v>46090</v>
      </c>
      <c r="J431" s="147">
        <v>46090</v>
      </c>
      <c r="K431" s="3">
        <v>3</v>
      </c>
      <c r="L431" s="3" t="s">
        <v>55</v>
      </c>
      <c r="M431" s="3" t="s">
        <v>55</v>
      </c>
      <c r="N431" s="3" t="s">
        <v>55</v>
      </c>
      <c r="O431" s="3" t="s">
        <v>55</v>
      </c>
      <c r="P431" s="3" t="s">
        <v>55</v>
      </c>
      <c r="Q431" s="3" t="s">
        <v>55</v>
      </c>
      <c r="R431" s="3" t="s">
        <v>55</v>
      </c>
      <c r="S431" s="33">
        <v>2</v>
      </c>
      <c r="T431" s="33">
        <v>1</v>
      </c>
      <c r="U431" s="3">
        <v>0</v>
      </c>
      <c r="V431" s="28">
        <v>46094</v>
      </c>
      <c r="W431" s="28">
        <v>46094</v>
      </c>
      <c r="X431" s="28">
        <v>46094</v>
      </c>
      <c r="Y431" s="28">
        <v>46100</v>
      </c>
      <c r="Z431" s="140">
        <v>46106</v>
      </c>
      <c r="AA431" s="33">
        <f t="shared" si="50"/>
        <v>3</v>
      </c>
      <c r="AB431" s="170" t="s">
        <v>1254</v>
      </c>
      <c r="AC431" s="60" t="s">
        <v>1358</v>
      </c>
      <c r="AD431" s="19">
        <f t="shared" si="42"/>
        <v>1</v>
      </c>
      <c r="AE431" s="67">
        <f>IFERROR(NETWORKDAYS(B431,I431,Hoja1!$A$1:$A$29),"N/A")</f>
        <v>5</v>
      </c>
      <c r="AF431" s="21">
        <f>IFERROR(NETWORKDAYS(B431,W431,Hoja1!$A$1:$A$29),"N/A")</f>
        <v>9</v>
      </c>
      <c r="AG431" s="78">
        <v>0</v>
      </c>
      <c r="AH431" s="21">
        <f t="shared" si="47"/>
        <v>9</v>
      </c>
      <c r="AI431" s="21">
        <f>IFERROR(NETWORKDAYS(X431,Y431,Hoja1!$A$1:$A$29),"N/A")</f>
        <v>5</v>
      </c>
      <c r="AJ431" s="78">
        <v>0</v>
      </c>
      <c r="AK431" s="75">
        <f t="shared" si="49"/>
        <v>5</v>
      </c>
      <c r="AL431" s="21">
        <f>IFERROR(NETWORKDAYS(B431,Y431,Hoja1!$A$1:$A$29),"N/A")</f>
        <v>13</v>
      </c>
      <c r="AM431" s="21">
        <f t="shared" si="43"/>
        <v>13</v>
      </c>
      <c r="AN431" s="84"/>
      <c r="AO431" s="84"/>
      <c r="AP431" s="84"/>
      <c r="AQ431" s="84"/>
      <c r="AR431" s="84"/>
      <c r="AS431" s="84" t="s">
        <v>1903</v>
      </c>
      <c r="AT431" s="84" t="s">
        <v>2147</v>
      </c>
      <c r="AU431" s="84" t="s">
        <v>2220</v>
      </c>
      <c r="AV431" s="324" t="s">
        <v>2479</v>
      </c>
      <c r="AW431" s="403" t="s">
        <v>3016</v>
      </c>
      <c r="AY431" s="414"/>
    </row>
    <row r="432" spans="1:51" ht="15" customHeight="1" x14ac:dyDescent="0.25">
      <c r="A432" s="296">
        <v>16046</v>
      </c>
      <c r="B432" s="142">
        <v>46069</v>
      </c>
      <c r="C432" s="142">
        <v>46084</v>
      </c>
      <c r="D432" s="21">
        <v>1</v>
      </c>
      <c r="E432" s="87" t="s">
        <v>54</v>
      </c>
      <c r="F432" s="3" t="s">
        <v>55</v>
      </c>
      <c r="G432" s="3">
        <v>3</v>
      </c>
      <c r="H432" s="3" t="s">
        <v>112</v>
      </c>
      <c r="I432" s="142">
        <v>46071</v>
      </c>
      <c r="J432" s="142">
        <v>46071</v>
      </c>
      <c r="K432" s="3">
        <v>3</v>
      </c>
      <c r="L432" s="3" t="s">
        <v>55</v>
      </c>
      <c r="M432" s="3" t="s">
        <v>55</v>
      </c>
      <c r="N432" s="3" t="s">
        <v>55</v>
      </c>
      <c r="O432" s="3" t="s">
        <v>55</v>
      </c>
      <c r="P432" s="3" t="s">
        <v>55</v>
      </c>
      <c r="Q432" s="3" t="s">
        <v>55</v>
      </c>
      <c r="R432" s="3" t="s">
        <v>55</v>
      </c>
      <c r="S432" s="3">
        <v>1</v>
      </c>
      <c r="T432" s="3">
        <v>1</v>
      </c>
      <c r="U432" s="3">
        <v>0</v>
      </c>
      <c r="V432" s="28">
        <v>46086</v>
      </c>
      <c r="W432" s="28">
        <v>46086</v>
      </c>
      <c r="X432" s="28">
        <v>46086</v>
      </c>
      <c r="Y432" s="28">
        <v>46090</v>
      </c>
      <c r="Z432" s="148">
        <v>46093</v>
      </c>
      <c r="AA432" s="33">
        <f t="shared" si="50"/>
        <v>3</v>
      </c>
      <c r="AB432" s="170" t="s">
        <v>1257</v>
      </c>
      <c r="AC432" s="60" t="s">
        <v>1258</v>
      </c>
      <c r="AD432" s="19">
        <f t="shared" si="42"/>
        <v>1</v>
      </c>
      <c r="AE432" s="67">
        <f>IFERROR(NETWORKDAYS(B432,I432,Hoja1!$A$1:$A$29),"N/A")</f>
        <v>3</v>
      </c>
      <c r="AF432" s="21">
        <f>IFERROR(NETWORKDAYS(B432,W432,Hoja1!$A$1:$A$29),"N/A")</f>
        <v>14</v>
      </c>
      <c r="AG432" s="78">
        <v>0</v>
      </c>
      <c r="AH432" s="21">
        <f t="shared" si="47"/>
        <v>14</v>
      </c>
      <c r="AI432" s="21">
        <f>IFERROR(NETWORKDAYS(X432,Y432,Hoja1!$A$1:$A$29),"N/A")</f>
        <v>3</v>
      </c>
      <c r="AJ432" s="78">
        <v>0</v>
      </c>
      <c r="AK432" s="75">
        <f t="shared" si="49"/>
        <v>3</v>
      </c>
      <c r="AL432" s="21">
        <f>IFERROR(NETWORKDAYS(B432,Y432,Hoja1!$A$1:$A$29),"N/A")</f>
        <v>16</v>
      </c>
      <c r="AM432" s="21">
        <f t="shared" si="43"/>
        <v>16</v>
      </c>
      <c r="AN432" s="84"/>
      <c r="AO432" s="87"/>
      <c r="AP432" s="87"/>
      <c r="AQ432" s="87"/>
      <c r="AR432" s="87"/>
      <c r="AS432" s="87" t="s">
        <v>1903</v>
      </c>
      <c r="AT432" s="87" t="s">
        <v>2148</v>
      </c>
      <c r="AU432" s="87" t="s">
        <v>2220</v>
      </c>
      <c r="AV432" s="320" t="s">
        <v>2480</v>
      </c>
      <c r="AW432" s="403" t="s">
        <v>3017</v>
      </c>
      <c r="AY432" s="415"/>
    </row>
    <row r="433" spans="1:51" ht="15" customHeight="1" x14ac:dyDescent="0.25">
      <c r="A433" s="298">
        <v>16047</v>
      </c>
      <c r="B433" s="142">
        <v>46084</v>
      </c>
      <c r="C433" s="142">
        <v>46084</v>
      </c>
      <c r="D433" s="21">
        <v>1</v>
      </c>
      <c r="E433" s="87" t="s">
        <v>54</v>
      </c>
      <c r="F433" s="3" t="s">
        <v>55</v>
      </c>
      <c r="G433" s="3">
        <v>3</v>
      </c>
      <c r="H433" s="33" t="s">
        <v>112</v>
      </c>
      <c r="I433" s="142">
        <v>46085</v>
      </c>
      <c r="J433" s="142">
        <v>46085</v>
      </c>
      <c r="K433" s="3">
        <v>3</v>
      </c>
      <c r="L433" s="3" t="s">
        <v>55</v>
      </c>
      <c r="M433" s="3" t="s">
        <v>55</v>
      </c>
      <c r="N433" s="3" t="s">
        <v>55</v>
      </c>
      <c r="O433" s="3" t="s">
        <v>55</v>
      </c>
      <c r="P433" s="3" t="s">
        <v>55</v>
      </c>
      <c r="Q433" s="3" t="s">
        <v>55</v>
      </c>
      <c r="R433" s="3" t="s">
        <v>55</v>
      </c>
      <c r="S433" s="1">
        <v>2</v>
      </c>
      <c r="T433" s="1">
        <v>1</v>
      </c>
      <c r="U433" s="3">
        <v>0</v>
      </c>
      <c r="V433" s="53">
        <v>46093</v>
      </c>
      <c r="W433" s="28">
        <v>46093</v>
      </c>
      <c r="X433" s="28">
        <v>46093</v>
      </c>
      <c r="Y433" s="28">
        <v>46098</v>
      </c>
      <c r="Z433" s="16">
        <v>46099</v>
      </c>
      <c r="AA433" s="33">
        <f t="shared" si="50"/>
        <v>3</v>
      </c>
      <c r="AB433" s="170" t="s">
        <v>1260</v>
      </c>
      <c r="AC433" s="60" t="s">
        <v>1261</v>
      </c>
      <c r="AD433" s="19">
        <f t="shared" si="42"/>
        <v>1</v>
      </c>
      <c r="AE433" s="67">
        <f>IFERROR(NETWORKDAYS(B433,I433,Hoja1!$A$1:$A$29),"N/A")</f>
        <v>2</v>
      </c>
      <c r="AF433" s="21">
        <f>IFERROR(NETWORKDAYS(B433,W433,Hoja1!$A$1:$A$29),"N/A")</f>
        <v>8</v>
      </c>
      <c r="AG433" s="78">
        <v>0</v>
      </c>
      <c r="AH433" s="21">
        <f t="shared" si="47"/>
        <v>8</v>
      </c>
      <c r="AI433" s="21">
        <f>IFERROR(NETWORKDAYS(X433,Y433,Hoja1!$A$1:$A$29),"N/A")</f>
        <v>4</v>
      </c>
      <c r="AJ433" s="78">
        <v>0</v>
      </c>
      <c r="AK433" s="75">
        <f t="shared" si="49"/>
        <v>4</v>
      </c>
      <c r="AL433" s="21">
        <f>IFERROR(NETWORKDAYS(B433,Y433,Hoja1!$A$1:$A$29),"N/A")</f>
        <v>11</v>
      </c>
      <c r="AM433" s="21">
        <f t="shared" si="43"/>
        <v>11</v>
      </c>
      <c r="AN433" s="114"/>
      <c r="AO433" s="114"/>
      <c r="AP433" s="114"/>
      <c r="AQ433" s="114"/>
      <c r="AR433" s="114"/>
      <c r="AS433" s="114" t="s">
        <v>1903</v>
      </c>
      <c r="AT433" s="114" t="s">
        <v>2148</v>
      </c>
      <c r="AU433" s="114" t="s">
        <v>2220</v>
      </c>
      <c r="AV433" s="322" t="s">
        <v>2481</v>
      </c>
      <c r="AW433" s="403" t="s">
        <v>3018</v>
      </c>
      <c r="AY433" s="414"/>
    </row>
    <row r="434" spans="1:51" ht="15" customHeight="1" x14ac:dyDescent="0.25">
      <c r="A434" s="294">
        <v>16050</v>
      </c>
      <c r="B434" s="142">
        <v>46084</v>
      </c>
      <c r="C434" s="142">
        <v>46084</v>
      </c>
      <c r="D434" s="21">
        <v>1</v>
      </c>
      <c r="E434" s="87" t="s">
        <v>54</v>
      </c>
      <c r="F434" s="3" t="s">
        <v>55</v>
      </c>
      <c r="G434" s="3">
        <v>0</v>
      </c>
      <c r="H434" s="33"/>
      <c r="I434" s="153" t="s">
        <v>55</v>
      </c>
      <c r="J434" s="153" t="s">
        <v>55</v>
      </c>
      <c r="K434" s="3">
        <v>0</v>
      </c>
      <c r="L434" s="3" t="s">
        <v>55</v>
      </c>
      <c r="M434" s="3" t="s">
        <v>55</v>
      </c>
      <c r="N434" s="3" t="s">
        <v>55</v>
      </c>
      <c r="O434" s="3" t="s">
        <v>55</v>
      </c>
      <c r="P434" s="3" t="s">
        <v>55</v>
      </c>
      <c r="Q434" s="3" t="s">
        <v>55</v>
      </c>
      <c r="R434" s="3" t="s">
        <v>55</v>
      </c>
      <c r="S434" s="2">
        <v>1</v>
      </c>
      <c r="T434" s="2">
        <v>1</v>
      </c>
      <c r="U434" s="3">
        <v>0</v>
      </c>
      <c r="V434" s="16">
        <v>46086</v>
      </c>
      <c r="W434" s="28">
        <v>46086</v>
      </c>
      <c r="X434" s="28">
        <v>46086</v>
      </c>
      <c r="Y434" s="28">
        <v>46092</v>
      </c>
      <c r="Z434" s="16">
        <v>46093</v>
      </c>
      <c r="AA434" s="33">
        <f t="shared" si="50"/>
        <v>3</v>
      </c>
      <c r="AB434" s="170" t="s">
        <v>1264</v>
      </c>
      <c r="AC434" s="60" t="s">
        <v>1265</v>
      </c>
      <c r="AD434" s="19" t="str">
        <f t="shared" si="42"/>
        <v>N/A</v>
      </c>
      <c r="AE434" s="67" t="str">
        <f>IFERROR(NETWORKDAYS(B434,I434,Hoja1!$A$1:$A$29),"N/A")</f>
        <v>N/A</v>
      </c>
      <c r="AF434" s="21">
        <f>IFERROR(NETWORKDAYS(B434,W434,Hoja1!$A$1:$A$29),"N/A")</f>
        <v>3</v>
      </c>
      <c r="AG434" s="78">
        <v>0</v>
      </c>
      <c r="AH434" s="21">
        <f t="shared" si="47"/>
        <v>3</v>
      </c>
      <c r="AI434" s="21">
        <f>IFERROR(NETWORKDAYS(X434,Y434,Hoja1!$A$1:$A$29),"N/A")</f>
        <v>5</v>
      </c>
      <c r="AJ434" s="78">
        <v>0</v>
      </c>
      <c r="AK434" s="75">
        <f t="shared" si="49"/>
        <v>5</v>
      </c>
      <c r="AL434" s="21">
        <f>IFERROR(NETWORKDAYS(B434,Y434,Hoja1!$A$1:$A$29),"N/A")</f>
        <v>7</v>
      </c>
      <c r="AM434" s="21">
        <f t="shared" si="43"/>
        <v>7</v>
      </c>
      <c r="AN434" s="111"/>
      <c r="AO434" s="111"/>
      <c r="AP434" s="111"/>
      <c r="AQ434" s="111"/>
      <c r="AR434" s="111"/>
      <c r="AS434" s="111" t="s">
        <v>1970</v>
      </c>
      <c r="AT434" s="111" t="s">
        <v>2149</v>
      </c>
      <c r="AU434" s="111" t="s">
        <v>2218</v>
      </c>
      <c r="AV434" s="321" t="s">
        <v>2295</v>
      </c>
      <c r="AW434" s="403" t="s">
        <v>3019</v>
      </c>
      <c r="AY434" s="415"/>
    </row>
    <row r="435" spans="1:51" ht="15" customHeight="1" x14ac:dyDescent="0.25">
      <c r="A435" s="295">
        <v>16068</v>
      </c>
      <c r="B435" s="142">
        <v>46086</v>
      </c>
      <c r="C435" s="142">
        <v>46091</v>
      </c>
      <c r="D435" s="21">
        <v>1</v>
      </c>
      <c r="E435" s="87" t="s">
        <v>54</v>
      </c>
      <c r="F435" s="2" t="s">
        <v>55</v>
      </c>
      <c r="G435" s="151">
        <v>1</v>
      </c>
      <c r="H435" s="3" t="s">
        <v>112</v>
      </c>
      <c r="I435" s="104">
        <v>46091</v>
      </c>
      <c r="J435" s="104">
        <v>46091</v>
      </c>
      <c r="K435" s="151">
        <v>1</v>
      </c>
      <c r="L435" s="2" t="s">
        <v>55</v>
      </c>
      <c r="M435" s="2" t="s">
        <v>55</v>
      </c>
      <c r="N435" s="2" t="s">
        <v>55</v>
      </c>
      <c r="O435" s="2" t="s">
        <v>55</v>
      </c>
      <c r="P435" s="2" t="s">
        <v>55</v>
      </c>
      <c r="Q435" s="2" t="s">
        <v>55</v>
      </c>
      <c r="R435" s="2" t="s">
        <v>55</v>
      </c>
      <c r="S435" s="151">
        <v>1</v>
      </c>
      <c r="T435" s="151">
        <v>1</v>
      </c>
      <c r="U435" s="2">
        <v>0</v>
      </c>
      <c r="V435" s="104">
        <v>46093</v>
      </c>
      <c r="W435" s="104">
        <v>46094</v>
      </c>
      <c r="X435" s="28">
        <v>46094</v>
      </c>
      <c r="Y435" s="28">
        <v>46100</v>
      </c>
      <c r="Z435" s="140">
        <v>46106</v>
      </c>
      <c r="AA435" s="33">
        <f t="shared" si="50"/>
        <v>3</v>
      </c>
      <c r="AB435" s="170" t="s">
        <v>1266</v>
      </c>
      <c r="AC435" s="60" t="s">
        <v>1267</v>
      </c>
      <c r="AD435" s="19">
        <f t="shared" si="42"/>
        <v>1</v>
      </c>
      <c r="AE435" s="67">
        <f>IFERROR(NETWORKDAYS(B435,I435,Hoja1!$A$1:$A$29),"N/A")</f>
        <v>4</v>
      </c>
      <c r="AF435" s="21">
        <f>IFERROR(NETWORKDAYS(B435,W435,Hoja1!$A$1:$A$29),"N/A")</f>
        <v>7</v>
      </c>
      <c r="AG435" s="78">
        <v>0</v>
      </c>
      <c r="AH435" s="21">
        <f t="shared" si="47"/>
        <v>7</v>
      </c>
      <c r="AI435" s="21">
        <f>IFERROR(NETWORKDAYS(X435,Y435,Hoja1!$A$1:$A$29),"N/A")</f>
        <v>5</v>
      </c>
      <c r="AJ435" s="78">
        <v>0</v>
      </c>
      <c r="AK435" s="75">
        <f t="shared" si="49"/>
        <v>5</v>
      </c>
      <c r="AL435" s="21">
        <f>IFERROR(NETWORKDAYS(B435,Y435,Hoja1!$A$1:$A$29),"N/A")</f>
        <v>11</v>
      </c>
      <c r="AM435" s="21">
        <f t="shared" si="43"/>
        <v>11</v>
      </c>
      <c r="AN435" s="87"/>
      <c r="AO435" s="152"/>
      <c r="AP435" s="152"/>
      <c r="AQ435" s="152"/>
      <c r="AR435" s="152"/>
      <c r="AS435" s="152" t="s">
        <v>1901</v>
      </c>
      <c r="AT435" s="152" t="s">
        <v>2020</v>
      </c>
      <c r="AU435" s="152" t="s">
        <v>2217</v>
      </c>
      <c r="AV435" s="323" t="s">
        <v>2482</v>
      </c>
      <c r="AW435" s="403" t="s">
        <v>3020</v>
      </c>
      <c r="AY435" s="414"/>
    </row>
    <row r="436" spans="1:51" ht="15" customHeight="1" x14ac:dyDescent="0.25">
      <c r="A436" s="303">
        <v>16075</v>
      </c>
      <c r="B436" s="142">
        <v>46086</v>
      </c>
      <c r="C436" s="142">
        <v>46086</v>
      </c>
      <c r="D436" s="21">
        <v>1</v>
      </c>
      <c r="E436" s="87" t="s">
        <v>54</v>
      </c>
      <c r="F436" s="33" t="s">
        <v>55</v>
      </c>
      <c r="G436" s="33">
        <v>0</v>
      </c>
      <c r="H436" s="3"/>
      <c r="I436" s="33" t="s">
        <v>55</v>
      </c>
      <c r="J436" s="33" t="s">
        <v>55</v>
      </c>
      <c r="K436" s="33">
        <v>0</v>
      </c>
      <c r="L436" s="33" t="s">
        <v>55</v>
      </c>
      <c r="M436" s="33" t="s">
        <v>55</v>
      </c>
      <c r="N436" s="33" t="s">
        <v>55</v>
      </c>
      <c r="O436" s="33" t="s">
        <v>55</v>
      </c>
      <c r="P436" s="33" t="s">
        <v>55</v>
      </c>
      <c r="Q436" s="33" t="s">
        <v>55</v>
      </c>
      <c r="R436" s="33" t="s">
        <v>55</v>
      </c>
      <c r="S436" s="33">
        <v>1</v>
      </c>
      <c r="T436" s="33">
        <v>1</v>
      </c>
      <c r="U436" s="33">
        <v>0</v>
      </c>
      <c r="V436" s="28">
        <v>46091</v>
      </c>
      <c r="W436" s="28">
        <v>46091</v>
      </c>
      <c r="X436" s="28">
        <v>46091</v>
      </c>
      <c r="Y436" s="28">
        <v>46100</v>
      </c>
      <c r="Z436" s="140">
        <v>46106</v>
      </c>
      <c r="AA436" s="33">
        <f t="shared" si="50"/>
        <v>3</v>
      </c>
      <c r="AB436" s="170" t="s">
        <v>1269</v>
      </c>
      <c r="AC436" s="60" t="s">
        <v>1270</v>
      </c>
      <c r="AD436" s="19" t="str">
        <f t="shared" si="42"/>
        <v>N/A</v>
      </c>
      <c r="AE436" s="67" t="str">
        <f>IFERROR(NETWORKDAYS(B436,I436,Hoja1!$A$1:$A$29),"N/A")</f>
        <v>N/A</v>
      </c>
      <c r="AF436" s="21">
        <f>IFERROR(NETWORKDAYS(B436,W436,Hoja1!$A$1:$A$29),"N/A")</f>
        <v>4</v>
      </c>
      <c r="AG436" s="78">
        <v>0</v>
      </c>
      <c r="AH436" s="21">
        <f t="shared" si="47"/>
        <v>4</v>
      </c>
      <c r="AI436" s="21">
        <f>IFERROR(NETWORKDAYS(X436,Y436,Hoja1!$A$1:$A$29),"N/A")</f>
        <v>8</v>
      </c>
      <c r="AJ436" s="78">
        <v>3</v>
      </c>
      <c r="AK436" s="75">
        <f t="shared" si="49"/>
        <v>5</v>
      </c>
      <c r="AL436" s="21">
        <f>IFERROR(NETWORKDAYS(B436,Y436,Hoja1!$A$1:$A$29),"N/A")</f>
        <v>11</v>
      </c>
      <c r="AM436" s="21">
        <f t="shared" si="43"/>
        <v>8</v>
      </c>
      <c r="AN436" s="87"/>
      <c r="AO436" s="87"/>
      <c r="AP436" s="87"/>
      <c r="AQ436" s="87"/>
      <c r="AR436" s="87"/>
      <c r="AS436" s="87" t="s">
        <v>1938</v>
      </c>
      <c r="AT436" s="87" t="s">
        <v>2056</v>
      </c>
      <c r="AU436" s="87" t="s">
        <v>2212</v>
      </c>
      <c r="AV436" s="320" t="s">
        <v>2483</v>
      </c>
      <c r="AW436" s="403" t="s">
        <v>3021</v>
      </c>
      <c r="AY436" s="415"/>
    </row>
    <row r="437" spans="1:51" ht="15" customHeight="1" x14ac:dyDescent="0.25">
      <c r="A437" s="307">
        <v>16080</v>
      </c>
      <c r="B437" s="174">
        <v>46073</v>
      </c>
      <c r="C437" s="174">
        <v>46087</v>
      </c>
      <c r="D437" s="66">
        <v>1</v>
      </c>
      <c r="E437" s="200" t="s">
        <v>247</v>
      </c>
      <c r="F437" s="96" t="s">
        <v>55</v>
      </c>
      <c r="G437" s="96">
        <v>1</v>
      </c>
      <c r="H437" s="96" t="s">
        <v>112</v>
      </c>
      <c r="I437" s="138">
        <v>46076</v>
      </c>
      <c r="J437" s="138">
        <v>46076</v>
      </c>
      <c r="K437" s="96">
        <v>1</v>
      </c>
      <c r="L437" s="96" t="s">
        <v>55</v>
      </c>
      <c r="M437" s="96" t="s">
        <v>55</v>
      </c>
      <c r="N437" s="96" t="s">
        <v>55</v>
      </c>
      <c r="O437" s="96" t="s">
        <v>55</v>
      </c>
      <c r="P437" s="96" t="s">
        <v>55</v>
      </c>
      <c r="Q437" s="96" t="s">
        <v>55</v>
      </c>
      <c r="R437" s="175" t="s">
        <v>55</v>
      </c>
      <c r="S437" s="96">
        <v>1</v>
      </c>
      <c r="T437" s="96">
        <v>1</v>
      </c>
      <c r="U437" s="96">
        <v>0</v>
      </c>
      <c r="V437" s="138">
        <v>46084</v>
      </c>
      <c r="W437" s="178">
        <v>46086</v>
      </c>
      <c r="X437" s="178" t="s">
        <v>55</v>
      </c>
      <c r="Y437" s="178">
        <v>46086</v>
      </c>
      <c r="Z437" s="96" t="s">
        <v>55</v>
      </c>
      <c r="AA437" s="99">
        <v>3</v>
      </c>
      <c r="AB437" s="279" t="s">
        <v>1272</v>
      </c>
      <c r="AC437" s="97" t="s">
        <v>1273</v>
      </c>
      <c r="AD437" s="19">
        <f t="shared" si="42"/>
        <v>1</v>
      </c>
      <c r="AE437" s="67">
        <f>IFERROR(NETWORKDAYS(B437,I437,Hoja1!$A$1:$A$29),"N/A")</f>
        <v>2</v>
      </c>
      <c r="AF437" s="21">
        <f>IFERROR(NETWORKDAYS(B437,W437,Hoja1!$A$1:$A$29),"N/A")</f>
        <v>10</v>
      </c>
      <c r="AG437" s="273">
        <v>0</v>
      </c>
      <c r="AH437" s="66">
        <f t="shared" si="47"/>
        <v>10</v>
      </c>
      <c r="AI437" s="21" t="str">
        <f>IFERROR(NETWORKDAYS(X437,Y437,Hoja1!$A$1:$A$29),"N/A")</f>
        <v>N/A</v>
      </c>
      <c r="AJ437" s="65">
        <v>0</v>
      </c>
      <c r="AK437" s="105" t="s">
        <v>82</v>
      </c>
      <c r="AL437" s="21">
        <f>IFERROR(NETWORKDAYS(B437,Y437,Hoja1!$A$1:$A$29),"N/A")</f>
        <v>10</v>
      </c>
      <c r="AM437" s="66">
        <f t="shared" si="43"/>
        <v>10</v>
      </c>
      <c r="AN437" s="106"/>
      <c r="AO437" s="106"/>
      <c r="AP437" s="106"/>
      <c r="AQ437" s="106"/>
      <c r="AR437" s="106"/>
      <c r="AS437" s="106" t="s">
        <v>1913</v>
      </c>
      <c r="AT437" s="106" t="s">
        <v>2124</v>
      </c>
      <c r="AU437" s="106" t="s">
        <v>2209</v>
      </c>
      <c r="AV437" s="329" t="s">
        <v>2250</v>
      </c>
      <c r="AW437" s="403" t="s">
        <v>3022</v>
      </c>
      <c r="AY437" s="414"/>
    </row>
    <row r="438" spans="1:51" ht="15" customHeight="1" x14ac:dyDescent="0.25">
      <c r="A438" s="293">
        <v>16084</v>
      </c>
      <c r="B438" s="142">
        <v>46087</v>
      </c>
      <c r="C438" s="142">
        <v>46087</v>
      </c>
      <c r="D438" s="21">
        <v>1</v>
      </c>
      <c r="E438" s="87" t="s">
        <v>54</v>
      </c>
      <c r="F438" s="18" t="s">
        <v>55</v>
      </c>
      <c r="G438" s="3">
        <v>4</v>
      </c>
      <c r="H438" s="3" t="s">
        <v>112</v>
      </c>
      <c r="I438" s="30">
        <v>46090</v>
      </c>
      <c r="J438" s="30">
        <v>46090</v>
      </c>
      <c r="K438" s="3">
        <v>4</v>
      </c>
      <c r="L438" s="18" t="s">
        <v>55</v>
      </c>
      <c r="M438" s="18" t="s">
        <v>55</v>
      </c>
      <c r="N438" s="18" t="s">
        <v>55</v>
      </c>
      <c r="O438" s="18" t="s">
        <v>55</v>
      </c>
      <c r="P438" s="18" t="s">
        <v>55</v>
      </c>
      <c r="Q438" s="18" t="s">
        <v>55</v>
      </c>
      <c r="R438" s="18" t="s">
        <v>55</v>
      </c>
      <c r="S438" s="3">
        <v>1</v>
      </c>
      <c r="T438" s="3">
        <v>1</v>
      </c>
      <c r="U438" s="3">
        <v>0</v>
      </c>
      <c r="V438" s="30">
        <v>46093</v>
      </c>
      <c r="W438" s="28">
        <v>46093</v>
      </c>
      <c r="X438" s="28">
        <v>46093</v>
      </c>
      <c r="Y438" s="28">
        <v>46100</v>
      </c>
      <c r="Z438" s="140">
        <v>46106</v>
      </c>
      <c r="AA438" s="33">
        <f t="shared" ref="AA438:AA444" si="51">MONTH(Z438)</f>
        <v>3</v>
      </c>
      <c r="AB438" s="60" t="s">
        <v>1274</v>
      </c>
      <c r="AC438" s="60" t="s">
        <v>1359</v>
      </c>
      <c r="AD438" s="19">
        <f t="shared" si="42"/>
        <v>1</v>
      </c>
      <c r="AE438" s="67">
        <f>IFERROR(NETWORKDAYS(B438,I438,Hoja1!$A$1:$A$29),"N/A")</f>
        <v>2</v>
      </c>
      <c r="AF438" s="21">
        <f>IFERROR(NETWORKDAYS(B438,W438,Hoja1!$A$1:$A$29),"N/A")</f>
        <v>5</v>
      </c>
      <c r="AG438" s="78">
        <v>0</v>
      </c>
      <c r="AH438" s="21">
        <f t="shared" si="47"/>
        <v>5</v>
      </c>
      <c r="AI438" s="21">
        <f>IFERROR(NETWORKDAYS(X438,Y438,Hoja1!$A$1:$A$29),"N/A")</f>
        <v>6</v>
      </c>
      <c r="AJ438" s="78">
        <v>0</v>
      </c>
      <c r="AK438" s="75">
        <f>AI438-AJ438</f>
        <v>6</v>
      </c>
      <c r="AL438" s="21">
        <f>IFERROR(NETWORKDAYS(B438,Y438,Hoja1!$A$1:$A$29),"N/A")</f>
        <v>10</v>
      </c>
      <c r="AM438" s="21">
        <f t="shared" si="43"/>
        <v>10</v>
      </c>
      <c r="AN438" s="87"/>
      <c r="AO438" s="87"/>
      <c r="AP438" s="87"/>
      <c r="AQ438" s="87"/>
      <c r="AR438" s="87"/>
      <c r="AS438" s="87" t="s">
        <v>1893</v>
      </c>
      <c r="AT438" s="87" t="s">
        <v>2146</v>
      </c>
      <c r="AU438" s="87" t="s">
        <v>2215</v>
      </c>
      <c r="AV438" s="320" t="s">
        <v>2484</v>
      </c>
      <c r="AW438" s="403" t="s">
        <v>3023</v>
      </c>
      <c r="AY438" s="415"/>
    </row>
    <row r="439" spans="1:51" ht="15" customHeight="1" x14ac:dyDescent="0.25">
      <c r="A439" s="294">
        <v>16091</v>
      </c>
      <c r="B439" s="142">
        <v>46090</v>
      </c>
      <c r="C439" s="142">
        <v>46090</v>
      </c>
      <c r="D439" s="21">
        <v>1</v>
      </c>
      <c r="E439" s="159" t="s">
        <v>247</v>
      </c>
      <c r="F439" s="3" t="s">
        <v>55</v>
      </c>
      <c r="G439" s="3">
        <v>0</v>
      </c>
      <c r="H439" s="33"/>
      <c r="I439" s="155" t="s">
        <v>55</v>
      </c>
      <c r="J439" s="155" t="s">
        <v>55</v>
      </c>
      <c r="K439" s="3">
        <v>0</v>
      </c>
      <c r="L439" s="3" t="s">
        <v>55</v>
      </c>
      <c r="M439" s="3" t="s">
        <v>55</v>
      </c>
      <c r="N439" s="3" t="s">
        <v>55</v>
      </c>
      <c r="O439" s="3" t="s">
        <v>55</v>
      </c>
      <c r="P439" s="3" t="s">
        <v>55</v>
      </c>
      <c r="Q439" s="3" t="s">
        <v>55</v>
      </c>
      <c r="R439" s="3" t="s">
        <v>55</v>
      </c>
      <c r="S439" s="2">
        <v>1</v>
      </c>
      <c r="T439" s="2">
        <v>1</v>
      </c>
      <c r="U439" s="3">
        <v>0</v>
      </c>
      <c r="V439" s="53">
        <v>46107</v>
      </c>
      <c r="W439" s="28">
        <v>46107</v>
      </c>
      <c r="X439" s="28" t="s">
        <v>55</v>
      </c>
      <c r="Y439" s="53">
        <v>46107</v>
      </c>
      <c r="Z439" s="53">
        <v>46107</v>
      </c>
      <c r="AA439" s="3">
        <f t="shared" si="51"/>
        <v>3</v>
      </c>
      <c r="AB439" s="170" t="s">
        <v>1276</v>
      </c>
      <c r="AC439" s="35" t="s">
        <v>1277</v>
      </c>
      <c r="AD439" s="19" t="str">
        <f t="shared" si="42"/>
        <v>N/A</v>
      </c>
      <c r="AE439" s="67" t="str">
        <f>IFERROR(NETWORKDAYS(B439,I439,Hoja1!$A$1:$A$29),"N/A")</f>
        <v>N/A</v>
      </c>
      <c r="AF439" s="21">
        <f>IFERROR(NETWORKDAYS(B439,W439,Hoja1!$A$1:$A$29),"N/A")</f>
        <v>13</v>
      </c>
      <c r="AG439" s="78">
        <v>8</v>
      </c>
      <c r="AH439" s="21">
        <f t="shared" si="47"/>
        <v>5</v>
      </c>
      <c r="AI439" s="21" t="str">
        <f>IFERROR(NETWORKDAYS(X439,Y439,Hoja1!$A$1:$A$29),"N/A")</f>
        <v>N/A</v>
      </c>
      <c r="AJ439" s="78">
        <v>0</v>
      </c>
      <c r="AK439" s="19" t="s">
        <v>82</v>
      </c>
      <c r="AL439" s="21">
        <f>IFERROR(NETWORKDAYS(B439,Y439,Hoja1!$A$1:$A$29),"N/A")</f>
        <v>13</v>
      </c>
      <c r="AM439" s="21">
        <f t="shared" si="43"/>
        <v>5</v>
      </c>
      <c r="AN439" s="78"/>
      <c r="AO439" s="2"/>
      <c r="AP439" s="2"/>
      <c r="AQ439" s="2"/>
      <c r="AR439" s="2"/>
      <c r="AS439" s="2" t="s">
        <v>1971</v>
      </c>
      <c r="AT439" s="2" t="s">
        <v>2150</v>
      </c>
      <c r="AU439" s="2" t="s">
        <v>2220</v>
      </c>
      <c r="AV439" s="328" t="s">
        <v>2329</v>
      </c>
      <c r="AW439" s="403" t="s">
        <v>3024</v>
      </c>
      <c r="AY439" s="414"/>
    </row>
    <row r="440" spans="1:51" ht="15" customHeight="1" x14ac:dyDescent="0.25">
      <c r="A440" s="301">
        <v>16106</v>
      </c>
      <c r="B440" s="142">
        <v>46092</v>
      </c>
      <c r="C440" s="142">
        <v>46092</v>
      </c>
      <c r="D440" s="21">
        <v>1</v>
      </c>
      <c r="E440" s="87" t="s">
        <v>54</v>
      </c>
      <c r="F440" s="3" t="s">
        <v>55</v>
      </c>
      <c r="G440" s="3">
        <v>0</v>
      </c>
      <c r="H440" s="33"/>
      <c r="I440" s="155" t="s">
        <v>55</v>
      </c>
      <c r="J440" s="155" t="s">
        <v>55</v>
      </c>
      <c r="K440" s="3">
        <v>0</v>
      </c>
      <c r="L440" s="3" t="s">
        <v>55</v>
      </c>
      <c r="M440" s="3" t="s">
        <v>55</v>
      </c>
      <c r="N440" s="3" t="s">
        <v>55</v>
      </c>
      <c r="O440" s="3" t="s">
        <v>55</v>
      </c>
      <c r="P440" s="3" t="s">
        <v>55</v>
      </c>
      <c r="Q440" s="3" t="s">
        <v>55</v>
      </c>
      <c r="R440" s="3" t="s">
        <v>55</v>
      </c>
      <c r="S440" s="2">
        <v>0</v>
      </c>
      <c r="T440" s="2">
        <v>0</v>
      </c>
      <c r="U440" s="3">
        <v>0</v>
      </c>
      <c r="V440" s="33" t="s">
        <v>55</v>
      </c>
      <c r="W440" s="142">
        <v>46092</v>
      </c>
      <c r="X440" s="142">
        <v>46092</v>
      </c>
      <c r="Y440" s="28">
        <v>46094</v>
      </c>
      <c r="Z440" s="16">
        <v>46097</v>
      </c>
      <c r="AA440" s="3">
        <f t="shared" si="51"/>
        <v>3</v>
      </c>
      <c r="AB440" s="170" t="s">
        <v>1279</v>
      </c>
      <c r="AC440" s="60" t="s">
        <v>1280</v>
      </c>
      <c r="AD440" s="19" t="str">
        <f t="shared" si="42"/>
        <v>N/A</v>
      </c>
      <c r="AE440" s="67" t="str">
        <f>IFERROR(NETWORKDAYS(B440,I440,Hoja1!$A$1:$A$29),"N/A")</f>
        <v>N/A</v>
      </c>
      <c r="AF440" s="21">
        <f>IFERROR(NETWORKDAYS(B440,W440,Hoja1!$A$1:$A$29),"N/A")</f>
        <v>1</v>
      </c>
      <c r="AG440" s="78">
        <v>0</v>
      </c>
      <c r="AH440" s="19" t="s">
        <v>82</v>
      </c>
      <c r="AI440" s="21">
        <f>IFERROR(NETWORKDAYS(X440,Y440,Hoja1!$A$1:$A$29),"N/A")</f>
        <v>3</v>
      </c>
      <c r="AJ440" s="78">
        <v>0</v>
      </c>
      <c r="AK440" s="75">
        <f>AI440-AJ440</f>
        <v>3</v>
      </c>
      <c r="AL440" s="21">
        <f>IFERROR(NETWORKDAYS(B440,Y440,Hoja1!$A$1:$A$29),"N/A")</f>
        <v>3</v>
      </c>
      <c r="AM440" s="21">
        <f t="shared" si="43"/>
        <v>3</v>
      </c>
      <c r="AN440" s="114"/>
      <c r="AO440" s="114"/>
      <c r="AP440" s="46"/>
      <c r="AQ440" s="114"/>
      <c r="AR440" s="114"/>
      <c r="AS440" s="114" t="s">
        <v>1908</v>
      </c>
      <c r="AT440" s="114" t="s">
        <v>2151</v>
      </c>
      <c r="AU440" s="114" t="s">
        <v>2220</v>
      </c>
      <c r="AV440" s="322" t="s">
        <v>2485</v>
      </c>
      <c r="AW440" s="403" t="s">
        <v>3025</v>
      </c>
      <c r="AY440" s="415"/>
    </row>
    <row r="441" spans="1:51" ht="15" customHeight="1" x14ac:dyDescent="0.25">
      <c r="A441" s="294">
        <v>16123</v>
      </c>
      <c r="B441" s="142">
        <v>46093</v>
      </c>
      <c r="C441" s="142">
        <v>46093</v>
      </c>
      <c r="D441" s="21">
        <v>1</v>
      </c>
      <c r="E441" s="87" t="s">
        <v>54</v>
      </c>
      <c r="F441" s="3" t="s">
        <v>55</v>
      </c>
      <c r="G441" s="3">
        <v>0</v>
      </c>
      <c r="H441" s="33"/>
      <c r="I441" s="155" t="s">
        <v>55</v>
      </c>
      <c r="J441" s="155" t="s">
        <v>55</v>
      </c>
      <c r="K441" s="3">
        <v>0</v>
      </c>
      <c r="L441" s="3" t="s">
        <v>55</v>
      </c>
      <c r="M441" s="3" t="s">
        <v>55</v>
      </c>
      <c r="N441" s="3" t="s">
        <v>55</v>
      </c>
      <c r="O441" s="3" t="s">
        <v>55</v>
      </c>
      <c r="P441" s="3" t="s">
        <v>55</v>
      </c>
      <c r="Q441" s="3" t="s">
        <v>55</v>
      </c>
      <c r="R441" s="3" t="s">
        <v>55</v>
      </c>
      <c r="S441" s="2">
        <v>0</v>
      </c>
      <c r="T441" s="2">
        <v>0</v>
      </c>
      <c r="U441" s="3">
        <v>0</v>
      </c>
      <c r="V441" s="33" t="s">
        <v>55</v>
      </c>
      <c r="W441" s="28">
        <v>46093</v>
      </c>
      <c r="X441" s="28">
        <v>46097</v>
      </c>
      <c r="Y441" s="28">
        <v>46100</v>
      </c>
      <c r="Z441" s="16">
        <v>46106</v>
      </c>
      <c r="AA441" s="3">
        <f t="shared" si="51"/>
        <v>3</v>
      </c>
      <c r="AB441" s="170" t="s">
        <v>1283</v>
      </c>
      <c r="AC441" s="60" t="s">
        <v>1360</v>
      </c>
      <c r="AD441" s="19" t="str">
        <f t="shared" si="42"/>
        <v>N/A</v>
      </c>
      <c r="AE441" s="67" t="str">
        <f>IFERROR(NETWORKDAYS(B441,I441,Hoja1!$A$1:$A$29),"N/A")</f>
        <v>N/A</v>
      </c>
      <c r="AF441" s="21">
        <f>IFERROR(NETWORKDAYS(B441,W441,Hoja1!$A$1:$A$29),"N/A")</f>
        <v>1</v>
      </c>
      <c r="AG441" s="78">
        <v>0</v>
      </c>
      <c r="AH441" s="19" t="s">
        <v>82</v>
      </c>
      <c r="AI441" s="21">
        <f>IFERROR(NETWORKDAYS(X441,Y441,Hoja1!$A$1:$A$29),"N/A")</f>
        <v>4</v>
      </c>
      <c r="AJ441" s="78">
        <v>0</v>
      </c>
      <c r="AK441" s="75">
        <f>AI441-AJ441</f>
        <v>4</v>
      </c>
      <c r="AL441" s="21">
        <f>IFERROR(NETWORKDAYS(B441,Y441,Hoja1!$A$1:$A$29),"N/A")</f>
        <v>6</v>
      </c>
      <c r="AM441" s="21">
        <f t="shared" si="43"/>
        <v>6</v>
      </c>
      <c r="AN441" s="111"/>
      <c r="AO441" s="111"/>
      <c r="AP441" s="111"/>
      <c r="AQ441" s="111"/>
      <c r="AR441" s="111"/>
      <c r="AS441" s="111" t="s">
        <v>1938</v>
      </c>
      <c r="AT441" s="111" t="s">
        <v>2152</v>
      </c>
      <c r="AU441" s="111" t="s">
        <v>2220</v>
      </c>
      <c r="AV441" s="321" t="s">
        <v>2372</v>
      </c>
      <c r="AW441" s="403" t="s">
        <v>3026</v>
      </c>
      <c r="AY441" s="414"/>
    </row>
    <row r="442" spans="1:51" ht="15" customHeight="1" x14ac:dyDescent="0.25">
      <c r="A442" s="298">
        <v>16134</v>
      </c>
      <c r="B442" s="142">
        <v>46097</v>
      </c>
      <c r="C442" s="142">
        <v>46095</v>
      </c>
      <c r="D442" s="21">
        <v>1</v>
      </c>
      <c r="E442" s="159" t="s">
        <v>247</v>
      </c>
      <c r="F442" s="3" t="s">
        <v>55</v>
      </c>
      <c r="G442" s="3">
        <v>0</v>
      </c>
      <c r="H442" s="33"/>
      <c r="I442" s="3" t="s">
        <v>55</v>
      </c>
      <c r="J442" s="3" t="s">
        <v>55</v>
      </c>
      <c r="K442" s="3">
        <v>0</v>
      </c>
      <c r="L442" s="3" t="s">
        <v>55</v>
      </c>
      <c r="M442" s="3" t="s">
        <v>55</v>
      </c>
      <c r="N442" s="3" t="s">
        <v>55</v>
      </c>
      <c r="O442" s="3" t="s">
        <v>55</v>
      </c>
      <c r="P442" s="3" t="s">
        <v>55</v>
      </c>
      <c r="Q442" s="3" t="s">
        <v>55</v>
      </c>
      <c r="R442" s="3" t="s">
        <v>55</v>
      </c>
      <c r="S442" s="3">
        <v>1</v>
      </c>
      <c r="T442" s="3">
        <v>1</v>
      </c>
      <c r="U442" s="3">
        <v>0</v>
      </c>
      <c r="V442" s="28">
        <v>46101</v>
      </c>
      <c r="W442" s="140">
        <v>46111</v>
      </c>
      <c r="X442" s="28" t="s">
        <v>55</v>
      </c>
      <c r="Y442" s="140">
        <v>46111</v>
      </c>
      <c r="Z442" s="140">
        <v>46111</v>
      </c>
      <c r="AA442" s="33">
        <f t="shared" si="51"/>
        <v>3</v>
      </c>
      <c r="AB442" s="108" t="s">
        <v>1285</v>
      </c>
      <c r="AC442" s="49" t="s">
        <v>1286</v>
      </c>
      <c r="AD442" s="19" t="str">
        <f t="shared" si="42"/>
        <v>N/A</v>
      </c>
      <c r="AE442" s="67" t="str">
        <f>IFERROR(NETWORKDAYS(B442,I442,Hoja1!$A$1:$A$29),"N/A")</f>
        <v>N/A</v>
      </c>
      <c r="AF442" s="21">
        <f>IFERROR(NETWORKDAYS(B442,W442,Hoja1!$A$1:$A$29),"N/A")</f>
        <v>10</v>
      </c>
      <c r="AG442" s="78">
        <v>0</v>
      </c>
      <c r="AH442" s="21">
        <f>AF442-AG442</f>
        <v>10</v>
      </c>
      <c r="AI442" s="21" t="str">
        <f>IFERROR(NETWORKDAYS(X442,Y442,Hoja1!$A$1:$A$29),"N/A")</f>
        <v>N/A</v>
      </c>
      <c r="AJ442" s="78">
        <v>0</v>
      </c>
      <c r="AK442" s="19" t="s">
        <v>82</v>
      </c>
      <c r="AL442" s="21">
        <f>IFERROR(NETWORKDAYS(B442,Y442,Hoja1!$A$1:$A$29),"N/A")</f>
        <v>10</v>
      </c>
      <c r="AM442" s="21">
        <f t="shared" si="43"/>
        <v>10</v>
      </c>
      <c r="AN442" s="1"/>
      <c r="AO442" s="1"/>
      <c r="AP442" s="1"/>
      <c r="AQ442" s="1"/>
      <c r="AR442" s="1"/>
      <c r="AS442" s="1" t="s">
        <v>1889</v>
      </c>
      <c r="AT442" s="1" t="s">
        <v>2153</v>
      </c>
      <c r="AU442" s="1" t="s">
        <v>2212</v>
      </c>
      <c r="AV442" s="315" t="s">
        <v>2437</v>
      </c>
      <c r="AW442" s="403" t="s">
        <v>3027</v>
      </c>
      <c r="AY442" s="415"/>
    </row>
    <row r="443" spans="1:51" ht="15" customHeight="1" x14ac:dyDescent="0.25">
      <c r="A443" s="294">
        <v>16137</v>
      </c>
      <c r="B443" s="142">
        <v>46097</v>
      </c>
      <c r="C443" s="142">
        <v>46097</v>
      </c>
      <c r="D443" s="21">
        <v>1</v>
      </c>
      <c r="E443" s="159" t="s">
        <v>247</v>
      </c>
      <c r="F443" s="3" t="s">
        <v>55</v>
      </c>
      <c r="G443" s="3">
        <v>0</v>
      </c>
      <c r="H443" s="33"/>
      <c r="I443" s="3" t="s">
        <v>55</v>
      </c>
      <c r="J443" s="3" t="s">
        <v>55</v>
      </c>
      <c r="K443" s="3">
        <v>0</v>
      </c>
      <c r="L443" s="3" t="s">
        <v>55</v>
      </c>
      <c r="M443" s="3" t="s">
        <v>55</v>
      </c>
      <c r="N443" s="3" t="s">
        <v>55</v>
      </c>
      <c r="O443" s="3" t="s">
        <v>55</v>
      </c>
      <c r="P443" s="3" t="s">
        <v>55</v>
      </c>
      <c r="Q443" s="3" t="s">
        <v>55</v>
      </c>
      <c r="R443" s="3" t="s">
        <v>55</v>
      </c>
      <c r="S443" s="3">
        <v>1</v>
      </c>
      <c r="T443" s="3">
        <v>1</v>
      </c>
      <c r="U443" s="3">
        <v>0</v>
      </c>
      <c r="V443" s="28">
        <v>46101</v>
      </c>
      <c r="W443" s="140">
        <v>46111</v>
      </c>
      <c r="X443" s="28" t="s">
        <v>55</v>
      </c>
      <c r="Y443" s="140">
        <v>46111</v>
      </c>
      <c r="Z443" s="140">
        <v>46111</v>
      </c>
      <c r="AA443" s="33">
        <f t="shared" si="51"/>
        <v>3</v>
      </c>
      <c r="AB443" s="170" t="s">
        <v>1288</v>
      </c>
      <c r="AC443" s="35" t="s">
        <v>1289</v>
      </c>
      <c r="AD443" s="19" t="str">
        <f t="shared" si="42"/>
        <v>N/A</v>
      </c>
      <c r="AE443" s="67" t="str">
        <f>IFERROR(NETWORKDAYS(B443,I443,Hoja1!$A$1:$A$29),"N/A")</f>
        <v>N/A</v>
      </c>
      <c r="AF443" s="21">
        <f>IFERROR(NETWORKDAYS(B443,W443,Hoja1!$A$1:$A$29),"N/A")</f>
        <v>10</v>
      </c>
      <c r="AG443" s="78">
        <v>0</v>
      </c>
      <c r="AH443" s="21">
        <f>AF443-AG443</f>
        <v>10</v>
      </c>
      <c r="AI443" s="21" t="str">
        <f>IFERROR(NETWORKDAYS(X443,Y443,Hoja1!$A$1:$A$29),"N/A")</f>
        <v>N/A</v>
      </c>
      <c r="AJ443" s="78">
        <v>0</v>
      </c>
      <c r="AK443" s="19" t="s">
        <v>82</v>
      </c>
      <c r="AL443" s="21">
        <f>IFERROR(NETWORKDAYS(B443,Y443,Hoja1!$A$1:$A$29),"N/A")</f>
        <v>10</v>
      </c>
      <c r="AM443" s="21">
        <f t="shared" si="43"/>
        <v>10</v>
      </c>
      <c r="AN443" s="1"/>
      <c r="AO443" s="1"/>
      <c r="AP443" s="1"/>
      <c r="AQ443" s="1"/>
      <c r="AR443" s="1"/>
      <c r="AS443" s="1" t="s">
        <v>1889</v>
      </c>
      <c r="AT443" s="1" t="s">
        <v>2154</v>
      </c>
      <c r="AU443" s="1" t="s">
        <v>2212</v>
      </c>
      <c r="AV443" s="315" t="s">
        <v>2437</v>
      </c>
      <c r="AW443" s="403" t="s">
        <v>3028</v>
      </c>
      <c r="AY443" s="414"/>
    </row>
    <row r="444" spans="1:51" ht="15" customHeight="1" x14ac:dyDescent="0.25">
      <c r="A444" s="295" t="s">
        <v>82</v>
      </c>
      <c r="B444" s="142">
        <v>46082</v>
      </c>
      <c r="C444" s="142">
        <v>46097</v>
      </c>
      <c r="D444" s="21">
        <v>1</v>
      </c>
      <c r="E444" s="159" t="s">
        <v>247</v>
      </c>
      <c r="F444" s="3" t="s">
        <v>55</v>
      </c>
      <c r="G444" s="3">
        <v>8</v>
      </c>
      <c r="H444" s="3" t="s">
        <v>112</v>
      </c>
      <c r="I444" s="30">
        <v>46097</v>
      </c>
      <c r="J444" s="30">
        <v>46097</v>
      </c>
      <c r="K444" s="3">
        <v>8</v>
      </c>
      <c r="L444" s="3" t="s">
        <v>55</v>
      </c>
      <c r="M444" s="3" t="s">
        <v>55</v>
      </c>
      <c r="N444" s="3" t="s">
        <v>55</v>
      </c>
      <c r="O444" s="3" t="s">
        <v>55</v>
      </c>
      <c r="P444" s="3" t="s">
        <v>55</v>
      </c>
      <c r="Q444" s="3" t="s">
        <v>55</v>
      </c>
      <c r="R444" s="18" t="s">
        <v>55</v>
      </c>
      <c r="S444" s="3">
        <v>1</v>
      </c>
      <c r="T444" s="3">
        <v>1</v>
      </c>
      <c r="U444" s="3">
        <v>0</v>
      </c>
      <c r="V444" s="30">
        <v>46107</v>
      </c>
      <c r="W444" s="28">
        <v>46108</v>
      </c>
      <c r="X444" s="28" t="s">
        <v>55</v>
      </c>
      <c r="Y444" s="28">
        <v>46108</v>
      </c>
      <c r="Z444" s="30">
        <v>46108</v>
      </c>
      <c r="AA444" s="33">
        <f t="shared" si="51"/>
        <v>3</v>
      </c>
      <c r="AB444" s="171" t="s">
        <v>1291</v>
      </c>
      <c r="AC444" s="35" t="s">
        <v>1361</v>
      </c>
      <c r="AD444" s="19">
        <f t="shared" si="42"/>
        <v>1</v>
      </c>
      <c r="AE444" s="67">
        <f>IFERROR(NETWORKDAYS(B444,I444,Hoja1!$A$1:$A$29),"N/A")</f>
        <v>11</v>
      </c>
      <c r="AF444" s="21">
        <f>IFERROR(NETWORKDAYS(B444,W444,Hoja1!$A$1:$A$29),"N/A")</f>
        <v>19</v>
      </c>
      <c r="AG444" s="78">
        <v>3</v>
      </c>
      <c r="AH444" s="21">
        <f>AF444-AG444</f>
        <v>16</v>
      </c>
      <c r="AI444" s="21" t="str">
        <f>IFERROR(NETWORKDAYS(X444,Y444,Hoja1!$A$1:$A$29),"N/A")</f>
        <v>N/A</v>
      </c>
      <c r="AJ444" s="78">
        <v>0</v>
      </c>
      <c r="AK444" s="19" t="s">
        <v>82</v>
      </c>
      <c r="AL444" s="21">
        <f>IFERROR(NETWORKDAYS(B444,Y444,Hoja1!$A$1:$A$29),"N/A")</f>
        <v>19</v>
      </c>
      <c r="AM444" s="21">
        <f t="shared" si="43"/>
        <v>16</v>
      </c>
      <c r="AN444" s="114"/>
      <c r="AO444" s="114"/>
      <c r="AP444" s="114"/>
      <c r="AQ444" s="114"/>
      <c r="AR444" s="114"/>
      <c r="AS444" s="114" t="s">
        <v>1913</v>
      </c>
      <c r="AT444" s="114" t="s">
        <v>2155</v>
      </c>
      <c r="AU444" s="114" t="s">
        <v>2209</v>
      </c>
      <c r="AV444" s="322" t="s">
        <v>2486</v>
      </c>
      <c r="AW444" s="403" t="s">
        <v>3029</v>
      </c>
      <c r="AY444" s="415"/>
    </row>
    <row r="445" spans="1:51" ht="15" customHeight="1" x14ac:dyDescent="0.25">
      <c r="A445" s="294">
        <v>14203</v>
      </c>
      <c r="B445" s="53">
        <v>46029</v>
      </c>
      <c r="C445" s="53">
        <v>45811</v>
      </c>
      <c r="D445" s="2">
        <v>1</v>
      </c>
      <c r="E445" s="111" t="s">
        <v>54</v>
      </c>
      <c r="F445" s="21" t="s">
        <v>55</v>
      </c>
      <c r="G445" s="21">
        <v>22</v>
      </c>
      <c r="H445" s="21" t="s">
        <v>56</v>
      </c>
      <c r="I445" s="53">
        <v>46097</v>
      </c>
      <c r="J445" s="53">
        <v>46097</v>
      </c>
      <c r="K445" s="21">
        <v>22</v>
      </c>
      <c r="L445" s="21" t="s">
        <v>55</v>
      </c>
      <c r="M445" s="21" t="s">
        <v>55</v>
      </c>
      <c r="N445" s="21" t="s">
        <v>55</v>
      </c>
      <c r="O445" s="21" t="s">
        <v>55</v>
      </c>
      <c r="P445" s="21" t="s">
        <v>55</v>
      </c>
      <c r="Q445" s="21" t="s">
        <v>55</v>
      </c>
      <c r="R445" s="21" t="s">
        <v>55</v>
      </c>
      <c r="S445" s="21">
        <v>22</v>
      </c>
      <c r="T445" s="21">
        <v>2</v>
      </c>
      <c r="U445" s="21">
        <v>0</v>
      </c>
      <c r="V445" s="53">
        <v>46099</v>
      </c>
      <c r="W445" s="28">
        <v>46100</v>
      </c>
      <c r="X445" s="28">
        <v>46100</v>
      </c>
      <c r="Y445" s="53">
        <v>46111</v>
      </c>
      <c r="Z445" s="53">
        <v>46118</v>
      </c>
      <c r="AA445" s="21">
        <v>4</v>
      </c>
      <c r="AB445" s="159" t="s">
        <v>1374</v>
      </c>
      <c r="AC445" s="87" t="s">
        <v>1375</v>
      </c>
      <c r="AD445" s="19">
        <f t="shared" si="42"/>
        <v>1</v>
      </c>
      <c r="AE445" s="67">
        <f>IFERROR(NETWORKDAYS(B445,I445,Hoja1!$A$1:$A$29),"N/A")</f>
        <v>48</v>
      </c>
      <c r="AF445" s="21">
        <f>IFERROR(NETWORKDAYS(B445,W445,Hoja1!$A$1:$A$29),"N/A")</f>
        <v>51</v>
      </c>
      <c r="AG445" s="78">
        <v>3</v>
      </c>
      <c r="AH445" s="21">
        <f t="shared" ref="AH445:AH508" si="52">AF445-AG445</f>
        <v>48</v>
      </c>
      <c r="AI445" s="21">
        <f>IFERROR(NETWORKDAYS(X445,Y445,Hoja1!$A$1:$A$29),"N/A")</f>
        <v>7</v>
      </c>
      <c r="AJ445" s="78">
        <v>2</v>
      </c>
      <c r="AK445" s="75">
        <f t="shared" ref="AK445:AK508" si="53">AI445-AJ445</f>
        <v>5</v>
      </c>
      <c r="AL445" s="21">
        <f>IFERROR(NETWORKDAYS(B445,Y445,Hoja1!$A$1:$A$29),"N/A")</f>
        <v>57</v>
      </c>
      <c r="AM445" s="21">
        <f t="shared" si="43"/>
        <v>52</v>
      </c>
      <c r="AN445" s="111" t="s">
        <v>1376</v>
      </c>
      <c r="AO445" s="111" t="s">
        <v>1376</v>
      </c>
      <c r="AP445" s="111"/>
      <c r="AQ445" s="111"/>
      <c r="AR445" s="111"/>
      <c r="AS445" s="111" t="s">
        <v>1965</v>
      </c>
      <c r="AT445" s="111" t="s">
        <v>2017</v>
      </c>
      <c r="AU445" s="111" t="s">
        <v>2214</v>
      </c>
      <c r="AV445" s="321" t="s">
        <v>2380</v>
      </c>
      <c r="AW445" s="403" t="s">
        <v>3030</v>
      </c>
      <c r="AY445" s="414"/>
    </row>
    <row r="446" spans="1:51" ht="15" customHeight="1" x14ac:dyDescent="0.25">
      <c r="A446" s="301">
        <v>14456</v>
      </c>
      <c r="B446" s="16">
        <v>46087</v>
      </c>
      <c r="C446" s="53">
        <v>45848</v>
      </c>
      <c r="D446" s="1">
        <v>1</v>
      </c>
      <c r="E446" s="111" t="s">
        <v>54</v>
      </c>
      <c r="F446" s="33" t="s">
        <v>55</v>
      </c>
      <c r="G446" s="33">
        <v>38</v>
      </c>
      <c r="H446" s="21" t="s">
        <v>56</v>
      </c>
      <c r="I446" s="16">
        <v>46092</v>
      </c>
      <c r="J446" s="16">
        <v>46092</v>
      </c>
      <c r="K446" s="33">
        <v>38</v>
      </c>
      <c r="L446" s="33" t="s">
        <v>55</v>
      </c>
      <c r="M446" s="33" t="s">
        <v>55</v>
      </c>
      <c r="N446" s="33" t="s">
        <v>55</v>
      </c>
      <c r="O446" s="33" t="s">
        <v>55</v>
      </c>
      <c r="P446" s="33" t="s">
        <v>55</v>
      </c>
      <c r="Q446" s="33" t="s">
        <v>55</v>
      </c>
      <c r="R446" s="21" t="s">
        <v>55</v>
      </c>
      <c r="S446" s="33">
        <v>4</v>
      </c>
      <c r="T446" s="33">
        <v>4</v>
      </c>
      <c r="U446" s="33">
        <v>0</v>
      </c>
      <c r="V446" s="16">
        <v>46100</v>
      </c>
      <c r="W446" s="28">
        <v>46108</v>
      </c>
      <c r="X446" s="28">
        <v>46108</v>
      </c>
      <c r="Y446" s="180">
        <v>46126</v>
      </c>
      <c r="Z446" s="180">
        <v>46127</v>
      </c>
      <c r="AA446" s="33">
        <v>4</v>
      </c>
      <c r="AB446" s="240" t="s">
        <v>1377</v>
      </c>
      <c r="AC446" s="49" t="s">
        <v>1378</v>
      </c>
      <c r="AD446" s="19">
        <f t="shared" si="42"/>
        <v>1</v>
      </c>
      <c r="AE446" s="67">
        <f>IFERROR(NETWORKDAYS(B446,I446,Hoja1!$A$1:$A$29),"N/A")</f>
        <v>4</v>
      </c>
      <c r="AF446" s="21">
        <f>IFERROR(NETWORKDAYS(B446,W446,Hoja1!$A$1:$A$29),"N/A")</f>
        <v>15</v>
      </c>
      <c r="AG446" s="78">
        <v>0</v>
      </c>
      <c r="AH446" s="21">
        <f>AF446-AG446</f>
        <v>15</v>
      </c>
      <c r="AI446" s="21">
        <f>IFERROR(NETWORKDAYS(X446,Y446,Hoja1!$A$1:$A$29),"N/A")</f>
        <v>11</v>
      </c>
      <c r="AJ446" s="78">
        <v>6</v>
      </c>
      <c r="AK446" s="75">
        <f t="shared" si="53"/>
        <v>5</v>
      </c>
      <c r="AL446" s="21">
        <f>IFERROR(NETWORKDAYS(B446,Y446,Hoja1!$A$1:$A$29),"N/A")</f>
        <v>25</v>
      </c>
      <c r="AM446" s="21">
        <f t="shared" si="43"/>
        <v>19</v>
      </c>
      <c r="AN446" s="27" t="s">
        <v>1379</v>
      </c>
      <c r="AO446" s="111" t="s">
        <v>460</v>
      </c>
      <c r="AP446" s="114" t="s">
        <v>1376</v>
      </c>
      <c r="AQ446" s="46" t="s">
        <v>1376</v>
      </c>
      <c r="AR446" s="114"/>
      <c r="AS446" s="114" t="s">
        <v>1911</v>
      </c>
      <c r="AT446" s="114" t="s">
        <v>1994</v>
      </c>
      <c r="AU446" s="114" t="s">
        <v>2210</v>
      </c>
      <c r="AV446" s="322" t="s">
        <v>2232</v>
      </c>
      <c r="AW446" s="403" t="s">
        <v>3031</v>
      </c>
      <c r="AY446" s="415"/>
    </row>
    <row r="447" spans="1:51" ht="15" customHeight="1" x14ac:dyDescent="0.25">
      <c r="A447" s="294">
        <v>15227</v>
      </c>
      <c r="B447" s="28">
        <v>46099</v>
      </c>
      <c r="C447" s="28">
        <v>45979</v>
      </c>
      <c r="D447" s="3">
        <v>1</v>
      </c>
      <c r="E447" s="111" t="s">
        <v>54</v>
      </c>
      <c r="F447" s="33" t="s">
        <v>55</v>
      </c>
      <c r="G447" s="33">
        <v>36</v>
      </c>
      <c r="H447" s="21" t="s">
        <v>56</v>
      </c>
      <c r="I447" s="28">
        <v>46108</v>
      </c>
      <c r="J447" s="28">
        <v>46108</v>
      </c>
      <c r="K447" s="33">
        <v>36</v>
      </c>
      <c r="L447" s="33" t="s">
        <v>55</v>
      </c>
      <c r="M447" s="33" t="s">
        <v>55</v>
      </c>
      <c r="N447" s="33" t="s">
        <v>55</v>
      </c>
      <c r="O447" s="33" t="s">
        <v>55</v>
      </c>
      <c r="P447" s="33" t="s">
        <v>55</v>
      </c>
      <c r="Q447" s="33" t="s">
        <v>55</v>
      </c>
      <c r="R447" s="21" t="s">
        <v>55</v>
      </c>
      <c r="S447" s="33">
        <v>5</v>
      </c>
      <c r="T447" s="33">
        <v>5</v>
      </c>
      <c r="U447" s="33">
        <v>0</v>
      </c>
      <c r="V447" s="28">
        <v>46112</v>
      </c>
      <c r="W447" s="28">
        <v>46112</v>
      </c>
      <c r="X447" s="28">
        <v>46120</v>
      </c>
      <c r="Y447" s="28">
        <v>46127</v>
      </c>
      <c r="Z447" s="180">
        <v>46127</v>
      </c>
      <c r="AA447" s="21">
        <v>4</v>
      </c>
      <c r="AB447" s="87" t="s">
        <v>1380</v>
      </c>
      <c r="AC447" s="48" t="s">
        <v>1381</v>
      </c>
      <c r="AD447" s="19">
        <f t="shared" si="42"/>
        <v>1</v>
      </c>
      <c r="AE447" s="67">
        <f>IFERROR(NETWORKDAYS(B447,I447,Hoja1!$A$1:$A$29),"N/A")</f>
        <v>7</v>
      </c>
      <c r="AF447" s="21">
        <f>IFERROR(NETWORKDAYS(B447,W447,Hoja1!$A$1:$A$29),"N/A")</f>
        <v>9</v>
      </c>
      <c r="AG447" s="78">
        <v>0</v>
      </c>
      <c r="AH447" s="21">
        <f t="shared" si="52"/>
        <v>9</v>
      </c>
      <c r="AI447" s="21">
        <f>IFERROR(NETWORKDAYS(X447,Y447,Hoja1!$A$1:$A$29),"N/A")</f>
        <v>6</v>
      </c>
      <c r="AJ447" s="78">
        <v>0</v>
      </c>
      <c r="AK447" s="75">
        <f t="shared" si="53"/>
        <v>6</v>
      </c>
      <c r="AL447" s="21">
        <f>IFERROR(NETWORKDAYS(B447,Y447,Hoja1!$A$1:$A$29),"N/A")</f>
        <v>18</v>
      </c>
      <c r="AM447" s="21">
        <f t="shared" si="43"/>
        <v>18</v>
      </c>
      <c r="AN447" s="111" t="s">
        <v>460</v>
      </c>
      <c r="AO447" s="87" t="s">
        <v>1376</v>
      </c>
      <c r="AP447" s="87" t="s">
        <v>1376</v>
      </c>
      <c r="AQ447" s="87" t="s">
        <v>1376</v>
      </c>
      <c r="AR447" s="87"/>
      <c r="AS447" s="87" t="s">
        <v>1913</v>
      </c>
      <c r="AT447" s="87" t="s">
        <v>2095</v>
      </c>
      <c r="AU447" s="87" t="s">
        <v>2209</v>
      </c>
      <c r="AV447" s="320" t="s">
        <v>2370</v>
      </c>
      <c r="AW447" s="403" t="s">
        <v>3032</v>
      </c>
      <c r="AY447" s="414"/>
    </row>
    <row r="448" spans="1:51" ht="15" customHeight="1" x14ac:dyDescent="0.25">
      <c r="A448" s="294">
        <v>15260</v>
      </c>
      <c r="B448" s="53">
        <v>46094</v>
      </c>
      <c r="C448" s="53">
        <v>45941</v>
      </c>
      <c r="D448" s="2">
        <v>1</v>
      </c>
      <c r="E448" s="111" t="s">
        <v>54</v>
      </c>
      <c r="F448" s="21" t="s">
        <v>55</v>
      </c>
      <c r="G448" s="21">
        <v>21</v>
      </c>
      <c r="H448" s="21" t="s">
        <v>56</v>
      </c>
      <c r="I448" s="53">
        <v>46097</v>
      </c>
      <c r="J448" s="53">
        <v>46097</v>
      </c>
      <c r="K448" s="164">
        <v>21</v>
      </c>
      <c r="L448" s="21" t="s">
        <v>55</v>
      </c>
      <c r="M448" s="21" t="s">
        <v>55</v>
      </c>
      <c r="N448" s="21" t="s">
        <v>55</v>
      </c>
      <c r="O448" s="21" t="s">
        <v>55</v>
      </c>
      <c r="P448" s="21" t="s">
        <v>55</v>
      </c>
      <c r="Q448" s="21" t="s">
        <v>55</v>
      </c>
      <c r="R448" s="21" t="s">
        <v>55</v>
      </c>
      <c r="S448" s="21">
        <v>21</v>
      </c>
      <c r="T448" s="21">
        <v>7</v>
      </c>
      <c r="U448" s="21">
        <v>0</v>
      </c>
      <c r="V448" s="53">
        <v>46106</v>
      </c>
      <c r="W448" s="53">
        <v>46107</v>
      </c>
      <c r="X448" s="28">
        <v>46112</v>
      </c>
      <c r="Y448" s="53">
        <v>46125</v>
      </c>
      <c r="Z448" s="180">
        <v>46127</v>
      </c>
      <c r="AA448" s="21">
        <v>4</v>
      </c>
      <c r="AB448" s="159" t="s">
        <v>1382</v>
      </c>
      <c r="AC448" s="111" t="s">
        <v>1383</v>
      </c>
      <c r="AD448" s="19">
        <f t="shared" si="42"/>
        <v>1</v>
      </c>
      <c r="AE448" s="67">
        <f>IFERROR(NETWORKDAYS(B448,I448,Hoja1!$A$1:$A$29),"N/A")</f>
        <v>2</v>
      </c>
      <c r="AF448" s="21">
        <f>IFERROR(NETWORKDAYS(B448,W448,Hoja1!$A$1:$A$29),"N/A")</f>
        <v>9</v>
      </c>
      <c r="AG448" s="78">
        <v>0</v>
      </c>
      <c r="AH448" s="21">
        <f t="shared" si="52"/>
        <v>9</v>
      </c>
      <c r="AI448" s="21">
        <f>IFERROR(NETWORKDAYS(X448,Y448,Hoja1!$A$1:$A$29),"N/A")</f>
        <v>8</v>
      </c>
      <c r="AJ448" s="78">
        <v>3</v>
      </c>
      <c r="AK448" s="75">
        <f t="shared" si="53"/>
        <v>5</v>
      </c>
      <c r="AL448" s="21">
        <f>IFERROR(NETWORKDAYS(B448,Y448,Hoja1!$A$1:$A$29),"N/A")</f>
        <v>19</v>
      </c>
      <c r="AM448" s="21">
        <f t="shared" si="43"/>
        <v>16</v>
      </c>
      <c r="AN448" s="111" t="s">
        <v>460</v>
      </c>
      <c r="AO448" s="111" t="s">
        <v>460</v>
      </c>
      <c r="AP448" s="111"/>
      <c r="AQ448" s="111"/>
      <c r="AR448" s="111"/>
      <c r="AS448" s="111" t="s">
        <v>1972</v>
      </c>
      <c r="AT448" s="111" t="s">
        <v>2094</v>
      </c>
      <c r="AU448" s="111" t="s">
        <v>2214</v>
      </c>
      <c r="AV448" s="321" t="s">
        <v>2487</v>
      </c>
      <c r="AW448" s="403" t="s">
        <v>3033</v>
      </c>
      <c r="AY448" s="415"/>
    </row>
    <row r="449" spans="1:51" ht="15" customHeight="1" x14ac:dyDescent="0.25">
      <c r="A449" s="294">
        <v>15380</v>
      </c>
      <c r="B449" s="116">
        <v>46098</v>
      </c>
      <c r="C449" s="116">
        <v>45986</v>
      </c>
      <c r="D449" s="33">
        <v>1</v>
      </c>
      <c r="E449" s="111" t="s">
        <v>54</v>
      </c>
      <c r="F449" s="33" t="s">
        <v>55</v>
      </c>
      <c r="G449" s="33">
        <v>26</v>
      </c>
      <c r="H449" s="21" t="s">
        <v>56</v>
      </c>
      <c r="I449" s="16">
        <v>46099</v>
      </c>
      <c r="J449" s="16">
        <v>46101</v>
      </c>
      <c r="K449" s="33">
        <v>26</v>
      </c>
      <c r="L449" s="33" t="s">
        <v>55</v>
      </c>
      <c r="M449" s="33" t="s">
        <v>55</v>
      </c>
      <c r="N449" s="33" t="s">
        <v>55</v>
      </c>
      <c r="O449" s="33" t="s">
        <v>55</v>
      </c>
      <c r="P449" s="33" t="s">
        <v>55</v>
      </c>
      <c r="Q449" s="33" t="s">
        <v>55</v>
      </c>
      <c r="R449" s="21" t="s">
        <v>55</v>
      </c>
      <c r="S449" s="33">
        <v>5</v>
      </c>
      <c r="T449" s="33">
        <v>5</v>
      </c>
      <c r="U449" s="33">
        <v>0</v>
      </c>
      <c r="V449" s="16">
        <v>46105</v>
      </c>
      <c r="W449" s="16">
        <v>46105</v>
      </c>
      <c r="X449" s="16">
        <v>46106</v>
      </c>
      <c r="Y449" s="180">
        <v>46126</v>
      </c>
      <c r="Z449" s="180">
        <v>46127</v>
      </c>
      <c r="AA449" s="33">
        <v>4</v>
      </c>
      <c r="AB449" s="183" t="s">
        <v>1386</v>
      </c>
      <c r="AC449" s="49" t="s">
        <v>1387</v>
      </c>
      <c r="AD449" s="19">
        <f t="shared" si="42"/>
        <v>1</v>
      </c>
      <c r="AE449" s="67">
        <f>IFERROR(NETWORKDAYS(B449,I449,Hoja1!$A$1:$A$29),"N/A")</f>
        <v>2</v>
      </c>
      <c r="AF449" s="21">
        <f>IFERROR(NETWORKDAYS(B449,W449,Hoja1!$A$1:$A$29),"N/A")</f>
        <v>5</v>
      </c>
      <c r="AG449" s="78">
        <v>0</v>
      </c>
      <c r="AH449" s="21">
        <f t="shared" si="52"/>
        <v>5</v>
      </c>
      <c r="AI449" s="21">
        <f>IFERROR(NETWORKDAYS(X449,Y449,Hoja1!$A$1:$A$29),"N/A")</f>
        <v>13</v>
      </c>
      <c r="AJ449" s="78">
        <v>8</v>
      </c>
      <c r="AK449" s="75">
        <f t="shared" si="53"/>
        <v>5</v>
      </c>
      <c r="AL449" s="21">
        <f>IFERROR(NETWORKDAYS(B449,Y449,Hoja1!$A$1:$A$29),"N/A")</f>
        <v>18</v>
      </c>
      <c r="AM449" s="21">
        <f t="shared" si="43"/>
        <v>10</v>
      </c>
      <c r="AN449" s="111" t="s">
        <v>1376</v>
      </c>
      <c r="AO449" s="111" t="s">
        <v>1376</v>
      </c>
      <c r="AP449" s="111" t="s">
        <v>1376</v>
      </c>
      <c r="AQ449" s="111" t="s">
        <v>1376</v>
      </c>
      <c r="AR449" s="114" t="s">
        <v>1376</v>
      </c>
      <c r="AS449" s="114" t="s">
        <v>1889</v>
      </c>
      <c r="AT449" s="114" t="s">
        <v>1994</v>
      </c>
      <c r="AU449" s="114" t="s">
        <v>2221</v>
      </c>
      <c r="AV449" s="322" t="s">
        <v>2232</v>
      </c>
      <c r="AW449" s="403" t="s">
        <v>3034</v>
      </c>
      <c r="AY449" s="414"/>
    </row>
    <row r="450" spans="1:51" ht="15" customHeight="1" x14ac:dyDescent="0.25">
      <c r="A450" s="294">
        <v>15414</v>
      </c>
      <c r="B450" s="53">
        <v>45992</v>
      </c>
      <c r="C450" s="53">
        <v>45992</v>
      </c>
      <c r="D450" s="2">
        <v>1</v>
      </c>
      <c r="E450" s="111" t="s">
        <v>54</v>
      </c>
      <c r="F450" s="21" t="s">
        <v>55</v>
      </c>
      <c r="G450" s="21">
        <v>3</v>
      </c>
      <c r="H450" s="21" t="s">
        <v>56</v>
      </c>
      <c r="I450" s="16">
        <v>46099</v>
      </c>
      <c r="J450" s="16">
        <v>46099</v>
      </c>
      <c r="K450" s="21">
        <v>3</v>
      </c>
      <c r="L450" s="21" t="s">
        <v>55</v>
      </c>
      <c r="M450" s="21" t="s">
        <v>55</v>
      </c>
      <c r="N450" s="21" t="s">
        <v>55</v>
      </c>
      <c r="O450" s="21" t="s">
        <v>55</v>
      </c>
      <c r="P450" s="21" t="s">
        <v>55</v>
      </c>
      <c r="Q450" s="21" t="s">
        <v>55</v>
      </c>
      <c r="R450" s="21" t="s">
        <v>55</v>
      </c>
      <c r="S450" s="21">
        <v>2</v>
      </c>
      <c r="T450" s="21">
        <v>2</v>
      </c>
      <c r="U450" s="21">
        <v>0</v>
      </c>
      <c r="V450" s="53">
        <v>46107</v>
      </c>
      <c r="W450" s="53">
        <v>46111</v>
      </c>
      <c r="X450" s="53">
        <v>46111</v>
      </c>
      <c r="Y450" s="180">
        <v>46126</v>
      </c>
      <c r="Z450" s="180">
        <v>46127</v>
      </c>
      <c r="AA450" s="21">
        <v>4</v>
      </c>
      <c r="AB450" s="159" t="s">
        <v>1389</v>
      </c>
      <c r="AC450" s="111" t="s">
        <v>1390</v>
      </c>
      <c r="AD450" s="19">
        <f t="shared" ref="AD450:AD513" si="54">IFERROR(K450/G450,"N/A")</f>
        <v>1</v>
      </c>
      <c r="AE450" s="67">
        <f>IFERROR(NETWORKDAYS(B450,I450,Hoja1!$A$1:$A$29),"N/A")</f>
        <v>74</v>
      </c>
      <c r="AF450" s="21">
        <f>IFERROR(NETWORKDAYS(B450,W450,Hoja1!$A$1:$A$29),"N/A")</f>
        <v>81</v>
      </c>
      <c r="AG450" s="78">
        <v>39</v>
      </c>
      <c r="AH450" s="21">
        <f t="shared" si="52"/>
        <v>42</v>
      </c>
      <c r="AI450" s="21">
        <f>IFERROR(NETWORKDAYS(X450,Y450,Hoja1!$A$1:$A$29),"N/A")</f>
        <v>10</v>
      </c>
      <c r="AJ450" s="78">
        <v>5</v>
      </c>
      <c r="AK450" s="75">
        <f t="shared" si="53"/>
        <v>5</v>
      </c>
      <c r="AL450" s="21">
        <f>IFERROR(NETWORKDAYS(B450,Y450,Hoja1!$A$1:$A$29),"N/A")</f>
        <v>90</v>
      </c>
      <c r="AM450" s="21">
        <f t="shared" ref="AM450:AM513" si="55">AL450-AG450-AJ450</f>
        <v>46</v>
      </c>
      <c r="AN450" s="87"/>
      <c r="AO450" s="87"/>
      <c r="AP450" s="87"/>
      <c r="AQ450" s="87"/>
      <c r="AR450" s="87"/>
      <c r="AS450" s="87" t="s">
        <v>1973</v>
      </c>
      <c r="AT450" s="87" t="s">
        <v>2156</v>
      </c>
      <c r="AU450" s="87" t="s">
        <v>2214</v>
      </c>
      <c r="AV450" s="320" t="s">
        <v>2488</v>
      </c>
      <c r="AW450" s="403" t="s">
        <v>3035</v>
      </c>
      <c r="AY450" s="415"/>
    </row>
    <row r="451" spans="1:51" ht="15" customHeight="1" x14ac:dyDescent="0.25">
      <c r="A451" s="294">
        <v>15430</v>
      </c>
      <c r="B451" s="53">
        <v>46070</v>
      </c>
      <c r="C451" s="53">
        <v>45993</v>
      </c>
      <c r="D451" s="2">
        <v>1</v>
      </c>
      <c r="E451" s="111" t="s">
        <v>54</v>
      </c>
      <c r="F451" s="21" t="s">
        <v>55</v>
      </c>
      <c r="G451" s="21">
        <v>6</v>
      </c>
      <c r="H451" s="21" t="s">
        <v>112</v>
      </c>
      <c r="I451" s="53">
        <v>46092</v>
      </c>
      <c r="J451" s="53">
        <v>46092</v>
      </c>
      <c r="K451" s="21">
        <v>6</v>
      </c>
      <c r="L451" s="21" t="s">
        <v>55</v>
      </c>
      <c r="M451" s="21" t="s">
        <v>55</v>
      </c>
      <c r="N451" s="21" t="s">
        <v>55</v>
      </c>
      <c r="O451" s="21" t="s">
        <v>55</v>
      </c>
      <c r="P451" s="21" t="s">
        <v>55</v>
      </c>
      <c r="Q451" s="21" t="s">
        <v>55</v>
      </c>
      <c r="R451" s="21" t="s">
        <v>55</v>
      </c>
      <c r="S451" s="21">
        <v>6</v>
      </c>
      <c r="T451" s="21">
        <v>1</v>
      </c>
      <c r="U451" s="21">
        <v>0</v>
      </c>
      <c r="V451" s="53">
        <v>46099</v>
      </c>
      <c r="W451" s="53">
        <v>46099</v>
      </c>
      <c r="X451" s="53">
        <v>46099</v>
      </c>
      <c r="Y451" s="53">
        <v>46108</v>
      </c>
      <c r="Z451" s="53">
        <v>46118</v>
      </c>
      <c r="AA451" s="21">
        <v>4</v>
      </c>
      <c r="AB451" s="159" t="s">
        <v>1392</v>
      </c>
      <c r="AC451" s="111" t="s">
        <v>1393</v>
      </c>
      <c r="AD451" s="19">
        <f t="shared" si="54"/>
        <v>1</v>
      </c>
      <c r="AE451" s="67">
        <f>IFERROR(NETWORKDAYS(B451,I451,Hoja1!$A$1:$A$29),"N/A")</f>
        <v>17</v>
      </c>
      <c r="AF451" s="21">
        <f>IFERROR(NETWORKDAYS(B451,W451,Hoja1!$A$1:$A$29),"N/A")</f>
        <v>22</v>
      </c>
      <c r="AG451" s="78">
        <v>0</v>
      </c>
      <c r="AH451" s="21">
        <f t="shared" si="52"/>
        <v>22</v>
      </c>
      <c r="AI451" s="21">
        <f>IFERROR(NETWORKDAYS(X451,Y451,Hoja1!$A$1:$A$29),"N/A")</f>
        <v>7</v>
      </c>
      <c r="AJ451" s="78">
        <v>2</v>
      </c>
      <c r="AK451" s="75">
        <f t="shared" si="53"/>
        <v>5</v>
      </c>
      <c r="AL451" s="21">
        <f>IFERROR(NETWORKDAYS(B451,Y451,Hoja1!$A$1:$A$29),"N/A")</f>
        <v>28</v>
      </c>
      <c r="AM451" s="21">
        <f t="shared" si="55"/>
        <v>26</v>
      </c>
      <c r="AN451" s="87" t="s">
        <v>460</v>
      </c>
      <c r="AO451" s="87"/>
      <c r="AP451" s="87"/>
      <c r="AQ451" s="87"/>
      <c r="AR451" s="87"/>
      <c r="AS451" s="87" t="s">
        <v>1895</v>
      </c>
      <c r="AT451" s="87" t="s">
        <v>2053</v>
      </c>
      <c r="AU451" s="87" t="s">
        <v>2216</v>
      </c>
      <c r="AV451" s="320" t="s">
        <v>2489</v>
      </c>
      <c r="AW451" s="403" t="s">
        <v>3036</v>
      </c>
      <c r="AY451" s="414"/>
    </row>
    <row r="452" spans="1:51" ht="15" customHeight="1" x14ac:dyDescent="0.25">
      <c r="A452" s="301">
        <v>15479</v>
      </c>
      <c r="B452" s="116">
        <v>46099</v>
      </c>
      <c r="C452" s="116">
        <v>46003</v>
      </c>
      <c r="D452" s="1">
        <v>1</v>
      </c>
      <c r="E452" s="111" t="s">
        <v>54</v>
      </c>
      <c r="F452" s="33" t="s">
        <v>55</v>
      </c>
      <c r="G452" s="33">
        <v>0</v>
      </c>
      <c r="H452" s="1"/>
      <c r="I452" s="33" t="s">
        <v>55</v>
      </c>
      <c r="J452" s="33" t="s">
        <v>55</v>
      </c>
      <c r="K452" s="33">
        <v>0</v>
      </c>
      <c r="L452" s="33" t="s">
        <v>55</v>
      </c>
      <c r="M452" s="33" t="s">
        <v>55</v>
      </c>
      <c r="N452" s="33" t="s">
        <v>55</v>
      </c>
      <c r="O452" s="33" t="s">
        <v>55</v>
      </c>
      <c r="P452" s="33" t="s">
        <v>55</v>
      </c>
      <c r="Q452" s="33" t="s">
        <v>55</v>
      </c>
      <c r="R452" s="33" t="s">
        <v>55</v>
      </c>
      <c r="S452" s="33">
        <v>7</v>
      </c>
      <c r="T452" s="33">
        <v>6</v>
      </c>
      <c r="U452" s="33">
        <v>0</v>
      </c>
      <c r="V452" s="38">
        <v>46105</v>
      </c>
      <c r="W452" s="38">
        <v>46106</v>
      </c>
      <c r="X452" s="38">
        <v>46106</v>
      </c>
      <c r="Y452" s="28">
        <v>46112</v>
      </c>
      <c r="Z452" s="53">
        <v>46118</v>
      </c>
      <c r="AA452" s="33">
        <f>MONTH(Z452)</f>
        <v>4</v>
      </c>
      <c r="AB452" s="144" t="s">
        <v>1395</v>
      </c>
      <c r="AC452" s="114" t="s">
        <v>1396</v>
      </c>
      <c r="AD452" s="19" t="str">
        <f t="shared" si="54"/>
        <v>N/A</v>
      </c>
      <c r="AE452" s="67" t="str">
        <f>IFERROR(NETWORKDAYS(B452,I452,Hoja1!$A$1:$A$29),"N/A")</f>
        <v>N/A</v>
      </c>
      <c r="AF452" s="21">
        <f>IFERROR(NETWORKDAYS(B452,W452,Hoja1!$A$1:$A$29),"N/A")</f>
        <v>5</v>
      </c>
      <c r="AG452" s="78">
        <v>0</v>
      </c>
      <c r="AH452" s="21">
        <f t="shared" si="52"/>
        <v>5</v>
      </c>
      <c r="AI452" s="21">
        <f>IFERROR(NETWORKDAYS(X452,Y452,Hoja1!$A$1:$A$29),"N/A")</f>
        <v>5</v>
      </c>
      <c r="AJ452" s="78">
        <v>0</v>
      </c>
      <c r="AK452" s="75">
        <f t="shared" si="53"/>
        <v>5</v>
      </c>
      <c r="AL452" s="21">
        <f>IFERROR(NETWORKDAYS(B452,Y452,Hoja1!$A$1:$A$29),"N/A")</f>
        <v>9</v>
      </c>
      <c r="AM452" s="21">
        <f t="shared" si="55"/>
        <v>9</v>
      </c>
      <c r="AN452" s="111" t="s">
        <v>1376</v>
      </c>
      <c r="AO452" s="84" t="s">
        <v>1376</v>
      </c>
      <c r="AP452" s="84"/>
      <c r="AQ452" s="84"/>
      <c r="AR452" s="84"/>
      <c r="AS452" s="84" t="s">
        <v>1906</v>
      </c>
      <c r="AT452" s="84" t="s">
        <v>2004</v>
      </c>
      <c r="AU452" s="84" t="s">
        <v>2220</v>
      </c>
      <c r="AV452" s="324" t="s">
        <v>2490</v>
      </c>
      <c r="AW452" s="403" t="s">
        <v>3037</v>
      </c>
      <c r="AY452" s="415"/>
    </row>
    <row r="453" spans="1:51" ht="15" customHeight="1" x14ac:dyDescent="0.25">
      <c r="A453" s="294">
        <v>15487</v>
      </c>
      <c r="B453" s="28">
        <v>46045</v>
      </c>
      <c r="C453" s="28">
        <v>46006</v>
      </c>
      <c r="D453" s="3">
        <v>1</v>
      </c>
      <c r="E453" s="159" t="s">
        <v>247</v>
      </c>
      <c r="F453" s="33" t="s">
        <v>55</v>
      </c>
      <c r="G453" s="33">
        <v>28</v>
      </c>
      <c r="H453" s="21" t="s">
        <v>56</v>
      </c>
      <c r="I453" s="28">
        <v>46113</v>
      </c>
      <c r="J453" s="28">
        <v>46113</v>
      </c>
      <c r="K453" s="33">
        <v>28</v>
      </c>
      <c r="L453" s="33" t="s">
        <v>55</v>
      </c>
      <c r="M453" s="33" t="s">
        <v>55</v>
      </c>
      <c r="N453" s="33" t="s">
        <v>55</v>
      </c>
      <c r="O453" s="33" t="s">
        <v>55</v>
      </c>
      <c r="P453" s="33" t="s">
        <v>55</v>
      </c>
      <c r="Q453" s="33" t="s">
        <v>55</v>
      </c>
      <c r="R453" s="21" t="s">
        <v>55</v>
      </c>
      <c r="S453" s="33">
        <v>7</v>
      </c>
      <c r="T453" s="33">
        <v>7</v>
      </c>
      <c r="U453" s="33">
        <v>0</v>
      </c>
      <c r="V453" s="28">
        <v>46135</v>
      </c>
      <c r="W453" s="28">
        <v>46135</v>
      </c>
      <c r="X453" s="28" t="s">
        <v>55</v>
      </c>
      <c r="Y453" s="28">
        <v>46135</v>
      </c>
      <c r="Z453" s="28" t="s">
        <v>55</v>
      </c>
      <c r="AA453" s="21">
        <v>4</v>
      </c>
      <c r="AB453" s="87" t="s">
        <v>1398</v>
      </c>
      <c r="AC453" s="48" t="s">
        <v>1399</v>
      </c>
      <c r="AD453" s="19">
        <f t="shared" si="54"/>
        <v>1</v>
      </c>
      <c r="AE453" s="67">
        <f>IFERROR(NETWORKDAYS(B453,I453,Hoja1!$A$1:$A$29),"N/A")</f>
        <v>48</v>
      </c>
      <c r="AF453" s="21">
        <f>IFERROR(NETWORKDAYS(B453,W453,Hoja1!$A$1:$A$29),"N/A")</f>
        <v>62</v>
      </c>
      <c r="AG453" s="78">
        <v>14</v>
      </c>
      <c r="AH453" s="21">
        <f t="shared" si="52"/>
        <v>48</v>
      </c>
      <c r="AI453" s="21" t="str">
        <f>IFERROR(NETWORKDAYS(X453,Y453,Hoja1!$A$1:$A$29),"N/A")</f>
        <v>N/A</v>
      </c>
      <c r="AJ453" s="78">
        <v>0</v>
      </c>
      <c r="AK453" s="21" t="s">
        <v>82</v>
      </c>
      <c r="AL453" s="21">
        <f>IFERROR(NETWORKDAYS(B453,Y453,Hoja1!$A$1:$A$29),"N/A")</f>
        <v>62</v>
      </c>
      <c r="AM453" s="21">
        <f t="shared" si="55"/>
        <v>48</v>
      </c>
      <c r="AN453" s="87"/>
      <c r="AO453" s="87"/>
      <c r="AP453" s="87"/>
      <c r="AQ453" s="87"/>
      <c r="AR453" s="87"/>
      <c r="AS453" s="87" t="s">
        <v>1974</v>
      </c>
      <c r="AT453" s="87" t="s">
        <v>2095</v>
      </c>
      <c r="AU453" s="87" t="s">
        <v>2209</v>
      </c>
      <c r="AV453" s="320" t="s">
        <v>2491</v>
      </c>
      <c r="AW453" s="403" t="s">
        <v>3038</v>
      </c>
      <c r="AY453" s="414"/>
    </row>
    <row r="454" spans="1:51" ht="15" customHeight="1" x14ac:dyDescent="0.25">
      <c r="A454" s="298">
        <v>15518</v>
      </c>
      <c r="B454" s="38">
        <v>46093</v>
      </c>
      <c r="C454" s="16">
        <v>46007</v>
      </c>
      <c r="D454" s="1">
        <v>1</v>
      </c>
      <c r="E454" s="111" t="s">
        <v>54</v>
      </c>
      <c r="F454" s="33" t="s">
        <v>55</v>
      </c>
      <c r="G454" s="33">
        <v>0</v>
      </c>
      <c r="H454" s="1"/>
      <c r="I454" s="21" t="s">
        <v>55</v>
      </c>
      <c r="J454" s="21" t="s">
        <v>55</v>
      </c>
      <c r="K454" s="33">
        <v>0</v>
      </c>
      <c r="L454" s="33" t="s">
        <v>55</v>
      </c>
      <c r="M454" s="33" t="s">
        <v>55</v>
      </c>
      <c r="N454" s="33" t="s">
        <v>55</v>
      </c>
      <c r="O454" s="33" t="s">
        <v>55</v>
      </c>
      <c r="P454" s="33" t="s">
        <v>55</v>
      </c>
      <c r="Q454" s="33" t="s">
        <v>55</v>
      </c>
      <c r="R454" s="33" t="s">
        <v>55</v>
      </c>
      <c r="S454" s="33">
        <v>4</v>
      </c>
      <c r="T454" s="33">
        <v>2</v>
      </c>
      <c r="U454" s="33">
        <v>0</v>
      </c>
      <c r="V454" s="38">
        <v>46101</v>
      </c>
      <c r="W454" s="180">
        <v>46105</v>
      </c>
      <c r="X454" s="180">
        <v>46105</v>
      </c>
      <c r="Y454" s="28">
        <v>46112</v>
      </c>
      <c r="Z454" s="53">
        <v>46118</v>
      </c>
      <c r="AA454" s="33">
        <v>4</v>
      </c>
      <c r="AB454" s="183" t="s">
        <v>1402</v>
      </c>
      <c r="AC454" s="49" t="s">
        <v>1403</v>
      </c>
      <c r="AD454" s="19" t="str">
        <f t="shared" si="54"/>
        <v>N/A</v>
      </c>
      <c r="AE454" s="67" t="str">
        <f>IFERROR(NETWORKDAYS(B454,I454,Hoja1!$A$1:$A$29),"N/A")</f>
        <v>N/A</v>
      </c>
      <c r="AF454" s="21">
        <f>IFERROR(NETWORKDAYS(B454,W454,Hoja1!$A$1:$A$29),"N/A")</f>
        <v>8</v>
      </c>
      <c r="AG454" s="78">
        <v>0</v>
      </c>
      <c r="AH454" s="21">
        <f t="shared" si="52"/>
        <v>8</v>
      </c>
      <c r="AI454" s="21">
        <f>IFERROR(NETWORKDAYS(X454,Y454,Hoja1!$A$1:$A$29),"N/A")</f>
        <v>6</v>
      </c>
      <c r="AJ454" s="78">
        <v>1</v>
      </c>
      <c r="AK454" s="75">
        <f t="shared" si="53"/>
        <v>5</v>
      </c>
      <c r="AL454" s="21">
        <f>IFERROR(NETWORKDAYS(B454,Y454,Hoja1!$A$1:$A$29),"N/A")</f>
        <v>13</v>
      </c>
      <c r="AM454" s="21">
        <f t="shared" si="55"/>
        <v>12</v>
      </c>
      <c r="AN454" s="114" t="s">
        <v>881</v>
      </c>
      <c r="AO454" s="114" t="s">
        <v>1405</v>
      </c>
      <c r="AP454" s="114"/>
      <c r="AQ454" s="114"/>
      <c r="AR454" s="114"/>
      <c r="AS454" s="114" t="s">
        <v>1888</v>
      </c>
      <c r="AT454" s="114" t="s">
        <v>2062</v>
      </c>
      <c r="AU454" s="114" t="s">
        <v>2222</v>
      </c>
      <c r="AV454" s="322" t="s">
        <v>2492</v>
      </c>
      <c r="AW454" s="403" t="s">
        <v>3039</v>
      </c>
      <c r="AY454" s="415"/>
    </row>
    <row r="455" spans="1:51" ht="15" customHeight="1" x14ac:dyDescent="0.25">
      <c r="A455" s="294">
        <v>15577</v>
      </c>
      <c r="B455" s="53">
        <v>46105</v>
      </c>
      <c r="C455" s="53">
        <v>46014</v>
      </c>
      <c r="D455" s="2">
        <v>1</v>
      </c>
      <c r="E455" s="111" t="s">
        <v>54</v>
      </c>
      <c r="F455" s="21" t="s">
        <v>55</v>
      </c>
      <c r="G455" s="21">
        <v>12</v>
      </c>
      <c r="H455" s="21" t="s">
        <v>56</v>
      </c>
      <c r="I455" s="53">
        <v>46113</v>
      </c>
      <c r="J455" s="53">
        <v>46113</v>
      </c>
      <c r="K455" s="21">
        <v>12</v>
      </c>
      <c r="L455" s="21" t="s">
        <v>55</v>
      </c>
      <c r="M455" s="21" t="s">
        <v>55</v>
      </c>
      <c r="N455" s="21" t="s">
        <v>55</v>
      </c>
      <c r="O455" s="21" t="s">
        <v>55</v>
      </c>
      <c r="P455" s="21" t="s">
        <v>55</v>
      </c>
      <c r="Q455" s="21" t="s">
        <v>55</v>
      </c>
      <c r="R455" s="21" t="s">
        <v>55</v>
      </c>
      <c r="S455" s="21">
        <v>12</v>
      </c>
      <c r="T455" s="21">
        <v>1</v>
      </c>
      <c r="U455" s="21">
        <v>0</v>
      </c>
      <c r="V455" s="53">
        <v>46125</v>
      </c>
      <c r="W455" s="53">
        <v>46125</v>
      </c>
      <c r="X455" s="53">
        <v>46126</v>
      </c>
      <c r="Y455" s="53">
        <v>46133</v>
      </c>
      <c r="Z455" s="53">
        <v>46139</v>
      </c>
      <c r="AA455" s="21">
        <v>4</v>
      </c>
      <c r="AB455" s="159" t="s">
        <v>1407</v>
      </c>
      <c r="AC455" s="111" t="s">
        <v>1408</v>
      </c>
      <c r="AD455" s="19">
        <f t="shared" si="54"/>
        <v>1</v>
      </c>
      <c r="AE455" s="67">
        <f>IFERROR(NETWORKDAYS(B455,I455,Hoja1!$A$1:$A$29),"N/A")</f>
        <v>7</v>
      </c>
      <c r="AF455" s="21">
        <f>IFERROR(NETWORKDAYS(B455,W455,Hoja1!$A$1:$A$29),"N/A")</f>
        <v>13</v>
      </c>
      <c r="AG455" s="78">
        <v>0</v>
      </c>
      <c r="AH455" s="21">
        <f t="shared" si="52"/>
        <v>13</v>
      </c>
      <c r="AI455" s="21">
        <f>IFERROR(NETWORKDAYS(X455,Y455,Hoja1!$A$1:$A$29),"N/A")</f>
        <v>6</v>
      </c>
      <c r="AJ455" s="78">
        <v>1</v>
      </c>
      <c r="AK455" s="75">
        <f t="shared" si="53"/>
        <v>5</v>
      </c>
      <c r="AL455" s="21">
        <f>IFERROR(NETWORKDAYS(B455,Y455,Hoja1!$A$1:$A$29),"N/A")</f>
        <v>19</v>
      </c>
      <c r="AM455" s="21">
        <f t="shared" si="55"/>
        <v>18</v>
      </c>
      <c r="AN455" s="87" t="s">
        <v>1376</v>
      </c>
      <c r="AO455" s="87"/>
      <c r="AP455" s="87"/>
      <c r="AQ455" s="87"/>
      <c r="AR455" s="87"/>
      <c r="AS455" s="87" t="s">
        <v>1894</v>
      </c>
      <c r="AT455" s="87" t="s">
        <v>1992</v>
      </c>
      <c r="AU455" s="87" t="s">
        <v>2219</v>
      </c>
      <c r="AV455" s="320" t="s">
        <v>2493</v>
      </c>
      <c r="AW455" s="403" t="s">
        <v>3040</v>
      </c>
      <c r="AY455" s="414"/>
    </row>
    <row r="456" spans="1:51" ht="15" customHeight="1" x14ac:dyDescent="0.25">
      <c r="A456" s="296">
        <v>15607</v>
      </c>
      <c r="B456" s="28">
        <v>46058</v>
      </c>
      <c r="C456" s="28">
        <v>46021</v>
      </c>
      <c r="D456" s="3">
        <v>1</v>
      </c>
      <c r="E456" s="111" t="s">
        <v>54</v>
      </c>
      <c r="F456" s="33" t="s">
        <v>55</v>
      </c>
      <c r="G456" s="33">
        <v>13</v>
      </c>
      <c r="H456" s="21" t="s">
        <v>56</v>
      </c>
      <c r="I456" s="28">
        <v>46090</v>
      </c>
      <c r="J456" s="28">
        <v>46090</v>
      </c>
      <c r="K456" s="33">
        <v>13</v>
      </c>
      <c r="L456" s="33" t="s">
        <v>55</v>
      </c>
      <c r="M456" s="33" t="s">
        <v>55</v>
      </c>
      <c r="N456" s="33" t="s">
        <v>55</v>
      </c>
      <c r="O456" s="33" t="s">
        <v>55</v>
      </c>
      <c r="P456" s="33" t="s">
        <v>55</v>
      </c>
      <c r="Q456" s="33" t="s">
        <v>55</v>
      </c>
      <c r="R456" s="21" t="s">
        <v>55</v>
      </c>
      <c r="S456" s="33">
        <v>2</v>
      </c>
      <c r="T456" s="33">
        <v>2</v>
      </c>
      <c r="U456" s="33">
        <v>0</v>
      </c>
      <c r="V456" s="28">
        <v>46093</v>
      </c>
      <c r="W456" s="28">
        <v>46093</v>
      </c>
      <c r="X456" s="28">
        <v>46093</v>
      </c>
      <c r="Y456" s="38">
        <v>46106</v>
      </c>
      <c r="Z456" s="53">
        <v>46118</v>
      </c>
      <c r="AA456" s="21">
        <v>4</v>
      </c>
      <c r="AB456" s="48" t="s">
        <v>1410</v>
      </c>
      <c r="AC456" s="48" t="s">
        <v>1411</v>
      </c>
      <c r="AD456" s="19">
        <f t="shared" si="54"/>
        <v>1</v>
      </c>
      <c r="AE456" s="67">
        <f>IFERROR(NETWORKDAYS(B456,I456,Hoja1!$A$1:$A$29),"N/A")</f>
        <v>23</v>
      </c>
      <c r="AF456" s="21">
        <f>IFERROR(NETWORKDAYS(B456,W456,Hoja1!$A$1:$A$29),"N/A")</f>
        <v>26</v>
      </c>
      <c r="AG456" s="78">
        <v>12</v>
      </c>
      <c r="AH456" s="21">
        <f t="shared" si="52"/>
        <v>14</v>
      </c>
      <c r="AI456" s="21">
        <f>IFERROR(NETWORKDAYS(X456,Y456,Hoja1!$A$1:$A$29),"N/A")</f>
        <v>9</v>
      </c>
      <c r="AJ456" s="78">
        <v>4</v>
      </c>
      <c r="AK456" s="75">
        <f t="shared" si="53"/>
        <v>5</v>
      </c>
      <c r="AL456" s="21">
        <f>IFERROR(NETWORKDAYS(B456,Y456,Hoja1!$A$1:$A$29),"N/A")</f>
        <v>34</v>
      </c>
      <c r="AM456" s="21">
        <f>AL456-AG456-AJ456</f>
        <v>18</v>
      </c>
      <c r="AN456" s="87" t="s">
        <v>1376</v>
      </c>
      <c r="AO456" s="87"/>
      <c r="AP456" s="87"/>
      <c r="AQ456" s="87"/>
      <c r="AR456" s="87"/>
      <c r="AS456" s="87" t="s">
        <v>1893</v>
      </c>
      <c r="AT456" s="87" t="s">
        <v>1995</v>
      </c>
      <c r="AU456" s="87" t="s">
        <v>2215</v>
      </c>
      <c r="AV456" s="320" t="s">
        <v>2494</v>
      </c>
      <c r="AW456" s="403" t="s">
        <v>3041</v>
      </c>
      <c r="AY456" s="415"/>
    </row>
    <row r="457" spans="1:51" ht="15" customHeight="1" x14ac:dyDescent="0.25">
      <c r="A457" s="294">
        <v>15613</v>
      </c>
      <c r="B457" s="28">
        <v>46027</v>
      </c>
      <c r="C457" s="28">
        <v>46024</v>
      </c>
      <c r="D457" s="3">
        <v>1</v>
      </c>
      <c r="E457" s="111" t="s">
        <v>54</v>
      </c>
      <c r="F457" s="33" t="s">
        <v>55</v>
      </c>
      <c r="G457" s="33">
        <v>21</v>
      </c>
      <c r="H457" s="21" t="s">
        <v>56</v>
      </c>
      <c r="I457" s="16">
        <v>46105</v>
      </c>
      <c r="J457" s="28">
        <v>46106</v>
      </c>
      <c r="K457" s="33">
        <v>21</v>
      </c>
      <c r="L457" s="33" t="s">
        <v>55</v>
      </c>
      <c r="M457" s="33" t="s">
        <v>55</v>
      </c>
      <c r="N457" s="33" t="s">
        <v>55</v>
      </c>
      <c r="O457" s="33" t="s">
        <v>55</v>
      </c>
      <c r="P457" s="33" t="s">
        <v>55</v>
      </c>
      <c r="Q457" s="33" t="s">
        <v>55</v>
      </c>
      <c r="R457" s="21" t="s">
        <v>55</v>
      </c>
      <c r="S457" s="33">
        <v>1</v>
      </c>
      <c r="T457" s="33">
        <v>1</v>
      </c>
      <c r="U457" s="33">
        <v>0</v>
      </c>
      <c r="V457" s="28">
        <v>46126</v>
      </c>
      <c r="W457" s="28">
        <v>46126</v>
      </c>
      <c r="X457" s="28">
        <v>46126</v>
      </c>
      <c r="Y457" s="53">
        <v>46133</v>
      </c>
      <c r="Z457" s="53">
        <v>46139</v>
      </c>
      <c r="AA457" s="33">
        <v>4</v>
      </c>
      <c r="AB457" s="144" t="s">
        <v>1414</v>
      </c>
      <c r="AC457" s="202" t="s">
        <v>1415</v>
      </c>
      <c r="AD457" s="19">
        <f t="shared" si="54"/>
        <v>1</v>
      </c>
      <c r="AE457" s="67">
        <f>IFERROR(NETWORKDAYS(B457,I457,Hoja1!$A$1:$A$29),"N/A")</f>
        <v>55</v>
      </c>
      <c r="AF457" s="21">
        <f>IFERROR(NETWORKDAYS(B457,W457,Hoja1!$A$1:$A$29),"N/A")</f>
        <v>68</v>
      </c>
      <c r="AG457" s="78">
        <v>9</v>
      </c>
      <c r="AH457" s="21">
        <f>AF457-AG457</f>
        <v>59</v>
      </c>
      <c r="AI457" s="21">
        <f>IFERROR(NETWORKDAYS(X457,Y457,Hoja1!$A$1:$A$29),"N/A")</f>
        <v>6</v>
      </c>
      <c r="AJ457" s="78">
        <v>1</v>
      </c>
      <c r="AK457" s="75">
        <f t="shared" si="53"/>
        <v>5</v>
      </c>
      <c r="AL457" s="21">
        <f>IFERROR(NETWORKDAYS(B457,Y457,Hoja1!$A$1:$A$29),"N/A")</f>
        <v>73</v>
      </c>
      <c r="AM457" s="21">
        <f t="shared" si="55"/>
        <v>63</v>
      </c>
      <c r="AN457" s="87" t="s">
        <v>1379</v>
      </c>
      <c r="AO457" s="87"/>
      <c r="AP457" s="87"/>
      <c r="AQ457" s="87"/>
      <c r="AR457" s="87"/>
      <c r="AS457" s="87" t="s">
        <v>1975</v>
      </c>
      <c r="AT457" s="87" t="s">
        <v>2017</v>
      </c>
      <c r="AU457" s="87" t="s">
        <v>2210</v>
      </c>
      <c r="AV457" s="320" t="s">
        <v>2495</v>
      </c>
      <c r="AW457" s="403" t="s">
        <v>3042</v>
      </c>
      <c r="AY457" s="414"/>
    </row>
    <row r="458" spans="1:51" ht="15" customHeight="1" x14ac:dyDescent="0.25">
      <c r="A458" s="294">
        <v>15638</v>
      </c>
      <c r="B458" s="53">
        <v>46078</v>
      </c>
      <c r="C458" s="53">
        <v>46029</v>
      </c>
      <c r="D458" s="2">
        <v>1</v>
      </c>
      <c r="E458" s="111" t="s">
        <v>54</v>
      </c>
      <c r="F458" s="21" t="s">
        <v>55</v>
      </c>
      <c r="G458" s="21">
        <v>9</v>
      </c>
      <c r="H458" s="21" t="s">
        <v>56</v>
      </c>
      <c r="I458" s="53">
        <v>46120</v>
      </c>
      <c r="J458" s="53">
        <v>46120</v>
      </c>
      <c r="K458" s="21">
        <v>9</v>
      </c>
      <c r="L458" s="21" t="s">
        <v>55</v>
      </c>
      <c r="M458" s="21" t="s">
        <v>55</v>
      </c>
      <c r="N458" s="21" t="s">
        <v>55</v>
      </c>
      <c r="O458" s="21" t="s">
        <v>55</v>
      </c>
      <c r="P458" s="21" t="s">
        <v>55</v>
      </c>
      <c r="Q458" s="21" t="s">
        <v>55</v>
      </c>
      <c r="R458" s="21" t="s">
        <v>55</v>
      </c>
      <c r="S458" s="21">
        <v>9</v>
      </c>
      <c r="T458" s="21">
        <v>1</v>
      </c>
      <c r="U458" s="21">
        <v>0</v>
      </c>
      <c r="V458" s="53">
        <v>46120</v>
      </c>
      <c r="W458" s="53">
        <v>46120</v>
      </c>
      <c r="X458" s="53">
        <v>46120</v>
      </c>
      <c r="Y458" s="180">
        <v>46126</v>
      </c>
      <c r="Z458" s="180">
        <v>46127</v>
      </c>
      <c r="AA458" s="21">
        <v>4</v>
      </c>
      <c r="AB458" s="159" t="s">
        <v>1418</v>
      </c>
      <c r="AC458" s="111" t="s">
        <v>1419</v>
      </c>
      <c r="AD458" s="19">
        <f t="shared" si="54"/>
        <v>1</v>
      </c>
      <c r="AE458" s="67">
        <f>IFERROR(NETWORKDAYS(B458,I458,Hoja1!$A$1:$A$29),"N/A")</f>
        <v>28</v>
      </c>
      <c r="AF458" s="21">
        <f>IFERROR(NETWORKDAYS(B458,W458,Hoja1!$A$1:$A$29),"N/A")</f>
        <v>28</v>
      </c>
      <c r="AG458" s="78">
        <v>15</v>
      </c>
      <c r="AH458" s="21">
        <f t="shared" si="52"/>
        <v>13</v>
      </c>
      <c r="AI458" s="21">
        <f>IFERROR(NETWORKDAYS(X458,Y458,Hoja1!$A$1:$A$29),"N/A")</f>
        <v>5</v>
      </c>
      <c r="AJ458" s="78">
        <v>0</v>
      </c>
      <c r="AK458" s="75">
        <f t="shared" si="53"/>
        <v>5</v>
      </c>
      <c r="AL458" s="21">
        <f>IFERROR(NETWORKDAYS(B458,Y458,Hoja1!$A$1:$A$29),"N/A")</f>
        <v>32</v>
      </c>
      <c r="AM458" s="21">
        <f t="shared" si="55"/>
        <v>17</v>
      </c>
      <c r="AN458" s="87" t="s">
        <v>881</v>
      </c>
      <c r="AO458" s="87" t="s">
        <v>1376</v>
      </c>
      <c r="AP458" s="87"/>
      <c r="AQ458" s="87"/>
      <c r="AR458" s="87"/>
      <c r="AS458" s="87" t="s">
        <v>1890</v>
      </c>
      <c r="AT458" s="87" t="s">
        <v>2157</v>
      </c>
      <c r="AU458" s="87" t="s">
        <v>2219</v>
      </c>
      <c r="AV458" s="320" t="s">
        <v>2496</v>
      </c>
      <c r="AW458" s="403" t="s">
        <v>3043</v>
      </c>
      <c r="AY458" s="415"/>
    </row>
    <row r="459" spans="1:51" ht="15" customHeight="1" x14ac:dyDescent="0.25">
      <c r="A459" s="301">
        <v>15655</v>
      </c>
      <c r="B459" s="16">
        <v>46083</v>
      </c>
      <c r="C459" s="28">
        <v>46031</v>
      </c>
      <c r="D459" s="33">
        <v>1</v>
      </c>
      <c r="E459" s="111" t="s">
        <v>54</v>
      </c>
      <c r="F459" s="33" t="s">
        <v>55</v>
      </c>
      <c r="G459" s="33">
        <v>0</v>
      </c>
      <c r="H459" s="21"/>
      <c r="I459" s="168" t="s">
        <v>55</v>
      </c>
      <c r="J459" s="168" t="s">
        <v>55</v>
      </c>
      <c r="K459" s="33">
        <v>0</v>
      </c>
      <c r="L459" s="33" t="s">
        <v>55</v>
      </c>
      <c r="M459" s="33" t="s">
        <v>55</v>
      </c>
      <c r="N459" s="33" t="s">
        <v>55</v>
      </c>
      <c r="O459" s="33" t="s">
        <v>55</v>
      </c>
      <c r="P459" s="33" t="s">
        <v>55</v>
      </c>
      <c r="Q459" s="33" t="s">
        <v>55</v>
      </c>
      <c r="R459" s="21" t="s">
        <v>55</v>
      </c>
      <c r="S459" s="33">
        <v>4</v>
      </c>
      <c r="T459" s="33">
        <v>3</v>
      </c>
      <c r="U459" s="33">
        <v>0</v>
      </c>
      <c r="V459" s="28">
        <v>46087</v>
      </c>
      <c r="W459" s="180">
        <v>46106</v>
      </c>
      <c r="X459" s="28">
        <v>46108</v>
      </c>
      <c r="Y459" s="53">
        <v>46125</v>
      </c>
      <c r="Z459" s="180">
        <v>46127</v>
      </c>
      <c r="AA459" s="33">
        <v>4</v>
      </c>
      <c r="AB459" s="144" t="s">
        <v>1422</v>
      </c>
      <c r="AC459" s="35" t="s">
        <v>1423</v>
      </c>
      <c r="AD459" s="19" t="str">
        <f t="shared" si="54"/>
        <v>N/A</v>
      </c>
      <c r="AE459" s="67" t="str">
        <f>IFERROR(NETWORKDAYS(B459,I459,Hoja1!$A$1:$A$29),"N/A")</f>
        <v>N/A</v>
      </c>
      <c r="AF459" s="21">
        <f>IFERROR(NETWORKDAYS(B459,W459,Hoja1!$A$1:$A$29),"N/A")</f>
        <v>17</v>
      </c>
      <c r="AG459" s="78">
        <v>10</v>
      </c>
      <c r="AH459" s="21">
        <f t="shared" si="52"/>
        <v>7</v>
      </c>
      <c r="AI459" s="21">
        <f>IFERROR(NETWORKDAYS(X459,Y459,Hoja1!$A$1:$A$29),"N/A")</f>
        <v>10</v>
      </c>
      <c r="AJ459" s="78">
        <v>5</v>
      </c>
      <c r="AK459" s="75">
        <f t="shared" si="53"/>
        <v>5</v>
      </c>
      <c r="AL459" s="21">
        <f>IFERROR(NETWORKDAYS(B459,Y459,Hoja1!$A$1:$A$29),"N/A")</f>
        <v>28</v>
      </c>
      <c r="AM459" s="21">
        <f t="shared" si="55"/>
        <v>13</v>
      </c>
      <c r="AN459" s="87" t="s">
        <v>1379</v>
      </c>
      <c r="AO459" s="87"/>
      <c r="AP459" s="87"/>
      <c r="AQ459" s="87"/>
      <c r="AR459" s="87"/>
      <c r="AS459" s="87" t="s">
        <v>1931</v>
      </c>
      <c r="AT459" s="87" t="s">
        <v>2158</v>
      </c>
      <c r="AU459" s="87" t="s">
        <v>2222</v>
      </c>
      <c r="AV459" s="320" t="s">
        <v>2497</v>
      </c>
      <c r="AW459" s="403" t="s">
        <v>3044</v>
      </c>
      <c r="AY459" s="414"/>
    </row>
    <row r="460" spans="1:51" ht="15" customHeight="1" x14ac:dyDescent="0.25">
      <c r="A460" s="296">
        <v>15663</v>
      </c>
      <c r="B460" s="28">
        <v>46036</v>
      </c>
      <c r="C460" s="28">
        <v>46036</v>
      </c>
      <c r="D460" s="3">
        <v>1</v>
      </c>
      <c r="E460" s="111" t="s">
        <v>54</v>
      </c>
      <c r="F460" s="33" t="s">
        <v>55</v>
      </c>
      <c r="G460" s="33">
        <v>13</v>
      </c>
      <c r="H460" s="21" t="s">
        <v>112</v>
      </c>
      <c r="I460" s="28">
        <v>46086</v>
      </c>
      <c r="J460" s="28">
        <v>46086</v>
      </c>
      <c r="K460" s="33">
        <v>13</v>
      </c>
      <c r="L460" s="33" t="s">
        <v>55</v>
      </c>
      <c r="M460" s="33" t="s">
        <v>55</v>
      </c>
      <c r="N460" s="33" t="s">
        <v>55</v>
      </c>
      <c r="O460" s="33" t="s">
        <v>55</v>
      </c>
      <c r="P460" s="33" t="s">
        <v>55</v>
      </c>
      <c r="Q460" s="33" t="s">
        <v>55</v>
      </c>
      <c r="R460" s="21" t="s">
        <v>55</v>
      </c>
      <c r="S460" s="33">
        <v>1</v>
      </c>
      <c r="T460" s="33">
        <v>1</v>
      </c>
      <c r="U460" s="33">
        <v>0</v>
      </c>
      <c r="V460" s="28">
        <v>46100</v>
      </c>
      <c r="W460" s="28">
        <v>46100</v>
      </c>
      <c r="X460" s="28">
        <v>46100</v>
      </c>
      <c r="Y460" s="38">
        <v>46113</v>
      </c>
      <c r="Z460" s="53">
        <v>46118</v>
      </c>
      <c r="AA460" s="21">
        <v>4</v>
      </c>
      <c r="AB460" s="48" t="s">
        <v>1425</v>
      </c>
      <c r="AC460" s="48" t="s">
        <v>1426</v>
      </c>
      <c r="AD460" s="19">
        <f t="shared" si="54"/>
        <v>1</v>
      </c>
      <c r="AE460" s="67">
        <f>IFERROR(NETWORKDAYS(B460,I460,Hoja1!$A$1:$A$29),"N/A")</f>
        <v>37</v>
      </c>
      <c r="AF460" s="21">
        <f>IFERROR(NETWORKDAYS(B460,W460,Hoja1!$A$1:$A$29),"N/A")</f>
        <v>47</v>
      </c>
      <c r="AG460" s="78">
        <v>21</v>
      </c>
      <c r="AH460" s="21">
        <f t="shared" si="52"/>
        <v>26</v>
      </c>
      <c r="AI460" s="21">
        <f>IFERROR(NETWORKDAYS(X460,Y460,Hoja1!$A$1:$A$29),"N/A")</f>
        <v>9</v>
      </c>
      <c r="AJ460" s="78">
        <v>4</v>
      </c>
      <c r="AK460" s="75">
        <f t="shared" si="53"/>
        <v>5</v>
      </c>
      <c r="AL460" s="21">
        <f>IFERROR(NETWORKDAYS(B460,Y460,Hoja1!$A$1:$A$29),"N/A")</f>
        <v>55</v>
      </c>
      <c r="AM460" s="21">
        <f t="shared" si="55"/>
        <v>30</v>
      </c>
      <c r="AN460" s="87"/>
      <c r="AO460" s="87"/>
      <c r="AP460" s="87"/>
      <c r="AQ460" s="87"/>
      <c r="AR460" s="87"/>
      <c r="AS460" s="87" t="s">
        <v>1976</v>
      </c>
      <c r="AT460" s="87" t="s">
        <v>1995</v>
      </c>
      <c r="AU460" s="87" t="s">
        <v>2215</v>
      </c>
      <c r="AV460" s="320" t="s">
        <v>2498</v>
      </c>
      <c r="AW460" s="403" t="s">
        <v>3045</v>
      </c>
      <c r="AY460" s="415"/>
    </row>
    <row r="461" spans="1:51" ht="15" customHeight="1" x14ac:dyDescent="0.25">
      <c r="A461" s="301">
        <v>15699</v>
      </c>
      <c r="B461" s="16">
        <v>46100</v>
      </c>
      <c r="C461" s="28">
        <v>46043</v>
      </c>
      <c r="D461" s="33">
        <v>1</v>
      </c>
      <c r="E461" s="159" t="s">
        <v>247</v>
      </c>
      <c r="F461" s="33" t="s">
        <v>55</v>
      </c>
      <c r="G461" s="33">
        <v>0</v>
      </c>
      <c r="H461" s="33"/>
      <c r="I461" s="28" t="s">
        <v>55</v>
      </c>
      <c r="J461" s="28" t="s">
        <v>55</v>
      </c>
      <c r="K461" s="33">
        <v>0</v>
      </c>
      <c r="L461" s="33" t="s">
        <v>55</v>
      </c>
      <c r="M461" s="33" t="s">
        <v>55</v>
      </c>
      <c r="N461" s="33" t="s">
        <v>55</v>
      </c>
      <c r="O461" s="33" t="s">
        <v>55</v>
      </c>
      <c r="P461" s="33" t="s">
        <v>55</v>
      </c>
      <c r="Q461" s="33" t="s">
        <v>55</v>
      </c>
      <c r="R461" s="33" t="s">
        <v>55</v>
      </c>
      <c r="S461" s="33">
        <v>3</v>
      </c>
      <c r="T461" s="33">
        <v>3</v>
      </c>
      <c r="U461" s="33">
        <v>0</v>
      </c>
      <c r="V461" s="180">
        <v>46111</v>
      </c>
      <c r="W461" s="28">
        <v>46125</v>
      </c>
      <c r="X461" s="28" t="s">
        <v>55</v>
      </c>
      <c r="Y461" s="28">
        <v>46125</v>
      </c>
      <c r="Z461" s="28">
        <v>46125</v>
      </c>
      <c r="AA461" s="33">
        <v>4</v>
      </c>
      <c r="AB461" s="144" t="s">
        <v>1429</v>
      </c>
      <c r="AC461" s="35" t="s">
        <v>1430</v>
      </c>
      <c r="AD461" s="19" t="str">
        <f t="shared" si="54"/>
        <v>N/A</v>
      </c>
      <c r="AE461" s="67" t="str">
        <f>IFERROR(NETWORKDAYS(B461,I461,Hoja1!$A$1:$A$29),"N/A")</f>
        <v>N/A</v>
      </c>
      <c r="AF461" s="21">
        <f>IFERROR(NETWORKDAYS(B461,W461,Hoja1!$A$1:$A$29),"N/A")</f>
        <v>15</v>
      </c>
      <c r="AG461" s="78">
        <v>8</v>
      </c>
      <c r="AH461" s="21">
        <f t="shared" si="52"/>
        <v>7</v>
      </c>
      <c r="AI461" s="21" t="str">
        <f>IFERROR(NETWORKDAYS(X461,Y461,Hoja1!$A$1:$A$29),"N/A")</f>
        <v>N/A</v>
      </c>
      <c r="AJ461" s="78">
        <v>0</v>
      </c>
      <c r="AK461" s="21" t="s">
        <v>82</v>
      </c>
      <c r="AL461" s="21">
        <f>IFERROR(NETWORKDAYS(B461,Y461,Hoja1!$A$1:$A$29),"N/A")</f>
        <v>15</v>
      </c>
      <c r="AM461" s="21">
        <f t="shared" si="55"/>
        <v>7</v>
      </c>
      <c r="AN461" s="87"/>
      <c r="AO461" s="87"/>
      <c r="AP461" s="87"/>
      <c r="AQ461" s="87"/>
      <c r="AR461" s="87"/>
      <c r="AS461" s="87" t="s">
        <v>1891</v>
      </c>
      <c r="AT461" s="87" t="s">
        <v>2159</v>
      </c>
      <c r="AU461" s="87" t="s">
        <v>2222</v>
      </c>
      <c r="AV461" s="320" t="s">
        <v>2499</v>
      </c>
      <c r="AW461" s="403" t="s">
        <v>3046</v>
      </c>
      <c r="AY461" s="414"/>
    </row>
    <row r="462" spans="1:51" ht="15" customHeight="1" x14ac:dyDescent="0.25">
      <c r="A462" s="294">
        <v>15711</v>
      </c>
      <c r="B462" s="53">
        <v>46044</v>
      </c>
      <c r="C462" s="53">
        <v>46044</v>
      </c>
      <c r="D462" s="2">
        <v>1</v>
      </c>
      <c r="E462" s="111" t="s">
        <v>54</v>
      </c>
      <c r="F462" s="21" t="s">
        <v>55</v>
      </c>
      <c r="G462" s="21">
        <v>4</v>
      </c>
      <c r="H462" s="21" t="s">
        <v>112</v>
      </c>
      <c r="I462" s="53">
        <v>46107</v>
      </c>
      <c r="J462" s="53">
        <v>46107</v>
      </c>
      <c r="K462" s="21">
        <v>4</v>
      </c>
      <c r="L462" s="21" t="s">
        <v>55</v>
      </c>
      <c r="M462" s="21" t="s">
        <v>55</v>
      </c>
      <c r="N462" s="21" t="s">
        <v>55</v>
      </c>
      <c r="O462" s="21" t="s">
        <v>55</v>
      </c>
      <c r="P462" s="21" t="s">
        <v>55</v>
      </c>
      <c r="Q462" s="21" t="s">
        <v>55</v>
      </c>
      <c r="R462" s="21" t="s">
        <v>55</v>
      </c>
      <c r="S462" s="21">
        <v>4</v>
      </c>
      <c r="T462" s="21">
        <v>1</v>
      </c>
      <c r="U462" s="21">
        <v>0</v>
      </c>
      <c r="V462" s="53">
        <v>46122</v>
      </c>
      <c r="W462" s="53">
        <v>46122</v>
      </c>
      <c r="X462" s="53">
        <v>46122</v>
      </c>
      <c r="Y462" s="53">
        <v>46134</v>
      </c>
      <c r="Z462" s="53">
        <v>46139</v>
      </c>
      <c r="AA462" s="21">
        <v>4</v>
      </c>
      <c r="AB462" s="159" t="s">
        <v>1433</v>
      </c>
      <c r="AC462" s="111" t="s">
        <v>1434</v>
      </c>
      <c r="AD462" s="19">
        <f t="shared" si="54"/>
        <v>1</v>
      </c>
      <c r="AE462" s="67">
        <f>IFERROR(NETWORKDAYS(B462,I462,Hoja1!$A$1:$A$29),"N/A")</f>
        <v>45</v>
      </c>
      <c r="AF462" s="21">
        <f>IFERROR(NETWORKDAYS(B462,W462,Hoja1!$A$1:$A$29),"N/A")</f>
        <v>54</v>
      </c>
      <c r="AG462" s="78">
        <v>34</v>
      </c>
      <c r="AH462" s="21">
        <f t="shared" si="52"/>
        <v>20</v>
      </c>
      <c r="AI462" s="21">
        <f>IFERROR(NETWORKDAYS(X462,Y462,Hoja1!$A$1:$A$29),"N/A")</f>
        <v>9</v>
      </c>
      <c r="AJ462" s="78">
        <v>4</v>
      </c>
      <c r="AK462" s="75">
        <f t="shared" si="53"/>
        <v>5</v>
      </c>
      <c r="AL462" s="21">
        <f>IFERROR(NETWORKDAYS(B462,Y462,Hoja1!$A$1:$A$29),"N/A")</f>
        <v>62</v>
      </c>
      <c r="AM462" s="21">
        <f t="shared" si="55"/>
        <v>24</v>
      </c>
      <c r="AN462" s="87"/>
      <c r="AO462" s="87"/>
      <c r="AP462" s="87"/>
      <c r="AQ462" s="87"/>
      <c r="AR462" s="87"/>
      <c r="AS462" s="87" t="s">
        <v>1895</v>
      </c>
      <c r="AT462" s="87" t="s">
        <v>2160</v>
      </c>
      <c r="AU462" s="87" t="s">
        <v>2216</v>
      </c>
      <c r="AV462" s="320" t="s">
        <v>2500</v>
      </c>
      <c r="AW462" s="403" t="s">
        <v>3047</v>
      </c>
      <c r="AY462" s="415"/>
    </row>
    <row r="463" spans="1:51" ht="15" customHeight="1" x14ac:dyDescent="0.25">
      <c r="A463" s="301">
        <v>15715</v>
      </c>
      <c r="B463" s="116">
        <v>46048</v>
      </c>
      <c r="C463" s="116">
        <v>46045</v>
      </c>
      <c r="D463" s="33">
        <v>1</v>
      </c>
      <c r="E463" s="111" t="s">
        <v>54</v>
      </c>
      <c r="F463" s="33" t="s">
        <v>55</v>
      </c>
      <c r="G463" s="33">
        <v>16</v>
      </c>
      <c r="H463" s="21" t="s">
        <v>56</v>
      </c>
      <c r="I463" s="28">
        <v>46090</v>
      </c>
      <c r="J463" s="28">
        <v>46093</v>
      </c>
      <c r="K463" s="33">
        <v>16</v>
      </c>
      <c r="L463" s="33" t="s">
        <v>55</v>
      </c>
      <c r="M463" s="33" t="s">
        <v>55</v>
      </c>
      <c r="N463" s="33" t="s">
        <v>55</v>
      </c>
      <c r="O463" s="33" t="s">
        <v>55</v>
      </c>
      <c r="P463" s="33" t="s">
        <v>55</v>
      </c>
      <c r="Q463" s="33" t="s">
        <v>55</v>
      </c>
      <c r="R463" s="21" t="s">
        <v>55</v>
      </c>
      <c r="S463" s="33">
        <v>3</v>
      </c>
      <c r="T463" s="33">
        <v>3</v>
      </c>
      <c r="U463" s="33">
        <v>0</v>
      </c>
      <c r="V463" s="28">
        <v>46101</v>
      </c>
      <c r="W463" s="180">
        <v>46105</v>
      </c>
      <c r="X463" s="180">
        <v>46105</v>
      </c>
      <c r="Y463" s="28">
        <v>46119</v>
      </c>
      <c r="Z463" s="180">
        <v>46127</v>
      </c>
      <c r="AA463" s="33">
        <f>MONTH(Z463)</f>
        <v>4</v>
      </c>
      <c r="AB463" s="144" t="s">
        <v>1436</v>
      </c>
      <c r="AC463" s="114" t="s">
        <v>1437</v>
      </c>
      <c r="AD463" s="19">
        <f t="shared" si="54"/>
        <v>1</v>
      </c>
      <c r="AE463" s="67">
        <f>IFERROR(NETWORKDAYS(B463,I463,Hoja1!$A$1:$A$29),"N/A")</f>
        <v>31</v>
      </c>
      <c r="AF463" s="21">
        <f>IFERROR(NETWORKDAYS(B463,W463,Hoja1!$A$1:$A$29),"N/A")</f>
        <v>41</v>
      </c>
      <c r="AG463" s="78">
        <v>7</v>
      </c>
      <c r="AH463" s="21">
        <f t="shared" si="52"/>
        <v>34</v>
      </c>
      <c r="AI463" s="21">
        <f>IFERROR(NETWORKDAYS(X463,Y463,Hoja1!$A$1:$A$29),"N/A")</f>
        <v>9</v>
      </c>
      <c r="AJ463" s="78">
        <v>4</v>
      </c>
      <c r="AK463" s="75">
        <f t="shared" si="53"/>
        <v>5</v>
      </c>
      <c r="AL463" s="21">
        <f>IFERROR(NETWORKDAYS(B463,Y463,Hoja1!$A$1:$A$29),"N/A")</f>
        <v>49</v>
      </c>
      <c r="AM463" s="21">
        <f t="shared" si="55"/>
        <v>38</v>
      </c>
      <c r="AN463" s="87" t="s">
        <v>1379</v>
      </c>
      <c r="AO463" s="87"/>
      <c r="AP463" s="87"/>
      <c r="AQ463" s="87"/>
      <c r="AR463" s="87"/>
      <c r="AS463" s="87" t="s">
        <v>1906</v>
      </c>
      <c r="AT463" s="87" t="s">
        <v>1994</v>
      </c>
      <c r="AU463" s="87" t="s">
        <v>2220</v>
      </c>
      <c r="AV463" s="320" t="s">
        <v>2232</v>
      </c>
      <c r="AW463" s="403" t="s">
        <v>3048</v>
      </c>
      <c r="AY463" s="414"/>
    </row>
    <row r="464" spans="1:51" ht="15" customHeight="1" x14ac:dyDescent="0.25">
      <c r="A464" s="294">
        <v>15764</v>
      </c>
      <c r="B464" s="53">
        <v>46051</v>
      </c>
      <c r="C464" s="53">
        <v>46051</v>
      </c>
      <c r="D464" s="2">
        <v>1</v>
      </c>
      <c r="E464" s="111" t="s">
        <v>54</v>
      </c>
      <c r="F464" s="21" t="s">
        <v>55</v>
      </c>
      <c r="G464" s="21">
        <v>6</v>
      </c>
      <c r="H464" s="21" t="s">
        <v>112</v>
      </c>
      <c r="I464" s="53">
        <v>46064</v>
      </c>
      <c r="J464" s="53">
        <v>46064</v>
      </c>
      <c r="K464" s="21">
        <v>6</v>
      </c>
      <c r="L464" s="21" t="s">
        <v>55</v>
      </c>
      <c r="M464" s="21" t="s">
        <v>55</v>
      </c>
      <c r="N464" s="21" t="s">
        <v>55</v>
      </c>
      <c r="O464" s="21" t="s">
        <v>55</v>
      </c>
      <c r="P464" s="21" t="s">
        <v>55</v>
      </c>
      <c r="Q464" s="21" t="s">
        <v>55</v>
      </c>
      <c r="R464" s="21" t="s">
        <v>55</v>
      </c>
      <c r="S464" s="21">
        <v>3</v>
      </c>
      <c r="T464" s="21">
        <v>3</v>
      </c>
      <c r="U464" s="21">
        <v>0</v>
      </c>
      <c r="V464" s="53">
        <v>46094</v>
      </c>
      <c r="W464" s="53">
        <v>46094</v>
      </c>
      <c r="X464" s="53">
        <v>46094</v>
      </c>
      <c r="Y464" s="53">
        <v>46136</v>
      </c>
      <c r="Z464" s="53">
        <v>46139</v>
      </c>
      <c r="AA464" s="21">
        <v>4</v>
      </c>
      <c r="AB464" s="152" t="s">
        <v>1438</v>
      </c>
      <c r="AC464" s="111" t="s">
        <v>1439</v>
      </c>
      <c r="AD464" s="19">
        <f t="shared" si="54"/>
        <v>1</v>
      </c>
      <c r="AE464" s="67">
        <f>IFERROR(NETWORKDAYS(B464,I464,Hoja1!$A$1:$A$29),"N/A")</f>
        <v>10</v>
      </c>
      <c r="AF464" s="21">
        <f>IFERROR(NETWORKDAYS(B464,W464,Hoja1!$A$1:$A$29),"N/A")</f>
        <v>32</v>
      </c>
      <c r="AG464" s="78">
        <v>7</v>
      </c>
      <c r="AH464" s="21">
        <f t="shared" si="52"/>
        <v>25</v>
      </c>
      <c r="AI464" s="21">
        <f>IFERROR(NETWORKDAYS(X464,Y464,Hoja1!$A$1:$A$29),"N/A")</f>
        <v>28</v>
      </c>
      <c r="AJ464" s="78">
        <v>24</v>
      </c>
      <c r="AK464" s="75">
        <f t="shared" si="53"/>
        <v>4</v>
      </c>
      <c r="AL464" s="21">
        <f>IFERROR(NETWORKDAYS(B464,Y464,Hoja1!$A$1:$A$29),"N/A")</f>
        <v>59</v>
      </c>
      <c r="AM464" s="21">
        <f t="shared" si="55"/>
        <v>28</v>
      </c>
      <c r="AN464" s="111"/>
      <c r="AO464" s="111"/>
      <c r="AP464" s="111"/>
      <c r="AQ464" s="111"/>
      <c r="AR464" s="111"/>
      <c r="AS464" s="111" t="s">
        <v>1901</v>
      </c>
      <c r="AT464" s="111" t="s">
        <v>1995</v>
      </c>
      <c r="AU464" s="111" t="s">
        <v>2217</v>
      </c>
      <c r="AV464" s="321" t="s">
        <v>2501</v>
      </c>
      <c r="AW464" s="403" t="s">
        <v>3049</v>
      </c>
      <c r="AY464" s="415"/>
    </row>
    <row r="465" spans="1:51" ht="15" customHeight="1" x14ac:dyDescent="0.25">
      <c r="A465" s="294">
        <v>15776</v>
      </c>
      <c r="B465" s="53">
        <v>46055</v>
      </c>
      <c r="C465" s="53">
        <v>46055</v>
      </c>
      <c r="D465" s="2">
        <v>1</v>
      </c>
      <c r="E465" s="111" t="s">
        <v>54</v>
      </c>
      <c r="F465" s="21" t="s">
        <v>55</v>
      </c>
      <c r="G465" s="21">
        <v>4</v>
      </c>
      <c r="H465" s="21" t="s">
        <v>112</v>
      </c>
      <c r="I465" s="53">
        <v>46086</v>
      </c>
      <c r="J465" s="53">
        <v>46091</v>
      </c>
      <c r="K465" s="21">
        <v>4</v>
      </c>
      <c r="L465" s="21" t="s">
        <v>55</v>
      </c>
      <c r="M465" s="21" t="s">
        <v>55</v>
      </c>
      <c r="N465" s="21" t="s">
        <v>55</v>
      </c>
      <c r="O465" s="21" t="s">
        <v>55</v>
      </c>
      <c r="P465" s="21" t="s">
        <v>55</v>
      </c>
      <c r="Q465" s="21" t="s">
        <v>55</v>
      </c>
      <c r="R465" s="21" t="s">
        <v>55</v>
      </c>
      <c r="S465" s="21">
        <v>4</v>
      </c>
      <c r="T465" s="21">
        <v>1</v>
      </c>
      <c r="U465" s="21">
        <v>0</v>
      </c>
      <c r="V465" s="53">
        <v>46100</v>
      </c>
      <c r="W465" s="28">
        <v>46100</v>
      </c>
      <c r="X465" s="53">
        <v>46102</v>
      </c>
      <c r="Y465" s="28">
        <v>46112</v>
      </c>
      <c r="Z465" s="53">
        <v>46118</v>
      </c>
      <c r="AA465" s="21">
        <v>4</v>
      </c>
      <c r="AB465" s="159" t="s">
        <v>1441</v>
      </c>
      <c r="AC465" s="111" t="s">
        <v>1442</v>
      </c>
      <c r="AD465" s="19">
        <f t="shared" si="54"/>
        <v>1</v>
      </c>
      <c r="AE465" s="67">
        <f>IFERROR(NETWORKDAYS(B465,I465,Hoja1!$A$1:$A$29),"N/A")</f>
        <v>24</v>
      </c>
      <c r="AF465" s="21">
        <f>IFERROR(NETWORKDAYS(B465,W465,Hoja1!$A$1:$A$29),"N/A")</f>
        <v>34</v>
      </c>
      <c r="AG465" s="78">
        <v>16</v>
      </c>
      <c r="AH465" s="21">
        <f t="shared" si="52"/>
        <v>18</v>
      </c>
      <c r="AI465" s="21">
        <f>IFERROR(NETWORKDAYS(X465,Y465,Hoja1!$A$1:$A$29),"N/A")</f>
        <v>6</v>
      </c>
      <c r="AJ465" s="78">
        <v>1</v>
      </c>
      <c r="AK465" s="75">
        <f t="shared" si="53"/>
        <v>5</v>
      </c>
      <c r="AL465" s="21">
        <f>IFERROR(NETWORKDAYS(B465,Y465,Hoja1!$A$1:$A$29),"N/A")</f>
        <v>41</v>
      </c>
      <c r="AM465" s="21">
        <f t="shared" si="55"/>
        <v>24</v>
      </c>
      <c r="AN465" s="87"/>
      <c r="AO465" s="87"/>
      <c r="AP465" s="87"/>
      <c r="AQ465" s="87"/>
      <c r="AR465" s="87"/>
      <c r="AS465" s="87" t="s">
        <v>1977</v>
      </c>
      <c r="AT465" s="87" t="s">
        <v>2078</v>
      </c>
      <c r="AU465" s="87" t="s">
        <v>2219</v>
      </c>
      <c r="AV465" s="320" t="s">
        <v>2502</v>
      </c>
      <c r="AW465" s="403" t="s">
        <v>3050</v>
      </c>
      <c r="AY465" s="414"/>
    </row>
    <row r="466" spans="1:51" ht="15" customHeight="1" x14ac:dyDescent="0.25">
      <c r="A466" s="301">
        <v>15778</v>
      </c>
      <c r="B466" s="28">
        <v>46055</v>
      </c>
      <c r="C466" s="28">
        <v>46055</v>
      </c>
      <c r="D466" s="33">
        <v>1</v>
      </c>
      <c r="E466" s="111" t="s">
        <v>54</v>
      </c>
      <c r="F466" s="33" t="s">
        <v>55</v>
      </c>
      <c r="G466" s="33">
        <v>0</v>
      </c>
      <c r="H466" s="33"/>
      <c r="I466" s="33" t="s">
        <v>55</v>
      </c>
      <c r="J466" s="33" t="s">
        <v>55</v>
      </c>
      <c r="K466" s="33">
        <v>0</v>
      </c>
      <c r="L466" s="33" t="s">
        <v>55</v>
      </c>
      <c r="M466" s="33" t="s">
        <v>55</v>
      </c>
      <c r="N466" s="33" t="s">
        <v>55</v>
      </c>
      <c r="O466" s="33" t="s">
        <v>55</v>
      </c>
      <c r="P466" s="33" t="s">
        <v>55</v>
      </c>
      <c r="Q466" s="33" t="s">
        <v>55</v>
      </c>
      <c r="R466" s="33" t="s">
        <v>55</v>
      </c>
      <c r="S466" s="33">
        <v>1</v>
      </c>
      <c r="T466" s="33">
        <v>1</v>
      </c>
      <c r="U466" s="33">
        <v>0</v>
      </c>
      <c r="V466" s="28">
        <v>46063</v>
      </c>
      <c r="W466" s="28">
        <v>46097</v>
      </c>
      <c r="X466" s="28">
        <v>46097</v>
      </c>
      <c r="Y466" s="16">
        <v>46113</v>
      </c>
      <c r="Z466" s="53">
        <v>46118</v>
      </c>
      <c r="AA466" s="33">
        <v>4</v>
      </c>
      <c r="AB466" s="144" t="s">
        <v>1444</v>
      </c>
      <c r="AC466" s="35" t="s">
        <v>1445</v>
      </c>
      <c r="AD466" s="19" t="str">
        <f t="shared" si="54"/>
        <v>N/A</v>
      </c>
      <c r="AE466" s="67" t="str">
        <f>IFERROR(NETWORKDAYS(B466,I466,Hoja1!$A$1:$A$29),"N/A")</f>
        <v>N/A</v>
      </c>
      <c r="AF466" s="21">
        <f>IFERROR(NETWORKDAYS(B466,W466,Hoja1!$A$1:$A$29),"N/A")</f>
        <v>31</v>
      </c>
      <c r="AG466" s="78">
        <v>24</v>
      </c>
      <c r="AH466" s="21">
        <f t="shared" si="52"/>
        <v>7</v>
      </c>
      <c r="AI466" s="21">
        <f>IFERROR(NETWORKDAYS(X466,Y466,Hoja1!$A$1:$A$29),"N/A")</f>
        <v>12</v>
      </c>
      <c r="AJ466" s="78">
        <v>7</v>
      </c>
      <c r="AK466" s="75">
        <f t="shared" si="53"/>
        <v>5</v>
      </c>
      <c r="AL466" s="21">
        <f>IFERROR(NETWORKDAYS(B466,Y466,Hoja1!$A$1:$A$29),"N/A")</f>
        <v>42</v>
      </c>
      <c r="AM466" s="21">
        <f t="shared" si="55"/>
        <v>11</v>
      </c>
      <c r="AN466" s="87"/>
      <c r="AO466" s="87"/>
      <c r="AP466" s="87"/>
      <c r="AQ466" s="87"/>
      <c r="AR466" s="87"/>
      <c r="AS466" s="87" t="s">
        <v>1978</v>
      </c>
      <c r="AT466" s="87" t="s">
        <v>2161</v>
      </c>
      <c r="AU466" s="87" t="s">
        <v>2210</v>
      </c>
      <c r="AV466" s="320" t="s">
        <v>2503</v>
      </c>
      <c r="AW466" s="403" t="s">
        <v>3051</v>
      </c>
      <c r="AY466" s="415"/>
    </row>
    <row r="467" spans="1:51" ht="15" customHeight="1" x14ac:dyDescent="0.25">
      <c r="A467" s="301">
        <v>15793</v>
      </c>
      <c r="B467" s="116">
        <v>46057</v>
      </c>
      <c r="C467" s="116">
        <v>46056</v>
      </c>
      <c r="D467" s="1">
        <v>1</v>
      </c>
      <c r="E467" s="111" t="s">
        <v>54</v>
      </c>
      <c r="F467" s="28">
        <v>46062</v>
      </c>
      <c r="G467" s="33">
        <v>5</v>
      </c>
      <c r="H467" s="21" t="s">
        <v>112</v>
      </c>
      <c r="I467" s="28">
        <v>46066</v>
      </c>
      <c r="J467" s="28">
        <v>46066</v>
      </c>
      <c r="K467" s="33">
        <v>5</v>
      </c>
      <c r="L467" s="28">
        <v>46058</v>
      </c>
      <c r="M467" s="28">
        <v>46063</v>
      </c>
      <c r="N467" s="28">
        <v>46065</v>
      </c>
      <c r="O467" s="33" t="s">
        <v>55</v>
      </c>
      <c r="P467" s="33" t="s">
        <v>55</v>
      </c>
      <c r="Q467" s="33" t="s">
        <v>55</v>
      </c>
      <c r="R467" s="28">
        <v>46087</v>
      </c>
      <c r="S467" s="33">
        <v>6</v>
      </c>
      <c r="T467" s="33">
        <v>6</v>
      </c>
      <c r="U467" s="33">
        <v>0</v>
      </c>
      <c r="V467" s="38">
        <v>46097</v>
      </c>
      <c r="W467" s="180">
        <v>46108</v>
      </c>
      <c r="X467" s="53">
        <v>46111</v>
      </c>
      <c r="Y467" s="180">
        <v>46126</v>
      </c>
      <c r="Z467" s="180">
        <v>46127</v>
      </c>
      <c r="AA467" s="33">
        <f t="shared" ref="AA467:AA472" si="56">MONTH(Z467)</f>
        <v>4</v>
      </c>
      <c r="AB467" s="144" t="s">
        <v>1448</v>
      </c>
      <c r="AC467" s="114" t="s">
        <v>1449</v>
      </c>
      <c r="AD467" s="19">
        <f t="shared" si="54"/>
        <v>1</v>
      </c>
      <c r="AE467" s="67">
        <f>IFERROR(NETWORKDAYS(B467,I467,Hoja1!$A$1:$A$29),"N/A")</f>
        <v>8</v>
      </c>
      <c r="AF467" s="21">
        <f>IFERROR(NETWORKDAYS(B467,W467,Hoja1!$A$1:$A$29),"N/A")</f>
        <v>37</v>
      </c>
      <c r="AG467" s="78">
        <v>14</v>
      </c>
      <c r="AH467" s="21">
        <f t="shared" si="52"/>
        <v>23</v>
      </c>
      <c r="AI467" s="21">
        <f>IFERROR(NETWORKDAYS(X467,Y467,Hoja1!$A$1:$A$29),"N/A")</f>
        <v>10</v>
      </c>
      <c r="AJ467" s="78">
        <v>5</v>
      </c>
      <c r="AK467" s="75">
        <f t="shared" si="53"/>
        <v>5</v>
      </c>
      <c r="AL467" s="21">
        <f>IFERROR(NETWORKDAYS(B467,Y467,Hoja1!$A$1:$A$29),"N/A")</f>
        <v>47</v>
      </c>
      <c r="AM467" s="21">
        <f t="shared" si="55"/>
        <v>28</v>
      </c>
      <c r="AN467" s="87"/>
      <c r="AO467" s="87"/>
      <c r="AP467" s="87"/>
      <c r="AQ467" s="87"/>
      <c r="AR467" s="87"/>
      <c r="AS467" s="87" t="s">
        <v>1889</v>
      </c>
      <c r="AT467" s="87" t="s">
        <v>2162</v>
      </c>
      <c r="AU467" s="87" t="s">
        <v>2220</v>
      </c>
      <c r="AV467" s="320" t="s">
        <v>2504</v>
      </c>
      <c r="AW467" s="403" t="s">
        <v>3052</v>
      </c>
      <c r="AY467" s="414"/>
    </row>
    <row r="468" spans="1:51" ht="15" customHeight="1" x14ac:dyDescent="0.25">
      <c r="A468" s="301">
        <v>15794</v>
      </c>
      <c r="B468" s="116">
        <v>46086</v>
      </c>
      <c r="C468" s="116">
        <v>46056</v>
      </c>
      <c r="D468" s="1">
        <v>1</v>
      </c>
      <c r="E468" s="111" t="s">
        <v>54</v>
      </c>
      <c r="F468" s="168" t="s">
        <v>55</v>
      </c>
      <c r="G468" s="33">
        <v>0</v>
      </c>
      <c r="H468" s="21"/>
      <c r="I468" s="168" t="s">
        <v>55</v>
      </c>
      <c r="J468" s="168" t="s">
        <v>55</v>
      </c>
      <c r="K468" s="33">
        <v>0</v>
      </c>
      <c r="L468" s="168" t="s">
        <v>55</v>
      </c>
      <c r="M468" s="168" t="s">
        <v>55</v>
      </c>
      <c r="N468" s="168" t="s">
        <v>55</v>
      </c>
      <c r="O468" s="33" t="s">
        <v>55</v>
      </c>
      <c r="P468" s="33" t="s">
        <v>55</v>
      </c>
      <c r="Q468" s="33" t="s">
        <v>55</v>
      </c>
      <c r="R468" s="168" t="s">
        <v>55</v>
      </c>
      <c r="S468" s="33">
        <v>3</v>
      </c>
      <c r="T468" s="33">
        <v>3</v>
      </c>
      <c r="U468" s="33">
        <v>0</v>
      </c>
      <c r="V468" s="53">
        <v>46094</v>
      </c>
      <c r="W468" s="180">
        <v>46108</v>
      </c>
      <c r="X468" s="53">
        <v>46111</v>
      </c>
      <c r="Y468" s="180">
        <v>46126</v>
      </c>
      <c r="Z468" s="180">
        <v>46127</v>
      </c>
      <c r="AA468" s="33">
        <f t="shared" si="56"/>
        <v>4</v>
      </c>
      <c r="AB468" s="144" t="s">
        <v>1452</v>
      </c>
      <c r="AC468" s="114" t="s">
        <v>1453</v>
      </c>
      <c r="AD468" s="19" t="str">
        <f t="shared" si="54"/>
        <v>N/A</v>
      </c>
      <c r="AE468" s="67" t="str">
        <f>IFERROR(NETWORKDAYS(B468,I468,Hoja1!$A$1:$A$29),"N/A")</f>
        <v>N/A</v>
      </c>
      <c r="AF468" s="21">
        <f>IFERROR(NETWORKDAYS(B468,W468,Hoja1!$A$1:$A$29),"N/A")</f>
        <v>16</v>
      </c>
      <c r="AG468" s="78">
        <v>6</v>
      </c>
      <c r="AH468" s="21">
        <f t="shared" si="52"/>
        <v>10</v>
      </c>
      <c r="AI468" s="21">
        <f>IFERROR(NETWORKDAYS(X468,Y468,Hoja1!$A$1:$A$29),"N/A")</f>
        <v>10</v>
      </c>
      <c r="AJ468" s="78">
        <v>5</v>
      </c>
      <c r="AK468" s="75">
        <f t="shared" si="53"/>
        <v>5</v>
      </c>
      <c r="AL468" s="21">
        <f>IFERROR(NETWORKDAYS(B468,Y468,Hoja1!$A$1:$A$29),"N/A")</f>
        <v>26</v>
      </c>
      <c r="AM468" s="21">
        <f t="shared" si="55"/>
        <v>15</v>
      </c>
      <c r="AN468" s="87"/>
      <c r="AO468" s="87"/>
      <c r="AP468" s="87"/>
      <c r="AQ468" s="87"/>
      <c r="AR468" s="87"/>
      <c r="AS468" s="87" t="s">
        <v>1889</v>
      </c>
      <c r="AT468" s="87" t="s">
        <v>2163</v>
      </c>
      <c r="AU468" s="87" t="s">
        <v>2220</v>
      </c>
      <c r="AV468" s="320" t="s">
        <v>2505</v>
      </c>
      <c r="AW468" s="403" t="s">
        <v>3053</v>
      </c>
      <c r="AY468" s="415"/>
    </row>
    <row r="469" spans="1:51" ht="15" customHeight="1" x14ac:dyDescent="0.25">
      <c r="A469" s="301">
        <v>15795</v>
      </c>
      <c r="B469" s="116">
        <v>46056</v>
      </c>
      <c r="C469" s="116">
        <v>46056</v>
      </c>
      <c r="D469" s="1">
        <v>1</v>
      </c>
      <c r="E469" s="111" t="s">
        <v>54</v>
      </c>
      <c r="F469" s="33" t="s">
        <v>55</v>
      </c>
      <c r="G469" s="33">
        <v>3</v>
      </c>
      <c r="H469" s="21" t="s">
        <v>112</v>
      </c>
      <c r="I469" s="28">
        <v>46085</v>
      </c>
      <c r="J469" s="28">
        <v>46091</v>
      </c>
      <c r="K469" s="33">
        <v>3</v>
      </c>
      <c r="L469" s="33" t="s">
        <v>55</v>
      </c>
      <c r="M469" s="33" t="s">
        <v>55</v>
      </c>
      <c r="N469" s="33" t="s">
        <v>55</v>
      </c>
      <c r="O469" s="33" t="s">
        <v>55</v>
      </c>
      <c r="P469" s="33" t="s">
        <v>55</v>
      </c>
      <c r="Q469" s="33" t="s">
        <v>55</v>
      </c>
      <c r="R469" s="21" t="s">
        <v>55</v>
      </c>
      <c r="S469" s="33">
        <v>2</v>
      </c>
      <c r="T469" s="33">
        <v>1</v>
      </c>
      <c r="U469" s="33">
        <v>0</v>
      </c>
      <c r="V469" s="38">
        <v>46093</v>
      </c>
      <c r="W469" s="180">
        <v>46094</v>
      </c>
      <c r="X469" s="180">
        <v>46094</v>
      </c>
      <c r="Y469" s="28">
        <v>46112</v>
      </c>
      <c r="Z469" s="53">
        <v>46118</v>
      </c>
      <c r="AA469" s="33">
        <f t="shared" si="56"/>
        <v>4</v>
      </c>
      <c r="AB469" s="144" t="s">
        <v>1455</v>
      </c>
      <c r="AC469" s="114" t="s">
        <v>1456</v>
      </c>
      <c r="AD469" s="19">
        <f t="shared" si="54"/>
        <v>1</v>
      </c>
      <c r="AE469" s="67">
        <f>IFERROR(NETWORKDAYS(B469,I469,Hoja1!$A$1:$A$29),"N/A")</f>
        <v>22</v>
      </c>
      <c r="AF469" s="21">
        <f>IFERROR(NETWORKDAYS(B469,W469,Hoja1!$A$1:$A$29),"N/A")</f>
        <v>29</v>
      </c>
      <c r="AG469" s="78">
        <v>13</v>
      </c>
      <c r="AH469" s="21">
        <f t="shared" si="52"/>
        <v>16</v>
      </c>
      <c r="AI469" s="21">
        <f>IFERROR(NETWORKDAYS(X469,Y469,Hoja1!$A$1:$A$29),"N/A")</f>
        <v>12</v>
      </c>
      <c r="AJ469" s="78">
        <v>7</v>
      </c>
      <c r="AK469" s="75">
        <f t="shared" si="53"/>
        <v>5</v>
      </c>
      <c r="AL469" s="21">
        <f>IFERROR(NETWORKDAYS(B469,Y469,Hoja1!$A$1:$A$29),"N/A")</f>
        <v>40</v>
      </c>
      <c r="AM469" s="21">
        <f t="shared" si="55"/>
        <v>20</v>
      </c>
      <c r="AN469" s="111" t="s">
        <v>881</v>
      </c>
      <c r="AO469" s="84"/>
      <c r="AP469" s="84"/>
      <c r="AQ469" s="84"/>
      <c r="AR469" s="84"/>
      <c r="AS469" s="84" t="s">
        <v>1906</v>
      </c>
      <c r="AT469" s="84" t="s">
        <v>2012</v>
      </c>
      <c r="AU469" s="84" t="s">
        <v>2220</v>
      </c>
      <c r="AV469" s="324" t="s">
        <v>2506</v>
      </c>
      <c r="AW469" s="403" t="s">
        <v>3054</v>
      </c>
      <c r="AY469" s="414"/>
    </row>
    <row r="470" spans="1:51" ht="15" customHeight="1" x14ac:dyDescent="0.25">
      <c r="A470" s="301">
        <v>15805</v>
      </c>
      <c r="B470" s="116">
        <v>46093</v>
      </c>
      <c r="C470" s="116">
        <v>46057</v>
      </c>
      <c r="D470" s="1">
        <v>1</v>
      </c>
      <c r="E470" s="111" t="s">
        <v>54</v>
      </c>
      <c r="F470" s="33" t="s">
        <v>55</v>
      </c>
      <c r="G470" s="33">
        <v>0</v>
      </c>
      <c r="H470" s="1"/>
      <c r="I470" s="33" t="s">
        <v>55</v>
      </c>
      <c r="J470" s="33" t="s">
        <v>55</v>
      </c>
      <c r="K470" s="33">
        <v>0</v>
      </c>
      <c r="L470" s="33" t="s">
        <v>55</v>
      </c>
      <c r="M470" s="33" t="s">
        <v>55</v>
      </c>
      <c r="N470" s="33" t="s">
        <v>55</v>
      </c>
      <c r="O470" s="33" t="s">
        <v>55</v>
      </c>
      <c r="P470" s="33" t="s">
        <v>55</v>
      </c>
      <c r="Q470" s="33" t="s">
        <v>55</v>
      </c>
      <c r="R470" s="33" t="s">
        <v>55</v>
      </c>
      <c r="S470" s="33">
        <v>2</v>
      </c>
      <c r="T470" s="33">
        <v>2</v>
      </c>
      <c r="U470" s="33">
        <v>0</v>
      </c>
      <c r="V470" s="53">
        <v>46099</v>
      </c>
      <c r="W470" s="180">
        <v>46101</v>
      </c>
      <c r="X470" s="180">
        <v>46105</v>
      </c>
      <c r="Y470" s="28">
        <v>46113</v>
      </c>
      <c r="Z470" s="53">
        <v>46118</v>
      </c>
      <c r="AA470" s="33">
        <f t="shared" si="56"/>
        <v>4</v>
      </c>
      <c r="AB470" s="144" t="s">
        <v>1458</v>
      </c>
      <c r="AC470" s="114" t="s">
        <v>1459</v>
      </c>
      <c r="AD470" s="19" t="str">
        <f t="shared" si="54"/>
        <v>N/A</v>
      </c>
      <c r="AE470" s="67" t="str">
        <f>IFERROR(NETWORKDAYS(B470,I470,Hoja1!$A$1:$A$29),"N/A")</f>
        <v>N/A</v>
      </c>
      <c r="AF470" s="21">
        <f>IFERROR(NETWORKDAYS(B470,W470,Hoja1!$A$1:$A$29),"N/A")</f>
        <v>7</v>
      </c>
      <c r="AG470" s="78">
        <v>0</v>
      </c>
      <c r="AH470" s="21">
        <f t="shared" si="52"/>
        <v>7</v>
      </c>
      <c r="AI470" s="21">
        <f>IFERROR(NETWORKDAYS(X470,Y470,Hoja1!$A$1:$A$29),"N/A")</f>
        <v>7</v>
      </c>
      <c r="AJ470" s="78">
        <v>2</v>
      </c>
      <c r="AK470" s="75">
        <f t="shared" si="53"/>
        <v>5</v>
      </c>
      <c r="AL470" s="21">
        <f>IFERROR(NETWORKDAYS(B470,Y470,Hoja1!$A$1:$A$29),"N/A")</f>
        <v>14</v>
      </c>
      <c r="AM470" s="21">
        <f t="shared" si="55"/>
        <v>12</v>
      </c>
      <c r="AN470" s="87"/>
      <c r="AO470" s="87"/>
      <c r="AP470" s="87"/>
      <c r="AQ470" s="87"/>
      <c r="AR470" s="87"/>
      <c r="AS470" s="87" t="s">
        <v>1918</v>
      </c>
      <c r="AT470" s="87" t="s">
        <v>2056</v>
      </c>
      <c r="AU470" s="87" t="s">
        <v>2220</v>
      </c>
      <c r="AV470" s="320" t="s">
        <v>2507</v>
      </c>
      <c r="AW470" s="403" t="s">
        <v>3055</v>
      </c>
      <c r="AY470" s="415"/>
    </row>
    <row r="471" spans="1:51" ht="15" customHeight="1" x14ac:dyDescent="0.25">
      <c r="A471" s="301">
        <v>15807</v>
      </c>
      <c r="B471" s="116">
        <v>46058</v>
      </c>
      <c r="C471" s="116">
        <v>46058</v>
      </c>
      <c r="D471" s="33">
        <v>1</v>
      </c>
      <c r="E471" s="111" t="s">
        <v>54</v>
      </c>
      <c r="F471" s="33" t="s">
        <v>55</v>
      </c>
      <c r="G471" s="33">
        <v>7</v>
      </c>
      <c r="H471" s="21" t="s">
        <v>56</v>
      </c>
      <c r="I471" s="28">
        <v>46090</v>
      </c>
      <c r="J471" s="28">
        <v>46093</v>
      </c>
      <c r="K471" s="33">
        <v>7</v>
      </c>
      <c r="L471" s="33" t="s">
        <v>55</v>
      </c>
      <c r="M471" s="33" t="s">
        <v>55</v>
      </c>
      <c r="N471" s="33" t="s">
        <v>55</v>
      </c>
      <c r="O471" s="33" t="s">
        <v>55</v>
      </c>
      <c r="P471" s="33" t="s">
        <v>55</v>
      </c>
      <c r="Q471" s="33" t="s">
        <v>55</v>
      </c>
      <c r="R471" s="21" t="s">
        <v>55</v>
      </c>
      <c r="S471" s="33">
        <v>2</v>
      </c>
      <c r="T471" s="33">
        <v>2</v>
      </c>
      <c r="U471" s="33">
        <v>0</v>
      </c>
      <c r="V471" s="28">
        <v>46100</v>
      </c>
      <c r="W471" s="180">
        <v>46101</v>
      </c>
      <c r="X471" s="180">
        <v>46105</v>
      </c>
      <c r="Y471" s="28">
        <v>46113</v>
      </c>
      <c r="Z471" s="53">
        <v>46118</v>
      </c>
      <c r="AA471" s="33">
        <f t="shared" si="56"/>
        <v>4</v>
      </c>
      <c r="AB471" s="144" t="s">
        <v>1461</v>
      </c>
      <c r="AC471" s="114" t="s">
        <v>1462</v>
      </c>
      <c r="AD471" s="19">
        <f t="shared" si="54"/>
        <v>1</v>
      </c>
      <c r="AE471" s="67">
        <f>IFERROR(NETWORKDAYS(B471,I471,Hoja1!$A$1:$A$29),"N/A")</f>
        <v>23</v>
      </c>
      <c r="AF471" s="21">
        <f>IFERROR(NETWORKDAYS(B471,W471,Hoja1!$A$1:$A$29),"N/A")</f>
        <v>32</v>
      </c>
      <c r="AG471" s="78">
        <v>0</v>
      </c>
      <c r="AH471" s="21">
        <f t="shared" si="52"/>
        <v>32</v>
      </c>
      <c r="AI471" s="21">
        <f>IFERROR(NETWORKDAYS(X471,Y471,Hoja1!$A$1:$A$29),"N/A")</f>
        <v>7</v>
      </c>
      <c r="AJ471" s="78">
        <v>2</v>
      </c>
      <c r="AK471" s="75">
        <f t="shared" si="53"/>
        <v>5</v>
      </c>
      <c r="AL471" s="21">
        <f>IFERROR(NETWORKDAYS(B471,Y471,Hoja1!$A$1:$A$29),"N/A")</f>
        <v>39</v>
      </c>
      <c r="AM471" s="21">
        <f t="shared" si="55"/>
        <v>37</v>
      </c>
      <c r="AN471" s="87"/>
      <c r="AO471" s="87"/>
      <c r="AP471" s="87"/>
      <c r="AQ471" s="87"/>
      <c r="AR471" s="87"/>
      <c r="AS471" s="87" t="s">
        <v>1932</v>
      </c>
      <c r="AT471" s="87" t="s">
        <v>1994</v>
      </c>
      <c r="AU471" s="87" t="s">
        <v>2220</v>
      </c>
      <c r="AV471" s="320" t="s">
        <v>2232</v>
      </c>
      <c r="AW471" s="403" t="s">
        <v>3056</v>
      </c>
      <c r="AY471" s="414"/>
    </row>
    <row r="472" spans="1:51" ht="15" customHeight="1" x14ac:dyDescent="0.25">
      <c r="A472" s="301">
        <v>15808</v>
      </c>
      <c r="B472" s="116">
        <v>46079</v>
      </c>
      <c r="C472" s="116">
        <v>46058</v>
      </c>
      <c r="D472" s="3">
        <v>1</v>
      </c>
      <c r="E472" s="111" t="s">
        <v>54</v>
      </c>
      <c r="F472" s="33" t="s">
        <v>55</v>
      </c>
      <c r="G472" s="33">
        <v>9</v>
      </c>
      <c r="H472" s="21" t="s">
        <v>56</v>
      </c>
      <c r="I472" s="28">
        <v>46090</v>
      </c>
      <c r="J472" s="28">
        <v>46093</v>
      </c>
      <c r="K472" s="33">
        <v>9</v>
      </c>
      <c r="L472" s="33" t="s">
        <v>55</v>
      </c>
      <c r="M472" s="33" t="s">
        <v>55</v>
      </c>
      <c r="N472" s="33" t="s">
        <v>55</v>
      </c>
      <c r="O472" s="33" t="s">
        <v>55</v>
      </c>
      <c r="P472" s="33" t="s">
        <v>55</v>
      </c>
      <c r="Q472" s="33" t="s">
        <v>55</v>
      </c>
      <c r="R472" s="21" t="s">
        <v>55</v>
      </c>
      <c r="S472" s="33">
        <v>2</v>
      </c>
      <c r="T472" s="33">
        <v>2</v>
      </c>
      <c r="U472" s="33">
        <v>0</v>
      </c>
      <c r="V472" s="28">
        <v>46100</v>
      </c>
      <c r="W472" s="180">
        <v>46101</v>
      </c>
      <c r="X472" s="180">
        <v>46105</v>
      </c>
      <c r="Y472" s="28">
        <v>46113</v>
      </c>
      <c r="Z472" s="53">
        <v>46118</v>
      </c>
      <c r="AA472" s="33">
        <f t="shared" si="56"/>
        <v>4</v>
      </c>
      <c r="AB472" s="144" t="s">
        <v>1463</v>
      </c>
      <c r="AC472" s="114" t="s">
        <v>1464</v>
      </c>
      <c r="AD472" s="19">
        <f t="shared" si="54"/>
        <v>1</v>
      </c>
      <c r="AE472" s="67">
        <f>IFERROR(NETWORKDAYS(B472,I472,Hoja1!$A$1:$A$29),"N/A")</f>
        <v>8</v>
      </c>
      <c r="AF472" s="21">
        <f>IFERROR(NETWORKDAYS(B472,W472,Hoja1!$A$1:$A$29),"N/A")</f>
        <v>17</v>
      </c>
      <c r="AG472" s="78">
        <v>0</v>
      </c>
      <c r="AH472" s="21">
        <f t="shared" si="52"/>
        <v>17</v>
      </c>
      <c r="AI472" s="21">
        <f>IFERROR(NETWORKDAYS(X472,Y472,Hoja1!$A$1:$A$29),"N/A")</f>
        <v>7</v>
      </c>
      <c r="AJ472" s="78">
        <v>2</v>
      </c>
      <c r="AK472" s="75">
        <f t="shared" si="53"/>
        <v>5</v>
      </c>
      <c r="AL472" s="21">
        <f>IFERROR(NETWORKDAYS(B472,Y472,Hoja1!$A$1:$A$29),"N/A")</f>
        <v>24</v>
      </c>
      <c r="AM472" s="21">
        <f t="shared" si="55"/>
        <v>22</v>
      </c>
      <c r="AN472" s="111" t="s">
        <v>1376</v>
      </c>
      <c r="AO472" s="114"/>
      <c r="AP472" s="114"/>
      <c r="AQ472" s="114"/>
      <c r="AR472" s="114"/>
      <c r="AS472" s="114" t="s">
        <v>1932</v>
      </c>
      <c r="AT472" s="114" t="s">
        <v>1994</v>
      </c>
      <c r="AU472" s="114" t="s">
        <v>2220</v>
      </c>
      <c r="AV472" s="322" t="s">
        <v>2232</v>
      </c>
      <c r="AW472" s="403" t="s">
        <v>3057</v>
      </c>
      <c r="AY472" s="415"/>
    </row>
    <row r="473" spans="1:51" ht="15" customHeight="1" x14ac:dyDescent="0.25">
      <c r="A473" s="301">
        <v>15811</v>
      </c>
      <c r="B473" s="180">
        <v>46112</v>
      </c>
      <c r="C473" s="28">
        <v>46058</v>
      </c>
      <c r="D473" s="33">
        <v>1</v>
      </c>
      <c r="E473" s="111" t="s">
        <v>54</v>
      </c>
      <c r="F473" s="33" t="s">
        <v>55</v>
      </c>
      <c r="G473" s="33">
        <v>0</v>
      </c>
      <c r="H473" s="33"/>
      <c r="I473" s="21" t="s">
        <v>55</v>
      </c>
      <c r="J473" s="21" t="s">
        <v>55</v>
      </c>
      <c r="K473" s="33">
        <v>0</v>
      </c>
      <c r="L473" s="33" t="s">
        <v>55</v>
      </c>
      <c r="M473" s="33" t="s">
        <v>55</v>
      </c>
      <c r="N473" s="33" t="s">
        <v>55</v>
      </c>
      <c r="O473" s="33" t="s">
        <v>55</v>
      </c>
      <c r="P473" s="33" t="s">
        <v>55</v>
      </c>
      <c r="Q473" s="33" t="s">
        <v>55</v>
      </c>
      <c r="R473" s="33" t="s">
        <v>55</v>
      </c>
      <c r="S473" s="33">
        <v>1</v>
      </c>
      <c r="T473" s="33">
        <v>1</v>
      </c>
      <c r="U473" s="33">
        <v>0</v>
      </c>
      <c r="V473" s="28">
        <v>46120</v>
      </c>
      <c r="W473" s="28">
        <v>46120</v>
      </c>
      <c r="X473" s="28">
        <v>46120</v>
      </c>
      <c r="Y473" s="180">
        <v>46126</v>
      </c>
      <c r="Z473" s="180">
        <v>46127</v>
      </c>
      <c r="AA473" s="33">
        <v>4</v>
      </c>
      <c r="AB473" s="144" t="s">
        <v>1466</v>
      </c>
      <c r="AC473" s="35" t="s">
        <v>1467</v>
      </c>
      <c r="AD473" s="19" t="str">
        <f t="shared" si="54"/>
        <v>N/A</v>
      </c>
      <c r="AE473" s="67" t="str">
        <f>IFERROR(NETWORKDAYS(B473,I473,Hoja1!$A$1:$A$29),"N/A")</f>
        <v>N/A</v>
      </c>
      <c r="AF473" s="21">
        <f>IFERROR(NETWORKDAYS(B473,W473,Hoja1!$A$1:$A$29),"N/A")</f>
        <v>5</v>
      </c>
      <c r="AG473" s="78">
        <v>0</v>
      </c>
      <c r="AH473" s="21">
        <f t="shared" si="52"/>
        <v>5</v>
      </c>
      <c r="AI473" s="21">
        <f>IFERROR(NETWORKDAYS(X473,Y473,Hoja1!$A$1:$A$29),"N/A")</f>
        <v>5</v>
      </c>
      <c r="AJ473" s="78">
        <v>0</v>
      </c>
      <c r="AK473" s="75">
        <f t="shared" si="53"/>
        <v>5</v>
      </c>
      <c r="AL473" s="21">
        <f>IFERROR(NETWORKDAYS(B473,Y473,Hoja1!$A$1:$A$29),"N/A")</f>
        <v>9</v>
      </c>
      <c r="AM473" s="21">
        <f t="shared" si="55"/>
        <v>9</v>
      </c>
      <c r="AN473" s="87" t="s">
        <v>881</v>
      </c>
      <c r="AO473" s="87" t="s">
        <v>1376</v>
      </c>
      <c r="AP473" s="87" t="s">
        <v>1379</v>
      </c>
      <c r="AQ473" s="87" t="s">
        <v>1376</v>
      </c>
      <c r="AR473" s="87"/>
      <c r="AS473" s="87" t="s">
        <v>1888</v>
      </c>
      <c r="AT473" s="87" t="s">
        <v>2164</v>
      </c>
      <c r="AU473" s="87" t="s">
        <v>2222</v>
      </c>
      <c r="AV473" s="320" t="s">
        <v>2499</v>
      </c>
      <c r="AW473" s="403" t="s">
        <v>3058</v>
      </c>
      <c r="AY473" s="414"/>
    </row>
    <row r="474" spans="1:51" ht="15" customHeight="1" x14ac:dyDescent="0.25">
      <c r="A474" s="294">
        <v>15829</v>
      </c>
      <c r="B474" s="53">
        <v>46062</v>
      </c>
      <c r="C474" s="53">
        <v>46062</v>
      </c>
      <c r="D474" s="2">
        <v>1</v>
      </c>
      <c r="E474" s="111" t="s">
        <v>54</v>
      </c>
      <c r="F474" s="21" t="s">
        <v>55</v>
      </c>
      <c r="G474" s="21">
        <v>5</v>
      </c>
      <c r="H474" s="21" t="s">
        <v>56</v>
      </c>
      <c r="I474" s="53">
        <v>46073</v>
      </c>
      <c r="J474" s="53">
        <v>46073</v>
      </c>
      <c r="K474" s="21">
        <v>5</v>
      </c>
      <c r="L474" s="21" t="s">
        <v>55</v>
      </c>
      <c r="M474" s="21" t="s">
        <v>55</v>
      </c>
      <c r="N474" s="21" t="s">
        <v>55</v>
      </c>
      <c r="O474" s="21" t="s">
        <v>55</v>
      </c>
      <c r="P474" s="21" t="s">
        <v>55</v>
      </c>
      <c r="Q474" s="21" t="s">
        <v>55</v>
      </c>
      <c r="R474" s="21" t="s">
        <v>55</v>
      </c>
      <c r="S474" s="21">
        <v>4</v>
      </c>
      <c r="T474" s="21">
        <v>3</v>
      </c>
      <c r="U474" s="21">
        <v>0</v>
      </c>
      <c r="V474" s="53">
        <v>46094</v>
      </c>
      <c r="W474" s="53">
        <v>46094</v>
      </c>
      <c r="X474" s="53">
        <v>46094</v>
      </c>
      <c r="Y474" s="53">
        <v>46107</v>
      </c>
      <c r="Z474" s="53">
        <v>46118</v>
      </c>
      <c r="AA474" s="21">
        <v>4</v>
      </c>
      <c r="AB474" s="152" t="s">
        <v>1468</v>
      </c>
      <c r="AC474" s="111" t="s">
        <v>1469</v>
      </c>
      <c r="AD474" s="19">
        <f t="shared" si="54"/>
        <v>1</v>
      </c>
      <c r="AE474" s="67">
        <f>IFERROR(NETWORKDAYS(B474,I474,Hoja1!$A$1:$A$29),"N/A")</f>
        <v>10</v>
      </c>
      <c r="AF474" s="21">
        <f>IFERROR(NETWORKDAYS(B474,W474,Hoja1!$A$1:$A$29),"N/A")</f>
        <v>25</v>
      </c>
      <c r="AG474" s="78">
        <v>6</v>
      </c>
      <c r="AH474" s="21">
        <f t="shared" si="52"/>
        <v>19</v>
      </c>
      <c r="AI474" s="21">
        <f>IFERROR(NETWORKDAYS(X474,Y474,Hoja1!$A$1:$A$29),"N/A")</f>
        <v>9</v>
      </c>
      <c r="AJ474" s="78">
        <v>5</v>
      </c>
      <c r="AK474" s="75">
        <f t="shared" si="53"/>
        <v>4</v>
      </c>
      <c r="AL474" s="21">
        <f>IFERROR(NETWORKDAYS(B474,Y474,Hoja1!$A$1:$A$29),"N/A")</f>
        <v>33</v>
      </c>
      <c r="AM474" s="21">
        <f t="shared" si="55"/>
        <v>22</v>
      </c>
      <c r="AN474" s="111"/>
      <c r="AO474" s="111"/>
      <c r="AP474" s="111"/>
      <c r="AQ474" s="111"/>
      <c r="AR474" s="111"/>
      <c r="AS474" s="111" t="s">
        <v>1925</v>
      </c>
      <c r="AT474" s="111" t="s">
        <v>1994</v>
      </c>
      <c r="AU474" s="111" t="s">
        <v>2217</v>
      </c>
      <c r="AV474" s="321" t="s">
        <v>2239</v>
      </c>
      <c r="AW474" s="403" t="s">
        <v>3059</v>
      </c>
      <c r="AY474" s="415"/>
    </row>
    <row r="475" spans="1:51" ht="15" customHeight="1" x14ac:dyDescent="0.25">
      <c r="A475" s="294">
        <v>15838</v>
      </c>
      <c r="B475" s="53">
        <v>46063</v>
      </c>
      <c r="C475" s="53">
        <v>46063</v>
      </c>
      <c r="D475" s="2">
        <v>1</v>
      </c>
      <c r="E475" s="111" t="s">
        <v>54</v>
      </c>
      <c r="F475" s="21" t="s">
        <v>55</v>
      </c>
      <c r="G475" s="21">
        <v>12</v>
      </c>
      <c r="H475" s="21" t="s">
        <v>56</v>
      </c>
      <c r="I475" s="53">
        <v>46090</v>
      </c>
      <c r="J475" s="53">
        <v>46097</v>
      </c>
      <c r="K475" s="21">
        <v>12</v>
      </c>
      <c r="L475" s="21" t="s">
        <v>55</v>
      </c>
      <c r="M475" s="21" t="s">
        <v>55</v>
      </c>
      <c r="N475" s="21" t="s">
        <v>55</v>
      </c>
      <c r="O475" s="21" t="s">
        <v>55</v>
      </c>
      <c r="P475" s="21" t="s">
        <v>55</v>
      </c>
      <c r="Q475" s="21" t="s">
        <v>55</v>
      </c>
      <c r="R475" s="21" t="s">
        <v>55</v>
      </c>
      <c r="S475" s="21">
        <v>12</v>
      </c>
      <c r="T475" s="21">
        <v>1</v>
      </c>
      <c r="U475" s="21">
        <v>0</v>
      </c>
      <c r="V475" s="53">
        <v>46097</v>
      </c>
      <c r="W475" s="53">
        <v>46101</v>
      </c>
      <c r="X475" s="53">
        <v>46106</v>
      </c>
      <c r="Y475" s="53">
        <v>46113</v>
      </c>
      <c r="Z475" s="53">
        <v>46118</v>
      </c>
      <c r="AA475" s="21">
        <v>4</v>
      </c>
      <c r="AB475" s="159" t="s">
        <v>1471</v>
      </c>
      <c r="AC475" s="111" t="s">
        <v>1472</v>
      </c>
      <c r="AD475" s="19">
        <f t="shared" si="54"/>
        <v>1</v>
      </c>
      <c r="AE475" s="67">
        <f>IFERROR(NETWORKDAYS(B475,I475,Hoja1!$A$1:$A$29),"N/A")</f>
        <v>20</v>
      </c>
      <c r="AF475" s="21">
        <f>IFERROR(NETWORKDAYS(B475,W475,Hoja1!$A$1:$A$29),"N/A")</f>
        <v>29</v>
      </c>
      <c r="AG475" s="78">
        <v>6</v>
      </c>
      <c r="AH475" s="21">
        <f t="shared" si="52"/>
        <v>23</v>
      </c>
      <c r="AI475" s="21">
        <f>IFERROR(NETWORKDAYS(X475,Y475,Hoja1!$A$1:$A$29),"N/A")</f>
        <v>6</v>
      </c>
      <c r="AJ475" s="78">
        <v>1</v>
      </c>
      <c r="AK475" s="75">
        <f t="shared" si="53"/>
        <v>5</v>
      </c>
      <c r="AL475" s="21">
        <f>IFERROR(NETWORKDAYS(B475,Y475,Hoja1!$A$1:$A$29),"N/A")</f>
        <v>36</v>
      </c>
      <c r="AM475" s="21">
        <f t="shared" si="55"/>
        <v>29</v>
      </c>
      <c r="AN475" s="87"/>
      <c r="AO475" s="87"/>
      <c r="AP475" s="87"/>
      <c r="AQ475" s="87"/>
      <c r="AR475" s="87"/>
      <c r="AS475" s="87" t="s">
        <v>1979</v>
      </c>
      <c r="AT475" s="87" t="s">
        <v>2165</v>
      </c>
      <c r="AU475" s="87" t="s">
        <v>2216</v>
      </c>
      <c r="AV475" s="320" t="s">
        <v>2508</v>
      </c>
      <c r="AW475" s="403" t="s">
        <v>3060</v>
      </c>
      <c r="AY475" s="414"/>
    </row>
    <row r="476" spans="1:51" ht="15" customHeight="1" x14ac:dyDescent="0.25">
      <c r="A476" s="294">
        <v>15841</v>
      </c>
      <c r="B476" s="53">
        <v>46064</v>
      </c>
      <c r="C476" s="53">
        <v>46065</v>
      </c>
      <c r="D476" s="2">
        <v>1</v>
      </c>
      <c r="E476" s="111" t="s">
        <v>54</v>
      </c>
      <c r="F476" s="21" t="s">
        <v>55</v>
      </c>
      <c r="G476" s="21">
        <v>3</v>
      </c>
      <c r="H476" s="21" t="s">
        <v>112</v>
      </c>
      <c r="I476" s="53">
        <v>46083</v>
      </c>
      <c r="J476" s="53">
        <v>46085</v>
      </c>
      <c r="K476" s="21">
        <v>3</v>
      </c>
      <c r="L476" s="21" t="s">
        <v>55</v>
      </c>
      <c r="M476" s="21" t="s">
        <v>55</v>
      </c>
      <c r="N476" s="21" t="s">
        <v>55</v>
      </c>
      <c r="O476" s="21" t="s">
        <v>55</v>
      </c>
      <c r="P476" s="21" t="s">
        <v>55</v>
      </c>
      <c r="Q476" s="21" t="s">
        <v>55</v>
      </c>
      <c r="R476" s="21" t="s">
        <v>55</v>
      </c>
      <c r="S476" s="21">
        <v>3</v>
      </c>
      <c r="T476" s="21">
        <v>1</v>
      </c>
      <c r="U476" s="21">
        <v>0</v>
      </c>
      <c r="V476" s="53">
        <v>46086</v>
      </c>
      <c r="W476" s="53">
        <v>46090</v>
      </c>
      <c r="X476" s="53">
        <v>46093</v>
      </c>
      <c r="Y476" s="53">
        <v>46113</v>
      </c>
      <c r="Z476" s="53">
        <v>46118</v>
      </c>
      <c r="AA476" s="21">
        <v>4</v>
      </c>
      <c r="AB476" s="159" t="s">
        <v>1474</v>
      </c>
      <c r="AC476" s="111" t="s">
        <v>1475</v>
      </c>
      <c r="AD476" s="19">
        <f t="shared" si="54"/>
        <v>1</v>
      </c>
      <c r="AE476" s="67">
        <f>IFERROR(NETWORKDAYS(B476,I476,Hoja1!$A$1:$A$29),"N/A")</f>
        <v>14</v>
      </c>
      <c r="AF476" s="21">
        <f>IFERROR(NETWORKDAYS(B476,W476,Hoja1!$A$1:$A$29),"N/A")</f>
        <v>19</v>
      </c>
      <c r="AG476" s="78">
        <v>2</v>
      </c>
      <c r="AH476" s="21">
        <f t="shared" si="52"/>
        <v>17</v>
      </c>
      <c r="AI476" s="21">
        <f>IFERROR(NETWORKDAYS(X476,Y476,Hoja1!$A$1:$A$29),"N/A")</f>
        <v>14</v>
      </c>
      <c r="AJ476" s="78">
        <v>9</v>
      </c>
      <c r="AK476" s="75">
        <f t="shared" si="53"/>
        <v>5</v>
      </c>
      <c r="AL476" s="21">
        <f>IFERROR(NETWORKDAYS(B476,Y476,Hoja1!$A$1:$A$29),"N/A")</f>
        <v>35</v>
      </c>
      <c r="AM476" s="21">
        <f t="shared" si="55"/>
        <v>24</v>
      </c>
      <c r="AN476" s="87"/>
      <c r="AO476" s="87"/>
      <c r="AP476" s="87"/>
      <c r="AQ476" s="87"/>
      <c r="AR476" s="87"/>
      <c r="AS476" s="87" t="s">
        <v>1894</v>
      </c>
      <c r="AT476" s="87" t="s">
        <v>1996</v>
      </c>
      <c r="AU476" s="87" t="s">
        <v>2219</v>
      </c>
      <c r="AV476" s="320" t="s">
        <v>2232</v>
      </c>
      <c r="AW476" s="403" t="s">
        <v>3061</v>
      </c>
      <c r="AY476" s="415"/>
    </row>
    <row r="477" spans="1:51" ht="15" customHeight="1" x14ac:dyDescent="0.25">
      <c r="A477" s="294">
        <v>15857</v>
      </c>
      <c r="B477" s="116">
        <v>46080</v>
      </c>
      <c r="C477" s="116">
        <v>46064</v>
      </c>
      <c r="D477" s="194">
        <v>1</v>
      </c>
      <c r="E477" s="111" t="s">
        <v>54</v>
      </c>
      <c r="F477" s="194" t="s">
        <v>55</v>
      </c>
      <c r="G477" s="194">
        <v>9</v>
      </c>
      <c r="H477" s="21" t="s">
        <v>112</v>
      </c>
      <c r="I477" s="28">
        <v>46087</v>
      </c>
      <c r="J477" s="28">
        <v>46087</v>
      </c>
      <c r="K477" s="194">
        <v>9</v>
      </c>
      <c r="L477" s="194" t="s">
        <v>55</v>
      </c>
      <c r="M477" s="194" t="s">
        <v>55</v>
      </c>
      <c r="N477" s="194" t="s">
        <v>55</v>
      </c>
      <c r="O477" s="194" t="s">
        <v>55</v>
      </c>
      <c r="P477" s="194" t="s">
        <v>55</v>
      </c>
      <c r="Q477" s="194" t="s">
        <v>55</v>
      </c>
      <c r="R477" s="21" t="s">
        <v>55</v>
      </c>
      <c r="S477" s="194">
        <v>2</v>
      </c>
      <c r="T477" s="194">
        <v>2</v>
      </c>
      <c r="U477" s="194">
        <v>0</v>
      </c>
      <c r="V477" s="180">
        <v>46111</v>
      </c>
      <c r="W477" s="180">
        <v>46118</v>
      </c>
      <c r="X477" s="180">
        <v>46118</v>
      </c>
      <c r="Y477" s="180">
        <v>46126</v>
      </c>
      <c r="Z477" s="180">
        <v>46127</v>
      </c>
      <c r="AA477" s="194">
        <v>4</v>
      </c>
      <c r="AB477" s="195" t="s">
        <v>1477</v>
      </c>
      <c r="AC477" s="49" t="s">
        <v>1478</v>
      </c>
      <c r="AD477" s="19">
        <f t="shared" si="54"/>
        <v>1</v>
      </c>
      <c r="AE477" s="67">
        <f>IFERROR(NETWORKDAYS(B477,I477,Hoja1!$A$1:$A$29),"N/A")</f>
        <v>6</v>
      </c>
      <c r="AF477" s="21">
        <f>IFERROR(NETWORKDAYS(B477,W477,Hoja1!$A$1:$A$29),"N/A")</f>
        <v>24</v>
      </c>
      <c r="AG477" s="78">
        <v>4</v>
      </c>
      <c r="AH477" s="21">
        <f t="shared" si="52"/>
        <v>20</v>
      </c>
      <c r="AI477" s="21">
        <f>IFERROR(NETWORKDAYS(X477,Y477,Hoja1!$A$1:$A$29),"N/A")</f>
        <v>7</v>
      </c>
      <c r="AJ477" s="78">
        <v>2</v>
      </c>
      <c r="AK477" s="75">
        <f t="shared" si="53"/>
        <v>5</v>
      </c>
      <c r="AL477" s="21">
        <f>IFERROR(NETWORKDAYS(B477,Y477,Hoja1!$A$1:$A$29),"N/A")</f>
        <v>30</v>
      </c>
      <c r="AM477" s="21">
        <f t="shared" si="55"/>
        <v>24</v>
      </c>
      <c r="AN477" s="114" t="s">
        <v>454</v>
      </c>
      <c r="AO477" s="114"/>
      <c r="AP477" s="114"/>
      <c r="AQ477" s="114"/>
      <c r="AR477" s="114"/>
      <c r="AS477" s="114" t="s">
        <v>1907</v>
      </c>
      <c r="AT477" s="114" t="s">
        <v>2166</v>
      </c>
      <c r="AU477" s="114" t="s">
        <v>2221</v>
      </c>
      <c r="AV477" s="322" t="s">
        <v>2509</v>
      </c>
      <c r="AW477" s="403" t="s">
        <v>3062</v>
      </c>
      <c r="AY477" s="414"/>
    </row>
    <row r="478" spans="1:51" ht="15" customHeight="1" x14ac:dyDescent="0.25">
      <c r="A478" s="294">
        <v>15869</v>
      </c>
      <c r="B478" s="28">
        <v>46066</v>
      </c>
      <c r="C478" s="28">
        <v>46066</v>
      </c>
      <c r="D478" s="3">
        <v>1</v>
      </c>
      <c r="E478" s="159" t="s">
        <v>247</v>
      </c>
      <c r="F478" s="33" t="s">
        <v>55</v>
      </c>
      <c r="G478" s="33">
        <v>20</v>
      </c>
      <c r="H478" s="21" t="s">
        <v>56</v>
      </c>
      <c r="I478" s="28">
        <v>46113</v>
      </c>
      <c r="J478" s="28">
        <v>46113</v>
      </c>
      <c r="K478" s="33">
        <v>20</v>
      </c>
      <c r="L478" s="33" t="s">
        <v>55</v>
      </c>
      <c r="M478" s="33" t="s">
        <v>55</v>
      </c>
      <c r="N478" s="33" t="s">
        <v>55</v>
      </c>
      <c r="O478" s="33" t="s">
        <v>55</v>
      </c>
      <c r="P478" s="33" t="s">
        <v>55</v>
      </c>
      <c r="Q478" s="33" t="s">
        <v>55</v>
      </c>
      <c r="R478" s="21" t="s">
        <v>55</v>
      </c>
      <c r="S478" s="33">
        <v>6</v>
      </c>
      <c r="T478" s="33">
        <v>6</v>
      </c>
      <c r="U478" s="33">
        <v>0</v>
      </c>
      <c r="V478" s="28">
        <v>46128</v>
      </c>
      <c r="W478" s="28">
        <v>46129</v>
      </c>
      <c r="X478" s="28" t="s">
        <v>55</v>
      </c>
      <c r="Y478" s="28">
        <v>46132</v>
      </c>
      <c r="Z478" s="28" t="s">
        <v>55</v>
      </c>
      <c r="AA478" s="21">
        <v>4</v>
      </c>
      <c r="AB478" s="87" t="s">
        <v>1480</v>
      </c>
      <c r="AC478" s="48" t="s">
        <v>1481</v>
      </c>
      <c r="AD478" s="19">
        <f t="shared" si="54"/>
        <v>1</v>
      </c>
      <c r="AE478" s="67">
        <f>IFERROR(NETWORKDAYS(B478,I478,Hoja1!$A$1:$A$29),"N/A")</f>
        <v>33</v>
      </c>
      <c r="AF478" s="21">
        <f>IFERROR(NETWORKDAYS(B478,W478,Hoja1!$A$1:$A$29),"N/A")</f>
        <v>43</v>
      </c>
      <c r="AG478" s="78">
        <v>15</v>
      </c>
      <c r="AH478" s="21">
        <f t="shared" si="52"/>
        <v>28</v>
      </c>
      <c r="AI478" s="21" t="str">
        <f>IFERROR(NETWORKDAYS(X478,Y478,Hoja1!$A$1:$A$29),"N/A")</f>
        <v>N/A</v>
      </c>
      <c r="AJ478" s="78">
        <v>0</v>
      </c>
      <c r="AK478" s="21" t="s">
        <v>82</v>
      </c>
      <c r="AL478" s="21">
        <f>IFERROR(NETWORKDAYS(B478,Y478,Hoja1!$A$1:$A$29),"N/A")</f>
        <v>44</v>
      </c>
      <c r="AM478" s="21">
        <f t="shared" si="55"/>
        <v>29</v>
      </c>
      <c r="AN478" s="87"/>
      <c r="AO478" s="87"/>
      <c r="AP478" s="87"/>
      <c r="AQ478" s="87"/>
      <c r="AR478" s="87"/>
      <c r="AS478" s="87" t="s">
        <v>1945</v>
      </c>
      <c r="AT478" s="87" t="s">
        <v>2095</v>
      </c>
      <c r="AU478" s="87" t="s">
        <v>2209</v>
      </c>
      <c r="AV478" s="320" t="s">
        <v>2510</v>
      </c>
      <c r="AW478" s="403" t="s">
        <v>3063</v>
      </c>
      <c r="AY478" s="415"/>
    </row>
    <row r="479" spans="1:51" ht="15" customHeight="1" x14ac:dyDescent="0.25">
      <c r="A479" s="294">
        <v>15872</v>
      </c>
      <c r="B479" s="53">
        <v>46066</v>
      </c>
      <c r="C479" s="53">
        <v>46066</v>
      </c>
      <c r="D479" s="2">
        <v>1</v>
      </c>
      <c r="E479" s="111" t="s">
        <v>54</v>
      </c>
      <c r="F479" s="21" t="s">
        <v>55</v>
      </c>
      <c r="G479" s="21">
        <v>4</v>
      </c>
      <c r="H479" s="21" t="s">
        <v>112</v>
      </c>
      <c r="I479" s="53">
        <v>46091</v>
      </c>
      <c r="J479" s="53">
        <v>46092</v>
      </c>
      <c r="K479" s="21">
        <v>4</v>
      </c>
      <c r="L479" s="21" t="s">
        <v>55</v>
      </c>
      <c r="M479" s="21" t="s">
        <v>55</v>
      </c>
      <c r="N479" s="21" t="s">
        <v>55</v>
      </c>
      <c r="O479" s="21" t="s">
        <v>55</v>
      </c>
      <c r="P479" s="21" t="s">
        <v>55</v>
      </c>
      <c r="Q479" s="21" t="s">
        <v>55</v>
      </c>
      <c r="R479" s="21" t="s">
        <v>55</v>
      </c>
      <c r="S479" s="21">
        <v>4</v>
      </c>
      <c r="T479" s="21">
        <v>1</v>
      </c>
      <c r="U479" s="21">
        <v>0</v>
      </c>
      <c r="V479" s="53">
        <v>46092</v>
      </c>
      <c r="W479" s="53">
        <v>46092</v>
      </c>
      <c r="X479" s="53">
        <v>46099</v>
      </c>
      <c r="Y479" s="28">
        <v>46112</v>
      </c>
      <c r="Z479" s="53">
        <v>46118</v>
      </c>
      <c r="AA479" s="21">
        <v>4</v>
      </c>
      <c r="AB479" s="159" t="s">
        <v>1482</v>
      </c>
      <c r="AC479" s="111" t="s">
        <v>1483</v>
      </c>
      <c r="AD479" s="19">
        <f t="shared" si="54"/>
        <v>1</v>
      </c>
      <c r="AE479" s="67">
        <f>IFERROR(NETWORKDAYS(B479,I479,Hoja1!$A$1:$A$29),"N/A")</f>
        <v>18</v>
      </c>
      <c r="AF479" s="21">
        <f>IFERROR(NETWORKDAYS(B479,W479,Hoja1!$A$1:$A$29),"N/A")</f>
        <v>19</v>
      </c>
      <c r="AG479" s="78">
        <v>4</v>
      </c>
      <c r="AH479" s="21">
        <f t="shared" si="52"/>
        <v>15</v>
      </c>
      <c r="AI479" s="21">
        <f>IFERROR(NETWORKDAYS(X479,Y479,Hoja1!$A$1:$A$29),"N/A")</f>
        <v>9</v>
      </c>
      <c r="AJ479" s="78">
        <v>0</v>
      </c>
      <c r="AK479" s="75">
        <f t="shared" si="53"/>
        <v>9</v>
      </c>
      <c r="AL479" s="21">
        <f>IFERROR(NETWORKDAYS(B479,Y479,Hoja1!$A$1:$A$29),"N/A")</f>
        <v>32</v>
      </c>
      <c r="AM479" s="21">
        <f t="shared" si="55"/>
        <v>28</v>
      </c>
      <c r="AN479" s="87"/>
      <c r="AO479" s="87"/>
      <c r="AP479" s="87"/>
      <c r="AQ479" s="87"/>
      <c r="AR479" s="87"/>
      <c r="AS479" s="87" t="s">
        <v>1890</v>
      </c>
      <c r="AT479" s="87" t="s">
        <v>2020</v>
      </c>
      <c r="AU479" s="87" t="s">
        <v>2219</v>
      </c>
      <c r="AV479" s="320" t="s">
        <v>2511</v>
      </c>
      <c r="AW479" s="403" t="s">
        <v>3064</v>
      </c>
      <c r="AY479" s="414"/>
    </row>
    <row r="480" spans="1:51" ht="15" customHeight="1" x14ac:dyDescent="0.25">
      <c r="A480" s="294">
        <v>15881</v>
      </c>
      <c r="B480" s="16">
        <v>46090</v>
      </c>
      <c r="C480" s="16">
        <v>46069</v>
      </c>
      <c r="D480" s="3">
        <v>1</v>
      </c>
      <c r="E480" s="111" t="s">
        <v>54</v>
      </c>
      <c r="F480" s="33" t="s">
        <v>55</v>
      </c>
      <c r="G480" s="33">
        <v>0</v>
      </c>
      <c r="H480" s="33"/>
      <c r="I480" s="28" t="s">
        <v>55</v>
      </c>
      <c r="J480" s="28" t="s">
        <v>55</v>
      </c>
      <c r="K480" s="33">
        <v>0</v>
      </c>
      <c r="L480" s="33" t="s">
        <v>55</v>
      </c>
      <c r="M480" s="33" t="s">
        <v>55</v>
      </c>
      <c r="N480" s="33" t="s">
        <v>55</v>
      </c>
      <c r="O480" s="33" t="s">
        <v>55</v>
      </c>
      <c r="P480" s="33" t="s">
        <v>55</v>
      </c>
      <c r="Q480" s="33" t="s">
        <v>55</v>
      </c>
      <c r="R480" s="33" t="s">
        <v>55</v>
      </c>
      <c r="S480" s="33">
        <v>4</v>
      </c>
      <c r="T480" s="33">
        <v>3</v>
      </c>
      <c r="U480" s="33">
        <v>0</v>
      </c>
      <c r="V480" s="53">
        <v>46106</v>
      </c>
      <c r="W480" s="16">
        <v>46118</v>
      </c>
      <c r="X480" s="16">
        <v>46118</v>
      </c>
      <c r="Y480" s="180">
        <v>46126</v>
      </c>
      <c r="Z480" s="180">
        <v>46127</v>
      </c>
      <c r="AA480" s="33">
        <v>4</v>
      </c>
      <c r="AB480" s="144" t="s">
        <v>1486</v>
      </c>
      <c r="AC480" s="45" t="s">
        <v>1487</v>
      </c>
      <c r="AD480" s="19" t="str">
        <f t="shared" si="54"/>
        <v>N/A</v>
      </c>
      <c r="AE480" s="67" t="str">
        <f>IFERROR(NETWORKDAYS(B480,I480,Hoja1!$A$1:$A$29),"N/A")</f>
        <v>N/A</v>
      </c>
      <c r="AF480" s="21">
        <f>IFERROR(NETWORKDAYS(B480,W480,Hoja1!$A$1:$A$29),"N/A")</f>
        <v>18</v>
      </c>
      <c r="AG480" s="78">
        <v>6</v>
      </c>
      <c r="AH480" s="21">
        <f t="shared" si="52"/>
        <v>12</v>
      </c>
      <c r="AI480" s="21">
        <f>IFERROR(NETWORKDAYS(X480,Y480,Hoja1!$A$1:$A$29),"N/A")</f>
        <v>7</v>
      </c>
      <c r="AJ480" s="78">
        <v>2</v>
      </c>
      <c r="AK480" s="75">
        <f t="shared" si="53"/>
        <v>5</v>
      </c>
      <c r="AL480" s="21">
        <f>IFERROR(NETWORKDAYS(B480,Y480,Hoja1!$A$1:$A$29),"N/A")</f>
        <v>24</v>
      </c>
      <c r="AM480" s="21">
        <f t="shared" si="55"/>
        <v>16</v>
      </c>
      <c r="AN480" s="87"/>
      <c r="AO480" s="87"/>
      <c r="AP480" s="87"/>
      <c r="AQ480" s="87"/>
      <c r="AR480" s="87"/>
      <c r="AS480" s="87" t="s">
        <v>1889</v>
      </c>
      <c r="AT480" s="87" t="s">
        <v>2167</v>
      </c>
      <c r="AU480" s="87" t="s">
        <v>2222</v>
      </c>
      <c r="AV480" s="320" t="s">
        <v>2512</v>
      </c>
      <c r="AW480" s="403" t="s">
        <v>3065</v>
      </c>
      <c r="AY480" s="415"/>
    </row>
    <row r="481" spans="1:51" ht="15" customHeight="1" x14ac:dyDescent="0.25">
      <c r="A481" s="301">
        <v>15882</v>
      </c>
      <c r="B481" s="116">
        <v>46071</v>
      </c>
      <c r="C481" s="116">
        <v>46069</v>
      </c>
      <c r="D481" s="33">
        <v>1</v>
      </c>
      <c r="E481" s="111" t="s">
        <v>54</v>
      </c>
      <c r="F481" s="33" t="s">
        <v>55</v>
      </c>
      <c r="G481" s="33">
        <v>3</v>
      </c>
      <c r="H481" s="21" t="s">
        <v>112</v>
      </c>
      <c r="I481" s="53">
        <v>46086</v>
      </c>
      <c r="J481" s="53">
        <v>46086</v>
      </c>
      <c r="K481" s="33">
        <v>3</v>
      </c>
      <c r="L481" s="28">
        <v>46071</v>
      </c>
      <c r="M481" s="28">
        <v>46072</v>
      </c>
      <c r="N481" s="28">
        <v>46079</v>
      </c>
      <c r="O481" s="33" t="s">
        <v>55</v>
      </c>
      <c r="P481" s="33" t="s">
        <v>55</v>
      </c>
      <c r="Q481" s="33" t="s">
        <v>55</v>
      </c>
      <c r="R481" s="28">
        <v>46093</v>
      </c>
      <c r="S481" s="33">
        <v>4</v>
      </c>
      <c r="T481" s="33">
        <v>4</v>
      </c>
      <c r="U481" s="33">
        <v>0</v>
      </c>
      <c r="V481" s="53">
        <v>46107</v>
      </c>
      <c r="W481" s="28">
        <v>46113</v>
      </c>
      <c r="X481" s="28">
        <v>46118</v>
      </c>
      <c r="Y481" s="180">
        <v>46126</v>
      </c>
      <c r="Z481" s="180">
        <v>46127</v>
      </c>
      <c r="AA481" s="33">
        <v>4</v>
      </c>
      <c r="AB481" s="144" t="s">
        <v>1488</v>
      </c>
      <c r="AC481" s="35" t="s">
        <v>1489</v>
      </c>
      <c r="AD481" s="19">
        <f t="shared" si="54"/>
        <v>1</v>
      </c>
      <c r="AE481" s="67">
        <f>IFERROR(NETWORKDAYS(B481,I481,Hoja1!$A$1:$A$29),"N/A")</f>
        <v>12</v>
      </c>
      <c r="AF481" s="21">
        <f>IFERROR(NETWORKDAYS(B481,W481,Hoja1!$A$1:$A$29),"N/A")</f>
        <v>30</v>
      </c>
      <c r="AG481" s="78">
        <v>3</v>
      </c>
      <c r="AH481" s="21">
        <f t="shared" si="52"/>
        <v>27</v>
      </c>
      <c r="AI481" s="21">
        <f>IFERROR(NETWORKDAYS(X481,Y481,Hoja1!$A$1:$A$29),"N/A")</f>
        <v>7</v>
      </c>
      <c r="AJ481" s="78">
        <v>2</v>
      </c>
      <c r="AK481" s="75">
        <f t="shared" si="53"/>
        <v>5</v>
      </c>
      <c r="AL481" s="21">
        <f>IFERROR(NETWORKDAYS(B481,Y481,Hoja1!$A$1:$A$29),"N/A")</f>
        <v>37</v>
      </c>
      <c r="AM481" s="21">
        <f t="shared" si="55"/>
        <v>32</v>
      </c>
      <c r="AN481" s="87"/>
      <c r="AO481" s="87"/>
      <c r="AP481" s="87"/>
      <c r="AQ481" s="87"/>
      <c r="AR481" s="87"/>
      <c r="AS481" s="87" t="s">
        <v>1889</v>
      </c>
      <c r="AT481" s="87" t="s">
        <v>2168</v>
      </c>
      <c r="AU481" s="87" t="s">
        <v>2221</v>
      </c>
      <c r="AV481" s="320" t="s">
        <v>2504</v>
      </c>
      <c r="AW481" s="403" t="s">
        <v>3066</v>
      </c>
      <c r="AY481" s="414"/>
    </row>
    <row r="482" spans="1:51" ht="15" customHeight="1" x14ac:dyDescent="0.25">
      <c r="A482" s="294">
        <v>15884</v>
      </c>
      <c r="B482" s="116">
        <v>46107</v>
      </c>
      <c r="C482" s="116">
        <v>46069</v>
      </c>
      <c r="D482" s="2">
        <v>1</v>
      </c>
      <c r="E482" s="111" t="s">
        <v>54</v>
      </c>
      <c r="F482" s="33" t="s">
        <v>55</v>
      </c>
      <c r="G482" s="33">
        <v>0</v>
      </c>
      <c r="H482" s="21"/>
      <c r="I482" s="33" t="s">
        <v>55</v>
      </c>
      <c r="J482" s="33" t="s">
        <v>55</v>
      </c>
      <c r="K482" s="33">
        <v>0</v>
      </c>
      <c r="L482" s="33" t="s">
        <v>55</v>
      </c>
      <c r="M482" s="33" t="s">
        <v>55</v>
      </c>
      <c r="N482" s="33" t="s">
        <v>55</v>
      </c>
      <c r="O482" s="33" t="s">
        <v>55</v>
      </c>
      <c r="P482" s="33" t="s">
        <v>55</v>
      </c>
      <c r="Q482" s="33" t="s">
        <v>55</v>
      </c>
      <c r="R482" s="33" t="s">
        <v>55</v>
      </c>
      <c r="S482" s="33">
        <v>4</v>
      </c>
      <c r="T482" s="33">
        <v>2</v>
      </c>
      <c r="U482" s="33">
        <v>0</v>
      </c>
      <c r="V482" s="28">
        <v>46113</v>
      </c>
      <c r="W482" s="16">
        <v>46118</v>
      </c>
      <c r="X482" s="16">
        <v>46120</v>
      </c>
      <c r="Y482" s="180">
        <v>46126</v>
      </c>
      <c r="Z482" s="180">
        <v>46127</v>
      </c>
      <c r="AA482" s="33">
        <f t="shared" ref="AA482:AA489" si="57">MONTH(Z482)</f>
        <v>4</v>
      </c>
      <c r="AB482" s="144" t="s">
        <v>1490</v>
      </c>
      <c r="AC482" s="46" t="s">
        <v>1491</v>
      </c>
      <c r="AD482" s="19" t="str">
        <f t="shared" si="54"/>
        <v>N/A</v>
      </c>
      <c r="AE482" s="67" t="str">
        <f>IFERROR(NETWORKDAYS(B482,I482,Hoja1!$A$1:$A$29),"N/A")</f>
        <v>N/A</v>
      </c>
      <c r="AF482" s="21">
        <f>IFERROR(NETWORKDAYS(B482,W482,Hoja1!$A$1:$A$29),"N/A")</f>
        <v>6</v>
      </c>
      <c r="AG482" s="78">
        <v>0</v>
      </c>
      <c r="AH482" s="21">
        <f t="shared" si="52"/>
        <v>6</v>
      </c>
      <c r="AI482" s="21">
        <f>IFERROR(NETWORKDAYS(X482,Y482,Hoja1!$A$1:$A$29),"N/A")</f>
        <v>5</v>
      </c>
      <c r="AJ482" s="78">
        <v>0</v>
      </c>
      <c r="AK482" s="75">
        <f t="shared" si="53"/>
        <v>5</v>
      </c>
      <c r="AL482" s="21">
        <f>IFERROR(NETWORKDAYS(B482,Y482,Hoja1!$A$1:$A$29),"N/A")</f>
        <v>12</v>
      </c>
      <c r="AM482" s="21">
        <f t="shared" si="55"/>
        <v>12</v>
      </c>
      <c r="AN482" s="87"/>
      <c r="AO482" s="87"/>
      <c r="AP482" s="87"/>
      <c r="AQ482" s="87"/>
      <c r="AR482" s="87"/>
      <c r="AS482" s="87" t="s">
        <v>1889</v>
      </c>
      <c r="AT482" s="87" t="s">
        <v>2129</v>
      </c>
      <c r="AU482" s="87" t="s">
        <v>2221</v>
      </c>
      <c r="AV482" s="320" t="s">
        <v>2513</v>
      </c>
      <c r="AW482" s="403" t="s">
        <v>3067</v>
      </c>
      <c r="AY482" s="415"/>
    </row>
    <row r="483" spans="1:51" ht="15" customHeight="1" x14ac:dyDescent="0.25">
      <c r="A483" s="301">
        <v>15885</v>
      </c>
      <c r="B483" s="16">
        <v>46071</v>
      </c>
      <c r="C483" s="16">
        <v>46069</v>
      </c>
      <c r="D483" s="3">
        <v>1</v>
      </c>
      <c r="E483" s="159" t="s">
        <v>247</v>
      </c>
      <c r="F483" s="33" t="s">
        <v>55</v>
      </c>
      <c r="G483" s="33">
        <v>6</v>
      </c>
      <c r="H483" s="21" t="s">
        <v>112</v>
      </c>
      <c r="I483" s="16">
        <v>46099</v>
      </c>
      <c r="J483" s="28">
        <v>46113</v>
      </c>
      <c r="K483" s="33">
        <v>6</v>
      </c>
      <c r="L483" s="116">
        <v>46071</v>
      </c>
      <c r="M483" s="116">
        <v>46072</v>
      </c>
      <c r="N483" s="116">
        <v>46078</v>
      </c>
      <c r="O483" s="33" t="s">
        <v>55</v>
      </c>
      <c r="P483" s="33" t="s">
        <v>55</v>
      </c>
      <c r="Q483" s="33" t="s">
        <v>55</v>
      </c>
      <c r="R483" s="28">
        <v>46113</v>
      </c>
      <c r="S483" s="33">
        <v>1</v>
      </c>
      <c r="T483" s="33">
        <v>1</v>
      </c>
      <c r="U483" s="33">
        <v>0</v>
      </c>
      <c r="V483" s="28">
        <v>46120</v>
      </c>
      <c r="W483" s="28">
        <v>46120</v>
      </c>
      <c r="X483" s="28" t="s">
        <v>55</v>
      </c>
      <c r="Y483" s="28">
        <v>46120</v>
      </c>
      <c r="Z483" s="28">
        <v>46120</v>
      </c>
      <c r="AA483" s="33">
        <f t="shared" si="57"/>
        <v>4</v>
      </c>
      <c r="AB483" s="144" t="s">
        <v>1494</v>
      </c>
      <c r="AC483" s="114" t="s">
        <v>1495</v>
      </c>
      <c r="AD483" s="19">
        <f t="shared" si="54"/>
        <v>1</v>
      </c>
      <c r="AE483" s="67">
        <f>IFERROR(NETWORKDAYS(B483,I483,Hoja1!$A$1:$A$29),"N/A")</f>
        <v>21</v>
      </c>
      <c r="AF483" s="21">
        <f>IFERROR(NETWORKDAYS(B483,W483,Hoja1!$A$1:$A$29),"N/A")</f>
        <v>33</v>
      </c>
      <c r="AG483" s="78">
        <v>0</v>
      </c>
      <c r="AH483" s="21">
        <f t="shared" si="52"/>
        <v>33</v>
      </c>
      <c r="AI483" s="21" t="str">
        <f>IFERROR(NETWORKDAYS(X483,Y483,Hoja1!$A$1:$A$29),"N/A")</f>
        <v>N/A</v>
      </c>
      <c r="AJ483" s="78">
        <v>0</v>
      </c>
      <c r="AK483" s="21" t="s">
        <v>82</v>
      </c>
      <c r="AL483" s="21">
        <f>IFERROR(NETWORKDAYS(B483,Y483,Hoja1!$A$1:$A$29),"N/A")</f>
        <v>33</v>
      </c>
      <c r="AM483" s="21">
        <f t="shared" si="55"/>
        <v>33</v>
      </c>
      <c r="AN483" s="87"/>
      <c r="AO483" s="87"/>
      <c r="AP483" s="87"/>
      <c r="AQ483" s="87"/>
      <c r="AR483" s="87"/>
      <c r="AS483" s="87" t="s">
        <v>1889</v>
      </c>
      <c r="AT483" s="87" t="s">
        <v>2169</v>
      </c>
      <c r="AU483" s="87" t="s">
        <v>2220</v>
      </c>
      <c r="AV483" s="320" t="s">
        <v>2372</v>
      </c>
      <c r="AW483" s="403" t="s">
        <v>3068</v>
      </c>
      <c r="AY483" s="414"/>
    </row>
    <row r="484" spans="1:51" ht="15" customHeight="1" x14ac:dyDescent="0.25">
      <c r="A484" s="301">
        <v>15887</v>
      </c>
      <c r="B484" s="16">
        <v>46071</v>
      </c>
      <c r="C484" s="16">
        <v>46069</v>
      </c>
      <c r="D484" s="3">
        <v>1</v>
      </c>
      <c r="E484" s="111" t="s">
        <v>54</v>
      </c>
      <c r="F484" s="33" t="s">
        <v>55</v>
      </c>
      <c r="G484" s="33">
        <v>3</v>
      </c>
      <c r="H484" s="21" t="s">
        <v>112</v>
      </c>
      <c r="I484" s="16">
        <v>46099</v>
      </c>
      <c r="J484" s="16">
        <v>46111</v>
      </c>
      <c r="K484" s="33">
        <v>3</v>
      </c>
      <c r="L484" s="116">
        <v>46071</v>
      </c>
      <c r="M484" s="116">
        <v>46072</v>
      </c>
      <c r="N484" s="116">
        <v>46078</v>
      </c>
      <c r="O484" s="33" t="s">
        <v>55</v>
      </c>
      <c r="P484" s="33" t="s">
        <v>55</v>
      </c>
      <c r="Q484" s="33" t="s">
        <v>55</v>
      </c>
      <c r="R484" s="28">
        <v>46111</v>
      </c>
      <c r="S484" s="33">
        <v>2</v>
      </c>
      <c r="T484" s="33">
        <v>2</v>
      </c>
      <c r="U484" s="33">
        <v>0</v>
      </c>
      <c r="V484" s="28">
        <v>46119</v>
      </c>
      <c r="W484" s="28">
        <v>46119</v>
      </c>
      <c r="X484" s="28">
        <v>46119</v>
      </c>
      <c r="Y484" s="180">
        <v>46126</v>
      </c>
      <c r="Z484" s="180">
        <v>46127</v>
      </c>
      <c r="AA484" s="33">
        <f t="shared" si="57"/>
        <v>4</v>
      </c>
      <c r="AB484" s="144" t="s">
        <v>1497</v>
      </c>
      <c r="AC484" s="114" t="s">
        <v>1498</v>
      </c>
      <c r="AD484" s="19">
        <f t="shared" si="54"/>
        <v>1</v>
      </c>
      <c r="AE484" s="67">
        <f>IFERROR(NETWORKDAYS(B484,I484,Hoja1!$A$1:$A$29),"N/A")</f>
        <v>21</v>
      </c>
      <c r="AF484" s="21">
        <f>IFERROR(NETWORKDAYS(B484,W484,Hoja1!$A$1:$A$29),"N/A")</f>
        <v>32</v>
      </c>
      <c r="AG484" s="78">
        <v>3</v>
      </c>
      <c r="AH484" s="21">
        <f t="shared" si="52"/>
        <v>29</v>
      </c>
      <c r="AI484" s="21">
        <f>IFERROR(NETWORKDAYS(X484,Y484,Hoja1!$A$1:$A$29),"N/A")</f>
        <v>6</v>
      </c>
      <c r="AJ484" s="78">
        <v>1</v>
      </c>
      <c r="AK484" s="75">
        <f t="shared" si="53"/>
        <v>5</v>
      </c>
      <c r="AL484" s="21">
        <f>IFERROR(NETWORKDAYS(B484,Y484,Hoja1!$A$1:$A$29),"N/A")</f>
        <v>37</v>
      </c>
      <c r="AM484" s="21">
        <f t="shared" si="55"/>
        <v>33</v>
      </c>
      <c r="AN484" s="87"/>
      <c r="AO484" s="87"/>
      <c r="AP484" s="87"/>
      <c r="AQ484" s="87"/>
      <c r="AR484" s="87"/>
      <c r="AS484" s="87" t="s">
        <v>1889</v>
      </c>
      <c r="AT484" s="87" t="s">
        <v>2170</v>
      </c>
      <c r="AU484" s="87" t="s">
        <v>2220</v>
      </c>
      <c r="AV484" s="320" t="s">
        <v>2514</v>
      </c>
      <c r="AW484" s="403" t="s">
        <v>3069</v>
      </c>
      <c r="AY484" s="415"/>
    </row>
    <row r="485" spans="1:51" ht="15" customHeight="1" x14ac:dyDescent="0.25">
      <c r="A485" s="301">
        <v>15888</v>
      </c>
      <c r="B485" s="16">
        <v>46071</v>
      </c>
      <c r="C485" s="16">
        <v>46069</v>
      </c>
      <c r="D485" s="3">
        <v>1</v>
      </c>
      <c r="E485" s="111" t="s">
        <v>54</v>
      </c>
      <c r="F485" s="33" t="s">
        <v>55</v>
      </c>
      <c r="G485" s="33">
        <v>3</v>
      </c>
      <c r="H485" s="21" t="s">
        <v>112</v>
      </c>
      <c r="I485" s="28">
        <v>46101</v>
      </c>
      <c r="J485" s="16">
        <v>46111</v>
      </c>
      <c r="K485" s="33">
        <v>3</v>
      </c>
      <c r="L485" s="116">
        <v>46071</v>
      </c>
      <c r="M485" s="116">
        <v>46072</v>
      </c>
      <c r="N485" s="116">
        <v>46078</v>
      </c>
      <c r="O485" s="33" t="s">
        <v>55</v>
      </c>
      <c r="P485" s="33" t="s">
        <v>55</v>
      </c>
      <c r="Q485" s="33" t="s">
        <v>55</v>
      </c>
      <c r="R485" s="28">
        <v>46111</v>
      </c>
      <c r="S485" s="33">
        <v>2</v>
      </c>
      <c r="T485" s="33">
        <v>1</v>
      </c>
      <c r="U485" s="33">
        <v>0</v>
      </c>
      <c r="V485" s="28">
        <v>46120</v>
      </c>
      <c r="W485" s="28">
        <v>46120</v>
      </c>
      <c r="X485" s="28">
        <v>46120</v>
      </c>
      <c r="Y485" s="180">
        <v>46126</v>
      </c>
      <c r="Z485" s="180">
        <v>46127</v>
      </c>
      <c r="AA485" s="33">
        <f t="shared" si="57"/>
        <v>4</v>
      </c>
      <c r="AB485" s="144" t="s">
        <v>1499</v>
      </c>
      <c r="AC485" s="114" t="s">
        <v>1500</v>
      </c>
      <c r="AD485" s="19">
        <f t="shared" si="54"/>
        <v>1</v>
      </c>
      <c r="AE485" s="67">
        <f>IFERROR(NETWORKDAYS(B485,I485,Hoja1!$A$1:$A$29),"N/A")</f>
        <v>23</v>
      </c>
      <c r="AF485" s="21">
        <f>IFERROR(NETWORKDAYS(B485,W485,Hoja1!$A$1:$A$29),"N/A")</f>
        <v>33</v>
      </c>
      <c r="AG485" s="78">
        <v>5</v>
      </c>
      <c r="AH485" s="21">
        <f t="shared" si="52"/>
        <v>28</v>
      </c>
      <c r="AI485" s="21">
        <f>IFERROR(NETWORKDAYS(X485,Y485,Hoja1!$A$1:$A$29),"N/A")</f>
        <v>5</v>
      </c>
      <c r="AJ485" s="78">
        <v>0</v>
      </c>
      <c r="AK485" s="75">
        <f t="shared" si="53"/>
        <v>5</v>
      </c>
      <c r="AL485" s="21">
        <f>IFERROR(NETWORKDAYS(B485,Y485,Hoja1!$A$1:$A$29),"N/A")</f>
        <v>37</v>
      </c>
      <c r="AM485" s="21">
        <f t="shared" si="55"/>
        <v>32</v>
      </c>
      <c r="AN485" s="87"/>
      <c r="AO485" s="87"/>
      <c r="AP485" s="87"/>
      <c r="AQ485" s="87"/>
      <c r="AR485" s="87"/>
      <c r="AS485" s="87" t="s">
        <v>1889</v>
      </c>
      <c r="AT485" s="87" t="s">
        <v>2170</v>
      </c>
      <c r="AU485" s="87" t="s">
        <v>2220</v>
      </c>
      <c r="AV485" s="320" t="s">
        <v>2515</v>
      </c>
      <c r="AW485" s="403" t="s">
        <v>3070</v>
      </c>
      <c r="AY485" s="414"/>
    </row>
    <row r="486" spans="1:51" ht="15" customHeight="1" x14ac:dyDescent="0.25">
      <c r="A486" s="301">
        <v>15889</v>
      </c>
      <c r="B486" s="16">
        <v>46069</v>
      </c>
      <c r="C486" s="16">
        <v>46069</v>
      </c>
      <c r="D486" s="1">
        <v>1</v>
      </c>
      <c r="E486" s="111" t="s">
        <v>54</v>
      </c>
      <c r="F486" s="33" t="s">
        <v>55</v>
      </c>
      <c r="G486" s="33">
        <v>4</v>
      </c>
      <c r="H486" s="21" t="s">
        <v>112</v>
      </c>
      <c r="I486" s="28">
        <v>46090</v>
      </c>
      <c r="J486" s="28">
        <v>46093</v>
      </c>
      <c r="K486" s="33">
        <v>4</v>
      </c>
      <c r="L486" s="33" t="s">
        <v>55</v>
      </c>
      <c r="M486" s="33" t="s">
        <v>55</v>
      </c>
      <c r="N486" s="33" t="s">
        <v>55</v>
      </c>
      <c r="O486" s="33" t="s">
        <v>55</v>
      </c>
      <c r="P486" s="33" t="s">
        <v>55</v>
      </c>
      <c r="Q486" s="33" t="s">
        <v>55</v>
      </c>
      <c r="R486" s="21" t="s">
        <v>55</v>
      </c>
      <c r="S486" s="33">
        <v>2</v>
      </c>
      <c r="T486" s="33">
        <v>2</v>
      </c>
      <c r="U486" s="33">
        <v>0</v>
      </c>
      <c r="V486" s="28">
        <v>46100</v>
      </c>
      <c r="W486" s="180">
        <v>46101</v>
      </c>
      <c r="X486" s="180">
        <v>46105</v>
      </c>
      <c r="Y486" s="28">
        <v>46113</v>
      </c>
      <c r="Z486" s="53">
        <v>46118</v>
      </c>
      <c r="AA486" s="33">
        <f t="shared" si="57"/>
        <v>4</v>
      </c>
      <c r="AB486" s="144" t="s">
        <v>1501</v>
      </c>
      <c r="AC486" s="143" t="s">
        <v>1502</v>
      </c>
      <c r="AD486" s="19">
        <f t="shared" si="54"/>
        <v>1</v>
      </c>
      <c r="AE486" s="67">
        <f>IFERROR(NETWORKDAYS(B486,I486,Hoja1!$A$1:$A$29),"N/A")</f>
        <v>16</v>
      </c>
      <c r="AF486" s="21">
        <f>IFERROR(NETWORKDAYS(B486,W486,Hoja1!$A$1:$A$29),"N/A")</f>
        <v>25</v>
      </c>
      <c r="AG486" s="78">
        <v>0</v>
      </c>
      <c r="AH486" s="21">
        <f t="shared" si="52"/>
        <v>25</v>
      </c>
      <c r="AI486" s="21">
        <f>IFERROR(NETWORKDAYS(X486,Y486,Hoja1!$A$1:$A$29),"N/A")</f>
        <v>7</v>
      </c>
      <c r="AJ486" s="78">
        <v>2</v>
      </c>
      <c r="AK486" s="75">
        <f t="shared" si="53"/>
        <v>5</v>
      </c>
      <c r="AL486" s="21">
        <f>IFERROR(NETWORKDAYS(B486,Y486,Hoja1!$A$1:$A$29),"N/A")</f>
        <v>32</v>
      </c>
      <c r="AM486" s="21">
        <f t="shared" si="55"/>
        <v>30</v>
      </c>
      <c r="AN486" s="87"/>
      <c r="AO486" s="87"/>
      <c r="AP486" s="87"/>
      <c r="AQ486" s="87"/>
      <c r="AR486" s="87"/>
      <c r="AS486" s="87" t="s">
        <v>1932</v>
      </c>
      <c r="AT486" s="87" t="s">
        <v>1994</v>
      </c>
      <c r="AU486" s="87" t="s">
        <v>2220</v>
      </c>
      <c r="AV486" s="320" t="s">
        <v>2232</v>
      </c>
      <c r="AW486" s="403" t="s">
        <v>3071</v>
      </c>
      <c r="AY486" s="415"/>
    </row>
    <row r="487" spans="1:51" ht="15" customHeight="1" x14ac:dyDescent="0.25">
      <c r="A487" s="301">
        <v>15891</v>
      </c>
      <c r="B487" s="16">
        <v>46071</v>
      </c>
      <c r="C487" s="16">
        <v>46069</v>
      </c>
      <c r="D487" s="33">
        <v>1</v>
      </c>
      <c r="E487" s="111" t="s">
        <v>54</v>
      </c>
      <c r="F487" s="33" t="s">
        <v>55</v>
      </c>
      <c r="G487" s="33">
        <v>3</v>
      </c>
      <c r="H487" s="21" t="s">
        <v>112</v>
      </c>
      <c r="I487" s="28">
        <v>46083</v>
      </c>
      <c r="J487" s="28">
        <v>46105</v>
      </c>
      <c r="K487" s="33">
        <v>3</v>
      </c>
      <c r="L487" s="116">
        <v>46071</v>
      </c>
      <c r="M487" s="116">
        <v>46077</v>
      </c>
      <c r="N487" s="28">
        <v>46083</v>
      </c>
      <c r="O487" s="33" t="s">
        <v>55</v>
      </c>
      <c r="P487" s="33" t="s">
        <v>55</v>
      </c>
      <c r="Q487" s="33" t="s">
        <v>55</v>
      </c>
      <c r="R487" s="28">
        <v>46108</v>
      </c>
      <c r="S487" s="33">
        <v>3</v>
      </c>
      <c r="T487" s="33">
        <v>3</v>
      </c>
      <c r="U487" s="33">
        <v>0</v>
      </c>
      <c r="V487" s="28">
        <v>46118</v>
      </c>
      <c r="W487" s="28">
        <v>46118</v>
      </c>
      <c r="X487" s="28">
        <v>46118</v>
      </c>
      <c r="Y487" s="28">
        <v>46128</v>
      </c>
      <c r="Z487" s="28">
        <v>46134</v>
      </c>
      <c r="AA487" s="33">
        <f t="shared" si="57"/>
        <v>4</v>
      </c>
      <c r="AB487" s="144" t="s">
        <v>1504</v>
      </c>
      <c r="AC487" s="114" t="s">
        <v>1505</v>
      </c>
      <c r="AD487" s="19">
        <f t="shared" si="54"/>
        <v>1</v>
      </c>
      <c r="AE487" s="67">
        <f>IFERROR(NETWORKDAYS(B487,I487,Hoja1!$A$1:$A$29),"N/A")</f>
        <v>9</v>
      </c>
      <c r="AF487" s="21">
        <f>IFERROR(NETWORKDAYS(B487,W487,Hoja1!$A$1:$A$29),"N/A")</f>
        <v>31</v>
      </c>
      <c r="AG487" s="78">
        <v>12</v>
      </c>
      <c r="AH487" s="21">
        <f t="shared" si="52"/>
        <v>19</v>
      </c>
      <c r="AI487" s="21">
        <f>IFERROR(NETWORKDAYS(X487,Y487,Hoja1!$A$1:$A$29),"N/A")</f>
        <v>9</v>
      </c>
      <c r="AJ487" s="78">
        <v>4</v>
      </c>
      <c r="AK487" s="75">
        <f t="shared" si="53"/>
        <v>5</v>
      </c>
      <c r="AL487" s="21">
        <f>IFERROR(NETWORKDAYS(B487,Y487,Hoja1!$A$1:$A$29),"N/A")</f>
        <v>39</v>
      </c>
      <c r="AM487" s="21">
        <f t="shared" si="55"/>
        <v>23</v>
      </c>
      <c r="AN487" s="87"/>
      <c r="AO487" s="87"/>
      <c r="AP487" s="87"/>
      <c r="AQ487" s="87"/>
      <c r="AR487" s="87"/>
      <c r="AS487" s="87" t="s">
        <v>1889</v>
      </c>
      <c r="AT487" s="87" t="s">
        <v>2171</v>
      </c>
      <c r="AU487" s="87" t="s">
        <v>2220</v>
      </c>
      <c r="AV487" s="320" t="s">
        <v>2516</v>
      </c>
      <c r="AW487" s="403" t="s">
        <v>3072</v>
      </c>
      <c r="AY487" s="414"/>
    </row>
    <row r="488" spans="1:51" ht="15" customHeight="1" x14ac:dyDescent="0.25">
      <c r="A488" s="301">
        <v>15893</v>
      </c>
      <c r="B488" s="116">
        <v>46071</v>
      </c>
      <c r="C488" s="116">
        <v>46069</v>
      </c>
      <c r="D488" s="1">
        <v>1</v>
      </c>
      <c r="E488" s="111" t="s">
        <v>54</v>
      </c>
      <c r="F488" s="33" t="s">
        <v>55</v>
      </c>
      <c r="G488" s="33">
        <v>5</v>
      </c>
      <c r="H488" s="21" t="s">
        <v>112</v>
      </c>
      <c r="I488" s="28">
        <v>46086</v>
      </c>
      <c r="J488" s="196">
        <v>46086</v>
      </c>
      <c r="K488" s="33">
        <v>5</v>
      </c>
      <c r="L488" s="28">
        <v>46071</v>
      </c>
      <c r="M488" s="28">
        <v>46072</v>
      </c>
      <c r="N488" s="28">
        <v>46086</v>
      </c>
      <c r="O488" s="33" t="s">
        <v>55</v>
      </c>
      <c r="P488" s="33" t="s">
        <v>55</v>
      </c>
      <c r="Q488" s="33" t="s">
        <v>55</v>
      </c>
      <c r="R488" s="28">
        <v>46093</v>
      </c>
      <c r="S488" s="33">
        <v>2</v>
      </c>
      <c r="T488" s="33">
        <v>2</v>
      </c>
      <c r="U488" s="33">
        <v>0</v>
      </c>
      <c r="V488" s="38">
        <v>46098</v>
      </c>
      <c r="W488" s="180">
        <v>46105</v>
      </c>
      <c r="X488" s="38">
        <v>46106</v>
      </c>
      <c r="Y488" s="28">
        <v>46112</v>
      </c>
      <c r="Z488" s="53">
        <v>46118</v>
      </c>
      <c r="AA488" s="33">
        <f t="shared" si="57"/>
        <v>4</v>
      </c>
      <c r="AB488" s="144" t="s">
        <v>1508</v>
      </c>
      <c r="AC488" s="114" t="s">
        <v>1509</v>
      </c>
      <c r="AD488" s="19">
        <f t="shared" si="54"/>
        <v>1</v>
      </c>
      <c r="AE488" s="67">
        <f>IFERROR(NETWORKDAYS(B488,I488,Hoja1!$A$1:$A$29),"N/A")</f>
        <v>12</v>
      </c>
      <c r="AF488" s="21">
        <f>IFERROR(NETWORKDAYS(B488,W488,Hoja1!$A$1:$A$29),"N/A")</f>
        <v>24</v>
      </c>
      <c r="AG488" s="78">
        <v>3</v>
      </c>
      <c r="AH488" s="21">
        <f t="shared" si="52"/>
        <v>21</v>
      </c>
      <c r="AI488" s="21">
        <f>IFERROR(NETWORKDAYS(X488,Y488,Hoja1!$A$1:$A$29),"N/A")</f>
        <v>5</v>
      </c>
      <c r="AJ488" s="78">
        <v>0</v>
      </c>
      <c r="AK488" s="75">
        <f t="shared" si="53"/>
        <v>5</v>
      </c>
      <c r="AL488" s="21">
        <f>IFERROR(NETWORKDAYS(B488,Y488,Hoja1!$A$1:$A$29),"N/A")</f>
        <v>29</v>
      </c>
      <c r="AM488" s="21">
        <f t="shared" si="55"/>
        <v>26</v>
      </c>
      <c r="AN488" s="87"/>
      <c r="AO488" s="87"/>
      <c r="AP488" s="87"/>
      <c r="AQ488" s="87"/>
      <c r="AR488" s="87"/>
      <c r="AS488" s="87" t="s">
        <v>1938</v>
      </c>
      <c r="AT488" s="87" t="s">
        <v>2172</v>
      </c>
      <c r="AU488" s="87" t="s">
        <v>2220</v>
      </c>
      <c r="AV488" s="320" t="s">
        <v>2517</v>
      </c>
      <c r="AW488" s="403" t="s">
        <v>3073</v>
      </c>
      <c r="AY488" s="415"/>
    </row>
    <row r="489" spans="1:51" ht="15" customHeight="1" x14ac:dyDescent="0.25">
      <c r="A489" s="294">
        <v>15894</v>
      </c>
      <c r="B489" s="116">
        <v>46071</v>
      </c>
      <c r="C489" s="116">
        <v>46069</v>
      </c>
      <c r="D489" s="3">
        <v>1</v>
      </c>
      <c r="E489" s="111" t="s">
        <v>54</v>
      </c>
      <c r="F489" s="33" t="s">
        <v>55</v>
      </c>
      <c r="G489" s="33">
        <v>0</v>
      </c>
      <c r="H489" s="33"/>
      <c r="I489" s="33" t="s">
        <v>55</v>
      </c>
      <c r="J489" s="33" t="s">
        <v>55</v>
      </c>
      <c r="K489" s="33">
        <v>0</v>
      </c>
      <c r="L489" s="16">
        <v>46071</v>
      </c>
      <c r="M489" s="28">
        <v>46077</v>
      </c>
      <c r="N489" s="28">
        <v>46083</v>
      </c>
      <c r="O489" s="33" t="s">
        <v>55</v>
      </c>
      <c r="P489" s="33" t="s">
        <v>55</v>
      </c>
      <c r="Q489" s="33" t="s">
        <v>55</v>
      </c>
      <c r="R489" s="28">
        <v>46097</v>
      </c>
      <c r="S489" s="33">
        <v>3</v>
      </c>
      <c r="T489" s="33">
        <v>2</v>
      </c>
      <c r="U489" s="33">
        <v>0</v>
      </c>
      <c r="V489" s="38">
        <v>46101</v>
      </c>
      <c r="W489" s="28">
        <v>46127</v>
      </c>
      <c r="X489" s="28">
        <v>46127</v>
      </c>
      <c r="Y489" s="180">
        <v>46139</v>
      </c>
      <c r="Z489" s="53">
        <v>46139</v>
      </c>
      <c r="AA489" s="33">
        <f t="shared" si="57"/>
        <v>4</v>
      </c>
      <c r="AB489" s="144" t="s">
        <v>1511</v>
      </c>
      <c r="AC489" s="45" t="s">
        <v>1512</v>
      </c>
      <c r="AD489" s="19" t="str">
        <f t="shared" si="54"/>
        <v>N/A</v>
      </c>
      <c r="AE489" s="67" t="str">
        <f>IFERROR(NETWORKDAYS(B489,I489,Hoja1!$A$1:$A$29),"N/A")</f>
        <v>N/A</v>
      </c>
      <c r="AF489" s="21">
        <f>IFERROR(NETWORKDAYS(B489,W489,Hoja1!$A$1:$A$29),"N/A")</f>
        <v>38</v>
      </c>
      <c r="AG489" s="78">
        <v>15</v>
      </c>
      <c r="AH489" s="21">
        <f t="shared" si="52"/>
        <v>23</v>
      </c>
      <c r="AI489" s="21">
        <f>IFERROR(NETWORKDAYS(X489,Y489,Hoja1!$A$1:$A$29),"N/A")</f>
        <v>9</v>
      </c>
      <c r="AJ489" s="78">
        <v>4</v>
      </c>
      <c r="AK489" s="75">
        <f t="shared" si="53"/>
        <v>5</v>
      </c>
      <c r="AL489" s="21">
        <f>IFERROR(NETWORKDAYS(B489,Y489,Hoja1!$A$1:$A$29),"N/A")</f>
        <v>46</v>
      </c>
      <c r="AM489" s="21">
        <f t="shared" si="55"/>
        <v>27</v>
      </c>
      <c r="AN489" s="87"/>
      <c r="AO489" s="87"/>
      <c r="AP489" s="87"/>
      <c r="AQ489" s="87"/>
      <c r="AR489" s="87"/>
      <c r="AS489" s="87" t="s">
        <v>1889</v>
      </c>
      <c r="AT489" s="87" t="s">
        <v>2173</v>
      </c>
      <c r="AU489" s="87" t="s">
        <v>2221</v>
      </c>
      <c r="AV489" s="320" t="s">
        <v>2518</v>
      </c>
      <c r="AW489" s="403" t="s">
        <v>3074</v>
      </c>
      <c r="AY489" s="414"/>
    </row>
    <row r="490" spans="1:51" ht="15" customHeight="1" x14ac:dyDescent="0.25">
      <c r="A490" s="294">
        <v>15895</v>
      </c>
      <c r="B490" s="53">
        <v>46069</v>
      </c>
      <c r="C490" s="53">
        <v>46069</v>
      </c>
      <c r="D490" s="2">
        <v>1</v>
      </c>
      <c r="E490" s="111" t="s">
        <v>54</v>
      </c>
      <c r="F490" s="21" t="s">
        <v>55</v>
      </c>
      <c r="G490" s="21">
        <v>9</v>
      </c>
      <c r="H490" s="21" t="s">
        <v>112</v>
      </c>
      <c r="I490" s="53">
        <v>46098</v>
      </c>
      <c r="J490" s="53">
        <v>46111</v>
      </c>
      <c r="K490" s="21">
        <v>9</v>
      </c>
      <c r="L490" s="21" t="s">
        <v>55</v>
      </c>
      <c r="M490" s="21" t="s">
        <v>55</v>
      </c>
      <c r="N490" s="21" t="s">
        <v>55</v>
      </c>
      <c r="O490" s="21" t="s">
        <v>55</v>
      </c>
      <c r="P490" s="21" t="s">
        <v>55</v>
      </c>
      <c r="Q490" s="21" t="s">
        <v>55</v>
      </c>
      <c r="R490" s="21" t="s">
        <v>55</v>
      </c>
      <c r="S490" s="21">
        <v>9</v>
      </c>
      <c r="T490" s="21">
        <v>1</v>
      </c>
      <c r="U490" s="21">
        <v>0</v>
      </c>
      <c r="V490" s="53">
        <v>46111</v>
      </c>
      <c r="W490" s="53">
        <v>46111</v>
      </c>
      <c r="X490" s="53">
        <v>46119</v>
      </c>
      <c r="Y490" s="53">
        <v>46125</v>
      </c>
      <c r="Z490" s="180">
        <v>46127</v>
      </c>
      <c r="AA490" s="21">
        <v>4</v>
      </c>
      <c r="AB490" s="159" t="s">
        <v>1515</v>
      </c>
      <c r="AC490" s="111" t="s">
        <v>1516</v>
      </c>
      <c r="AD490" s="19">
        <f t="shared" si="54"/>
        <v>1</v>
      </c>
      <c r="AE490" s="67">
        <f>IFERROR(NETWORKDAYS(B490,I490,Hoja1!$A$1:$A$29),"N/A")</f>
        <v>22</v>
      </c>
      <c r="AF490" s="21">
        <f>IFERROR(NETWORKDAYS(B490,W490,Hoja1!$A$1:$A$29),"N/A")</f>
        <v>30</v>
      </c>
      <c r="AG490" s="78">
        <v>4</v>
      </c>
      <c r="AH490" s="21">
        <f t="shared" si="52"/>
        <v>26</v>
      </c>
      <c r="AI490" s="21">
        <f>IFERROR(NETWORKDAYS(X490,Y490,Hoja1!$A$1:$A$29),"N/A")</f>
        <v>5</v>
      </c>
      <c r="AJ490" s="78">
        <v>0</v>
      </c>
      <c r="AK490" s="75">
        <f t="shared" si="53"/>
        <v>5</v>
      </c>
      <c r="AL490" s="21">
        <f>IFERROR(NETWORKDAYS(B490,Y490,Hoja1!$A$1:$A$29),"N/A")</f>
        <v>38</v>
      </c>
      <c r="AM490" s="21">
        <f t="shared" si="55"/>
        <v>34</v>
      </c>
      <c r="AN490" s="87"/>
      <c r="AO490" s="87"/>
      <c r="AP490" s="87"/>
      <c r="AQ490" s="87"/>
      <c r="AR490" s="87"/>
      <c r="AS490" s="87" t="s">
        <v>1905</v>
      </c>
      <c r="AT490" s="87" t="s">
        <v>2174</v>
      </c>
      <c r="AU490" s="87" t="s">
        <v>2219</v>
      </c>
      <c r="AV490" s="320" t="s">
        <v>2519</v>
      </c>
      <c r="AW490" s="403" t="s">
        <v>3075</v>
      </c>
      <c r="AY490" s="415"/>
    </row>
    <row r="491" spans="1:51" ht="15" customHeight="1" x14ac:dyDescent="0.25">
      <c r="A491" s="294">
        <v>15900</v>
      </c>
      <c r="B491" s="28">
        <v>46070</v>
      </c>
      <c r="C491" s="28">
        <v>46070</v>
      </c>
      <c r="D491" s="3">
        <v>1</v>
      </c>
      <c r="E491" s="111" t="s">
        <v>54</v>
      </c>
      <c r="F491" s="33" t="s">
        <v>55</v>
      </c>
      <c r="G491" s="33">
        <v>0</v>
      </c>
      <c r="H491" s="33"/>
      <c r="I491" s="33" t="s">
        <v>55</v>
      </c>
      <c r="J491" s="33" t="s">
        <v>55</v>
      </c>
      <c r="K491" s="33">
        <v>0</v>
      </c>
      <c r="L491" s="33" t="s">
        <v>55</v>
      </c>
      <c r="M491" s="33" t="s">
        <v>55</v>
      </c>
      <c r="N491" s="33" t="s">
        <v>55</v>
      </c>
      <c r="O491" s="33" t="s">
        <v>55</v>
      </c>
      <c r="P491" s="33" t="s">
        <v>55</v>
      </c>
      <c r="Q491" s="33" t="s">
        <v>55</v>
      </c>
      <c r="R491" s="33" t="s">
        <v>55</v>
      </c>
      <c r="S491" s="33">
        <v>4</v>
      </c>
      <c r="T491" s="33">
        <v>3</v>
      </c>
      <c r="U491" s="33">
        <v>0</v>
      </c>
      <c r="V491" s="28">
        <v>46085</v>
      </c>
      <c r="W491" s="28">
        <v>46087</v>
      </c>
      <c r="X491" s="28">
        <v>46090</v>
      </c>
      <c r="Y491" s="16">
        <v>46101</v>
      </c>
      <c r="Z491" s="53">
        <v>46118</v>
      </c>
      <c r="AA491" s="33">
        <f>MONTH(Z491)</f>
        <v>4</v>
      </c>
      <c r="AB491" s="144" t="s">
        <v>1519</v>
      </c>
      <c r="AC491" s="45" t="s">
        <v>1520</v>
      </c>
      <c r="AD491" s="19" t="str">
        <f t="shared" si="54"/>
        <v>N/A</v>
      </c>
      <c r="AE491" s="67" t="str">
        <f>IFERROR(NETWORKDAYS(B491,I491,Hoja1!$A$1:$A$29),"N/A")</f>
        <v>N/A</v>
      </c>
      <c r="AF491" s="21">
        <f>IFERROR(NETWORKDAYS(B491,W491,Hoja1!$A$1:$A$29),"N/A")</f>
        <v>14</v>
      </c>
      <c r="AG491" s="78">
        <v>7</v>
      </c>
      <c r="AH491" s="21">
        <f t="shared" si="52"/>
        <v>7</v>
      </c>
      <c r="AI491" s="21">
        <f>IFERROR(NETWORKDAYS(X491,Y491,Hoja1!$A$1:$A$29),"N/A")</f>
        <v>10</v>
      </c>
      <c r="AJ491" s="78">
        <v>5</v>
      </c>
      <c r="AK491" s="75">
        <f t="shared" si="53"/>
        <v>5</v>
      </c>
      <c r="AL491" s="21">
        <f>IFERROR(NETWORKDAYS(B491,Y491,Hoja1!$A$1:$A$29),"N/A")</f>
        <v>24</v>
      </c>
      <c r="AM491" s="21">
        <f t="shared" si="55"/>
        <v>12</v>
      </c>
      <c r="AN491" s="87"/>
      <c r="AO491" s="87"/>
      <c r="AP491" s="87"/>
      <c r="AQ491" s="87"/>
      <c r="AR491" s="87"/>
      <c r="AS491" s="87" t="s">
        <v>1897</v>
      </c>
      <c r="AT491" s="87" t="s">
        <v>2175</v>
      </c>
      <c r="AU491" s="87" t="s">
        <v>2210</v>
      </c>
      <c r="AV491" s="320" t="s">
        <v>2520</v>
      </c>
      <c r="AW491" s="403" t="s">
        <v>3076</v>
      </c>
      <c r="AY491" s="414"/>
    </row>
    <row r="492" spans="1:51" ht="15" customHeight="1" x14ac:dyDescent="0.25">
      <c r="A492" s="301">
        <v>15901</v>
      </c>
      <c r="B492" s="28">
        <v>46070</v>
      </c>
      <c r="C492" s="16">
        <v>46070</v>
      </c>
      <c r="D492" s="1">
        <v>1</v>
      </c>
      <c r="E492" s="111" t="s">
        <v>54</v>
      </c>
      <c r="F492" s="33" t="s">
        <v>55</v>
      </c>
      <c r="G492" s="33">
        <v>8</v>
      </c>
      <c r="H492" s="1" t="s">
        <v>56</v>
      </c>
      <c r="I492" s="53">
        <v>46087</v>
      </c>
      <c r="J492" s="53">
        <v>46087</v>
      </c>
      <c r="K492" s="33">
        <v>8</v>
      </c>
      <c r="L492" s="33" t="s">
        <v>55</v>
      </c>
      <c r="M492" s="33" t="s">
        <v>55</v>
      </c>
      <c r="N492" s="28">
        <v>46077</v>
      </c>
      <c r="O492" s="28">
        <v>46094</v>
      </c>
      <c r="P492" s="28">
        <v>46094</v>
      </c>
      <c r="Q492" s="33" t="s">
        <v>55</v>
      </c>
      <c r="R492" s="28">
        <v>46105</v>
      </c>
      <c r="S492" s="33">
        <v>3</v>
      </c>
      <c r="T492" s="33">
        <v>3</v>
      </c>
      <c r="U492" s="33">
        <v>0</v>
      </c>
      <c r="V492" s="28">
        <v>46121</v>
      </c>
      <c r="W492" s="28">
        <v>46125</v>
      </c>
      <c r="X492" s="28">
        <v>46125</v>
      </c>
      <c r="Y492" s="53">
        <v>46133</v>
      </c>
      <c r="Z492" s="53">
        <v>46139</v>
      </c>
      <c r="AA492" s="33">
        <v>4</v>
      </c>
      <c r="AB492" s="240" t="s">
        <v>1523</v>
      </c>
      <c r="AC492" s="49" t="s">
        <v>1524</v>
      </c>
      <c r="AD492" s="19">
        <f t="shared" si="54"/>
        <v>1</v>
      </c>
      <c r="AE492" s="67">
        <f>IFERROR(NETWORKDAYS(B492,I492,Hoja1!$A$1:$A$29),"N/A")</f>
        <v>14</v>
      </c>
      <c r="AF492" s="21">
        <f>IFERROR(NETWORKDAYS(B492,W492,Hoja1!$A$1:$A$29),"N/A")</f>
        <v>37</v>
      </c>
      <c r="AG492" s="78">
        <v>7</v>
      </c>
      <c r="AH492" s="21">
        <f t="shared" si="52"/>
        <v>30</v>
      </c>
      <c r="AI492" s="21">
        <f>IFERROR(NETWORKDAYS(X492,Y492,Hoja1!$A$1:$A$29),"N/A")</f>
        <v>7</v>
      </c>
      <c r="AJ492" s="78">
        <v>2</v>
      </c>
      <c r="AK492" s="75">
        <f t="shared" si="53"/>
        <v>5</v>
      </c>
      <c r="AL492" s="21">
        <f>IFERROR(NETWORKDAYS(B492,Y492,Hoja1!$A$1:$A$29),"N/A")</f>
        <v>43</v>
      </c>
      <c r="AM492" s="21">
        <f t="shared" si="55"/>
        <v>34</v>
      </c>
      <c r="AN492" s="87"/>
      <c r="AO492" s="87"/>
      <c r="AP492" s="87"/>
      <c r="AQ492" s="87"/>
      <c r="AR492" s="87"/>
      <c r="AS492" s="87" t="s">
        <v>1922</v>
      </c>
      <c r="AT492" s="87" t="s">
        <v>2176</v>
      </c>
      <c r="AU492" s="87" t="s">
        <v>2222</v>
      </c>
      <c r="AV492" s="320" t="s">
        <v>2521</v>
      </c>
      <c r="AW492" s="403" t="s">
        <v>3077</v>
      </c>
      <c r="AY492" s="415"/>
    </row>
    <row r="493" spans="1:51" ht="15" customHeight="1" x14ac:dyDescent="0.25">
      <c r="A493" s="294">
        <v>15903</v>
      </c>
      <c r="B493" s="16">
        <v>46070</v>
      </c>
      <c r="C493" s="16">
        <v>46070</v>
      </c>
      <c r="D493" s="3">
        <v>1</v>
      </c>
      <c r="E493" s="111" t="s">
        <v>54</v>
      </c>
      <c r="F493" s="33" t="s">
        <v>55</v>
      </c>
      <c r="G493" s="33">
        <v>17</v>
      </c>
      <c r="H493" s="21" t="s">
        <v>56</v>
      </c>
      <c r="I493" s="53">
        <v>46073</v>
      </c>
      <c r="J493" s="28">
        <v>46091</v>
      </c>
      <c r="K493" s="33">
        <v>17</v>
      </c>
      <c r="L493" s="33" t="s">
        <v>55</v>
      </c>
      <c r="M493" s="33" t="s">
        <v>55</v>
      </c>
      <c r="N493" s="33" t="s">
        <v>55</v>
      </c>
      <c r="O493" s="33" t="s">
        <v>55</v>
      </c>
      <c r="P493" s="33" t="s">
        <v>55</v>
      </c>
      <c r="Q493" s="33" t="s">
        <v>55</v>
      </c>
      <c r="R493" s="21" t="s">
        <v>55</v>
      </c>
      <c r="S493" s="33">
        <v>1</v>
      </c>
      <c r="T493" s="33">
        <v>1</v>
      </c>
      <c r="U493" s="33">
        <v>0</v>
      </c>
      <c r="V493" s="28">
        <v>46113</v>
      </c>
      <c r="W493" s="28">
        <v>46113</v>
      </c>
      <c r="X493" s="28">
        <v>46113</v>
      </c>
      <c r="Y493" s="28">
        <v>46122</v>
      </c>
      <c r="Z493" s="180">
        <v>46127</v>
      </c>
      <c r="AA493" s="33">
        <v>4</v>
      </c>
      <c r="AB493" s="144" t="s">
        <v>1526</v>
      </c>
      <c r="AC493" s="35" t="s">
        <v>1527</v>
      </c>
      <c r="AD493" s="19">
        <f t="shared" si="54"/>
        <v>1</v>
      </c>
      <c r="AE493" s="67">
        <f>IFERROR(NETWORKDAYS(B493,I493,Hoja1!$A$1:$A$29),"N/A")</f>
        <v>4</v>
      </c>
      <c r="AF493" s="21">
        <f>IFERROR(NETWORKDAYS(B493,W493,Hoja1!$A$1:$A$29),"N/A")</f>
        <v>31</v>
      </c>
      <c r="AG493" s="78">
        <v>7</v>
      </c>
      <c r="AH493" s="21">
        <f t="shared" si="52"/>
        <v>24</v>
      </c>
      <c r="AI493" s="21">
        <f>IFERROR(NETWORKDAYS(X493,Y493,Hoja1!$A$1:$A$29),"N/A")</f>
        <v>6</v>
      </c>
      <c r="AJ493" s="78">
        <v>1</v>
      </c>
      <c r="AK493" s="75">
        <f t="shared" si="53"/>
        <v>5</v>
      </c>
      <c r="AL493" s="21">
        <f>IFERROR(NETWORKDAYS(B493,Y493,Hoja1!$A$1:$A$29),"N/A")</f>
        <v>36</v>
      </c>
      <c r="AM493" s="21">
        <f t="shared" si="55"/>
        <v>28</v>
      </c>
      <c r="AN493" s="87"/>
      <c r="AO493" s="87"/>
      <c r="AP493" s="87"/>
      <c r="AQ493" s="87"/>
      <c r="AR493" s="87"/>
      <c r="AS493" s="87" t="s">
        <v>1904</v>
      </c>
      <c r="AT493" s="87" t="s">
        <v>1995</v>
      </c>
      <c r="AU493" s="87" t="s">
        <v>2218</v>
      </c>
      <c r="AV493" s="320" t="s">
        <v>2522</v>
      </c>
      <c r="AW493" s="403" t="s">
        <v>3078</v>
      </c>
      <c r="AY493" s="414"/>
    </row>
    <row r="494" spans="1:51" ht="15" customHeight="1" x14ac:dyDescent="0.25">
      <c r="A494" s="294">
        <v>15913</v>
      </c>
      <c r="B494" s="116">
        <v>46107</v>
      </c>
      <c r="C494" s="116">
        <v>46071</v>
      </c>
      <c r="D494" s="3">
        <v>1</v>
      </c>
      <c r="E494" s="111" t="s">
        <v>54</v>
      </c>
      <c r="F494" s="33" t="s">
        <v>55</v>
      </c>
      <c r="G494" s="33">
        <v>0</v>
      </c>
      <c r="H494" s="33"/>
      <c r="I494" s="33" t="s">
        <v>55</v>
      </c>
      <c r="J494" s="33" t="s">
        <v>55</v>
      </c>
      <c r="K494" s="33">
        <v>0</v>
      </c>
      <c r="L494" s="33" t="s">
        <v>55</v>
      </c>
      <c r="M494" s="33" t="s">
        <v>55</v>
      </c>
      <c r="N494" s="33" t="s">
        <v>55</v>
      </c>
      <c r="O494" s="33" t="s">
        <v>55</v>
      </c>
      <c r="P494" s="33" t="s">
        <v>55</v>
      </c>
      <c r="Q494" s="33" t="s">
        <v>55</v>
      </c>
      <c r="R494" s="33" t="s">
        <v>55</v>
      </c>
      <c r="S494" s="33">
        <v>1</v>
      </c>
      <c r="T494" s="33">
        <v>1</v>
      </c>
      <c r="U494" s="33">
        <v>0</v>
      </c>
      <c r="V494" s="180">
        <v>46111</v>
      </c>
      <c r="W494" s="180">
        <v>46118</v>
      </c>
      <c r="X494" s="180">
        <v>46118</v>
      </c>
      <c r="Y494" s="180">
        <v>46126</v>
      </c>
      <c r="Z494" s="180">
        <v>46127</v>
      </c>
      <c r="AA494" s="33">
        <f>MONTH(Z494)</f>
        <v>4</v>
      </c>
      <c r="AB494" s="144" t="s">
        <v>1530</v>
      </c>
      <c r="AC494" s="45" t="s">
        <v>1531</v>
      </c>
      <c r="AD494" s="19" t="str">
        <f t="shared" si="54"/>
        <v>N/A</v>
      </c>
      <c r="AE494" s="67" t="str">
        <f>IFERROR(NETWORKDAYS(B494,I494,Hoja1!$A$1:$A$29),"N/A")</f>
        <v>N/A</v>
      </c>
      <c r="AF494" s="21">
        <f>IFERROR(NETWORKDAYS(B494,W494,Hoja1!$A$1:$A$29),"N/A")</f>
        <v>6</v>
      </c>
      <c r="AG494" s="78">
        <v>1</v>
      </c>
      <c r="AH494" s="21">
        <f t="shared" si="52"/>
        <v>5</v>
      </c>
      <c r="AI494" s="21">
        <f>IFERROR(NETWORKDAYS(X494,Y494,Hoja1!$A$1:$A$29),"N/A")</f>
        <v>7</v>
      </c>
      <c r="AJ494" s="78">
        <v>2</v>
      </c>
      <c r="AK494" s="75">
        <f t="shared" si="53"/>
        <v>5</v>
      </c>
      <c r="AL494" s="21">
        <f>IFERROR(NETWORKDAYS(B494,Y494,Hoja1!$A$1:$A$29),"N/A")</f>
        <v>12</v>
      </c>
      <c r="AM494" s="21">
        <f t="shared" si="55"/>
        <v>9</v>
      </c>
      <c r="AN494" s="87"/>
      <c r="AO494" s="87"/>
      <c r="AP494" s="87"/>
      <c r="AQ494" s="87"/>
      <c r="AR494" s="87"/>
      <c r="AS494" s="87" t="s">
        <v>1889</v>
      </c>
      <c r="AT494" s="87" t="s">
        <v>2177</v>
      </c>
      <c r="AU494" s="87" t="s">
        <v>2221</v>
      </c>
      <c r="AV494" s="320" t="s">
        <v>2523</v>
      </c>
      <c r="AW494" s="403" t="s">
        <v>3079</v>
      </c>
      <c r="AY494" s="415"/>
    </row>
    <row r="495" spans="1:51" ht="15" customHeight="1" x14ac:dyDescent="0.25">
      <c r="A495" s="296">
        <v>15923</v>
      </c>
      <c r="B495" s="28">
        <v>46105</v>
      </c>
      <c r="C495" s="28">
        <v>46071</v>
      </c>
      <c r="D495" s="3">
        <v>1</v>
      </c>
      <c r="E495" s="111" t="s">
        <v>54</v>
      </c>
      <c r="F495" s="33" t="s">
        <v>55</v>
      </c>
      <c r="G495" s="33">
        <v>2</v>
      </c>
      <c r="H495" s="21" t="s">
        <v>112</v>
      </c>
      <c r="I495" s="53">
        <v>46107</v>
      </c>
      <c r="J495" s="53">
        <v>46107</v>
      </c>
      <c r="K495" s="33">
        <v>2</v>
      </c>
      <c r="L495" s="33" t="s">
        <v>55</v>
      </c>
      <c r="M495" s="33" t="s">
        <v>55</v>
      </c>
      <c r="N495" s="33" t="s">
        <v>55</v>
      </c>
      <c r="O495" s="33" t="s">
        <v>55</v>
      </c>
      <c r="P495" s="33" t="s">
        <v>55</v>
      </c>
      <c r="Q495" s="33" t="s">
        <v>55</v>
      </c>
      <c r="R495" s="21" t="s">
        <v>55</v>
      </c>
      <c r="S495" s="33">
        <v>2</v>
      </c>
      <c r="T495" s="33">
        <v>2</v>
      </c>
      <c r="U495" s="33">
        <v>0</v>
      </c>
      <c r="V495" s="28">
        <v>46111</v>
      </c>
      <c r="W495" s="28">
        <v>46118</v>
      </c>
      <c r="X495" s="28">
        <v>46118</v>
      </c>
      <c r="Y495" s="180">
        <v>46126</v>
      </c>
      <c r="Z495" s="180">
        <v>46127</v>
      </c>
      <c r="AA495" s="21">
        <v>4</v>
      </c>
      <c r="AB495" s="48" t="s">
        <v>1533</v>
      </c>
      <c r="AC495" s="48" t="s">
        <v>1534</v>
      </c>
      <c r="AD495" s="19">
        <f t="shared" si="54"/>
        <v>1</v>
      </c>
      <c r="AE495" s="67">
        <f>IFERROR(NETWORKDAYS(B495,I495,Hoja1!$A$1:$A$29),"N/A")</f>
        <v>3</v>
      </c>
      <c r="AF495" s="21">
        <f>IFERROR(NETWORKDAYS(B495,W495,Hoja1!$A$1:$A$29),"N/A")</f>
        <v>8</v>
      </c>
      <c r="AG495" s="78">
        <v>0</v>
      </c>
      <c r="AH495" s="21">
        <f t="shared" si="52"/>
        <v>8</v>
      </c>
      <c r="AI495" s="21">
        <f>IFERROR(NETWORKDAYS(X495,Y495,Hoja1!$A$1:$A$29),"N/A")</f>
        <v>7</v>
      </c>
      <c r="AJ495" s="78">
        <v>2</v>
      </c>
      <c r="AK495" s="75">
        <f t="shared" si="53"/>
        <v>5</v>
      </c>
      <c r="AL495" s="21">
        <f>IFERROR(NETWORKDAYS(B495,Y495,Hoja1!$A$1:$A$29),"N/A")</f>
        <v>14</v>
      </c>
      <c r="AM495" s="21">
        <f t="shared" si="55"/>
        <v>12</v>
      </c>
      <c r="AN495" s="192" t="s">
        <v>454</v>
      </c>
      <c r="AO495" s="87"/>
      <c r="AP495" s="87"/>
      <c r="AQ495" s="87"/>
      <c r="AR495" s="87"/>
      <c r="AS495" s="87" t="s">
        <v>1923</v>
      </c>
      <c r="AT495" s="87" t="s">
        <v>1994</v>
      </c>
      <c r="AU495" s="87" t="s">
        <v>2215</v>
      </c>
      <c r="AV495" s="320" t="s">
        <v>2327</v>
      </c>
      <c r="AW495" s="403" t="s">
        <v>3080</v>
      </c>
      <c r="AY495" s="414"/>
    </row>
    <row r="496" spans="1:51" ht="15" customHeight="1" x14ac:dyDescent="0.25">
      <c r="A496" s="294">
        <v>15929</v>
      </c>
      <c r="B496" s="53">
        <v>46072</v>
      </c>
      <c r="C496" s="53">
        <v>46072</v>
      </c>
      <c r="D496" s="2">
        <v>1</v>
      </c>
      <c r="E496" s="111" t="s">
        <v>54</v>
      </c>
      <c r="F496" s="21" t="s">
        <v>55</v>
      </c>
      <c r="G496" s="21">
        <v>4</v>
      </c>
      <c r="H496" s="21" t="s">
        <v>112</v>
      </c>
      <c r="I496" s="53">
        <v>46093</v>
      </c>
      <c r="J496" s="53">
        <v>46097</v>
      </c>
      <c r="K496" s="21">
        <v>4</v>
      </c>
      <c r="L496" s="21" t="s">
        <v>55</v>
      </c>
      <c r="M496" s="21" t="s">
        <v>55</v>
      </c>
      <c r="N496" s="21" t="s">
        <v>55</v>
      </c>
      <c r="O496" s="21" t="s">
        <v>55</v>
      </c>
      <c r="P496" s="21" t="s">
        <v>55</v>
      </c>
      <c r="Q496" s="21" t="s">
        <v>55</v>
      </c>
      <c r="R496" s="21" t="s">
        <v>55</v>
      </c>
      <c r="S496" s="21">
        <v>4</v>
      </c>
      <c r="T496" s="21">
        <v>1</v>
      </c>
      <c r="U496" s="21">
        <v>0</v>
      </c>
      <c r="V496" s="53">
        <v>46097</v>
      </c>
      <c r="W496" s="53">
        <v>46106</v>
      </c>
      <c r="X496" s="53">
        <v>46118</v>
      </c>
      <c r="Y496" s="180">
        <v>46126</v>
      </c>
      <c r="Z496" s="180">
        <v>46127</v>
      </c>
      <c r="AA496" s="21">
        <v>4</v>
      </c>
      <c r="AB496" s="159" t="s">
        <v>1535</v>
      </c>
      <c r="AC496" s="111" t="s">
        <v>1536</v>
      </c>
      <c r="AD496" s="19">
        <f t="shared" si="54"/>
        <v>1</v>
      </c>
      <c r="AE496" s="67">
        <f>IFERROR(NETWORKDAYS(B496,I496,Hoja1!$A$1:$A$29),"N/A")</f>
        <v>16</v>
      </c>
      <c r="AF496" s="21">
        <f>IFERROR(NETWORKDAYS(B496,W496,Hoja1!$A$1:$A$29),"N/A")</f>
        <v>24</v>
      </c>
      <c r="AG496" s="78">
        <v>7</v>
      </c>
      <c r="AH496" s="21">
        <f t="shared" si="52"/>
        <v>17</v>
      </c>
      <c r="AI496" s="21">
        <f>IFERROR(NETWORKDAYS(X496,Y496,Hoja1!$A$1:$A$29),"N/A")</f>
        <v>7</v>
      </c>
      <c r="AJ496" s="78">
        <v>0</v>
      </c>
      <c r="AK496" s="75">
        <f t="shared" si="53"/>
        <v>7</v>
      </c>
      <c r="AL496" s="21">
        <f>IFERROR(NETWORKDAYS(B496,Y496,Hoja1!$A$1:$A$29),"N/A")</f>
        <v>36</v>
      </c>
      <c r="AM496" s="21">
        <f t="shared" si="55"/>
        <v>29</v>
      </c>
      <c r="AN496" s="87"/>
      <c r="AO496" s="87"/>
      <c r="AP496" s="87"/>
      <c r="AQ496" s="87"/>
      <c r="AR496" s="87"/>
      <c r="AS496" s="87" t="s">
        <v>1894</v>
      </c>
      <c r="AT496" s="87" t="s">
        <v>1994</v>
      </c>
      <c r="AU496" s="87" t="s">
        <v>2219</v>
      </c>
      <c r="AV496" s="320" t="s">
        <v>2232</v>
      </c>
      <c r="AW496" s="403" t="s">
        <v>3081</v>
      </c>
      <c r="AY496" s="415"/>
    </row>
    <row r="497" spans="1:51" ht="15" customHeight="1" x14ac:dyDescent="0.25">
      <c r="A497" s="294">
        <v>15930</v>
      </c>
      <c r="B497" s="53">
        <v>46072</v>
      </c>
      <c r="C497" s="53">
        <v>46072</v>
      </c>
      <c r="D497" s="2">
        <v>1</v>
      </c>
      <c r="E497" s="111" t="s">
        <v>54</v>
      </c>
      <c r="F497" s="21" t="s">
        <v>55</v>
      </c>
      <c r="G497" s="21">
        <v>4</v>
      </c>
      <c r="H497" s="21" t="s">
        <v>112</v>
      </c>
      <c r="I497" s="53">
        <v>46093</v>
      </c>
      <c r="J497" s="53">
        <v>46097</v>
      </c>
      <c r="K497" s="21">
        <v>4</v>
      </c>
      <c r="L497" s="21" t="s">
        <v>55</v>
      </c>
      <c r="M497" s="21" t="s">
        <v>55</v>
      </c>
      <c r="N497" s="21" t="s">
        <v>55</v>
      </c>
      <c r="O497" s="21" t="s">
        <v>55</v>
      </c>
      <c r="P497" s="21" t="s">
        <v>55</v>
      </c>
      <c r="Q497" s="21" t="s">
        <v>55</v>
      </c>
      <c r="R497" s="21" t="s">
        <v>55</v>
      </c>
      <c r="S497" s="21">
        <v>4</v>
      </c>
      <c r="T497" s="21">
        <v>1</v>
      </c>
      <c r="U497" s="21">
        <v>0</v>
      </c>
      <c r="V497" s="53">
        <v>46097</v>
      </c>
      <c r="W497" s="53">
        <v>46106</v>
      </c>
      <c r="X497" s="53">
        <v>46118</v>
      </c>
      <c r="Y497" s="180">
        <v>46126</v>
      </c>
      <c r="Z497" s="180">
        <v>46127</v>
      </c>
      <c r="AA497" s="21">
        <v>4</v>
      </c>
      <c r="AB497" s="159" t="s">
        <v>1537</v>
      </c>
      <c r="AC497" s="111" t="s">
        <v>1538</v>
      </c>
      <c r="AD497" s="19">
        <f t="shared" si="54"/>
        <v>1</v>
      </c>
      <c r="AE497" s="67">
        <f>IFERROR(NETWORKDAYS(B497,I497,Hoja1!$A$1:$A$29),"N/A")</f>
        <v>16</v>
      </c>
      <c r="AF497" s="21">
        <f>IFERROR(NETWORKDAYS(B497,W497,Hoja1!$A$1:$A$29),"N/A")</f>
        <v>24</v>
      </c>
      <c r="AG497" s="78">
        <v>7</v>
      </c>
      <c r="AH497" s="21">
        <f t="shared" si="52"/>
        <v>17</v>
      </c>
      <c r="AI497" s="21">
        <f>IFERROR(NETWORKDAYS(X497,Y497,Hoja1!$A$1:$A$29),"N/A")</f>
        <v>7</v>
      </c>
      <c r="AJ497" s="78">
        <v>0</v>
      </c>
      <c r="AK497" s="75">
        <f t="shared" si="53"/>
        <v>7</v>
      </c>
      <c r="AL497" s="21">
        <f>IFERROR(NETWORKDAYS(B497,Y497,Hoja1!$A$1:$A$29),"N/A")</f>
        <v>36</v>
      </c>
      <c r="AM497" s="21">
        <f t="shared" si="55"/>
        <v>29</v>
      </c>
      <c r="AN497" s="87"/>
      <c r="AO497" s="87"/>
      <c r="AP497" s="87"/>
      <c r="AQ497" s="87"/>
      <c r="AR497" s="87"/>
      <c r="AS497" s="87" t="s">
        <v>1894</v>
      </c>
      <c r="AT497" s="87" t="s">
        <v>1994</v>
      </c>
      <c r="AU497" s="87" t="s">
        <v>2219</v>
      </c>
      <c r="AV497" s="320" t="s">
        <v>2232</v>
      </c>
      <c r="AW497" s="403" t="s">
        <v>3081</v>
      </c>
      <c r="AY497" s="414"/>
    </row>
    <row r="498" spans="1:51" ht="15" customHeight="1" x14ac:dyDescent="0.25">
      <c r="A498" s="294">
        <v>15955</v>
      </c>
      <c r="B498" s="28">
        <v>46076</v>
      </c>
      <c r="C498" s="28">
        <v>46076</v>
      </c>
      <c r="D498" s="3">
        <v>1</v>
      </c>
      <c r="E498" s="111" t="s">
        <v>54</v>
      </c>
      <c r="F498" s="33" t="s">
        <v>55</v>
      </c>
      <c r="G498" s="33">
        <v>4</v>
      </c>
      <c r="H498" s="21" t="s">
        <v>112</v>
      </c>
      <c r="I498" s="28">
        <v>46086</v>
      </c>
      <c r="J498" s="28">
        <v>46086</v>
      </c>
      <c r="K498" s="33">
        <v>4</v>
      </c>
      <c r="L498" s="33" t="s">
        <v>55</v>
      </c>
      <c r="M498" s="33" t="s">
        <v>55</v>
      </c>
      <c r="N498" s="33" t="s">
        <v>55</v>
      </c>
      <c r="O498" s="33" t="s">
        <v>55</v>
      </c>
      <c r="P498" s="33" t="s">
        <v>55</v>
      </c>
      <c r="Q498" s="33" t="s">
        <v>55</v>
      </c>
      <c r="R498" s="21" t="s">
        <v>55</v>
      </c>
      <c r="S498" s="33">
        <v>2</v>
      </c>
      <c r="T498" s="33">
        <v>2</v>
      </c>
      <c r="U498" s="33">
        <v>0</v>
      </c>
      <c r="V498" s="28">
        <v>46100</v>
      </c>
      <c r="W498" s="28">
        <v>46100</v>
      </c>
      <c r="X498" s="28">
        <v>46101</v>
      </c>
      <c r="Y498" s="28">
        <v>46118</v>
      </c>
      <c r="Z498" s="53">
        <v>46118</v>
      </c>
      <c r="AA498" s="21">
        <v>4</v>
      </c>
      <c r="AB498" s="87" t="s">
        <v>1540</v>
      </c>
      <c r="AC498" s="48" t="s">
        <v>1541</v>
      </c>
      <c r="AD498" s="19">
        <f t="shared" si="54"/>
        <v>1</v>
      </c>
      <c r="AE498" s="67">
        <f>IFERROR(NETWORKDAYS(B498,I498,Hoja1!$A$1:$A$29),"N/A")</f>
        <v>9</v>
      </c>
      <c r="AF498" s="21">
        <f>IFERROR(NETWORKDAYS(B498,W498,Hoja1!$A$1:$A$29),"N/A")</f>
        <v>19</v>
      </c>
      <c r="AG498" s="78">
        <v>3</v>
      </c>
      <c r="AH498" s="21">
        <f t="shared" si="52"/>
        <v>16</v>
      </c>
      <c r="AI498" s="21">
        <f>IFERROR(NETWORKDAYS(X498,Y498,Hoja1!$A$1:$A$29),"N/A")</f>
        <v>9</v>
      </c>
      <c r="AJ498" s="78">
        <v>0</v>
      </c>
      <c r="AK498" s="75">
        <f t="shared" si="53"/>
        <v>9</v>
      </c>
      <c r="AL498" s="21">
        <f>IFERROR(NETWORKDAYS(B498,Y498,Hoja1!$A$1:$A$29),"N/A")</f>
        <v>28</v>
      </c>
      <c r="AM498" s="21">
        <f t="shared" si="55"/>
        <v>25</v>
      </c>
      <c r="AN498" s="87"/>
      <c r="AO498" s="87"/>
      <c r="AP498" s="87"/>
      <c r="AQ498" s="87"/>
      <c r="AR498" s="87"/>
      <c r="AS498" s="87" t="s">
        <v>1980</v>
      </c>
      <c r="AT498" s="87" t="s">
        <v>2113</v>
      </c>
      <c r="AU498" s="87" t="s">
        <v>2209</v>
      </c>
      <c r="AV498" s="320" t="s">
        <v>2524</v>
      </c>
      <c r="AW498" s="403" t="s">
        <v>3082</v>
      </c>
      <c r="AY498" s="415"/>
    </row>
    <row r="499" spans="1:51" ht="15" customHeight="1" x14ac:dyDescent="0.25">
      <c r="A499" s="296">
        <v>15963</v>
      </c>
      <c r="B499" s="28">
        <v>46077</v>
      </c>
      <c r="C499" s="28">
        <v>46077</v>
      </c>
      <c r="D499" s="3">
        <v>1</v>
      </c>
      <c r="E499" s="111" t="s">
        <v>54</v>
      </c>
      <c r="F499" s="33" t="s">
        <v>55</v>
      </c>
      <c r="G499" s="33">
        <v>2</v>
      </c>
      <c r="H499" s="21" t="s">
        <v>112</v>
      </c>
      <c r="I499" s="28">
        <v>46084</v>
      </c>
      <c r="J499" s="28">
        <v>46084</v>
      </c>
      <c r="K499" s="33">
        <v>2</v>
      </c>
      <c r="L499" s="33" t="s">
        <v>55</v>
      </c>
      <c r="M499" s="33" t="s">
        <v>55</v>
      </c>
      <c r="N499" s="33" t="s">
        <v>55</v>
      </c>
      <c r="O499" s="33" t="s">
        <v>55</v>
      </c>
      <c r="P499" s="33" t="s">
        <v>55</v>
      </c>
      <c r="Q499" s="33" t="s">
        <v>55</v>
      </c>
      <c r="R499" s="21" t="s">
        <v>55</v>
      </c>
      <c r="S499" s="33">
        <v>2</v>
      </c>
      <c r="T499" s="33">
        <v>2</v>
      </c>
      <c r="U499" s="33">
        <v>0</v>
      </c>
      <c r="V499" s="38">
        <v>46098</v>
      </c>
      <c r="W499" s="53">
        <v>46099</v>
      </c>
      <c r="X499" s="53">
        <v>46099</v>
      </c>
      <c r="Y499" s="38">
        <v>46121</v>
      </c>
      <c r="Z499" s="180">
        <v>46127</v>
      </c>
      <c r="AA499" s="21">
        <v>4</v>
      </c>
      <c r="AB499" s="48" t="s">
        <v>1542</v>
      </c>
      <c r="AC499" s="48" t="s">
        <v>1543</v>
      </c>
      <c r="AD499" s="19">
        <f t="shared" si="54"/>
        <v>1</v>
      </c>
      <c r="AE499" s="67">
        <f>IFERROR(NETWORKDAYS(B499,I499,Hoja1!$A$1:$A$29),"N/A")</f>
        <v>6</v>
      </c>
      <c r="AF499" s="21">
        <f>IFERROR(NETWORKDAYS(B499,W499,Hoja1!$A$1:$A$29),"N/A")</f>
        <v>17</v>
      </c>
      <c r="AG499" s="78">
        <v>0</v>
      </c>
      <c r="AH499" s="21">
        <f t="shared" si="52"/>
        <v>17</v>
      </c>
      <c r="AI499" s="21">
        <f>IFERROR(NETWORKDAYS(X499,Y499,Hoja1!$A$1:$A$29),"N/A")</f>
        <v>14</v>
      </c>
      <c r="AJ499" s="78">
        <v>0</v>
      </c>
      <c r="AK499" s="75">
        <f t="shared" si="53"/>
        <v>14</v>
      </c>
      <c r="AL499" s="21">
        <f>IFERROR(NETWORKDAYS(B499,Y499,Hoja1!$A$1:$A$29),"N/A")</f>
        <v>30</v>
      </c>
      <c r="AM499" s="21">
        <f t="shared" si="55"/>
        <v>30</v>
      </c>
      <c r="AN499" s="111" t="s">
        <v>881</v>
      </c>
      <c r="AO499" s="87"/>
      <c r="AP499" s="87"/>
      <c r="AQ499" s="87"/>
      <c r="AR499" s="87"/>
      <c r="AS499" s="87" t="s">
        <v>1893</v>
      </c>
      <c r="AT499" s="87" t="s">
        <v>1994</v>
      </c>
      <c r="AU499" s="87" t="s">
        <v>2215</v>
      </c>
      <c r="AV499" s="320" t="s">
        <v>2307</v>
      </c>
      <c r="AW499" s="403" t="s">
        <v>3083</v>
      </c>
      <c r="AY499" s="414"/>
    </row>
    <row r="500" spans="1:51" ht="15" customHeight="1" x14ac:dyDescent="0.25">
      <c r="A500" s="294">
        <v>15966</v>
      </c>
      <c r="B500" s="38">
        <v>46091</v>
      </c>
      <c r="C500" s="180">
        <v>46078</v>
      </c>
      <c r="D500" s="2">
        <v>1</v>
      </c>
      <c r="E500" s="111" t="s">
        <v>54</v>
      </c>
      <c r="F500" s="33" t="s">
        <v>55</v>
      </c>
      <c r="G500" s="33">
        <v>0</v>
      </c>
      <c r="H500" s="21"/>
      <c r="I500" s="33" t="s">
        <v>55</v>
      </c>
      <c r="J500" s="33" t="s">
        <v>55</v>
      </c>
      <c r="K500" s="33">
        <v>0</v>
      </c>
      <c r="L500" s="33" t="s">
        <v>55</v>
      </c>
      <c r="M500" s="33" t="s">
        <v>55</v>
      </c>
      <c r="N500" s="33" t="s">
        <v>55</v>
      </c>
      <c r="O500" s="33" t="s">
        <v>55</v>
      </c>
      <c r="P500" s="33" t="s">
        <v>55</v>
      </c>
      <c r="Q500" s="33" t="s">
        <v>55</v>
      </c>
      <c r="R500" s="33" t="s">
        <v>55</v>
      </c>
      <c r="S500" s="33">
        <v>1</v>
      </c>
      <c r="T500" s="33">
        <v>1</v>
      </c>
      <c r="U500" s="33">
        <v>0</v>
      </c>
      <c r="V500" s="53">
        <v>46097</v>
      </c>
      <c r="W500" s="53">
        <v>46098</v>
      </c>
      <c r="X500" s="53">
        <v>46099</v>
      </c>
      <c r="Y500" s="53">
        <v>46111</v>
      </c>
      <c r="Z500" s="53">
        <v>46118</v>
      </c>
      <c r="AA500" s="33">
        <v>4</v>
      </c>
      <c r="AB500" s="144" t="s">
        <v>1544</v>
      </c>
      <c r="AC500" s="46" t="s">
        <v>1545</v>
      </c>
      <c r="AD500" s="19" t="str">
        <f t="shared" si="54"/>
        <v>N/A</v>
      </c>
      <c r="AE500" s="67" t="str">
        <f>IFERROR(NETWORKDAYS(B500,I500,Hoja1!$A$1:$A$29),"N/A")</f>
        <v>N/A</v>
      </c>
      <c r="AF500" s="21">
        <f>IFERROR(NETWORKDAYS(B500,W500,Hoja1!$A$1:$A$29),"N/A")</f>
        <v>6</v>
      </c>
      <c r="AG500" s="78">
        <v>0</v>
      </c>
      <c r="AH500" s="21">
        <f t="shared" si="52"/>
        <v>6</v>
      </c>
      <c r="AI500" s="21">
        <f>IFERROR(NETWORKDAYS(X500,Y500,Hoja1!$A$1:$A$29),"N/A")</f>
        <v>8</v>
      </c>
      <c r="AJ500" s="78">
        <v>3</v>
      </c>
      <c r="AK500" s="75">
        <f t="shared" si="53"/>
        <v>5</v>
      </c>
      <c r="AL500" s="21">
        <f>IFERROR(NETWORKDAYS(B500,Y500,Hoja1!$A$1:$A$29),"N/A")</f>
        <v>14</v>
      </c>
      <c r="AM500" s="21">
        <f t="shared" si="55"/>
        <v>11</v>
      </c>
      <c r="AN500" s="87"/>
      <c r="AO500" s="87"/>
      <c r="AP500" s="87"/>
      <c r="AQ500" s="87"/>
      <c r="AR500" s="87"/>
      <c r="AS500" s="87" t="s">
        <v>1911</v>
      </c>
      <c r="AT500" s="87" t="s">
        <v>1997</v>
      </c>
      <c r="AU500" s="87" t="s">
        <v>2210</v>
      </c>
      <c r="AV500" s="320" t="s">
        <v>2525</v>
      </c>
      <c r="AW500" s="403" t="s">
        <v>3084</v>
      </c>
      <c r="AY500" s="415"/>
    </row>
    <row r="501" spans="1:51" ht="15" customHeight="1" x14ac:dyDescent="0.25">
      <c r="A501" s="294">
        <v>15969</v>
      </c>
      <c r="B501" s="53">
        <v>46109</v>
      </c>
      <c r="C501" s="53">
        <v>46077</v>
      </c>
      <c r="D501" s="2">
        <v>1</v>
      </c>
      <c r="E501" s="111" t="s">
        <v>54</v>
      </c>
      <c r="F501" s="21" t="s">
        <v>55</v>
      </c>
      <c r="G501" s="21">
        <v>14</v>
      </c>
      <c r="H501" s="21" t="s">
        <v>56</v>
      </c>
      <c r="I501" s="53">
        <v>46120</v>
      </c>
      <c r="J501" s="53">
        <v>46126</v>
      </c>
      <c r="K501" s="21">
        <v>14</v>
      </c>
      <c r="L501" s="21" t="s">
        <v>55</v>
      </c>
      <c r="M501" s="21" t="s">
        <v>55</v>
      </c>
      <c r="N501" s="21" t="s">
        <v>55</v>
      </c>
      <c r="O501" s="21" t="s">
        <v>55</v>
      </c>
      <c r="P501" s="21" t="s">
        <v>55</v>
      </c>
      <c r="Q501" s="21" t="s">
        <v>55</v>
      </c>
      <c r="R501" s="21" t="s">
        <v>55</v>
      </c>
      <c r="S501" s="21">
        <v>14</v>
      </c>
      <c r="T501" s="21">
        <v>1</v>
      </c>
      <c r="U501" s="21">
        <v>0</v>
      </c>
      <c r="V501" s="53">
        <v>46126</v>
      </c>
      <c r="W501" s="53">
        <v>46126</v>
      </c>
      <c r="X501" s="53">
        <v>46127</v>
      </c>
      <c r="Y501" s="53">
        <v>46133</v>
      </c>
      <c r="Z501" s="53">
        <v>46139</v>
      </c>
      <c r="AA501" s="21">
        <v>4</v>
      </c>
      <c r="AB501" s="159" t="s">
        <v>1547</v>
      </c>
      <c r="AC501" s="111" t="s">
        <v>1548</v>
      </c>
      <c r="AD501" s="19">
        <f t="shared" si="54"/>
        <v>1</v>
      </c>
      <c r="AE501" s="67">
        <f>IFERROR(NETWORKDAYS(B501,I501,Hoja1!$A$1:$A$29),"N/A")</f>
        <v>6</v>
      </c>
      <c r="AF501" s="21">
        <f>IFERROR(NETWORKDAYS(B501,W501,Hoja1!$A$1:$A$29),"N/A")</f>
        <v>10</v>
      </c>
      <c r="AG501" s="78">
        <v>0</v>
      </c>
      <c r="AH501" s="21">
        <f t="shared" si="52"/>
        <v>10</v>
      </c>
      <c r="AI501" s="21">
        <f>IFERROR(NETWORKDAYS(X501,Y501,Hoja1!$A$1:$A$29),"N/A")</f>
        <v>5</v>
      </c>
      <c r="AJ501" s="78">
        <v>0</v>
      </c>
      <c r="AK501" s="75">
        <f t="shared" si="53"/>
        <v>5</v>
      </c>
      <c r="AL501" s="21">
        <f>IFERROR(NETWORKDAYS(B501,Y501,Hoja1!$A$1:$A$29),"N/A")</f>
        <v>15</v>
      </c>
      <c r="AM501" s="21">
        <f t="shared" si="55"/>
        <v>15</v>
      </c>
      <c r="AN501" s="87" t="s">
        <v>1376</v>
      </c>
      <c r="AO501" s="87"/>
      <c r="AP501" s="87"/>
      <c r="AQ501" s="87"/>
      <c r="AR501" s="87"/>
      <c r="AS501" s="87" t="s">
        <v>1895</v>
      </c>
      <c r="AT501" s="87" t="s">
        <v>2061</v>
      </c>
      <c r="AU501" s="87" t="s">
        <v>2216</v>
      </c>
      <c r="AV501" s="320" t="s">
        <v>2473</v>
      </c>
      <c r="AW501" s="403" t="s">
        <v>3085</v>
      </c>
      <c r="AY501" s="414"/>
    </row>
    <row r="502" spans="1:51" ht="15" customHeight="1" x14ac:dyDescent="0.25">
      <c r="A502" s="294">
        <v>15973</v>
      </c>
      <c r="B502" s="53">
        <v>46077</v>
      </c>
      <c r="C502" s="53">
        <v>46077</v>
      </c>
      <c r="D502" s="2">
        <v>1</v>
      </c>
      <c r="E502" s="111" t="s">
        <v>54</v>
      </c>
      <c r="F502" s="21" t="s">
        <v>55</v>
      </c>
      <c r="G502" s="21">
        <v>18</v>
      </c>
      <c r="H502" s="21" t="s">
        <v>56</v>
      </c>
      <c r="I502" s="53">
        <v>46097</v>
      </c>
      <c r="J502" s="53">
        <v>46101</v>
      </c>
      <c r="K502" s="21">
        <v>18</v>
      </c>
      <c r="L502" s="21" t="s">
        <v>55</v>
      </c>
      <c r="M502" s="21" t="s">
        <v>55</v>
      </c>
      <c r="N502" s="21" t="s">
        <v>55</v>
      </c>
      <c r="O502" s="21" t="s">
        <v>55</v>
      </c>
      <c r="P502" s="21" t="s">
        <v>55</v>
      </c>
      <c r="Q502" s="21" t="s">
        <v>55</v>
      </c>
      <c r="R502" s="21" t="s">
        <v>55</v>
      </c>
      <c r="S502" s="21">
        <v>18</v>
      </c>
      <c r="T502" s="21">
        <v>1</v>
      </c>
      <c r="U502" s="21">
        <v>0</v>
      </c>
      <c r="V502" s="53">
        <v>46101</v>
      </c>
      <c r="W502" s="53">
        <v>46101</v>
      </c>
      <c r="X502" s="53">
        <v>46106</v>
      </c>
      <c r="Y502" s="28">
        <v>46112</v>
      </c>
      <c r="Z502" s="53">
        <v>46118</v>
      </c>
      <c r="AA502" s="21">
        <v>4</v>
      </c>
      <c r="AB502" s="159" t="s">
        <v>1549</v>
      </c>
      <c r="AC502" s="111" t="s">
        <v>1550</v>
      </c>
      <c r="AD502" s="19">
        <f t="shared" si="54"/>
        <v>1</v>
      </c>
      <c r="AE502" s="67">
        <f>IFERROR(NETWORKDAYS(B502,I502,Hoja1!$A$1:$A$29),"N/A")</f>
        <v>15</v>
      </c>
      <c r="AF502" s="21">
        <f>IFERROR(NETWORKDAYS(B502,W502,Hoja1!$A$1:$A$29),"N/A")</f>
        <v>19</v>
      </c>
      <c r="AG502" s="78">
        <v>0</v>
      </c>
      <c r="AH502" s="21">
        <f t="shared" si="52"/>
        <v>19</v>
      </c>
      <c r="AI502" s="21">
        <f>IFERROR(NETWORKDAYS(X502,Y502,Hoja1!$A$1:$A$29),"N/A")</f>
        <v>5</v>
      </c>
      <c r="AJ502" s="78">
        <v>0</v>
      </c>
      <c r="AK502" s="75">
        <f t="shared" si="53"/>
        <v>5</v>
      </c>
      <c r="AL502" s="21">
        <f>IFERROR(NETWORKDAYS(B502,Y502,Hoja1!$A$1:$A$29),"N/A")</f>
        <v>25</v>
      </c>
      <c r="AM502" s="21">
        <f t="shared" si="55"/>
        <v>25</v>
      </c>
      <c r="AN502" s="87" t="s">
        <v>881</v>
      </c>
      <c r="AO502" s="87"/>
      <c r="AP502" s="87"/>
      <c r="AQ502" s="87"/>
      <c r="AR502" s="87"/>
      <c r="AS502" s="87" t="s">
        <v>1895</v>
      </c>
      <c r="AT502" s="87" t="s">
        <v>2061</v>
      </c>
      <c r="AU502" s="87" t="s">
        <v>2216</v>
      </c>
      <c r="AV502" s="320" t="s">
        <v>2526</v>
      </c>
      <c r="AW502" s="403" t="s">
        <v>3086</v>
      </c>
      <c r="AY502" s="415"/>
    </row>
    <row r="503" spans="1:51" ht="15" customHeight="1" x14ac:dyDescent="0.25">
      <c r="A503" s="294">
        <v>15974</v>
      </c>
      <c r="B503" s="53">
        <v>46090</v>
      </c>
      <c r="C503" s="180">
        <v>46078</v>
      </c>
      <c r="D503" s="2">
        <v>1</v>
      </c>
      <c r="E503" s="111" t="s">
        <v>54</v>
      </c>
      <c r="F503" s="21" t="s">
        <v>55</v>
      </c>
      <c r="G503" s="21">
        <v>6</v>
      </c>
      <c r="H503" s="21" t="s">
        <v>56</v>
      </c>
      <c r="I503" s="16">
        <v>46105</v>
      </c>
      <c r="J503" s="16">
        <v>46105</v>
      </c>
      <c r="K503" s="21">
        <v>6</v>
      </c>
      <c r="L503" s="21" t="s">
        <v>55</v>
      </c>
      <c r="M503" s="21" t="s">
        <v>55</v>
      </c>
      <c r="N503" s="21" t="s">
        <v>55</v>
      </c>
      <c r="O503" s="21" t="s">
        <v>55</v>
      </c>
      <c r="P503" s="21" t="s">
        <v>55</v>
      </c>
      <c r="Q503" s="21" t="s">
        <v>55</v>
      </c>
      <c r="R503" s="21" t="s">
        <v>55</v>
      </c>
      <c r="S503" s="21">
        <v>2</v>
      </c>
      <c r="T503" s="21">
        <v>2</v>
      </c>
      <c r="U503" s="21">
        <v>0</v>
      </c>
      <c r="V503" s="53">
        <v>46113</v>
      </c>
      <c r="W503" s="53">
        <v>46113</v>
      </c>
      <c r="X503" s="53">
        <v>46113</v>
      </c>
      <c r="Y503" s="180">
        <v>46126</v>
      </c>
      <c r="Z503" s="180">
        <v>46127</v>
      </c>
      <c r="AA503" s="21">
        <v>4</v>
      </c>
      <c r="AB503" s="152" t="s">
        <v>1552</v>
      </c>
      <c r="AC503" s="111" t="s">
        <v>1553</v>
      </c>
      <c r="AD503" s="19">
        <f t="shared" si="54"/>
        <v>1</v>
      </c>
      <c r="AE503" s="67">
        <f>IFERROR(NETWORKDAYS(B503,I503,Hoja1!$A$1:$A$29),"N/A")</f>
        <v>11</v>
      </c>
      <c r="AF503" s="21">
        <f>IFERROR(NETWORKDAYS(B503,W503,Hoja1!$A$1:$A$29),"N/A")</f>
        <v>17</v>
      </c>
      <c r="AG503" s="78">
        <v>0</v>
      </c>
      <c r="AH503" s="21">
        <f t="shared" si="52"/>
        <v>17</v>
      </c>
      <c r="AI503" s="21">
        <f>IFERROR(NETWORKDAYS(X503,Y503,Hoja1!$A$1:$A$29),"N/A")</f>
        <v>8</v>
      </c>
      <c r="AJ503" s="78">
        <v>3</v>
      </c>
      <c r="AK503" s="75">
        <f t="shared" si="53"/>
        <v>5</v>
      </c>
      <c r="AL503" s="21">
        <f>IFERROR(NETWORKDAYS(B503,Y503,Hoja1!$A$1:$A$29),"N/A")</f>
        <v>24</v>
      </c>
      <c r="AM503" s="21">
        <f t="shared" si="55"/>
        <v>21</v>
      </c>
      <c r="AN503" s="111" t="s">
        <v>1376</v>
      </c>
      <c r="AO503" s="111"/>
      <c r="AP503" s="111"/>
      <c r="AQ503" s="111"/>
      <c r="AR503" s="111"/>
      <c r="AS503" s="111" t="s">
        <v>1901</v>
      </c>
      <c r="AT503" s="111" t="s">
        <v>1995</v>
      </c>
      <c r="AU503" s="111" t="s">
        <v>2217</v>
      </c>
      <c r="AV503" s="321" t="s">
        <v>2527</v>
      </c>
      <c r="AW503" s="403" t="s">
        <v>3087</v>
      </c>
      <c r="AY503" s="414"/>
    </row>
    <row r="504" spans="1:51" ht="15" customHeight="1" x14ac:dyDescent="0.25">
      <c r="A504" s="294">
        <v>15975</v>
      </c>
      <c r="B504" s="116">
        <v>46107</v>
      </c>
      <c r="C504" s="180">
        <v>46078</v>
      </c>
      <c r="D504" s="2">
        <v>1</v>
      </c>
      <c r="E504" s="111" t="s">
        <v>54</v>
      </c>
      <c r="F504" s="21" t="s">
        <v>55</v>
      </c>
      <c r="G504" s="21">
        <v>6</v>
      </c>
      <c r="H504" s="21" t="s">
        <v>56</v>
      </c>
      <c r="I504" s="53">
        <v>46120</v>
      </c>
      <c r="J504" s="53">
        <v>46120</v>
      </c>
      <c r="K504" s="21">
        <v>6</v>
      </c>
      <c r="L504" s="21" t="s">
        <v>55</v>
      </c>
      <c r="M504" s="21" t="s">
        <v>55</v>
      </c>
      <c r="N504" s="21" t="s">
        <v>55</v>
      </c>
      <c r="O504" s="21" t="s">
        <v>55</v>
      </c>
      <c r="P504" s="21" t="s">
        <v>55</v>
      </c>
      <c r="Q504" s="21" t="s">
        <v>55</v>
      </c>
      <c r="R504" s="21" t="s">
        <v>55</v>
      </c>
      <c r="S504" s="21">
        <v>3</v>
      </c>
      <c r="T504" s="21">
        <v>3</v>
      </c>
      <c r="U504" s="21">
        <v>0</v>
      </c>
      <c r="V504" s="53">
        <v>46127</v>
      </c>
      <c r="W504" s="53">
        <v>46127</v>
      </c>
      <c r="X504" s="53">
        <v>46127</v>
      </c>
      <c r="Y504" s="53">
        <v>46132</v>
      </c>
      <c r="Z504" s="53">
        <v>46139</v>
      </c>
      <c r="AA504" s="21">
        <v>4</v>
      </c>
      <c r="AB504" s="152" t="s">
        <v>1554</v>
      </c>
      <c r="AC504" s="111" t="s">
        <v>1555</v>
      </c>
      <c r="AD504" s="19">
        <f t="shared" si="54"/>
        <v>1</v>
      </c>
      <c r="AE504" s="67">
        <f>IFERROR(NETWORKDAYS(B504,I504,Hoja1!$A$1:$A$29),"N/A")</f>
        <v>8</v>
      </c>
      <c r="AF504" s="21">
        <f>IFERROR(NETWORKDAYS(B504,W504,Hoja1!$A$1:$A$29),"N/A")</f>
        <v>13</v>
      </c>
      <c r="AG504" s="78">
        <v>0</v>
      </c>
      <c r="AH504" s="21">
        <f t="shared" si="52"/>
        <v>13</v>
      </c>
      <c r="AI504" s="21">
        <f>IFERROR(NETWORKDAYS(X504,Y504,Hoja1!$A$1:$A$29),"N/A")</f>
        <v>4</v>
      </c>
      <c r="AJ504" s="78">
        <v>0</v>
      </c>
      <c r="AK504" s="75">
        <f t="shared" si="53"/>
        <v>4</v>
      </c>
      <c r="AL504" s="21">
        <f>IFERROR(NETWORKDAYS(B504,Y504,Hoja1!$A$1:$A$29),"N/A")</f>
        <v>16</v>
      </c>
      <c r="AM504" s="21">
        <f t="shared" si="55"/>
        <v>16</v>
      </c>
      <c r="AN504" s="111" t="s">
        <v>1376</v>
      </c>
      <c r="AO504" s="111"/>
      <c r="AP504" s="111"/>
      <c r="AQ504" s="111"/>
      <c r="AR504" s="111"/>
      <c r="AS504" s="111" t="s">
        <v>1899</v>
      </c>
      <c r="AT504" s="111" t="s">
        <v>1995</v>
      </c>
      <c r="AU504" s="111" t="s">
        <v>2217</v>
      </c>
      <c r="AV504" s="321" t="s">
        <v>2528</v>
      </c>
      <c r="AW504" s="403" t="s">
        <v>3088</v>
      </c>
      <c r="AY504" s="415"/>
    </row>
    <row r="505" spans="1:51" ht="15" customHeight="1" x14ac:dyDescent="0.25">
      <c r="A505" s="301">
        <v>15979</v>
      </c>
      <c r="B505" s="180">
        <v>46078</v>
      </c>
      <c r="C505" s="180">
        <v>46078</v>
      </c>
      <c r="D505" s="2">
        <v>1</v>
      </c>
      <c r="E505" s="111" t="s">
        <v>54</v>
      </c>
      <c r="F505" s="33" t="s">
        <v>55</v>
      </c>
      <c r="G505" s="33">
        <v>5</v>
      </c>
      <c r="H505" s="21" t="s">
        <v>56</v>
      </c>
      <c r="I505" s="196">
        <v>46086</v>
      </c>
      <c r="J505" s="196">
        <v>46086</v>
      </c>
      <c r="K505" s="33">
        <v>5</v>
      </c>
      <c r="L505" s="168" t="s">
        <v>55</v>
      </c>
      <c r="M505" s="196">
        <v>46078</v>
      </c>
      <c r="N505" s="196">
        <v>46086</v>
      </c>
      <c r="O505" s="33" t="s">
        <v>55</v>
      </c>
      <c r="P505" s="33" t="s">
        <v>55</v>
      </c>
      <c r="Q505" s="33" t="s">
        <v>55</v>
      </c>
      <c r="R505" s="196">
        <v>46093</v>
      </c>
      <c r="S505" s="33">
        <v>3</v>
      </c>
      <c r="T505" s="33">
        <v>3</v>
      </c>
      <c r="U505" s="33">
        <v>0</v>
      </c>
      <c r="V505" s="53">
        <v>46106</v>
      </c>
      <c r="W505" s="28">
        <v>46113</v>
      </c>
      <c r="X505" s="28">
        <v>46113</v>
      </c>
      <c r="Y505" s="28">
        <v>46122</v>
      </c>
      <c r="Z505" s="180">
        <v>46127</v>
      </c>
      <c r="AA505" s="33">
        <f>MONTH(Z505)</f>
        <v>4</v>
      </c>
      <c r="AB505" s="144" t="s">
        <v>1558</v>
      </c>
      <c r="AC505" s="114" t="s">
        <v>1559</v>
      </c>
      <c r="AD505" s="19">
        <f t="shared" si="54"/>
        <v>1</v>
      </c>
      <c r="AE505" s="67">
        <f>IFERROR(NETWORKDAYS(B505,I505,Hoja1!$A$1:$A$29),"N/A")</f>
        <v>7</v>
      </c>
      <c r="AF505" s="21">
        <f>IFERROR(NETWORKDAYS(B505,W505,Hoja1!$A$1:$A$29),"N/A")</f>
        <v>25</v>
      </c>
      <c r="AG505" s="78">
        <v>0</v>
      </c>
      <c r="AH505" s="21">
        <f t="shared" si="52"/>
        <v>25</v>
      </c>
      <c r="AI505" s="21">
        <f>IFERROR(NETWORKDAYS(X505,Y505,Hoja1!$A$1:$A$29),"N/A")</f>
        <v>6</v>
      </c>
      <c r="AJ505" s="78">
        <v>1</v>
      </c>
      <c r="AK505" s="75">
        <f t="shared" si="53"/>
        <v>5</v>
      </c>
      <c r="AL505" s="21">
        <f>IFERROR(NETWORKDAYS(B505,Y505,Hoja1!$A$1:$A$29),"N/A")</f>
        <v>30</v>
      </c>
      <c r="AM505" s="21">
        <f t="shared" si="55"/>
        <v>29</v>
      </c>
      <c r="AN505" s="87"/>
      <c r="AO505" s="87"/>
      <c r="AP505" s="87"/>
      <c r="AQ505" s="87"/>
      <c r="AR505" s="87"/>
      <c r="AS505" s="87" t="s">
        <v>1932</v>
      </c>
      <c r="AT505" s="87" t="s">
        <v>2178</v>
      </c>
      <c r="AU505" s="87" t="s">
        <v>2220</v>
      </c>
      <c r="AV505" s="320" t="s">
        <v>2529</v>
      </c>
      <c r="AW505" s="403" t="s">
        <v>3089</v>
      </c>
      <c r="AY505" s="414"/>
    </row>
    <row r="506" spans="1:51" ht="15" customHeight="1" x14ac:dyDescent="0.25">
      <c r="A506" s="301">
        <v>15986</v>
      </c>
      <c r="B506" s="116">
        <v>46084</v>
      </c>
      <c r="C506" s="116">
        <v>46079</v>
      </c>
      <c r="D506" s="1">
        <v>1</v>
      </c>
      <c r="E506" s="111" t="s">
        <v>54</v>
      </c>
      <c r="F506" s="33" t="s">
        <v>55</v>
      </c>
      <c r="G506" s="33">
        <v>0</v>
      </c>
      <c r="H506" s="1"/>
      <c r="I506" s="33" t="s">
        <v>55</v>
      </c>
      <c r="J506" s="33" t="s">
        <v>55</v>
      </c>
      <c r="K506" s="33">
        <v>0</v>
      </c>
      <c r="L506" s="33" t="s">
        <v>55</v>
      </c>
      <c r="M506" s="33" t="s">
        <v>55</v>
      </c>
      <c r="N506" s="33" t="s">
        <v>55</v>
      </c>
      <c r="O506" s="33" t="s">
        <v>55</v>
      </c>
      <c r="P506" s="33" t="s">
        <v>55</v>
      </c>
      <c r="Q506" s="33" t="s">
        <v>55</v>
      </c>
      <c r="R506" s="33" t="s">
        <v>55</v>
      </c>
      <c r="S506" s="33">
        <v>3</v>
      </c>
      <c r="T506" s="33">
        <v>3</v>
      </c>
      <c r="U506" s="33">
        <v>0</v>
      </c>
      <c r="V506" s="38">
        <v>46090</v>
      </c>
      <c r="W506" s="180">
        <v>46101</v>
      </c>
      <c r="X506" s="180">
        <v>46105</v>
      </c>
      <c r="Y506" s="53">
        <v>46111</v>
      </c>
      <c r="Z506" s="53">
        <v>46118</v>
      </c>
      <c r="AA506" s="33">
        <f>MONTH(Z506)</f>
        <v>4</v>
      </c>
      <c r="AB506" s="144" t="s">
        <v>1561</v>
      </c>
      <c r="AC506" s="114" t="s">
        <v>1562</v>
      </c>
      <c r="AD506" s="19" t="str">
        <f t="shared" si="54"/>
        <v>N/A</v>
      </c>
      <c r="AE506" s="67" t="str">
        <f>IFERROR(NETWORKDAYS(B506,I506,Hoja1!$A$1:$A$29),"N/A")</f>
        <v>N/A</v>
      </c>
      <c r="AF506" s="21">
        <f>IFERROR(NETWORKDAYS(B506,W506,Hoja1!$A$1:$A$29),"N/A")</f>
        <v>14</v>
      </c>
      <c r="AG506" s="78">
        <v>9</v>
      </c>
      <c r="AH506" s="21">
        <f t="shared" si="52"/>
        <v>5</v>
      </c>
      <c r="AI506" s="21">
        <f>IFERROR(NETWORKDAYS(X506,Y506,Hoja1!$A$1:$A$29),"N/A")</f>
        <v>5</v>
      </c>
      <c r="AJ506" s="78">
        <v>0</v>
      </c>
      <c r="AK506" s="75">
        <f t="shared" si="53"/>
        <v>5</v>
      </c>
      <c r="AL506" s="21">
        <f>IFERROR(NETWORKDAYS(B506,Y506,Hoja1!$A$1:$A$29),"N/A")</f>
        <v>19</v>
      </c>
      <c r="AM506" s="21">
        <f t="shared" si="55"/>
        <v>10</v>
      </c>
      <c r="AN506" s="111" t="s">
        <v>1376</v>
      </c>
      <c r="AO506" s="84"/>
      <c r="AP506" s="84"/>
      <c r="AQ506" s="84"/>
      <c r="AR506" s="84"/>
      <c r="AS506" s="84" t="s">
        <v>1981</v>
      </c>
      <c r="AT506" s="84" t="s">
        <v>2072</v>
      </c>
      <c r="AU506" s="84" t="s">
        <v>2220</v>
      </c>
      <c r="AV506" s="324" t="s">
        <v>2530</v>
      </c>
      <c r="AW506" s="403" t="s">
        <v>3090</v>
      </c>
      <c r="AY506" s="415"/>
    </row>
    <row r="507" spans="1:51" ht="15" customHeight="1" x14ac:dyDescent="0.25">
      <c r="A507" s="301">
        <v>15987</v>
      </c>
      <c r="B507" s="16">
        <v>46100</v>
      </c>
      <c r="C507" s="116">
        <v>46079</v>
      </c>
      <c r="D507" s="1">
        <v>1</v>
      </c>
      <c r="E507" s="111" t="s">
        <v>54</v>
      </c>
      <c r="F507" s="33" t="s">
        <v>55</v>
      </c>
      <c r="G507" s="33">
        <v>0</v>
      </c>
      <c r="H507" s="1"/>
      <c r="I507" s="33" t="s">
        <v>55</v>
      </c>
      <c r="J507" s="33" t="s">
        <v>55</v>
      </c>
      <c r="K507" s="33">
        <v>0</v>
      </c>
      <c r="L507" s="33" t="s">
        <v>55</v>
      </c>
      <c r="M507" s="33" t="s">
        <v>55</v>
      </c>
      <c r="N507" s="33" t="s">
        <v>55</v>
      </c>
      <c r="O507" s="33" t="s">
        <v>55</v>
      </c>
      <c r="P507" s="33" t="s">
        <v>55</v>
      </c>
      <c r="Q507" s="33" t="s">
        <v>55</v>
      </c>
      <c r="R507" s="33" t="s">
        <v>55</v>
      </c>
      <c r="S507" s="33">
        <v>1</v>
      </c>
      <c r="T507" s="33">
        <v>1</v>
      </c>
      <c r="U507" s="33">
        <v>0</v>
      </c>
      <c r="V507" s="53">
        <v>46106</v>
      </c>
      <c r="W507" s="53">
        <v>46106</v>
      </c>
      <c r="X507" s="53">
        <v>46106</v>
      </c>
      <c r="Y507" s="28">
        <v>46113</v>
      </c>
      <c r="Z507" s="53">
        <v>46118</v>
      </c>
      <c r="AA507" s="33">
        <f>MONTH(Z507)</f>
        <v>4</v>
      </c>
      <c r="AB507" s="144" t="s">
        <v>1565</v>
      </c>
      <c r="AC507" s="114" t="s">
        <v>1566</v>
      </c>
      <c r="AD507" s="19" t="str">
        <f t="shared" si="54"/>
        <v>N/A</v>
      </c>
      <c r="AE507" s="67" t="str">
        <f>IFERROR(NETWORKDAYS(B507,I507,Hoja1!$A$1:$A$29),"N/A")</f>
        <v>N/A</v>
      </c>
      <c r="AF507" s="21">
        <f>IFERROR(NETWORKDAYS(B507,W507,Hoja1!$A$1:$A$29),"N/A")</f>
        <v>4</v>
      </c>
      <c r="AG507" s="78">
        <v>0</v>
      </c>
      <c r="AH507" s="21">
        <f t="shared" si="52"/>
        <v>4</v>
      </c>
      <c r="AI507" s="21">
        <f>IFERROR(NETWORKDAYS(X507,Y507,Hoja1!$A$1:$A$29),"N/A")</f>
        <v>6</v>
      </c>
      <c r="AJ507" s="78">
        <v>1</v>
      </c>
      <c r="AK507" s="75">
        <f t="shared" si="53"/>
        <v>5</v>
      </c>
      <c r="AL507" s="21">
        <f>IFERROR(NETWORKDAYS(B507,Y507,Hoja1!$A$1:$A$29),"N/A")</f>
        <v>9</v>
      </c>
      <c r="AM507" s="21">
        <f t="shared" si="55"/>
        <v>8</v>
      </c>
      <c r="AN507" s="87"/>
      <c r="AO507" s="87"/>
      <c r="AP507" s="87"/>
      <c r="AQ507" s="87"/>
      <c r="AR507" s="87"/>
      <c r="AS507" s="87" t="s">
        <v>1920</v>
      </c>
      <c r="AT507" s="87" t="s">
        <v>2179</v>
      </c>
      <c r="AU507" s="87" t="s">
        <v>2220</v>
      </c>
      <c r="AV507" s="320" t="s">
        <v>2531</v>
      </c>
      <c r="AW507" s="403" t="s">
        <v>3091</v>
      </c>
      <c r="AY507" s="414"/>
    </row>
    <row r="508" spans="1:51" ht="15" customHeight="1" x14ac:dyDescent="0.25">
      <c r="A508" s="296">
        <v>15991</v>
      </c>
      <c r="B508" s="38">
        <v>46085</v>
      </c>
      <c r="C508" s="38">
        <v>46080</v>
      </c>
      <c r="D508" s="3">
        <v>1</v>
      </c>
      <c r="E508" s="111" t="s">
        <v>54</v>
      </c>
      <c r="F508" s="33" t="s">
        <v>55</v>
      </c>
      <c r="G508" s="33">
        <v>0</v>
      </c>
      <c r="H508" s="33"/>
      <c r="I508" s="33" t="s">
        <v>55</v>
      </c>
      <c r="J508" s="33" t="s">
        <v>55</v>
      </c>
      <c r="K508" s="33">
        <v>0</v>
      </c>
      <c r="L508" s="33" t="s">
        <v>55</v>
      </c>
      <c r="M508" s="33" t="s">
        <v>55</v>
      </c>
      <c r="N508" s="33" t="s">
        <v>55</v>
      </c>
      <c r="O508" s="33" t="s">
        <v>55</v>
      </c>
      <c r="P508" s="33" t="s">
        <v>55</v>
      </c>
      <c r="Q508" s="33" t="s">
        <v>55</v>
      </c>
      <c r="R508" s="33" t="s">
        <v>55</v>
      </c>
      <c r="S508" s="33">
        <v>1</v>
      </c>
      <c r="T508" s="33">
        <v>1</v>
      </c>
      <c r="U508" s="33">
        <v>0</v>
      </c>
      <c r="V508" s="16">
        <v>46092</v>
      </c>
      <c r="W508" s="28">
        <v>46092</v>
      </c>
      <c r="X508" s="28">
        <v>46092</v>
      </c>
      <c r="Y508" s="53">
        <v>46111</v>
      </c>
      <c r="Z508" s="53">
        <v>46118</v>
      </c>
      <c r="AA508" s="33">
        <v>4</v>
      </c>
      <c r="AB508" s="144" t="s">
        <v>1568</v>
      </c>
      <c r="AC508" s="35" t="s">
        <v>1569</v>
      </c>
      <c r="AD508" s="19" t="str">
        <f t="shared" si="54"/>
        <v>N/A</v>
      </c>
      <c r="AE508" s="67" t="str">
        <f>IFERROR(NETWORKDAYS(B508,I508,Hoja1!$A$1:$A$29),"N/A")</f>
        <v>N/A</v>
      </c>
      <c r="AF508" s="21">
        <f>IFERROR(NETWORKDAYS(B508,W508,Hoja1!$A$1:$A$29),"N/A")</f>
        <v>6</v>
      </c>
      <c r="AG508" s="78">
        <v>0</v>
      </c>
      <c r="AH508" s="21">
        <f t="shared" si="52"/>
        <v>6</v>
      </c>
      <c r="AI508" s="21">
        <f>IFERROR(NETWORKDAYS(X508,Y508,Hoja1!$A$1:$A$29),"N/A")</f>
        <v>13</v>
      </c>
      <c r="AJ508" s="78">
        <v>8</v>
      </c>
      <c r="AK508" s="75">
        <f t="shared" si="53"/>
        <v>5</v>
      </c>
      <c r="AL508" s="21">
        <f>IFERROR(NETWORKDAYS(B508,Y508,Hoja1!$A$1:$A$29),"N/A")</f>
        <v>18</v>
      </c>
      <c r="AM508" s="21">
        <f t="shared" si="55"/>
        <v>10</v>
      </c>
      <c r="AN508" s="87"/>
      <c r="AO508" s="87"/>
      <c r="AP508" s="87"/>
      <c r="AQ508" s="87"/>
      <c r="AR508" s="87"/>
      <c r="AS508" s="87" t="s">
        <v>1897</v>
      </c>
      <c r="AT508" s="87" t="s">
        <v>2004</v>
      </c>
      <c r="AU508" s="87" t="s">
        <v>2210</v>
      </c>
      <c r="AV508" s="320" t="s">
        <v>2258</v>
      </c>
      <c r="AW508" s="403" t="s">
        <v>3092</v>
      </c>
      <c r="AY508" s="415"/>
    </row>
    <row r="509" spans="1:51" ht="15" customHeight="1" x14ac:dyDescent="0.25">
      <c r="A509" s="294">
        <v>15994</v>
      </c>
      <c r="B509" s="53">
        <v>46080</v>
      </c>
      <c r="C509" s="53">
        <v>46080</v>
      </c>
      <c r="D509" s="2">
        <v>1</v>
      </c>
      <c r="E509" s="111" t="s">
        <v>54</v>
      </c>
      <c r="F509" s="21" t="s">
        <v>55</v>
      </c>
      <c r="G509" s="21">
        <v>9</v>
      </c>
      <c r="H509" s="21" t="s">
        <v>112</v>
      </c>
      <c r="I509" s="53">
        <v>46092</v>
      </c>
      <c r="J509" s="53">
        <v>46097</v>
      </c>
      <c r="K509" s="21">
        <v>9</v>
      </c>
      <c r="L509" s="21" t="s">
        <v>55</v>
      </c>
      <c r="M509" s="21" t="s">
        <v>55</v>
      </c>
      <c r="N509" s="21" t="s">
        <v>55</v>
      </c>
      <c r="O509" s="21" t="s">
        <v>55</v>
      </c>
      <c r="P509" s="21" t="s">
        <v>55</v>
      </c>
      <c r="Q509" s="21" t="s">
        <v>55</v>
      </c>
      <c r="R509" s="21" t="s">
        <v>55</v>
      </c>
      <c r="S509" s="21">
        <v>9</v>
      </c>
      <c r="T509" s="21">
        <v>1</v>
      </c>
      <c r="U509" s="21">
        <v>0</v>
      </c>
      <c r="V509" s="53">
        <v>46097</v>
      </c>
      <c r="W509" s="53">
        <v>46097</v>
      </c>
      <c r="X509" s="53">
        <v>46102</v>
      </c>
      <c r="Y509" s="28">
        <v>46112</v>
      </c>
      <c r="Z509" s="53">
        <v>46118</v>
      </c>
      <c r="AA509" s="21">
        <v>4</v>
      </c>
      <c r="AB509" s="159" t="s">
        <v>1571</v>
      </c>
      <c r="AC509" s="111" t="s">
        <v>1572</v>
      </c>
      <c r="AD509" s="19">
        <f t="shared" si="54"/>
        <v>1</v>
      </c>
      <c r="AE509" s="67">
        <f>IFERROR(NETWORKDAYS(B509,I509,Hoja1!$A$1:$A$29),"N/A")</f>
        <v>9</v>
      </c>
      <c r="AF509" s="21">
        <f>IFERROR(NETWORKDAYS(B509,W509,Hoja1!$A$1:$A$29),"N/A")</f>
        <v>12</v>
      </c>
      <c r="AG509" s="78">
        <v>0</v>
      </c>
      <c r="AH509" s="21">
        <f t="shared" ref="AH509:AH572" si="58">AF509-AG509</f>
        <v>12</v>
      </c>
      <c r="AI509" s="21">
        <f>IFERROR(NETWORKDAYS(X509,Y509,Hoja1!$A$1:$A$29),"N/A")</f>
        <v>6</v>
      </c>
      <c r="AJ509" s="78">
        <v>0</v>
      </c>
      <c r="AK509" s="75">
        <f t="shared" ref="AK509:AK572" si="59">AI509-AJ509</f>
        <v>6</v>
      </c>
      <c r="AL509" s="21">
        <f>IFERROR(NETWORKDAYS(B509,Y509,Hoja1!$A$1:$A$29),"N/A")</f>
        <v>22</v>
      </c>
      <c r="AM509" s="21">
        <f t="shared" si="55"/>
        <v>22</v>
      </c>
      <c r="AN509" s="87"/>
      <c r="AO509" s="87"/>
      <c r="AP509" s="87"/>
      <c r="AQ509" s="87"/>
      <c r="AR509" s="87"/>
      <c r="AS509" s="87" t="s">
        <v>1890</v>
      </c>
      <c r="AT509" s="87" t="s">
        <v>2180</v>
      </c>
      <c r="AU509" s="87" t="s">
        <v>2219</v>
      </c>
      <c r="AV509" s="320" t="s">
        <v>2532</v>
      </c>
      <c r="AW509" s="403" t="s">
        <v>3093</v>
      </c>
      <c r="AY509" s="414"/>
    </row>
    <row r="510" spans="1:51" ht="15" customHeight="1" x14ac:dyDescent="0.25">
      <c r="A510" s="294">
        <v>16000</v>
      </c>
      <c r="B510" s="28">
        <v>46080</v>
      </c>
      <c r="C510" s="28">
        <v>46080</v>
      </c>
      <c r="D510" s="3">
        <v>1</v>
      </c>
      <c r="E510" s="111" t="s">
        <v>54</v>
      </c>
      <c r="F510" s="33" t="s">
        <v>55</v>
      </c>
      <c r="G510" s="33">
        <v>4</v>
      </c>
      <c r="H510" s="21" t="s">
        <v>112</v>
      </c>
      <c r="I510" s="28">
        <v>46092</v>
      </c>
      <c r="J510" s="28">
        <v>46092</v>
      </c>
      <c r="K510" s="33">
        <v>4</v>
      </c>
      <c r="L510" s="33" t="s">
        <v>55</v>
      </c>
      <c r="M510" s="33" t="s">
        <v>55</v>
      </c>
      <c r="N510" s="33" t="s">
        <v>55</v>
      </c>
      <c r="O510" s="33" t="s">
        <v>55</v>
      </c>
      <c r="P510" s="33" t="s">
        <v>55</v>
      </c>
      <c r="Q510" s="33" t="s">
        <v>55</v>
      </c>
      <c r="R510" s="21" t="s">
        <v>55</v>
      </c>
      <c r="S510" s="33">
        <v>3</v>
      </c>
      <c r="T510" s="33">
        <v>3</v>
      </c>
      <c r="U510" s="33">
        <v>0</v>
      </c>
      <c r="V510" s="53">
        <v>46106</v>
      </c>
      <c r="W510" s="53">
        <v>46106</v>
      </c>
      <c r="X510" s="28">
        <v>46107</v>
      </c>
      <c r="Y510" s="28">
        <v>46127</v>
      </c>
      <c r="Z510" s="180">
        <v>46127</v>
      </c>
      <c r="AA510" s="21">
        <v>4</v>
      </c>
      <c r="AB510" s="87" t="s">
        <v>1573</v>
      </c>
      <c r="AC510" s="48" t="s">
        <v>1574</v>
      </c>
      <c r="AD510" s="19">
        <f t="shared" si="54"/>
        <v>1</v>
      </c>
      <c r="AE510" s="67">
        <f>IFERROR(NETWORKDAYS(B510,I510,Hoja1!$A$1:$A$29),"N/A")</f>
        <v>9</v>
      </c>
      <c r="AF510" s="21">
        <f>IFERROR(NETWORKDAYS(B510,W510,Hoja1!$A$1:$A$29),"N/A")</f>
        <v>18</v>
      </c>
      <c r="AG510" s="78">
        <v>0</v>
      </c>
      <c r="AH510" s="21">
        <f t="shared" si="58"/>
        <v>18</v>
      </c>
      <c r="AI510" s="21">
        <f>IFERROR(NETWORKDAYS(X510,Y510,Hoja1!$A$1:$A$29),"N/A")</f>
        <v>13</v>
      </c>
      <c r="AJ510" s="78">
        <v>0</v>
      </c>
      <c r="AK510" s="75">
        <f t="shared" si="59"/>
        <v>13</v>
      </c>
      <c r="AL510" s="21">
        <f>IFERROR(NETWORKDAYS(B510,Y510,Hoja1!$A$1:$A$29),"N/A")</f>
        <v>31</v>
      </c>
      <c r="AM510" s="21">
        <f t="shared" si="55"/>
        <v>31</v>
      </c>
      <c r="AN510" s="87"/>
      <c r="AO510" s="87"/>
      <c r="AP510" s="87"/>
      <c r="AQ510" s="87"/>
      <c r="AR510" s="87"/>
      <c r="AS510" s="87" t="s">
        <v>1982</v>
      </c>
      <c r="AT510" s="87" t="s">
        <v>1994</v>
      </c>
      <c r="AU510" s="87" t="s">
        <v>2209</v>
      </c>
      <c r="AV510" s="320" t="s">
        <v>2307</v>
      </c>
      <c r="AW510" s="403" t="s">
        <v>3094</v>
      </c>
      <c r="AY510" s="415"/>
    </row>
    <row r="511" spans="1:51" ht="15" customHeight="1" x14ac:dyDescent="0.25">
      <c r="A511" s="294">
        <v>16019</v>
      </c>
      <c r="B511" s="116">
        <v>46083</v>
      </c>
      <c r="C511" s="116">
        <v>46083</v>
      </c>
      <c r="D511" s="3">
        <v>1</v>
      </c>
      <c r="E511" s="111" t="s">
        <v>54</v>
      </c>
      <c r="F511" s="33" t="s">
        <v>55</v>
      </c>
      <c r="G511" s="33">
        <v>3</v>
      </c>
      <c r="H511" s="21" t="s">
        <v>112</v>
      </c>
      <c r="I511" s="16">
        <v>46090</v>
      </c>
      <c r="J511" s="53">
        <v>46091</v>
      </c>
      <c r="K511" s="33">
        <v>3</v>
      </c>
      <c r="L511" s="33" t="s">
        <v>55</v>
      </c>
      <c r="M511" s="33" t="s">
        <v>55</v>
      </c>
      <c r="N511" s="33" t="s">
        <v>55</v>
      </c>
      <c r="O511" s="33" t="s">
        <v>55</v>
      </c>
      <c r="P511" s="33" t="s">
        <v>55</v>
      </c>
      <c r="Q511" s="33" t="s">
        <v>55</v>
      </c>
      <c r="R511" s="21" t="s">
        <v>55</v>
      </c>
      <c r="S511" s="33">
        <v>2</v>
      </c>
      <c r="T511" s="33">
        <v>1</v>
      </c>
      <c r="U511" s="33">
        <v>0</v>
      </c>
      <c r="V511" s="53">
        <v>46097</v>
      </c>
      <c r="W511" s="53">
        <v>46097</v>
      </c>
      <c r="X511" s="28">
        <v>46100</v>
      </c>
      <c r="Y511" s="28">
        <v>46112</v>
      </c>
      <c r="Z511" s="53">
        <v>46118</v>
      </c>
      <c r="AA511" s="33">
        <v>4</v>
      </c>
      <c r="AB511" s="144" t="s">
        <v>1575</v>
      </c>
      <c r="AC511" s="45" t="s">
        <v>1576</v>
      </c>
      <c r="AD511" s="19">
        <f t="shared" si="54"/>
        <v>1</v>
      </c>
      <c r="AE511" s="67">
        <f>IFERROR(NETWORKDAYS(B511,I511,Hoja1!$A$1:$A$29),"N/A")</f>
        <v>6</v>
      </c>
      <c r="AF511" s="21">
        <f>IFERROR(NETWORKDAYS(B511,W511,Hoja1!$A$1:$A$29),"N/A")</f>
        <v>11</v>
      </c>
      <c r="AG511" s="78">
        <v>0</v>
      </c>
      <c r="AH511" s="21">
        <f t="shared" si="58"/>
        <v>11</v>
      </c>
      <c r="AI511" s="21">
        <f>IFERROR(NETWORKDAYS(X511,Y511,Hoja1!$A$1:$A$29),"N/A")</f>
        <v>8</v>
      </c>
      <c r="AJ511" s="78">
        <v>3</v>
      </c>
      <c r="AK511" s="75">
        <f t="shared" si="59"/>
        <v>5</v>
      </c>
      <c r="AL511" s="21">
        <f>IFERROR(NETWORKDAYS(B511,Y511,Hoja1!$A$1:$A$29),"N/A")</f>
        <v>21</v>
      </c>
      <c r="AM511" s="21">
        <f t="shared" si="55"/>
        <v>18</v>
      </c>
      <c r="AN511" s="87"/>
      <c r="AO511" s="87"/>
      <c r="AP511" s="87"/>
      <c r="AQ511" s="87"/>
      <c r="AR511" s="87"/>
      <c r="AS511" s="87" t="s">
        <v>1938</v>
      </c>
      <c r="AT511" s="87" t="s">
        <v>2113</v>
      </c>
      <c r="AU511" s="87" t="s">
        <v>2222</v>
      </c>
      <c r="AV511" s="320" t="s">
        <v>2514</v>
      </c>
      <c r="AW511" s="403" t="s">
        <v>3095</v>
      </c>
      <c r="AY511" s="414"/>
    </row>
    <row r="512" spans="1:51" ht="15" customHeight="1" x14ac:dyDescent="0.25">
      <c r="A512" s="301">
        <v>16020</v>
      </c>
      <c r="B512" s="116">
        <v>46083</v>
      </c>
      <c r="C512" s="116">
        <v>46083</v>
      </c>
      <c r="D512" s="1">
        <v>1</v>
      </c>
      <c r="E512" s="111" t="s">
        <v>54</v>
      </c>
      <c r="F512" s="33" t="s">
        <v>55</v>
      </c>
      <c r="G512" s="33">
        <v>2</v>
      </c>
      <c r="H512" s="21" t="s">
        <v>112</v>
      </c>
      <c r="I512" s="28">
        <v>46090</v>
      </c>
      <c r="J512" s="28">
        <v>46098</v>
      </c>
      <c r="K512" s="33">
        <v>2</v>
      </c>
      <c r="L512" s="33" t="s">
        <v>55</v>
      </c>
      <c r="M512" s="33" t="s">
        <v>55</v>
      </c>
      <c r="N512" s="33" t="s">
        <v>55</v>
      </c>
      <c r="O512" s="33" t="s">
        <v>55</v>
      </c>
      <c r="P512" s="33" t="s">
        <v>55</v>
      </c>
      <c r="Q512" s="33" t="s">
        <v>55</v>
      </c>
      <c r="R512" s="21" t="s">
        <v>55</v>
      </c>
      <c r="S512" s="33">
        <v>1</v>
      </c>
      <c r="T512" s="33">
        <v>1</v>
      </c>
      <c r="U512" s="33">
        <v>0</v>
      </c>
      <c r="V512" s="38">
        <v>46101</v>
      </c>
      <c r="W512" s="38">
        <v>46101</v>
      </c>
      <c r="X512" s="180">
        <v>46105</v>
      </c>
      <c r="Y512" s="28">
        <v>46113</v>
      </c>
      <c r="Z512" s="53">
        <v>46118</v>
      </c>
      <c r="AA512" s="33">
        <f>MONTH(Z512)</f>
        <v>4</v>
      </c>
      <c r="AB512" s="144" t="s">
        <v>1577</v>
      </c>
      <c r="AC512" s="114" t="s">
        <v>1578</v>
      </c>
      <c r="AD512" s="19">
        <f t="shared" si="54"/>
        <v>1</v>
      </c>
      <c r="AE512" s="67">
        <f>IFERROR(NETWORKDAYS(B512,I512,Hoja1!$A$1:$A$29),"N/A")</f>
        <v>6</v>
      </c>
      <c r="AF512" s="21">
        <f>IFERROR(NETWORKDAYS(B512,W512,Hoja1!$A$1:$A$29),"N/A")</f>
        <v>15</v>
      </c>
      <c r="AG512" s="78">
        <v>0</v>
      </c>
      <c r="AH512" s="21">
        <f t="shared" si="58"/>
        <v>15</v>
      </c>
      <c r="AI512" s="21">
        <f>IFERROR(NETWORKDAYS(X512,Y512,Hoja1!$A$1:$A$29),"N/A")</f>
        <v>7</v>
      </c>
      <c r="AJ512" s="78">
        <v>2</v>
      </c>
      <c r="AK512" s="75">
        <f t="shared" si="59"/>
        <v>5</v>
      </c>
      <c r="AL512" s="21">
        <f>IFERROR(NETWORKDAYS(B512,Y512,Hoja1!$A$1:$A$29),"N/A")</f>
        <v>22</v>
      </c>
      <c r="AM512" s="21">
        <f t="shared" si="55"/>
        <v>20</v>
      </c>
      <c r="AN512" s="87"/>
      <c r="AO512" s="87"/>
      <c r="AP512" s="87"/>
      <c r="AQ512" s="87"/>
      <c r="AR512" s="87"/>
      <c r="AS512" s="87" t="s">
        <v>1938</v>
      </c>
      <c r="AT512" s="87" t="s">
        <v>2113</v>
      </c>
      <c r="AU512" s="87" t="s">
        <v>2220</v>
      </c>
      <c r="AV512" s="320" t="s">
        <v>2370</v>
      </c>
      <c r="AW512" s="403" t="s">
        <v>3096</v>
      </c>
      <c r="AY512" s="415"/>
    </row>
    <row r="513" spans="1:51" ht="15" customHeight="1" x14ac:dyDescent="0.25">
      <c r="A513" s="294">
        <v>16025</v>
      </c>
      <c r="B513" s="28">
        <v>46107</v>
      </c>
      <c r="C513" s="28">
        <v>46083</v>
      </c>
      <c r="D513" s="3">
        <v>1</v>
      </c>
      <c r="E513" s="111" t="s">
        <v>54</v>
      </c>
      <c r="F513" s="33" t="s">
        <v>55</v>
      </c>
      <c r="G513" s="33">
        <v>7</v>
      </c>
      <c r="H513" s="21" t="s">
        <v>56</v>
      </c>
      <c r="I513" s="16">
        <v>46108</v>
      </c>
      <c r="J513" s="16">
        <v>46108</v>
      </c>
      <c r="K513" s="33">
        <v>7</v>
      </c>
      <c r="L513" s="33" t="s">
        <v>55</v>
      </c>
      <c r="M513" s="33" t="s">
        <v>55</v>
      </c>
      <c r="N513" s="33" t="s">
        <v>55</v>
      </c>
      <c r="O513" s="33" t="s">
        <v>55</v>
      </c>
      <c r="P513" s="33" t="s">
        <v>55</v>
      </c>
      <c r="Q513" s="33" t="s">
        <v>55</v>
      </c>
      <c r="R513" s="21" t="s">
        <v>55</v>
      </c>
      <c r="S513" s="33">
        <v>2</v>
      </c>
      <c r="T513" s="33">
        <v>2</v>
      </c>
      <c r="U513" s="33">
        <v>0</v>
      </c>
      <c r="V513" s="28">
        <v>46112</v>
      </c>
      <c r="W513" s="28">
        <v>46127</v>
      </c>
      <c r="X513" s="28">
        <v>46127</v>
      </c>
      <c r="Y513" s="28">
        <v>46139</v>
      </c>
      <c r="Z513" s="53">
        <v>46139</v>
      </c>
      <c r="AA513" s="21">
        <v>4</v>
      </c>
      <c r="AB513" s="87" t="s">
        <v>1579</v>
      </c>
      <c r="AC513" s="48" t="s">
        <v>1580</v>
      </c>
      <c r="AD513" s="19">
        <f t="shared" si="54"/>
        <v>1</v>
      </c>
      <c r="AE513" s="67">
        <f>IFERROR(NETWORKDAYS(B513,I513,Hoja1!$A$1:$A$29),"N/A")</f>
        <v>2</v>
      </c>
      <c r="AF513" s="21">
        <f>IFERROR(NETWORKDAYS(B513,W513,Hoja1!$A$1:$A$29),"N/A")</f>
        <v>13</v>
      </c>
      <c r="AG513" s="78">
        <v>0</v>
      </c>
      <c r="AH513" s="21">
        <f t="shared" si="58"/>
        <v>13</v>
      </c>
      <c r="AI513" s="21">
        <f>IFERROR(NETWORKDAYS(X513,Y513,Hoja1!$A$1:$A$29),"N/A")</f>
        <v>9</v>
      </c>
      <c r="AJ513" s="78">
        <v>0</v>
      </c>
      <c r="AK513" s="75">
        <f t="shared" si="59"/>
        <v>9</v>
      </c>
      <c r="AL513" s="21">
        <f>IFERROR(NETWORKDAYS(B513,Y513,Hoja1!$A$1:$A$29),"N/A")</f>
        <v>21</v>
      </c>
      <c r="AM513" s="21">
        <f t="shared" si="55"/>
        <v>21</v>
      </c>
      <c r="AN513" s="87" t="s">
        <v>1582</v>
      </c>
      <c r="AO513" s="87"/>
      <c r="AP513" s="87"/>
      <c r="AQ513" s="87"/>
      <c r="AR513" s="87"/>
      <c r="AS513" s="87" t="s">
        <v>1953</v>
      </c>
      <c r="AT513" s="87" t="s">
        <v>2095</v>
      </c>
      <c r="AU513" s="87" t="s">
        <v>2209</v>
      </c>
      <c r="AV513" s="320" t="s">
        <v>2533</v>
      </c>
      <c r="AW513" s="403" t="s">
        <v>3097</v>
      </c>
      <c r="AY513" s="414"/>
    </row>
    <row r="514" spans="1:51" ht="15" customHeight="1" x14ac:dyDescent="0.25">
      <c r="A514" s="294">
        <v>16030</v>
      </c>
      <c r="B514" s="53">
        <v>46083</v>
      </c>
      <c r="C514" s="53">
        <v>46083</v>
      </c>
      <c r="D514" s="2">
        <v>1</v>
      </c>
      <c r="E514" s="111" t="s">
        <v>54</v>
      </c>
      <c r="F514" s="21" t="s">
        <v>55</v>
      </c>
      <c r="G514" s="21">
        <v>3</v>
      </c>
      <c r="H514" s="21" t="s">
        <v>112</v>
      </c>
      <c r="I514" s="53">
        <v>46085</v>
      </c>
      <c r="J514" s="53">
        <v>46086</v>
      </c>
      <c r="K514" s="21">
        <v>3</v>
      </c>
      <c r="L514" s="21" t="s">
        <v>55</v>
      </c>
      <c r="M514" s="21" t="s">
        <v>55</v>
      </c>
      <c r="N514" s="21" t="s">
        <v>55</v>
      </c>
      <c r="O514" s="21" t="s">
        <v>55</v>
      </c>
      <c r="P514" s="21" t="s">
        <v>55</v>
      </c>
      <c r="Q514" s="21" t="s">
        <v>55</v>
      </c>
      <c r="R514" s="21" t="s">
        <v>55</v>
      </c>
      <c r="S514" s="21">
        <v>3</v>
      </c>
      <c r="T514" s="21">
        <v>1</v>
      </c>
      <c r="U514" s="21">
        <v>0</v>
      </c>
      <c r="V514" s="53">
        <v>46091</v>
      </c>
      <c r="W514" s="53">
        <v>46093</v>
      </c>
      <c r="X514" s="53">
        <v>46097</v>
      </c>
      <c r="Y514" s="53">
        <v>46113</v>
      </c>
      <c r="Z514" s="53">
        <v>46118</v>
      </c>
      <c r="AA514" s="21">
        <v>4</v>
      </c>
      <c r="AB514" s="159" t="s">
        <v>1583</v>
      </c>
      <c r="AC514" s="111" t="s">
        <v>1584</v>
      </c>
      <c r="AD514" s="19">
        <f t="shared" ref="AD514:AD577" si="60">IFERROR(K514/G514,"N/A")</f>
        <v>1</v>
      </c>
      <c r="AE514" s="67">
        <f>IFERROR(NETWORKDAYS(B514,I514,Hoja1!$A$1:$A$29),"N/A")</f>
        <v>3</v>
      </c>
      <c r="AF514" s="21">
        <f>IFERROR(NETWORKDAYS(B514,W514,Hoja1!$A$1:$A$29),"N/A")</f>
        <v>9</v>
      </c>
      <c r="AG514" s="78">
        <v>0</v>
      </c>
      <c r="AH514" s="21">
        <f t="shared" si="58"/>
        <v>9</v>
      </c>
      <c r="AI514" s="21">
        <f>IFERROR(NETWORKDAYS(X514,Y514,Hoja1!$A$1:$A$29),"N/A")</f>
        <v>12</v>
      </c>
      <c r="AJ514" s="78">
        <v>0</v>
      </c>
      <c r="AK514" s="75">
        <f t="shared" si="59"/>
        <v>12</v>
      </c>
      <c r="AL514" s="21">
        <f>IFERROR(NETWORKDAYS(B514,Y514,Hoja1!$A$1:$A$29),"N/A")</f>
        <v>22</v>
      </c>
      <c r="AM514" s="21">
        <f t="shared" ref="AM514:AM577" si="61">AL514-AG514-AJ514</f>
        <v>22</v>
      </c>
      <c r="AN514" s="87"/>
      <c r="AO514" s="87"/>
      <c r="AP514" s="87"/>
      <c r="AQ514" s="87"/>
      <c r="AR514" s="87"/>
      <c r="AS514" s="87" t="s">
        <v>1894</v>
      </c>
      <c r="AT514" s="87" t="s">
        <v>2078</v>
      </c>
      <c r="AU514" s="87" t="s">
        <v>2219</v>
      </c>
      <c r="AV514" s="320" t="s">
        <v>2534</v>
      </c>
      <c r="AW514" s="403" t="s">
        <v>3098</v>
      </c>
      <c r="AY514" s="415"/>
    </row>
    <row r="515" spans="1:51" ht="15" customHeight="1" x14ac:dyDescent="0.25">
      <c r="A515" s="301">
        <v>16033</v>
      </c>
      <c r="B515" s="116">
        <v>46084</v>
      </c>
      <c r="C515" s="116">
        <v>46083</v>
      </c>
      <c r="D515" s="33">
        <v>1</v>
      </c>
      <c r="E515" s="111" t="s">
        <v>54</v>
      </c>
      <c r="F515" s="33" t="s">
        <v>55</v>
      </c>
      <c r="G515" s="33">
        <v>5</v>
      </c>
      <c r="H515" s="21" t="s">
        <v>56</v>
      </c>
      <c r="I515" s="53">
        <v>46098</v>
      </c>
      <c r="J515" s="53">
        <v>46098</v>
      </c>
      <c r="K515" s="33">
        <v>5</v>
      </c>
      <c r="L515" s="33" t="s">
        <v>55</v>
      </c>
      <c r="M515" s="28">
        <v>46091</v>
      </c>
      <c r="N515" s="28">
        <v>46097</v>
      </c>
      <c r="O515" s="33" t="s">
        <v>55</v>
      </c>
      <c r="P515" s="33" t="s">
        <v>55</v>
      </c>
      <c r="Q515" s="33" t="s">
        <v>55</v>
      </c>
      <c r="R515" s="33" t="s">
        <v>55</v>
      </c>
      <c r="S515" s="33">
        <v>2</v>
      </c>
      <c r="T515" s="33">
        <v>2</v>
      </c>
      <c r="U515" s="33">
        <v>0</v>
      </c>
      <c r="V515" s="28">
        <v>46120</v>
      </c>
      <c r="W515" s="28">
        <v>46120</v>
      </c>
      <c r="X515" s="28">
        <v>46120</v>
      </c>
      <c r="Y515" s="180">
        <v>46126</v>
      </c>
      <c r="Z515" s="180">
        <v>46127</v>
      </c>
      <c r="AA515" s="33">
        <v>4</v>
      </c>
      <c r="AB515" s="144" t="s">
        <v>1587</v>
      </c>
      <c r="AC515" s="35" t="s">
        <v>1588</v>
      </c>
      <c r="AD515" s="19">
        <f t="shared" si="60"/>
        <v>1</v>
      </c>
      <c r="AE515" s="67">
        <f>IFERROR(NETWORKDAYS(B515,I515,Hoja1!$A$1:$A$29),"N/A")</f>
        <v>11</v>
      </c>
      <c r="AF515" s="21">
        <f>IFERROR(NETWORKDAYS(B515,W515,Hoja1!$A$1:$A$29),"N/A")</f>
        <v>24</v>
      </c>
      <c r="AG515" s="78">
        <v>0</v>
      </c>
      <c r="AH515" s="21">
        <f t="shared" si="58"/>
        <v>24</v>
      </c>
      <c r="AI515" s="21">
        <f>IFERROR(NETWORKDAYS(X515,Y515,Hoja1!$A$1:$A$29),"N/A")</f>
        <v>5</v>
      </c>
      <c r="AJ515" s="78">
        <v>0</v>
      </c>
      <c r="AK515" s="75">
        <f t="shared" si="59"/>
        <v>5</v>
      </c>
      <c r="AL515" s="21">
        <f>IFERROR(NETWORKDAYS(B515,Y515,Hoja1!$A$1:$A$29),"N/A")</f>
        <v>28</v>
      </c>
      <c r="AM515" s="21">
        <f t="shared" si="61"/>
        <v>28</v>
      </c>
      <c r="AN515" s="87"/>
      <c r="AO515" s="87"/>
      <c r="AP515" s="87"/>
      <c r="AQ515" s="87"/>
      <c r="AR515" s="87"/>
      <c r="AS515" s="87" t="s">
        <v>1889</v>
      </c>
      <c r="AT515" s="87" t="s">
        <v>2181</v>
      </c>
      <c r="AU515" s="87" t="s">
        <v>2210</v>
      </c>
      <c r="AV515" s="320" t="s">
        <v>2535</v>
      </c>
      <c r="AW515" s="403" t="s">
        <v>3099</v>
      </c>
      <c r="AY515" s="414"/>
    </row>
    <row r="516" spans="1:51" ht="15" customHeight="1" x14ac:dyDescent="0.25">
      <c r="A516" s="301">
        <v>16034</v>
      </c>
      <c r="B516" s="116">
        <v>46094</v>
      </c>
      <c r="C516" s="116">
        <v>46083</v>
      </c>
      <c r="D516" s="1">
        <v>1</v>
      </c>
      <c r="E516" s="111" t="s">
        <v>54</v>
      </c>
      <c r="F516" s="33" t="s">
        <v>55</v>
      </c>
      <c r="G516" s="33">
        <v>0</v>
      </c>
      <c r="H516" s="1"/>
      <c r="I516" s="33" t="s">
        <v>55</v>
      </c>
      <c r="J516" s="33" t="s">
        <v>55</v>
      </c>
      <c r="K516" s="33">
        <v>0</v>
      </c>
      <c r="L516" s="33" t="s">
        <v>55</v>
      </c>
      <c r="M516" s="33" t="s">
        <v>55</v>
      </c>
      <c r="N516" s="33" t="s">
        <v>55</v>
      </c>
      <c r="O516" s="33" t="s">
        <v>55</v>
      </c>
      <c r="P516" s="33" t="s">
        <v>55</v>
      </c>
      <c r="Q516" s="33" t="s">
        <v>55</v>
      </c>
      <c r="R516" s="33" t="s">
        <v>55</v>
      </c>
      <c r="S516" s="33">
        <v>1</v>
      </c>
      <c r="T516" s="33">
        <v>1</v>
      </c>
      <c r="U516" s="33">
        <v>0</v>
      </c>
      <c r="V516" s="38">
        <v>46100</v>
      </c>
      <c r="W516" s="180">
        <v>46105</v>
      </c>
      <c r="X516" s="28">
        <v>46106</v>
      </c>
      <c r="Y516" s="28">
        <v>46113</v>
      </c>
      <c r="Z516" s="53">
        <v>46118</v>
      </c>
      <c r="AA516" s="33">
        <f>MONTH(Z516)</f>
        <v>4</v>
      </c>
      <c r="AB516" s="144" t="s">
        <v>1590</v>
      </c>
      <c r="AC516" s="114" t="s">
        <v>1591</v>
      </c>
      <c r="AD516" s="19" t="str">
        <f t="shared" si="60"/>
        <v>N/A</v>
      </c>
      <c r="AE516" s="67" t="str">
        <f>IFERROR(NETWORKDAYS(B516,I516,Hoja1!$A$1:$A$29),"N/A")</f>
        <v>N/A</v>
      </c>
      <c r="AF516" s="21">
        <f>IFERROR(NETWORKDAYS(B516,W516,Hoja1!$A$1:$A$29),"N/A")</f>
        <v>7</v>
      </c>
      <c r="AG516" s="78">
        <v>2</v>
      </c>
      <c r="AH516" s="21">
        <f t="shared" si="58"/>
        <v>5</v>
      </c>
      <c r="AI516" s="21">
        <f>IFERROR(NETWORKDAYS(X516,Y516,Hoja1!$A$1:$A$29),"N/A")</f>
        <v>6</v>
      </c>
      <c r="AJ516" s="78">
        <v>1</v>
      </c>
      <c r="AK516" s="75">
        <f t="shared" si="59"/>
        <v>5</v>
      </c>
      <c r="AL516" s="21">
        <f>IFERROR(NETWORKDAYS(B516,Y516,Hoja1!$A$1:$A$29),"N/A")</f>
        <v>13</v>
      </c>
      <c r="AM516" s="21">
        <f t="shared" si="61"/>
        <v>10</v>
      </c>
      <c r="AN516" s="87"/>
      <c r="AO516" s="87"/>
      <c r="AP516" s="87"/>
      <c r="AQ516" s="87"/>
      <c r="AR516" s="87"/>
      <c r="AS516" s="87" t="s">
        <v>1907</v>
      </c>
      <c r="AT516" s="87" t="s">
        <v>2109</v>
      </c>
      <c r="AU516" s="87" t="s">
        <v>2220</v>
      </c>
      <c r="AV516" s="320" t="s">
        <v>2467</v>
      </c>
      <c r="AW516" s="403" t="s">
        <v>3100</v>
      </c>
      <c r="AY516" s="415"/>
    </row>
    <row r="517" spans="1:51" ht="15" customHeight="1" x14ac:dyDescent="0.25">
      <c r="A517" s="301">
        <v>16035</v>
      </c>
      <c r="B517" s="116">
        <v>46098</v>
      </c>
      <c r="C517" s="116">
        <v>46083</v>
      </c>
      <c r="D517" s="1">
        <v>1</v>
      </c>
      <c r="E517" s="111" t="s">
        <v>54</v>
      </c>
      <c r="F517" s="33" t="s">
        <v>55</v>
      </c>
      <c r="G517" s="33">
        <v>0</v>
      </c>
      <c r="H517" s="1"/>
      <c r="I517" s="33" t="s">
        <v>55</v>
      </c>
      <c r="J517" s="33" t="s">
        <v>55</v>
      </c>
      <c r="K517" s="33">
        <v>0</v>
      </c>
      <c r="L517" s="33" t="s">
        <v>55</v>
      </c>
      <c r="M517" s="33" t="s">
        <v>55</v>
      </c>
      <c r="N517" s="33" t="s">
        <v>55</v>
      </c>
      <c r="O517" s="33" t="s">
        <v>55</v>
      </c>
      <c r="P517" s="33" t="s">
        <v>55</v>
      </c>
      <c r="Q517" s="33" t="s">
        <v>55</v>
      </c>
      <c r="R517" s="33" t="s">
        <v>55</v>
      </c>
      <c r="S517" s="33">
        <v>1</v>
      </c>
      <c r="T517" s="33">
        <v>1</v>
      </c>
      <c r="U517" s="33">
        <v>0</v>
      </c>
      <c r="V517" s="38">
        <v>46104</v>
      </c>
      <c r="W517" s="180">
        <v>46105</v>
      </c>
      <c r="X517" s="38">
        <v>46106</v>
      </c>
      <c r="Y517" s="53">
        <v>46125</v>
      </c>
      <c r="Z517" s="180">
        <v>46127</v>
      </c>
      <c r="AA517" s="33">
        <f>MONTH(Z517)</f>
        <v>4</v>
      </c>
      <c r="AB517" s="144" t="s">
        <v>1592</v>
      </c>
      <c r="AC517" s="114" t="s">
        <v>1593</v>
      </c>
      <c r="AD517" s="19" t="str">
        <f t="shared" si="60"/>
        <v>N/A</v>
      </c>
      <c r="AE517" s="67" t="str">
        <f>IFERROR(NETWORKDAYS(B517,I517,Hoja1!$A$1:$A$29),"N/A")</f>
        <v>N/A</v>
      </c>
      <c r="AF517" s="21">
        <f>IFERROR(NETWORKDAYS(B517,W517,Hoja1!$A$1:$A$29),"N/A")</f>
        <v>5</v>
      </c>
      <c r="AG517" s="78">
        <v>0</v>
      </c>
      <c r="AH517" s="21">
        <f t="shared" si="58"/>
        <v>5</v>
      </c>
      <c r="AI517" s="21">
        <f>IFERROR(NETWORKDAYS(X517,Y517,Hoja1!$A$1:$A$29),"N/A")</f>
        <v>12</v>
      </c>
      <c r="AJ517" s="78">
        <v>7</v>
      </c>
      <c r="AK517" s="75">
        <f t="shared" si="59"/>
        <v>5</v>
      </c>
      <c r="AL517" s="21">
        <f>IFERROR(NETWORKDAYS(B517,Y517,Hoja1!$A$1:$A$29),"N/A")</f>
        <v>17</v>
      </c>
      <c r="AM517" s="21">
        <f t="shared" si="61"/>
        <v>10</v>
      </c>
      <c r="AN517" s="87"/>
      <c r="AO517" s="87"/>
      <c r="AP517" s="87"/>
      <c r="AQ517" s="87"/>
      <c r="AR517" s="87"/>
      <c r="AS517" s="87" t="s">
        <v>1907</v>
      </c>
      <c r="AT517" s="87" t="s">
        <v>2098</v>
      </c>
      <c r="AU517" s="87" t="s">
        <v>2220</v>
      </c>
      <c r="AV517" s="320" t="s">
        <v>2536</v>
      </c>
      <c r="AW517" s="403" t="s">
        <v>3101</v>
      </c>
      <c r="AY517" s="414"/>
    </row>
    <row r="518" spans="1:51" ht="15" customHeight="1" x14ac:dyDescent="0.25">
      <c r="A518" s="294">
        <v>16036</v>
      </c>
      <c r="B518" s="53">
        <v>46083</v>
      </c>
      <c r="C518" s="53">
        <v>46083</v>
      </c>
      <c r="D518" s="2">
        <v>1</v>
      </c>
      <c r="E518" s="111" t="s">
        <v>54</v>
      </c>
      <c r="F518" s="21" t="s">
        <v>55</v>
      </c>
      <c r="G518" s="21">
        <v>6</v>
      </c>
      <c r="H518" s="21" t="s">
        <v>112</v>
      </c>
      <c r="I518" s="53">
        <v>46091</v>
      </c>
      <c r="J518" s="53">
        <v>46091</v>
      </c>
      <c r="K518" s="21">
        <v>6</v>
      </c>
      <c r="L518" s="21" t="s">
        <v>55</v>
      </c>
      <c r="M518" s="21" t="s">
        <v>55</v>
      </c>
      <c r="N518" s="21" t="s">
        <v>55</v>
      </c>
      <c r="O518" s="21" t="s">
        <v>55</v>
      </c>
      <c r="P518" s="21" t="s">
        <v>55</v>
      </c>
      <c r="Q518" s="21" t="s">
        <v>55</v>
      </c>
      <c r="R518" s="21" t="s">
        <v>55</v>
      </c>
      <c r="S518" s="21">
        <v>6</v>
      </c>
      <c r="T518" s="21">
        <v>1</v>
      </c>
      <c r="U518" s="21">
        <v>0</v>
      </c>
      <c r="V518" s="53">
        <v>46097</v>
      </c>
      <c r="W518" s="53">
        <v>46097</v>
      </c>
      <c r="X518" s="53">
        <v>46097</v>
      </c>
      <c r="Y518" s="53">
        <v>46106</v>
      </c>
      <c r="Z518" s="53">
        <v>46118</v>
      </c>
      <c r="AA518" s="21">
        <v>4</v>
      </c>
      <c r="AB518" s="159" t="s">
        <v>1595</v>
      </c>
      <c r="AC518" s="111" t="s">
        <v>1596</v>
      </c>
      <c r="AD518" s="19">
        <f t="shared" si="60"/>
        <v>1</v>
      </c>
      <c r="AE518" s="67">
        <f>IFERROR(NETWORKDAYS(B518,I518,Hoja1!$A$1:$A$29),"N/A")</f>
        <v>7</v>
      </c>
      <c r="AF518" s="21">
        <f>IFERROR(NETWORKDAYS(B518,W518,Hoja1!$A$1:$A$29),"N/A")</f>
        <v>11</v>
      </c>
      <c r="AG518" s="78">
        <v>0</v>
      </c>
      <c r="AH518" s="21">
        <f t="shared" si="58"/>
        <v>11</v>
      </c>
      <c r="AI518" s="21">
        <f>IFERROR(NETWORKDAYS(X518,Y518,Hoja1!$A$1:$A$29),"N/A")</f>
        <v>7</v>
      </c>
      <c r="AJ518" s="78">
        <v>0</v>
      </c>
      <c r="AK518" s="75">
        <f t="shared" si="59"/>
        <v>7</v>
      </c>
      <c r="AL518" s="21">
        <f>IFERROR(NETWORKDAYS(B518,Y518,Hoja1!$A$1:$A$29),"N/A")</f>
        <v>17</v>
      </c>
      <c r="AM518" s="21">
        <f t="shared" si="61"/>
        <v>17</v>
      </c>
      <c r="AN518" s="87"/>
      <c r="AO518" s="87"/>
      <c r="AP518" s="87"/>
      <c r="AQ518" s="87"/>
      <c r="AR518" s="87"/>
      <c r="AS518" s="87" t="s">
        <v>1895</v>
      </c>
      <c r="AT518" s="87" t="s">
        <v>2053</v>
      </c>
      <c r="AU518" s="87" t="s">
        <v>2216</v>
      </c>
      <c r="AV518" s="320" t="s">
        <v>2537</v>
      </c>
      <c r="AW518" s="403" t="s">
        <v>3102</v>
      </c>
      <c r="AY518" s="415"/>
    </row>
    <row r="519" spans="1:51" ht="15" customHeight="1" x14ac:dyDescent="0.25">
      <c r="A519" s="294">
        <v>16038</v>
      </c>
      <c r="B519" s="53">
        <v>46083</v>
      </c>
      <c r="C519" s="53">
        <v>46083</v>
      </c>
      <c r="D519" s="2">
        <v>1</v>
      </c>
      <c r="E519" s="111" t="s">
        <v>54</v>
      </c>
      <c r="F519" s="21" t="s">
        <v>55</v>
      </c>
      <c r="G519" s="21">
        <v>2</v>
      </c>
      <c r="H519" s="21" t="s">
        <v>112</v>
      </c>
      <c r="I519" s="53">
        <v>46094</v>
      </c>
      <c r="J519" s="53">
        <v>46094</v>
      </c>
      <c r="K519" s="21">
        <v>2</v>
      </c>
      <c r="L519" s="21" t="s">
        <v>55</v>
      </c>
      <c r="M519" s="21" t="s">
        <v>55</v>
      </c>
      <c r="N519" s="21" t="s">
        <v>55</v>
      </c>
      <c r="O519" s="21" t="s">
        <v>55</v>
      </c>
      <c r="P519" s="21" t="s">
        <v>55</v>
      </c>
      <c r="Q519" s="21" t="s">
        <v>55</v>
      </c>
      <c r="R519" s="21" t="s">
        <v>55</v>
      </c>
      <c r="S519" s="21">
        <v>2</v>
      </c>
      <c r="T519" s="21">
        <v>1</v>
      </c>
      <c r="U519" s="21">
        <v>0</v>
      </c>
      <c r="V519" s="53">
        <v>46099</v>
      </c>
      <c r="W519" s="53">
        <v>46105</v>
      </c>
      <c r="X519" s="180">
        <v>46105</v>
      </c>
      <c r="Y519" s="53">
        <v>46111</v>
      </c>
      <c r="Z519" s="53">
        <v>46118</v>
      </c>
      <c r="AA519" s="21">
        <v>4</v>
      </c>
      <c r="AB519" s="159" t="s">
        <v>1599</v>
      </c>
      <c r="AC519" s="111" t="s">
        <v>1600</v>
      </c>
      <c r="AD519" s="19">
        <f t="shared" si="60"/>
        <v>1</v>
      </c>
      <c r="AE519" s="67">
        <f>IFERROR(NETWORKDAYS(B519,I519,Hoja1!$A$1:$A$29),"N/A")</f>
        <v>10</v>
      </c>
      <c r="AF519" s="21">
        <f>IFERROR(NETWORKDAYS(B519,W519,Hoja1!$A$1:$A$29),"N/A")</f>
        <v>16</v>
      </c>
      <c r="AG519" s="78">
        <v>0</v>
      </c>
      <c r="AH519" s="21">
        <f t="shared" si="58"/>
        <v>16</v>
      </c>
      <c r="AI519" s="21">
        <f>IFERROR(NETWORKDAYS(X519,Y519,Hoja1!$A$1:$A$29),"N/A")</f>
        <v>5</v>
      </c>
      <c r="AJ519" s="78">
        <v>0</v>
      </c>
      <c r="AK519" s="75">
        <f t="shared" si="59"/>
        <v>5</v>
      </c>
      <c r="AL519" s="21">
        <f>IFERROR(NETWORKDAYS(B519,Y519,Hoja1!$A$1:$A$29),"N/A")</f>
        <v>20</v>
      </c>
      <c r="AM519" s="21">
        <f t="shared" si="61"/>
        <v>20</v>
      </c>
      <c r="AN519" s="87"/>
      <c r="AO519" s="87"/>
      <c r="AP519" s="87"/>
      <c r="AQ519" s="87"/>
      <c r="AR519" s="87"/>
      <c r="AS519" s="87" t="s">
        <v>1895</v>
      </c>
      <c r="AT519" s="87" t="s">
        <v>2182</v>
      </c>
      <c r="AU519" s="87" t="s">
        <v>2216</v>
      </c>
      <c r="AV519" s="320" t="s">
        <v>2538</v>
      </c>
      <c r="AW519" s="403" t="s">
        <v>3103</v>
      </c>
      <c r="AY519" s="414"/>
    </row>
    <row r="520" spans="1:51" ht="15" customHeight="1" x14ac:dyDescent="0.25">
      <c r="A520" s="294">
        <v>16042</v>
      </c>
      <c r="B520" s="28">
        <v>46084</v>
      </c>
      <c r="C520" s="28">
        <v>46084</v>
      </c>
      <c r="D520" s="3">
        <v>1</v>
      </c>
      <c r="E520" s="159" t="s">
        <v>247</v>
      </c>
      <c r="F520" s="33" t="s">
        <v>55</v>
      </c>
      <c r="G520" s="33">
        <v>16</v>
      </c>
      <c r="H520" s="21" t="s">
        <v>56</v>
      </c>
      <c r="I520" s="28">
        <v>46112</v>
      </c>
      <c r="J520" s="28">
        <v>46112</v>
      </c>
      <c r="K520" s="33">
        <v>16</v>
      </c>
      <c r="L520" s="33" t="s">
        <v>55</v>
      </c>
      <c r="M520" s="33" t="s">
        <v>55</v>
      </c>
      <c r="N520" s="33" t="s">
        <v>55</v>
      </c>
      <c r="O520" s="33" t="s">
        <v>55</v>
      </c>
      <c r="P520" s="33" t="s">
        <v>55</v>
      </c>
      <c r="Q520" s="33" t="s">
        <v>55</v>
      </c>
      <c r="R520" s="21" t="s">
        <v>55</v>
      </c>
      <c r="S520" s="33">
        <v>3</v>
      </c>
      <c r="T520" s="33">
        <v>3</v>
      </c>
      <c r="U520" s="33">
        <v>0</v>
      </c>
      <c r="V520" s="28">
        <v>46120</v>
      </c>
      <c r="W520" s="28">
        <v>46132</v>
      </c>
      <c r="X520" s="28" t="s">
        <v>55</v>
      </c>
      <c r="Y520" s="28">
        <v>46132</v>
      </c>
      <c r="Z520" s="28" t="s">
        <v>55</v>
      </c>
      <c r="AA520" s="21">
        <v>4</v>
      </c>
      <c r="AB520" s="87" t="s">
        <v>1602</v>
      </c>
      <c r="AC520" s="48" t="s">
        <v>1603</v>
      </c>
      <c r="AD520" s="19">
        <f t="shared" si="60"/>
        <v>1</v>
      </c>
      <c r="AE520" s="67">
        <f>IFERROR(NETWORKDAYS(B520,I520,Hoja1!$A$1:$A$29),"N/A")</f>
        <v>20</v>
      </c>
      <c r="AF520" s="21">
        <f>IFERROR(NETWORKDAYS(B520,W520,Hoja1!$A$1:$A$29),"N/A")</f>
        <v>32</v>
      </c>
      <c r="AG520" s="78">
        <v>2</v>
      </c>
      <c r="AH520" s="21">
        <f t="shared" si="58"/>
        <v>30</v>
      </c>
      <c r="AI520" s="21" t="str">
        <f>IFERROR(NETWORKDAYS(X520,Y520,Hoja1!$A$1:$A$29),"N/A")</f>
        <v>N/A</v>
      </c>
      <c r="AJ520" s="78">
        <v>0</v>
      </c>
      <c r="AK520" s="21" t="s">
        <v>82</v>
      </c>
      <c r="AL520" s="21">
        <f>IFERROR(NETWORKDAYS(B520,Y520,Hoja1!$A$1:$A$29),"N/A")</f>
        <v>32</v>
      </c>
      <c r="AM520" s="21">
        <f t="shared" si="61"/>
        <v>30</v>
      </c>
      <c r="AN520" s="87" t="s">
        <v>881</v>
      </c>
      <c r="AO520" s="87"/>
      <c r="AP520" s="87"/>
      <c r="AQ520" s="87"/>
      <c r="AR520" s="87"/>
      <c r="AS520" s="87" t="s">
        <v>1913</v>
      </c>
      <c r="AT520" s="87" t="s">
        <v>2095</v>
      </c>
      <c r="AU520" s="87" t="s">
        <v>2209</v>
      </c>
      <c r="AV520" s="320" t="s">
        <v>2360</v>
      </c>
      <c r="AW520" s="403" t="s">
        <v>3104</v>
      </c>
      <c r="AY520" s="415"/>
    </row>
    <row r="521" spans="1:51" ht="15" customHeight="1" x14ac:dyDescent="0.25">
      <c r="A521" s="301">
        <v>16048</v>
      </c>
      <c r="B521" s="116">
        <v>46084</v>
      </c>
      <c r="C521" s="116">
        <v>46084</v>
      </c>
      <c r="D521" s="1">
        <v>1</v>
      </c>
      <c r="E521" s="111" t="s">
        <v>54</v>
      </c>
      <c r="F521" s="33" t="s">
        <v>55</v>
      </c>
      <c r="G521" s="33">
        <v>3</v>
      </c>
      <c r="H521" s="21" t="s">
        <v>112</v>
      </c>
      <c r="I521" s="28">
        <v>46106</v>
      </c>
      <c r="J521" s="28">
        <v>46106</v>
      </c>
      <c r="K521" s="33">
        <v>3</v>
      </c>
      <c r="L521" s="33" t="s">
        <v>55</v>
      </c>
      <c r="M521" s="33" t="s">
        <v>55</v>
      </c>
      <c r="N521" s="33" t="s">
        <v>55</v>
      </c>
      <c r="O521" s="33" t="s">
        <v>55</v>
      </c>
      <c r="P521" s="33" t="s">
        <v>55</v>
      </c>
      <c r="Q521" s="33" t="s">
        <v>55</v>
      </c>
      <c r="R521" s="21" t="s">
        <v>55</v>
      </c>
      <c r="S521" s="33">
        <v>2</v>
      </c>
      <c r="T521" s="33">
        <v>1</v>
      </c>
      <c r="U521" s="33">
        <v>0</v>
      </c>
      <c r="V521" s="28">
        <v>46113</v>
      </c>
      <c r="W521" s="28">
        <v>46113</v>
      </c>
      <c r="X521" s="28">
        <v>46113</v>
      </c>
      <c r="Y521" s="180">
        <v>46126</v>
      </c>
      <c r="Z521" s="180">
        <v>46127</v>
      </c>
      <c r="AA521" s="33">
        <f>MONTH(Z521)</f>
        <v>4</v>
      </c>
      <c r="AB521" s="144" t="s">
        <v>1605</v>
      </c>
      <c r="AC521" s="114" t="s">
        <v>1606</v>
      </c>
      <c r="AD521" s="19">
        <f t="shared" si="60"/>
        <v>1</v>
      </c>
      <c r="AE521" s="67">
        <f>IFERROR(NETWORKDAYS(B521,I521,Hoja1!$A$1:$A$29),"N/A")</f>
        <v>16</v>
      </c>
      <c r="AF521" s="21">
        <f>IFERROR(NETWORKDAYS(B521,W521,Hoja1!$A$1:$A$29),"N/A")</f>
        <v>21</v>
      </c>
      <c r="AG521" s="78">
        <v>0</v>
      </c>
      <c r="AH521" s="21">
        <f t="shared" si="58"/>
        <v>21</v>
      </c>
      <c r="AI521" s="21">
        <f>IFERROR(NETWORKDAYS(X521,Y521,Hoja1!$A$1:$A$29),"N/A")</f>
        <v>8</v>
      </c>
      <c r="AJ521" s="78">
        <v>3</v>
      </c>
      <c r="AK521" s="75">
        <f t="shared" si="59"/>
        <v>5</v>
      </c>
      <c r="AL521" s="21">
        <f>IFERROR(NETWORKDAYS(B521,Y521,Hoja1!$A$1:$A$29),"N/A")</f>
        <v>28</v>
      </c>
      <c r="AM521" s="21">
        <f t="shared" si="61"/>
        <v>25</v>
      </c>
      <c r="AN521" s="87"/>
      <c r="AO521" s="87"/>
      <c r="AP521" s="87"/>
      <c r="AQ521" s="87"/>
      <c r="AR521" s="87"/>
      <c r="AS521" s="87" t="s">
        <v>1903</v>
      </c>
      <c r="AT521" s="87" t="s">
        <v>2183</v>
      </c>
      <c r="AU521" s="87" t="s">
        <v>2220</v>
      </c>
      <c r="AV521" s="320" t="s">
        <v>2539</v>
      </c>
      <c r="AW521" s="403" t="s">
        <v>3105</v>
      </c>
      <c r="AY521" s="414"/>
    </row>
    <row r="522" spans="1:51" ht="15" customHeight="1" x14ac:dyDescent="0.25">
      <c r="A522" s="301">
        <v>16049</v>
      </c>
      <c r="B522" s="116">
        <v>46084</v>
      </c>
      <c r="C522" s="116">
        <v>46084</v>
      </c>
      <c r="D522" s="1">
        <v>1</v>
      </c>
      <c r="E522" s="111" t="s">
        <v>54</v>
      </c>
      <c r="F522" s="33" t="s">
        <v>55</v>
      </c>
      <c r="G522" s="33">
        <v>3</v>
      </c>
      <c r="H522" s="21" t="s">
        <v>112</v>
      </c>
      <c r="I522" s="28">
        <v>46090</v>
      </c>
      <c r="J522" s="196">
        <v>46093</v>
      </c>
      <c r="K522" s="33">
        <v>3</v>
      </c>
      <c r="L522" s="33" t="s">
        <v>55</v>
      </c>
      <c r="M522" s="33" t="s">
        <v>55</v>
      </c>
      <c r="N522" s="33" t="s">
        <v>55</v>
      </c>
      <c r="O522" s="33" t="s">
        <v>55</v>
      </c>
      <c r="P522" s="33" t="s">
        <v>55</v>
      </c>
      <c r="Q522" s="33" t="s">
        <v>55</v>
      </c>
      <c r="R522" s="21" t="s">
        <v>55</v>
      </c>
      <c r="S522" s="33">
        <v>3</v>
      </c>
      <c r="T522" s="33">
        <v>3</v>
      </c>
      <c r="U522" s="33">
        <v>0</v>
      </c>
      <c r="V522" s="38">
        <v>46101</v>
      </c>
      <c r="W522" s="180">
        <v>46105</v>
      </c>
      <c r="X522" s="180">
        <v>46105</v>
      </c>
      <c r="Y522" s="28">
        <v>46120</v>
      </c>
      <c r="Z522" s="180">
        <v>46127</v>
      </c>
      <c r="AA522" s="33">
        <f>MONTH(Z522)</f>
        <v>4</v>
      </c>
      <c r="AB522" s="144" t="s">
        <v>1608</v>
      </c>
      <c r="AC522" s="114" t="s">
        <v>1609</v>
      </c>
      <c r="AD522" s="19">
        <f t="shared" si="60"/>
        <v>1</v>
      </c>
      <c r="AE522" s="67">
        <f>IFERROR(NETWORKDAYS(B522,I522,Hoja1!$A$1:$A$29),"N/A")</f>
        <v>5</v>
      </c>
      <c r="AF522" s="21">
        <f>IFERROR(NETWORKDAYS(B522,W522,Hoja1!$A$1:$A$29),"N/A")</f>
        <v>15</v>
      </c>
      <c r="AG522" s="78">
        <v>0</v>
      </c>
      <c r="AH522" s="21">
        <f t="shared" si="58"/>
        <v>15</v>
      </c>
      <c r="AI522" s="21">
        <f>IFERROR(NETWORKDAYS(X522,Y522,Hoja1!$A$1:$A$29),"N/A")</f>
        <v>10</v>
      </c>
      <c r="AJ522" s="78">
        <v>5</v>
      </c>
      <c r="AK522" s="75">
        <f t="shared" si="59"/>
        <v>5</v>
      </c>
      <c r="AL522" s="21">
        <f>IFERROR(NETWORKDAYS(B522,Y522,Hoja1!$A$1:$A$29),"N/A")</f>
        <v>24</v>
      </c>
      <c r="AM522" s="21">
        <f t="shared" si="61"/>
        <v>19</v>
      </c>
      <c r="AN522" s="87"/>
      <c r="AO522" s="87"/>
      <c r="AP522" s="87"/>
      <c r="AQ522" s="87"/>
      <c r="AR522" s="87"/>
      <c r="AS522" s="87" t="s">
        <v>1907</v>
      </c>
      <c r="AT522" s="87" t="s">
        <v>1994</v>
      </c>
      <c r="AU522" s="87" t="s">
        <v>2220</v>
      </c>
      <c r="AV522" s="320" t="s">
        <v>2232</v>
      </c>
      <c r="AW522" s="403" t="s">
        <v>3106</v>
      </c>
      <c r="AY522" s="415"/>
    </row>
    <row r="523" spans="1:51" ht="15" customHeight="1" x14ac:dyDescent="0.25">
      <c r="A523" s="294">
        <v>16054</v>
      </c>
      <c r="B523" s="28">
        <v>46085</v>
      </c>
      <c r="C523" s="28">
        <v>46085</v>
      </c>
      <c r="D523" s="3">
        <v>1</v>
      </c>
      <c r="E523" s="111" t="s">
        <v>54</v>
      </c>
      <c r="F523" s="33" t="s">
        <v>55</v>
      </c>
      <c r="G523" s="33">
        <v>5</v>
      </c>
      <c r="H523" s="21" t="s">
        <v>56</v>
      </c>
      <c r="I523" s="53">
        <v>46098</v>
      </c>
      <c r="J523" s="53">
        <v>46098</v>
      </c>
      <c r="K523" s="33">
        <v>5</v>
      </c>
      <c r="L523" s="33" t="s">
        <v>55</v>
      </c>
      <c r="M523" s="33" t="s">
        <v>55</v>
      </c>
      <c r="N523" s="33" t="s">
        <v>55</v>
      </c>
      <c r="O523" s="33" t="s">
        <v>55</v>
      </c>
      <c r="P523" s="33" t="s">
        <v>55</v>
      </c>
      <c r="Q523" s="33" t="s">
        <v>55</v>
      </c>
      <c r="R523" s="21" t="s">
        <v>55</v>
      </c>
      <c r="S523" s="33">
        <v>2</v>
      </c>
      <c r="T523" s="33">
        <v>2</v>
      </c>
      <c r="U523" s="33">
        <v>0</v>
      </c>
      <c r="V523" s="28">
        <v>46119</v>
      </c>
      <c r="W523" s="28">
        <v>46119</v>
      </c>
      <c r="X523" s="28">
        <v>46119</v>
      </c>
      <c r="Y523" s="28">
        <v>46127</v>
      </c>
      <c r="Z523" s="180">
        <v>46127</v>
      </c>
      <c r="AA523" s="21">
        <v>4</v>
      </c>
      <c r="AB523" s="87" t="s">
        <v>1610</v>
      </c>
      <c r="AC523" s="48" t="s">
        <v>1611</v>
      </c>
      <c r="AD523" s="19">
        <f t="shared" si="60"/>
        <v>1</v>
      </c>
      <c r="AE523" s="67">
        <f>IFERROR(NETWORKDAYS(B523,I523,Hoja1!$A$1:$A$29),"N/A")</f>
        <v>10</v>
      </c>
      <c r="AF523" s="21">
        <f>IFERROR(NETWORKDAYS(B523,W523,Hoja1!$A$1:$A$29),"N/A")</f>
        <v>22</v>
      </c>
      <c r="AG523" s="78">
        <v>4</v>
      </c>
      <c r="AH523" s="21">
        <f t="shared" si="58"/>
        <v>18</v>
      </c>
      <c r="AI523" s="21">
        <f>IFERROR(NETWORKDAYS(X523,Y523,Hoja1!$A$1:$A$29),"N/A")</f>
        <v>7</v>
      </c>
      <c r="AJ523" s="78">
        <v>0</v>
      </c>
      <c r="AK523" s="75">
        <f t="shared" si="59"/>
        <v>7</v>
      </c>
      <c r="AL523" s="21">
        <f>IFERROR(NETWORKDAYS(B523,Y523,Hoja1!$A$1:$A$29),"N/A")</f>
        <v>28</v>
      </c>
      <c r="AM523" s="21">
        <f t="shared" si="61"/>
        <v>24</v>
      </c>
      <c r="AN523" s="87" t="s">
        <v>1379</v>
      </c>
      <c r="AO523" s="87"/>
      <c r="AP523" s="87"/>
      <c r="AQ523" s="87"/>
      <c r="AR523" s="87"/>
      <c r="AS523" s="87" t="s">
        <v>1885</v>
      </c>
      <c r="AT523" s="87" t="s">
        <v>2094</v>
      </c>
      <c r="AU523" s="87" t="s">
        <v>2209</v>
      </c>
      <c r="AV523" s="320" t="s">
        <v>2540</v>
      </c>
      <c r="AW523" s="403" t="s">
        <v>3107</v>
      </c>
      <c r="AY523" s="414"/>
    </row>
    <row r="524" spans="1:51" ht="15" customHeight="1" x14ac:dyDescent="0.25">
      <c r="A524" s="296">
        <v>16055</v>
      </c>
      <c r="B524" s="28">
        <v>46085</v>
      </c>
      <c r="C524" s="28">
        <v>46085</v>
      </c>
      <c r="D524" s="3">
        <v>1</v>
      </c>
      <c r="E524" s="111" t="s">
        <v>54</v>
      </c>
      <c r="F524" s="33" t="s">
        <v>55</v>
      </c>
      <c r="G524" s="33">
        <v>3</v>
      </c>
      <c r="H524" s="21" t="s">
        <v>112</v>
      </c>
      <c r="I524" s="28">
        <v>46090</v>
      </c>
      <c r="J524" s="28">
        <v>46090</v>
      </c>
      <c r="K524" s="33">
        <v>3</v>
      </c>
      <c r="L524" s="33" t="s">
        <v>55</v>
      </c>
      <c r="M524" s="33" t="s">
        <v>55</v>
      </c>
      <c r="N524" s="33" t="s">
        <v>55</v>
      </c>
      <c r="O524" s="33" t="s">
        <v>55</v>
      </c>
      <c r="P524" s="33" t="s">
        <v>55</v>
      </c>
      <c r="Q524" s="33" t="s">
        <v>55</v>
      </c>
      <c r="R524" s="21" t="s">
        <v>55</v>
      </c>
      <c r="S524" s="33">
        <v>1</v>
      </c>
      <c r="T524" s="33">
        <v>1</v>
      </c>
      <c r="U524" s="33">
        <v>0</v>
      </c>
      <c r="V524" s="38">
        <v>46105</v>
      </c>
      <c r="W524" s="38">
        <v>46105</v>
      </c>
      <c r="X524" s="180">
        <v>46105</v>
      </c>
      <c r="Y524" s="28">
        <v>46112</v>
      </c>
      <c r="Z524" s="53">
        <v>46118</v>
      </c>
      <c r="AA524" s="21">
        <v>4</v>
      </c>
      <c r="AB524" s="48" t="s">
        <v>1613</v>
      </c>
      <c r="AC524" s="48" t="s">
        <v>1614</v>
      </c>
      <c r="AD524" s="19">
        <f t="shared" si="60"/>
        <v>1</v>
      </c>
      <c r="AE524" s="67">
        <f>IFERROR(NETWORKDAYS(B524,I524,Hoja1!$A$1:$A$29),"N/A")</f>
        <v>4</v>
      </c>
      <c r="AF524" s="21">
        <f>IFERROR(NETWORKDAYS(B524,W524,Hoja1!$A$1:$A$29),"N/A")</f>
        <v>14</v>
      </c>
      <c r="AG524" s="78">
        <v>3</v>
      </c>
      <c r="AH524" s="21">
        <f t="shared" si="58"/>
        <v>11</v>
      </c>
      <c r="AI524" s="21">
        <f>IFERROR(NETWORKDAYS(X524,Y524,Hoja1!$A$1:$A$29),"N/A")</f>
        <v>6</v>
      </c>
      <c r="AJ524" s="78">
        <v>1</v>
      </c>
      <c r="AK524" s="75">
        <f t="shared" si="59"/>
        <v>5</v>
      </c>
      <c r="AL524" s="21">
        <f>IFERROR(NETWORKDAYS(B524,Y524,Hoja1!$A$1:$A$29),"N/A")</f>
        <v>19</v>
      </c>
      <c r="AM524" s="21">
        <f t="shared" si="61"/>
        <v>15</v>
      </c>
      <c r="AN524" s="87"/>
      <c r="AO524" s="87"/>
      <c r="AP524" s="87"/>
      <c r="AQ524" s="87"/>
      <c r="AR524" s="87"/>
      <c r="AS524" s="87" t="s">
        <v>1917</v>
      </c>
      <c r="AT524" s="87" t="s">
        <v>1995</v>
      </c>
      <c r="AU524" s="87" t="s">
        <v>2215</v>
      </c>
      <c r="AV524" s="320" t="s">
        <v>2541</v>
      </c>
      <c r="AW524" s="403" t="s">
        <v>3108</v>
      </c>
      <c r="AY524" s="415"/>
    </row>
    <row r="525" spans="1:51" ht="15" customHeight="1" x14ac:dyDescent="0.25">
      <c r="A525" s="294">
        <v>16059</v>
      </c>
      <c r="B525" s="53">
        <v>46085</v>
      </c>
      <c r="C525" s="53">
        <v>46085</v>
      </c>
      <c r="D525" s="2">
        <v>1</v>
      </c>
      <c r="E525" s="111" t="s">
        <v>54</v>
      </c>
      <c r="F525" s="21" t="s">
        <v>55</v>
      </c>
      <c r="G525" s="21">
        <v>4</v>
      </c>
      <c r="H525" s="21" t="s">
        <v>112</v>
      </c>
      <c r="I525" s="53">
        <v>46121</v>
      </c>
      <c r="J525" s="53">
        <v>46121</v>
      </c>
      <c r="K525" s="21">
        <v>4</v>
      </c>
      <c r="L525" s="21" t="s">
        <v>55</v>
      </c>
      <c r="M525" s="21" t="s">
        <v>55</v>
      </c>
      <c r="N525" s="21" t="s">
        <v>55</v>
      </c>
      <c r="O525" s="21" t="s">
        <v>55</v>
      </c>
      <c r="P525" s="21" t="s">
        <v>55</v>
      </c>
      <c r="Q525" s="21" t="s">
        <v>55</v>
      </c>
      <c r="R525" s="21" t="s">
        <v>55</v>
      </c>
      <c r="S525" s="21">
        <v>4</v>
      </c>
      <c r="T525" s="21">
        <v>1</v>
      </c>
      <c r="U525" s="21">
        <v>0</v>
      </c>
      <c r="V525" s="53">
        <v>46127</v>
      </c>
      <c r="W525" s="53">
        <v>46127</v>
      </c>
      <c r="X525" s="53">
        <v>46127</v>
      </c>
      <c r="Y525" s="53">
        <v>46133</v>
      </c>
      <c r="Z525" s="53">
        <v>46139</v>
      </c>
      <c r="AA525" s="21">
        <v>4</v>
      </c>
      <c r="AB525" s="159" t="s">
        <v>1616</v>
      </c>
      <c r="AC525" s="111" t="s">
        <v>1617</v>
      </c>
      <c r="AD525" s="19">
        <f t="shared" si="60"/>
        <v>1</v>
      </c>
      <c r="AE525" s="67">
        <f>IFERROR(NETWORKDAYS(B525,I525,Hoja1!$A$1:$A$29),"N/A")</f>
        <v>24</v>
      </c>
      <c r="AF525" s="21">
        <f>IFERROR(NETWORKDAYS(B525,W525,Hoja1!$A$1:$A$29),"N/A")</f>
        <v>28</v>
      </c>
      <c r="AG525" s="78">
        <v>4</v>
      </c>
      <c r="AH525" s="21">
        <f t="shared" si="58"/>
        <v>24</v>
      </c>
      <c r="AI525" s="21">
        <f>IFERROR(NETWORKDAYS(X525,Y525,Hoja1!$A$1:$A$29),"N/A")</f>
        <v>5</v>
      </c>
      <c r="AJ525" s="78">
        <v>0</v>
      </c>
      <c r="AK525" s="75">
        <f t="shared" si="59"/>
        <v>5</v>
      </c>
      <c r="AL525" s="21">
        <f>IFERROR(NETWORKDAYS(B525,Y525,Hoja1!$A$1:$A$29),"N/A")</f>
        <v>32</v>
      </c>
      <c r="AM525" s="21">
        <f t="shared" si="61"/>
        <v>28</v>
      </c>
      <c r="AN525" s="87"/>
      <c r="AO525" s="87"/>
      <c r="AP525" s="87"/>
      <c r="AQ525" s="87"/>
      <c r="AR525" s="87"/>
      <c r="AS525" s="87" t="s">
        <v>1895</v>
      </c>
      <c r="AT525" s="87" t="s">
        <v>2047</v>
      </c>
      <c r="AU525" s="87" t="s">
        <v>2216</v>
      </c>
      <c r="AV525" s="320" t="s">
        <v>2542</v>
      </c>
      <c r="AW525" s="403" t="s">
        <v>3109</v>
      </c>
      <c r="AY525" s="414"/>
    </row>
    <row r="526" spans="1:51" ht="15" customHeight="1" x14ac:dyDescent="0.25">
      <c r="A526" s="294">
        <v>16061</v>
      </c>
      <c r="B526" s="28">
        <v>46085</v>
      </c>
      <c r="C526" s="28">
        <v>46085</v>
      </c>
      <c r="D526" s="33">
        <v>1</v>
      </c>
      <c r="E526" s="111" t="s">
        <v>54</v>
      </c>
      <c r="F526" s="33" t="s">
        <v>55</v>
      </c>
      <c r="G526" s="33">
        <v>12</v>
      </c>
      <c r="H526" s="21" t="s">
        <v>56</v>
      </c>
      <c r="I526" s="28">
        <v>46090</v>
      </c>
      <c r="J526" s="28">
        <v>46106</v>
      </c>
      <c r="K526" s="33">
        <v>12</v>
      </c>
      <c r="L526" s="33" t="s">
        <v>55</v>
      </c>
      <c r="M526" s="33" t="s">
        <v>55</v>
      </c>
      <c r="N526" s="33" t="s">
        <v>55</v>
      </c>
      <c r="O526" s="33" t="s">
        <v>55</v>
      </c>
      <c r="P526" s="33" t="s">
        <v>55</v>
      </c>
      <c r="Q526" s="33" t="s">
        <v>55</v>
      </c>
      <c r="R526" s="21" t="s">
        <v>55</v>
      </c>
      <c r="S526" s="33">
        <v>1</v>
      </c>
      <c r="T526" s="33">
        <v>1</v>
      </c>
      <c r="U526" s="33">
        <v>0</v>
      </c>
      <c r="V526" s="28">
        <v>46112</v>
      </c>
      <c r="W526" s="28">
        <v>46112</v>
      </c>
      <c r="X526" s="28">
        <v>46112</v>
      </c>
      <c r="Y526" s="180">
        <v>46126</v>
      </c>
      <c r="Z526" s="180">
        <v>46127</v>
      </c>
      <c r="AA526" s="33">
        <v>4</v>
      </c>
      <c r="AB526" s="144" t="s">
        <v>1618</v>
      </c>
      <c r="AC526" s="35" t="s">
        <v>1619</v>
      </c>
      <c r="AD526" s="19">
        <f t="shared" si="60"/>
        <v>1</v>
      </c>
      <c r="AE526" s="67">
        <f>IFERROR(NETWORKDAYS(B526,I526,Hoja1!$A$1:$A$29),"N/A")</f>
        <v>4</v>
      </c>
      <c r="AF526" s="21">
        <f>IFERROR(NETWORKDAYS(B526,W526,Hoja1!$A$1:$A$29),"N/A")</f>
        <v>19</v>
      </c>
      <c r="AG526" s="78">
        <v>3</v>
      </c>
      <c r="AH526" s="21">
        <f t="shared" si="58"/>
        <v>16</v>
      </c>
      <c r="AI526" s="21">
        <f>IFERROR(NETWORKDAYS(X526,Y526,Hoja1!$A$1:$A$29),"N/A")</f>
        <v>9</v>
      </c>
      <c r="AJ526" s="78">
        <v>4</v>
      </c>
      <c r="AK526" s="75">
        <f t="shared" si="59"/>
        <v>5</v>
      </c>
      <c r="AL526" s="21">
        <f>IFERROR(NETWORKDAYS(B526,Y526,Hoja1!$A$1:$A$29),"N/A")</f>
        <v>27</v>
      </c>
      <c r="AM526" s="21">
        <f t="shared" si="61"/>
        <v>20</v>
      </c>
      <c r="AN526" s="87"/>
      <c r="AO526" s="87"/>
      <c r="AP526" s="87"/>
      <c r="AQ526" s="87"/>
      <c r="AR526" s="87"/>
      <c r="AS526" s="87" t="s">
        <v>1941</v>
      </c>
      <c r="AT526" s="87" t="s">
        <v>1995</v>
      </c>
      <c r="AU526" s="87" t="s">
        <v>2218</v>
      </c>
      <c r="AV526" s="320" t="s">
        <v>2543</v>
      </c>
      <c r="AW526" s="403" t="s">
        <v>3110</v>
      </c>
      <c r="AY526" s="415"/>
    </row>
    <row r="527" spans="1:51" ht="15" customHeight="1" x14ac:dyDescent="0.25">
      <c r="A527" s="294">
        <v>16066</v>
      </c>
      <c r="B527" s="28">
        <v>46101</v>
      </c>
      <c r="C527" s="28">
        <v>46085</v>
      </c>
      <c r="D527" s="3">
        <v>1</v>
      </c>
      <c r="E527" s="111" t="s">
        <v>54</v>
      </c>
      <c r="F527" s="33" t="s">
        <v>55</v>
      </c>
      <c r="G527" s="33">
        <v>5</v>
      </c>
      <c r="H527" s="21" t="s">
        <v>56</v>
      </c>
      <c r="I527" s="16">
        <v>46105</v>
      </c>
      <c r="J527" s="16">
        <v>46105</v>
      </c>
      <c r="K527" s="33">
        <v>5</v>
      </c>
      <c r="L527" s="33" t="s">
        <v>55</v>
      </c>
      <c r="M527" s="33" t="s">
        <v>55</v>
      </c>
      <c r="N527" s="33" t="s">
        <v>55</v>
      </c>
      <c r="O527" s="33" t="s">
        <v>55</v>
      </c>
      <c r="P527" s="33" t="s">
        <v>55</v>
      </c>
      <c r="Q527" s="33" t="s">
        <v>55</v>
      </c>
      <c r="R527" s="21" t="s">
        <v>55</v>
      </c>
      <c r="S527" s="33">
        <v>3</v>
      </c>
      <c r="T527" s="33">
        <v>3</v>
      </c>
      <c r="U527" s="33">
        <v>0</v>
      </c>
      <c r="V527" s="28">
        <v>46112</v>
      </c>
      <c r="W527" s="28">
        <v>46112</v>
      </c>
      <c r="X527" s="28">
        <v>46113</v>
      </c>
      <c r="Y527" s="28">
        <v>46127</v>
      </c>
      <c r="Z527" s="180">
        <v>46127</v>
      </c>
      <c r="AA527" s="21">
        <v>4</v>
      </c>
      <c r="AB527" s="87" t="s">
        <v>1620</v>
      </c>
      <c r="AC527" s="48" t="s">
        <v>1621</v>
      </c>
      <c r="AD527" s="19">
        <f t="shared" si="60"/>
        <v>1</v>
      </c>
      <c r="AE527" s="67">
        <f>IFERROR(NETWORKDAYS(B527,I527,Hoja1!$A$1:$A$29),"N/A")</f>
        <v>2</v>
      </c>
      <c r="AF527" s="21">
        <f>IFERROR(NETWORKDAYS(B527,W527,Hoja1!$A$1:$A$29),"N/A")</f>
        <v>7</v>
      </c>
      <c r="AG527" s="78">
        <v>0</v>
      </c>
      <c r="AH527" s="21">
        <f t="shared" si="58"/>
        <v>7</v>
      </c>
      <c r="AI527" s="21">
        <f>IFERROR(NETWORKDAYS(X527,Y527,Hoja1!$A$1:$A$29),"N/A")</f>
        <v>9</v>
      </c>
      <c r="AJ527" s="78">
        <v>0</v>
      </c>
      <c r="AK527" s="75">
        <f t="shared" si="59"/>
        <v>9</v>
      </c>
      <c r="AL527" s="21">
        <f>IFERROR(NETWORKDAYS(B527,Y527,Hoja1!$A$1:$A$29),"N/A")</f>
        <v>16</v>
      </c>
      <c r="AM527" s="21">
        <f t="shared" si="61"/>
        <v>16</v>
      </c>
      <c r="AN527" s="111" t="s">
        <v>1376</v>
      </c>
      <c r="AO527" s="87"/>
      <c r="AP527" s="87"/>
      <c r="AQ527" s="87"/>
      <c r="AR527" s="87"/>
      <c r="AS527" s="87" t="s">
        <v>1930</v>
      </c>
      <c r="AT527" s="87" t="s">
        <v>2078</v>
      </c>
      <c r="AU527" s="87" t="s">
        <v>2209</v>
      </c>
      <c r="AV527" s="320" t="s">
        <v>2544</v>
      </c>
      <c r="AW527" s="403" t="s">
        <v>3111</v>
      </c>
      <c r="AY527" s="414"/>
    </row>
    <row r="528" spans="1:51" ht="15" customHeight="1" x14ac:dyDescent="0.25">
      <c r="A528" s="294">
        <v>16069</v>
      </c>
      <c r="B528" s="16">
        <v>46092</v>
      </c>
      <c r="C528" s="53">
        <v>46092</v>
      </c>
      <c r="D528" s="2">
        <v>1</v>
      </c>
      <c r="E528" s="111" t="s">
        <v>54</v>
      </c>
      <c r="F528" s="21" t="s">
        <v>55</v>
      </c>
      <c r="G528" s="21">
        <v>0</v>
      </c>
      <c r="H528" s="21"/>
      <c r="I528" s="21" t="s">
        <v>55</v>
      </c>
      <c r="J528" s="21" t="s">
        <v>55</v>
      </c>
      <c r="K528" s="21">
        <v>0</v>
      </c>
      <c r="L528" s="21" t="s">
        <v>55</v>
      </c>
      <c r="M528" s="21" t="s">
        <v>55</v>
      </c>
      <c r="N528" s="21" t="s">
        <v>55</v>
      </c>
      <c r="O528" s="21" t="s">
        <v>55</v>
      </c>
      <c r="P528" s="21" t="s">
        <v>55</v>
      </c>
      <c r="Q528" s="21" t="s">
        <v>55</v>
      </c>
      <c r="R528" s="21" t="s">
        <v>55</v>
      </c>
      <c r="S528" s="21">
        <v>2</v>
      </c>
      <c r="T528" s="21">
        <v>2</v>
      </c>
      <c r="U528" s="21">
        <v>0</v>
      </c>
      <c r="V528" s="38">
        <v>46105</v>
      </c>
      <c r="W528" s="38">
        <v>46105</v>
      </c>
      <c r="X528" s="180">
        <v>46105</v>
      </c>
      <c r="Y528" s="53">
        <v>46111</v>
      </c>
      <c r="Z528" s="53">
        <v>46118</v>
      </c>
      <c r="AA528" s="21">
        <v>4</v>
      </c>
      <c r="AB528" s="152" t="s">
        <v>1622</v>
      </c>
      <c r="AC528" s="111" t="s">
        <v>1623</v>
      </c>
      <c r="AD528" s="19" t="str">
        <f t="shared" si="60"/>
        <v>N/A</v>
      </c>
      <c r="AE528" s="67" t="str">
        <f>IFERROR(NETWORKDAYS(B528,I528,Hoja1!$A$1:$A$29),"N/A")</f>
        <v>N/A</v>
      </c>
      <c r="AF528" s="21">
        <f>IFERROR(NETWORKDAYS(B528,W528,Hoja1!$A$1:$A$29),"N/A")</f>
        <v>9</v>
      </c>
      <c r="AG528" s="78">
        <v>0</v>
      </c>
      <c r="AH528" s="21">
        <f t="shared" si="58"/>
        <v>9</v>
      </c>
      <c r="AI528" s="21">
        <f>IFERROR(NETWORKDAYS(X528,Y528,Hoja1!$A$1:$A$29),"N/A")</f>
        <v>5</v>
      </c>
      <c r="AJ528" s="78">
        <v>0</v>
      </c>
      <c r="AK528" s="75">
        <f t="shared" si="59"/>
        <v>5</v>
      </c>
      <c r="AL528" s="21">
        <f>IFERROR(NETWORKDAYS(B528,Y528,Hoja1!$A$1:$A$29),"N/A")</f>
        <v>13</v>
      </c>
      <c r="AM528" s="21">
        <f t="shared" si="61"/>
        <v>13</v>
      </c>
      <c r="AN528" s="111" t="s">
        <v>1376</v>
      </c>
      <c r="AO528" s="111"/>
      <c r="AP528" s="111"/>
      <c r="AQ528" s="111"/>
      <c r="AR528" s="111"/>
      <c r="AS528" s="111" t="s">
        <v>1901</v>
      </c>
      <c r="AT528" s="111" t="s">
        <v>2077</v>
      </c>
      <c r="AU528" s="111" t="s">
        <v>2217</v>
      </c>
      <c r="AV528" s="321" t="s">
        <v>2356</v>
      </c>
      <c r="AW528" s="403" t="s">
        <v>3112</v>
      </c>
      <c r="AY528" s="415"/>
    </row>
    <row r="529" spans="1:51" ht="15" customHeight="1" x14ac:dyDescent="0.25">
      <c r="A529" s="294">
        <v>16072</v>
      </c>
      <c r="B529" s="16">
        <v>46086</v>
      </c>
      <c r="C529" s="16">
        <v>46086</v>
      </c>
      <c r="D529" s="3">
        <v>1</v>
      </c>
      <c r="E529" s="111" t="s">
        <v>54</v>
      </c>
      <c r="F529" s="33" t="s">
        <v>55</v>
      </c>
      <c r="G529" s="33">
        <v>4</v>
      </c>
      <c r="H529" s="21" t="s">
        <v>112</v>
      </c>
      <c r="I529" s="28">
        <v>46093</v>
      </c>
      <c r="J529" s="28">
        <v>46097</v>
      </c>
      <c r="K529" s="33">
        <v>4</v>
      </c>
      <c r="L529" s="33" t="s">
        <v>55</v>
      </c>
      <c r="M529" s="33" t="s">
        <v>55</v>
      </c>
      <c r="N529" s="33" t="s">
        <v>55</v>
      </c>
      <c r="O529" s="33" t="s">
        <v>55</v>
      </c>
      <c r="P529" s="33" t="s">
        <v>55</v>
      </c>
      <c r="Q529" s="33" t="s">
        <v>55</v>
      </c>
      <c r="R529" s="21" t="s">
        <v>55</v>
      </c>
      <c r="S529" s="33">
        <v>4</v>
      </c>
      <c r="T529" s="33">
        <v>4</v>
      </c>
      <c r="U529" s="33">
        <v>0</v>
      </c>
      <c r="V529" s="38">
        <v>46101</v>
      </c>
      <c r="W529" s="38">
        <v>46105</v>
      </c>
      <c r="X529" s="180">
        <v>46105</v>
      </c>
      <c r="Y529" s="180">
        <v>46113</v>
      </c>
      <c r="Z529" s="53">
        <v>46118</v>
      </c>
      <c r="AA529" s="33">
        <v>4</v>
      </c>
      <c r="AB529" s="144" t="s">
        <v>1625</v>
      </c>
      <c r="AC529" s="45" t="s">
        <v>1626</v>
      </c>
      <c r="AD529" s="19">
        <f t="shared" si="60"/>
        <v>1</v>
      </c>
      <c r="AE529" s="67">
        <f>IFERROR(NETWORKDAYS(B529,I529,Hoja1!$A$1:$A$29),"N/A")</f>
        <v>6</v>
      </c>
      <c r="AF529" s="21">
        <f>IFERROR(NETWORKDAYS(B529,W529,Hoja1!$A$1:$A$29),"N/A")</f>
        <v>13</v>
      </c>
      <c r="AG529" s="78">
        <v>0</v>
      </c>
      <c r="AH529" s="21">
        <f t="shared" si="58"/>
        <v>13</v>
      </c>
      <c r="AI529" s="21">
        <f>IFERROR(NETWORKDAYS(X529,Y529,Hoja1!$A$1:$A$29),"N/A")</f>
        <v>7</v>
      </c>
      <c r="AJ529" s="78">
        <v>2</v>
      </c>
      <c r="AK529" s="75">
        <f t="shared" si="59"/>
        <v>5</v>
      </c>
      <c r="AL529" s="21">
        <f>IFERROR(NETWORKDAYS(B529,Y529,Hoja1!$A$1:$A$29),"N/A")</f>
        <v>19</v>
      </c>
      <c r="AM529" s="21">
        <f t="shared" si="61"/>
        <v>17</v>
      </c>
      <c r="AN529" s="87"/>
      <c r="AO529" s="87"/>
      <c r="AP529" s="87"/>
      <c r="AQ529" s="87"/>
      <c r="AR529" s="87"/>
      <c r="AS529" s="87" t="s">
        <v>1888</v>
      </c>
      <c r="AT529" s="87" t="s">
        <v>2008</v>
      </c>
      <c r="AU529" s="87" t="s">
        <v>2222</v>
      </c>
      <c r="AV529" s="320" t="s">
        <v>2545</v>
      </c>
      <c r="AW529" s="403" t="s">
        <v>3113</v>
      </c>
      <c r="AY529" s="414"/>
    </row>
    <row r="530" spans="1:51" ht="15" customHeight="1" x14ac:dyDescent="0.25">
      <c r="A530" s="294">
        <v>16073</v>
      </c>
      <c r="B530" s="116">
        <v>46099</v>
      </c>
      <c r="C530" s="28">
        <v>46086</v>
      </c>
      <c r="D530" s="3">
        <v>1</v>
      </c>
      <c r="E530" s="111" t="s">
        <v>54</v>
      </c>
      <c r="F530" s="33" t="s">
        <v>55</v>
      </c>
      <c r="G530" s="33">
        <v>5</v>
      </c>
      <c r="H530" s="21" t="s">
        <v>112</v>
      </c>
      <c r="I530" s="16">
        <v>46105</v>
      </c>
      <c r="J530" s="28">
        <v>46113</v>
      </c>
      <c r="K530" s="33">
        <v>5</v>
      </c>
      <c r="L530" s="33" t="s">
        <v>55</v>
      </c>
      <c r="M530" s="33" t="s">
        <v>55</v>
      </c>
      <c r="N530" s="33" t="s">
        <v>55</v>
      </c>
      <c r="O530" s="33" t="s">
        <v>55</v>
      </c>
      <c r="P530" s="33" t="s">
        <v>55</v>
      </c>
      <c r="Q530" s="33" t="s">
        <v>55</v>
      </c>
      <c r="R530" s="21" t="s">
        <v>55</v>
      </c>
      <c r="S530" s="33">
        <v>2</v>
      </c>
      <c r="T530" s="33">
        <v>2</v>
      </c>
      <c r="U530" s="33">
        <v>0</v>
      </c>
      <c r="V530" s="28">
        <v>46120</v>
      </c>
      <c r="W530" s="28">
        <v>46120</v>
      </c>
      <c r="X530" s="28">
        <v>46120</v>
      </c>
      <c r="Y530" s="180">
        <v>46132</v>
      </c>
      <c r="Z530" s="53">
        <v>46139</v>
      </c>
      <c r="AA530" s="33">
        <v>4</v>
      </c>
      <c r="AB530" s="144" t="s">
        <v>1628</v>
      </c>
      <c r="AC530" s="45" t="s">
        <v>1629</v>
      </c>
      <c r="AD530" s="19">
        <f t="shared" si="60"/>
        <v>1</v>
      </c>
      <c r="AE530" s="67">
        <f>IFERROR(NETWORKDAYS(B530,I530,Hoja1!$A$1:$A$29),"N/A")</f>
        <v>4</v>
      </c>
      <c r="AF530" s="21">
        <f>IFERROR(NETWORKDAYS(B530,W530,Hoja1!$A$1:$A$29),"N/A")</f>
        <v>13</v>
      </c>
      <c r="AG530" s="78">
        <v>0</v>
      </c>
      <c r="AH530" s="21">
        <f t="shared" si="58"/>
        <v>13</v>
      </c>
      <c r="AI530" s="21">
        <f>IFERROR(NETWORKDAYS(X530,Y530,Hoja1!$A$1:$A$29),"N/A")</f>
        <v>9</v>
      </c>
      <c r="AJ530" s="78">
        <v>4</v>
      </c>
      <c r="AK530" s="75">
        <f t="shared" si="59"/>
        <v>5</v>
      </c>
      <c r="AL530" s="21">
        <f>IFERROR(NETWORKDAYS(B530,Y530,Hoja1!$A$1:$A$29),"N/A")</f>
        <v>21</v>
      </c>
      <c r="AM530" s="21">
        <f t="shared" si="61"/>
        <v>17</v>
      </c>
      <c r="AN530" s="192" t="s">
        <v>454</v>
      </c>
      <c r="AO530" s="114"/>
      <c r="AP530" s="114"/>
      <c r="AQ530" s="114"/>
      <c r="AR530" s="114"/>
      <c r="AS530" s="114" t="s">
        <v>1888</v>
      </c>
      <c r="AT530" s="114" t="s">
        <v>2184</v>
      </c>
      <c r="AU530" s="114" t="s">
        <v>2222</v>
      </c>
      <c r="AV530" s="322" t="s">
        <v>2546</v>
      </c>
      <c r="AW530" s="403" t="s">
        <v>3114</v>
      </c>
      <c r="AY530" s="415"/>
    </row>
    <row r="531" spans="1:51" ht="15" customHeight="1" x14ac:dyDescent="0.25">
      <c r="A531" s="294">
        <v>16074</v>
      </c>
      <c r="B531" s="16">
        <v>46076</v>
      </c>
      <c r="C531" s="28">
        <v>46086</v>
      </c>
      <c r="D531" s="3">
        <v>1</v>
      </c>
      <c r="E531" s="111" t="s">
        <v>54</v>
      </c>
      <c r="F531" s="33" t="s">
        <v>55</v>
      </c>
      <c r="G531" s="33">
        <v>4</v>
      </c>
      <c r="H531" s="21" t="s">
        <v>112</v>
      </c>
      <c r="I531" s="180">
        <v>46080</v>
      </c>
      <c r="J531" s="28">
        <v>46086</v>
      </c>
      <c r="K531" s="33">
        <v>4</v>
      </c>
      <c r="L531" s="33" t="s">
        <v>55</v>
      </c>
      <c r="M531" s="33" t="s">
        <v>55</v>
      </c>
      <c r="N531" s="33" t="s">
        <v>55</v>
      </c>
      <c r="O531" s="33" t="s">
        <v>55</v>
      </c>
      <c r="P531" s="33" t="s">
        <v>55</v>
      </c>
      <c r="Q531" s="33" t="s">
        <v>55</v>
      </c>
      <c r="R531" s="21" t="s">
        <v>55</v>
      </c>
      <c r="S531" s="33">
        <v>4</v>
      </c>
      <c r="T531" s="33">
        <v>2</v>
      </c>
      <c r="U531" s="33">
        <v>0</v>
      </c>
      <c r="V531" s="28">
        <v>46092</v>
      </c>
      <c r="W531" s="180">
        <v>46101</v>
      </c>
      <c r="X531" s="180">
        <v>46105</v>
      </c>
      <c r="Y531" s="16">
        <v>46113</v>
      </c>
      <c r="Z531" s="53">
        <v>46118</v>
      </c>
      <c r="AA531" s="33">
        <v>4</v>
      </c>
      <c r="AB531" s="144" t="s">
        <v>1631</v>
      </c>
      <c r="AC531" s="45" t="s">
        <v>1632</v>
      </c>
      <c r="AD531" s="19">
        <f t="shared" si="60"/>
        <v>1</v>
      </c>
      <c r="AE531" s="67">
        <f>IFERROR(NETWORKDAYS(B531,I531,Hoja1!$A$1:$A$29),"N/A")</f>
        <v>5</v>
      </c>
      <c r="AF531" s="21">
        <f>IFERROR(NETWORKDAYS(B531,W531,Hoja1!$A$1:$A$29),"N/A")</f>
        <v>20</v>
      </c>
      <c r="AG531" s="78">
        <v>5</v>
      </c>
      <c r="AH531" s="21">
        <f t="shared" si="58"/>
        <v>15</v>
      </c>
      <c r="AI531" s="21">
        <f>IFERROR(NETWORKDAYS(X531,Y531,Hoja1!$A$1:$A$29),"N/A")</f>
        <v>7</v>
      </c>
      <c r="AJ531" s="78">
        <v>2</v>
      </c>
      <c r="AK531" s="75">
        <f t="shared" si="59"/>
        <v>5</v>
      </c>
      <c r="AL531" s="21">
        <f>IFERROR(NETWORKDAYS(B531,Y531,Hoja1!$A$1:$A$29),"N/A")</f>
        <v>27</v>
      </c>
      <c r="AM531" s="21">
        <f t="shared" si="61"/>
        <v>20</v>
      </c>
      <c r="AN531" s="201" t="s">
        <v>460</v>
      </c>
      <c r="AO531" s="114"/>
      <c r="AP531" s="114"/>
      <c r="AQ531" s="114"/>
      <c r="AR531" s="114"/>
      <c r="AS531" s="114" t="s">
        <v>1888</v>
      </c>
      <c r="AT531" s="114" t="s">
        <v>2184</v>
      </c>
      <c r="AU531" s="114" t="s">
        <v>2222</v>
      </c>
      <c r="AV531" s="322" t="s">
        <v>2547</v>
      </c>
      <c r="AW531" s="403" t="s">
        <v>3115</v>
      </c>
      <c r="AY531" s="414"/>
    </row>
    <row r="532" spans="1:51" ht="15" customHeight="1" x14ac:dyDescent="0.25">
      <c r="A532" s="294">
        <v>16076</v>
      </c>
      <c r="B532" s="28">
        <v>46070</v>
      </c>
      <c r="C532" s="28">
        <v>46086</v>
      </c>
      <c r="D532" s="3">
        <v>1</v>
      </c>
      <c r="E532" s="111" t="s">
        <v>54</v>
      </c>
      <c r="F532" s="33" t="s">
        <v>55</v>
      </c>
      <c r="G532" s="33">
        <v>10</v>
      </c>
      <c r="H532" s="21" t="s">
        <v>56</v>
      </c>
      <c r="I532" s="28">
        <v>46112</v>
      </c>
      <c r="J532" s="28">
        <v>46118</v>
      </c>
      <c r="K532" s="33">
        <v>10</v>
      </c>
      <c r="L532" s="33" t="s">
        <v>55</v>
      </c>
      <c r="M532" s="33" t="s">
        <v>55</v>
      </c>
      <c r="N532" s="33" t="s">
        <v>55</v>
      </c>
      <c r="O532" s="33" t="s">
        <v>55</v>
      </c>
      <c r="P532" s="33" t="s">
        <v>55</v>
      </c>
      <c r="Q532" s="33" t="s">
        <v>55</v>
      </c>
      <c r="R532" s="21" t="s">
        <v>55</v>
      </c>
      <c r="S532" s="33">
        <v>2</v>
      </c>
      <c r="T532" s="33">
        <v>2</v>
      </c>
      <c r="U532" s="33">
        <v>0</v>
      </c>
      <c r="V532" s="28">
        <v>46126</v>
      </c>
      <c r="W532" s="16">
        <v>46126</v>
      </c>
      <c r="X532" s="16">
        <v>46127</v>
      </c>
      <c r="Y532" s="53">
        <v>46133</v>
      </c>
      <c r="Z532" s="53">
        <v>46139</v>
      </c>
      <c r="AA532" s="33">
        <v>4</v>
      </c>
      <c r="AB532" s="144" t="s">
        <v>1634</v>
      </c>
      <c r="AC532" s="202" t="s">
        <v>1635</v>
      </c>
      <c r="AD532" s="19">
        <f t="shared" si="60"/>
        <v>1</v>
      </c>
      <c r="AE532" s="67">
        <f>IFERROR(NETWORKDAYS(B532,I532,Hoja1!$A$1:$A$29),"N/A")</f>
        <v>30</v>
      </c>
      <c r="AF532" s="21">
        <f>IFERROR(NETWORKDAYS(B532,W532,Hoja1!$A$1:$A$29),"N/A")</f>
        <v>38</v>
      </c>
      <c r="AG532" s="78">
        <v>6</v>
      </c>
      <c r="AH532" s="21">
        <f t="shared" si="58"/>
        <v>32</v>
      </c>
      <c r="AI532" s="21">
        <f>IFERROR(NETWORKDAYS(X532,Y532,Hoja1!$A$1:$A$29),"N/A")</f>
        <v>5</v>
      </c>
      <c r="AJ532" s="78">
        <v>0</v>
      </c>
      <c r="AK532" s="75">
        <f t="shared" si="59"/>
        <v>5</v>
      </c>
      <c r="AL532" s="21">
        <f>IFERROR(NETWORKDAYS(B532,Y532,Hoja1!$A$1:$A$29),"N/A")</f>
        <v>43</v>
      </c>
      <c r="AM532" s="21">
        <f t="shared" si="61"/>
        <v>37</v>
      </c>
      <c r="AN532" s="111" t="s">
        <v>1376</v>
      </c>
      <c r="AO532" s="114"/>
      <c r="AP532" s="114"/>
      <c r="AQ532" s="114"/>
      <c r="AR532" s="114"/>
      <c r="AS532" s="114" t="s">
        <v>1911</v>
      </c>
      <c r="AT532" s="114" t="s">
        <v>2095</v>
      </c>
      <c r="AU532" s="114" t="s">
        <v>2210</v>
      </c>
      <c r="AV532" s="322" t="s">
        <v>2548</v>
      </c>
      <c r="AW532" s="403" t="s">
        <v>3116</v>
      </c>
      <c r="AY532" s="415"/>
    </row>
    <row r="533" spans="1:51" ht="15" customHeight="1" x14ac:dyDescent="0.25">
      <c r="A533" s="294">
        <v>16078</v>
      </c>
      <c r="B533" s="53">
        <v>46086</v>
      </c>
      <c r="C533" s="53">
        <v>46086</v>
      </c>
      <c r="D533" s="2">
        <v>1</v>
      </c>
      <c r="E533" s="111" t="s">
        <v>54</v>
      </c>
      <c r="F533" s="21" t="s">
        <v>55</v>
      </c>
      <c r="G533" s="21">
        <v>0</v>
      </c>
      <c r="H533" s="21"/>
      <c r="I533" s="21" t="s">
        <v>55</v>
      </c>
      <c r="J533" s="21" t="s">
        <v>55</v>
      </c>
      <c r="K533" s="21">
        <v>0</v>
      </c>
      <c r="L533" s="21" t="s">
        <v>55</v>
      </c>
      <c r="M533" s="21" t="s">
        <v>55</v>
      </c>
      <c r="N533" s="21" t="s">
        <v>55</v>
      </c>
      <c r="O533" s="21" t="s">
        <v>55</v>
      </c>
      <c r="P533" s="21" t="s">
        <v>55</v>
      </c>
      <c r="Q533" s="21" t="s">
        <v>55</v>
      </c>
      <c r="R533" s="21" t="s">
        <v>55</v>
      </c>
      <c r="S533" s="21">
        <v>4</v>
      </c>
      <c r="T533" s="21">
        <v>4</v>
      </c>
      <c r="U533" s="21">
        <v>0</v>
      </c>
      <c r="V533" s="53">
        <v>46106</v>
      </c>
      <c r="W533" s="53">
        <v>46106</v>
      </c>
      <c r="X533" s="53">
        <v>46106</v>
      </c>
      <c r="Y533" s="28">
        <v>46112</v>
      </c>
      <c r="Z533" s="53">
        <v>46118</v>
      </c>
      <c r="AA533" s="21">
        <v>4</v>
      </c>
      <c r="AB533" s="152" t="s">
        <v>1637</v>
      </c>
      <c r="AC533" s="111" t="s">
        <v>1638</v>
      </c>
      <c r="AD533" s="19" t="str">
        <f t="shared" si="60"/>
        <v>N/A</v>
      </c>
      <c r="AE533" s="67" t="str">
        <f>IFERROR(NETWORKDAYS(B533,I533,Hoja1!$A$1:$A$29),"N/A")</f>
        <v>N/A</v>
      </c>
      <c r="AF533" s="21">
        <f>IFERROR(NETWORKDAYS(B533,W533,Hoja1!$A$1:$A$29),"N/A")</f>
        <v>14</v>
      </c>
      <c r="AG533" s="78">
        <v>4</v>
      </c>
      <c r="AH533" s="21">
        <f t="shared" si="58"/>
        <v>10</v>
      </c>
      <c r="AI533" s="21">
        <f>IFERROR(NETWORKDAYS(X533,Y533,Hoja1!$A$1:$A$29),"N/A")</f>
        <v>5</v>
      </c>
      <c r="AJ533" s="78">
        <v>0</v>
      </c>
      <c r="AK533" s="75">
        <f t="shared" si="59"/>
        <v>5</v>
      </c>
      <c r="AL533" s="21">
        <f>IFERROR(NETWORKDAYS(B533,Y533,Hoja1!$A$1:$A$29),"N/A")</f>
        <v>18</v>
      </c>
      <c r="AM533" s="21">
        <f t="shared" si="61"/>
        <v>14</v>
      </c>
      <c r="AN533" s="111"/>
      <c r="AO533" s="111"/>
      <c r="AP533" s="111"/>
      <c r="AQ533" s="111"/>
      <c r="AR533" s="111"/>
      <c r="AS533" s="111" t="s">
        <v>1960</v>
      </c>
      <c r="AT533" s="111" t="s">
        <v>2072</v>
      </c>
      <c r="AU533" s="111" t="s">
        <v>2217</v>
      </c>
      <c r="AV533" s="321" t="s">
        <v>2549</v>
      </c>
      <c r="AW533" s="403" t="s">
        <v>3117</v>
      </c>
      <c r="AY533" s="414"/>
    </row>
    <row r="534" spans="1:51" ht="15" customHeight="1" x14ac:dyDescent="0.25">
      <c r="A534" s="294">
        <v>16081</v>
      </c>
      <c r="B534" s="53">
        <v>46087</v>
      </c>
      <c r="C534" s="53">
        <v>46087</v>
      </c>
      <c r="D534" s="2">
        <v>1</v>
      </c>
      <c r="E534" s="111" t="s">
        <v>54</v>
      </c>
      <c r="F534" s="33" t="s">
        <v>55</v>
      </c>
      <c r="G534" s="33">
        <v>0</v>
      </c>
      <c r="H534" s="21"/>
      <c r="I534" s="33" t="s">
        <v>55</v>
      </c>
      <c r="J534" s="33" t="s">
        <v>55</v>
      </c>
      <c r="K534" s="33">
        <v>0</v>
      </c>
      <c r="L534" s="33" t="s">
        <v>55</v>
      </c>
      <c r="M534" s="33" t="s">
        <v>55</v>
      </c>
      <c r="N534" s="33" t="s">
        <v>55</v>
      </c>
      <c r="O534" s="33" t="s">
        <v>55</v>
      </c>
      <c r="P534" s="33" t="s">
        <v>55</v>
      </c>
      <c r="Q534" s="33" t="s">
        <v>55</v>
      </c>
      <c r="R534" s="33" t="s">
        <v>55</v>
      </c>
      <c r="S534" s="33">
        <v>1</v>
      </c>
      <c r="T534" s="33">
        <v>1</v>
      </c>
      <c r="U534" s="33">
        <v>0</v>
      </c>
      <c r="V534" s="38">
        <v>46098</v>
      </c>
      <c r="W534" s="28">
        <v>46100</v>
      </c>
      <c r="X534" s="28">
        <v>46108</v>
      </c>
      <c r="Y534" s="180">
        <v>46126</v>
      </c>
      <c r="Z534" s="180">
        <v>46127</v>
      </c>
      <c r="AA534" s="33">
        <v>4</v>
      </c>
      <c r="AB534" s="144" t="s">
        <v>1640</v>
      </c>
      <c r="AC534" s="46" t="s">
        <v>1641</v>
      </c>
      <c r="AD534" s="19" t="str">
        <f t="shared" si="60"/>
        <v>N/A</v>
      </c>
      <c r="AE534" s="67" t="str">
        <f>IFERROR(NETWORKDAYS(B534,I534,Hoja1!$A$1:$A$29),"N/A")</f>
        <v>N/A</v>
      </c>
      <c r="AF534" s="21">
        <f>IFERROR(NETWORKDAYS(B534,W534,Hoja1!$A$1:$A$29),"N/A")</f>
        <v>10</v>
      </c>
      <c r="AG534" s="78">
        <v>3</v>
      </c>
      <c r="AH534" s="21">
        <f t="shared" si="58"/>
        <v>7</v>
      </c>
      <c r="AI534" s="21">
        <f>IFERROR(NETWORKDAYS(X534,Y534,Hoja1!$A$1:$A$29),"N/A")</f>
        <v>11</v>
      </c>
      <c r="AJ534" s="78">
        <v>6</v>
      </c>
      <c r="AK534" s="75">
        <f t="shared" si="59"/>
        <v>5</v>
      </c>
      <c r="AL534" s="21">
        <f>IFERROR(NETWORKDAYS(B534,Y534,Hoja1!$A$1:$A$29),"N/A")</f>
        <v>25</v>
      </c>
      <c r="AM534" s="21">
        <f t="shared" si="61"/>
        <v>16</v>
      </c>
      <c r="AN534" s="87"/>
      <c r="AO534" s="87"/>
      <c r="AP534" s="87"/>
      <c r="AQ534" s="87"/>
      <c r="AR534" s="87"/>
      <c r="AS534" s="87" t="s">
        <v>1886</v>
      </c>
      <c r="AT534" s="87" t="s">
        <v>2185</v>
      </c>
      <c r="AU534" s="87" t="s">
        <v>2210</v>
      </c>
      <c r="AV534" s="320" t="s">
        <v>2550</v>
      </c>
      <c r="AW534" s="403" t="s">
        <v>3118</v>
      </c>
      <c r="AY534" s="415"/>
    </row>
    <row r="535" spans="1:51" ht="15" customHeight="1" x14ac:dyDescent="0.25">
      <c r="A535" s="294">
        <v>16082</v>
      </c>
      <c r="B535" s="28">
        <v>46087</v>
      </c>
      <c r="C535" s="28">
        <v>46087</v>
      </c>
      <c r="D535" s="3">
        <v>1</v>
      </c>
      <c r="E535" s="111" t="s">
        <v>54</v>
      </c>
      <c r="F535" s="33" t="s">
        <v>55</v>
      </c>
      <c r="G535" s="33">
        <v>11</v>
      </c>
      <c r="H535" s="21" t="s">
        <v>56</v>
      </c>
      <c r="I535" s="28">
        <v>46100</v>
      </c>
      <c r="J535" s="28">
        <v>46100</v>
      </c>
      <c r="K535" s="33">
        <v>11</v>
      </c>
      <c r="L535" s="33" t="s">
        <v>55</v>
      </c>
      <c r="M535" s="33" t="s">
        <v>55</v>
      </c>
      <c r="N535" s="33" t="s">
        <v>55</v>
      </c>
      <c r="O535" s="33" t="s">
        <v>55</v>
      </c>
      <c r="P535" s="33" t="s">
        <v>55</v>
      </c>
      <c r="Q535" s="33" t="s">
        <v>55</v>
      </c>
      <c r="R535" s="21" t="s">
        <v>55</v>
      </c>
      <c r="S535" s="33">
        <v>1</v>
      </c>
      <c r="T535" s="33">
        <v>1</v>
      </c>
      <c r="U535" s="33">
        <v>0</v>
      </c>
      <c r="V535" s="53">
        <v>46107</v>
      </c>
      <c r="W535" s="53">
        <v>46107</v>
      </c>
      <c r="X535" s="53">
        <v>46107</v>
      </c>
      <c r="Y535" s="28">
        <v>46127</v>
      </c>
      <c r="Z535" s="180">
        <v>46127</v>
      </c>
      <c r="AA535" s="21">
        <v>4</v>
      </c>
      <c r="AB535" s="87" t="s">
        <v>1643</v>
      </c>
      <c r="AC535" s="48" t="s">
        <v>1644</v>
      </c>
      <c r="AD535" s="19">
        <f t="shared" si="60"/>
        <v>1</v>
      </c>
      <c r="AE535" s="67">
        <f>IFERROR(NETWORKDAYS(B535,I535,Hoja1!$A$1:$A$29),"N/A")</f>
        <v>10</v>
      </c>
      <c r="AF535" s="21">
        <f>IFERROR(NETWORKDAYS(B535,W535,Hoja1!$A$1:$A$29),"N/A")</f>
        <v>14</v>
      </c>
      <c r="AG535" s="78">
        <v>0</v>
      </c>
      <c r="AH535" s="21">
        <f t="shared" si="58"/>
        <v>14</v>
      </c>
      <c r="AI535" s="21">
        <f>IFERROR(NETWORKDAYS(X535,Y535,Hoja1!$A$1:$A$29),"N/A")</f>
        <v>13</v>
      </c>
      <c r="AJ535" s="78">
        <v>0</v>
      </c>
      <c r="AK535" s="75">
        <f t="shared" si="59"/>
        <v>13</v>
      </c>
      <c r="AL535" s="21">
        <f>IFERROR(NETWORKDAYS(B535,Y535,Hoja1!$A$1:$A$29),"N/A")</f>
        <v>26</v>
      </c>
      <c r="AM535" s="21">
        <f t="shared" si="61"/>
        <v>26</v>
      </c>
      <c r="AN535" s="87"/>
      <c r="AO535" s="87"/>
      <c r="AP535" s="87"/>
      <c r="AQ535" s="87"/>
      <c r="AR535" s="87"/>
      <c r="AS535" s="87" t="s">
        <v>1953</v>
      </c>
      <c r="AT535" s="87" t="s">
        <v>2095</v>
      </c>
      <c r="AU535" s="87" t="s">
        <v>2209</v>
      </c>
      <c r="AV535" s="320" t="s">
        <v>2551</v>
      </c>
      <c r="AW535" s="403" t="s">
        <v>3119</v>
      </c>
      <c r="AY535" s="414"/>
    </row>
    <row r="536" spans="1:51" ht="15" customHeight="1" x14ac:dyDescent="0.25">
      <c r="A536" s="294">
        <v>16083</v>
      </c>
      <c r="B536" s="28">
        <v>46087</v>
      </c>
      <c r="C536" s="28">
        <v>46087</v>
      </c>
      <c r="D536" s="3">
        <v>1</v>
      </c>
      <c r="E536" s="111" t="s">
        <v>54</v>
      </c>
      <c r="F536" s="33" t="s">
        <v>55</v>
      </c>
      <c r="G536" s="33">
        <v>9</v>
      </c>
      <c r="H536" s="21" t="s">
        <v>112</v>
      </c>
      <c r="I536" s="28">
        <v>46090</v>
      </c>
      <c r="J536" s="28">
        <v>46090</v>
      </c>
      <c r="K536" s="33">
        <v>9</v>
      </c>
      <c r="L536" s="33" t="s">
        <v>55</v>
      </c>
      <c r="M536" s="33" t="s">
        <v>55</v>
      </c>
      <c r="N536" s="33" t="s">
        <v>55</v>
      </c>
      <c r="O536" s="33" t="s">
        <v>55</v>
      </c>
      <c r="P536" s="33" t="s">
        <v>55</v>
      </c>
      <c r="Q536" s="33" t="s">
        <v>55</v>
      </c>
      <c r="R536" s="21" t="s">
        <v>55</v>
      </c>
      <c r="S536" s="33">
        <v>3</v>
      </c>
      <c r="T536" s="33">
        <v>3</v>
      </c>
      <c r="U536" s="33">
        <v>0</v>
      </c>
      <c r="V536" s="53">
        <v>46094</v>
      </c>
      <c r="W536" s="28">
        <v>46097</v>
      </c>
      <c r="X536" s="28">
        <v>46097</v>
      </c>
      <c r="Y536" s="28">
        <v>46118</v>
      </c>
      <c r="Z536" s="53">
        <v>46118</v>
      </c>
      <c r="AA536" s="21">
        <v>4</v>
      </c>
      <c r="AB536" s="87" t="s">
        <v>1648</v>
      </c>
      <c r="AC536" s="48" t="s">
        <v>1649</v>
      </c>
      <c r="AD536" s="19">
        <f t="shared" si="60"/>
        <v>1</v>
      </c>
      <c r="AE536" s="67">
        <f>IFERROR(NETWORKDAYS(B536,I536,Hoja1!$A$1:$A$29),"N/A")</f>
        <v>2</v>
      </c>
      <c r="AF536" s="21">
        <f>IFERROR(NETWORKDAYS(B536,W536,Hoja1!$A$1:$A$29),"N/A")</f>
        <v>7</v>
      </c>
      <c r="AG536" s="78">
        <v>0</v>
      </c>
      <c r="AH536" s="21">
        <f t="shared" si="58"/>
        <v>7</v>
      </c>
      <c r="AI536" s="21">
        <f>IFERROR(NETWORKDAYS(X536,Y536,Hoja1!$A$1:$A$29),"N/A")</f>
        <v>13</v>
      </c>
      <c r="AJ536" s="78">
        <v>0</v>
      </c>
      <c r="AK536" s="75">
        <f t="shared" si="59"/>
        <v>13</v>
      </c>
      <c r="AL536" s="21">
        <f>IFERROR(NETWORKDAYS(B536,Y536,Hoja1!$A$1:$A$29),"N/A")</f>
        <v>19</v>
      </c>
      <c r="AM536" s="21">
        <f t="shared" si="61"/>
        <v>19</v>
      </c>
      <c r="AN536" s="87"/>
      <c r="AO536" s="87"/>
      <c r="AP536" s="87"/>
      <c r="AQ536" s="87"/>
      <c r="AR536" s="87"/>
      <c r="AS536" s="87" t="s">
        <v>1983</v>
      </c>
      <c r="AT536" s="87" t="s">
        <v>2186</v>
      </c>
      <c r="AU536" s="87" t="s">
        <v>2209</v>
      </c>
      <c r="AV536" s="320" t="s">
        <v>2552</v>
      </c>
      <c r="AW536" s="403" t="s">
        <v>3120</v>
      </c>
      <c r="AY536" s="415"/>
    </row>
    <row r="537" spans="1:51" ht="15" customHeight="1" x14ac:dyDescent="0.25">
      <c r="A537" s="301">
        <v>16085</v>
      </c>
      <c r="B537" s="116">
        <v>46120</v>
      </c>
      <c r="C537" s="116">
        <v>46087</v>
      </c>
      <c r="D537" s="33">
        <v>1</v>
      </c>
      <c r="E537" s="111" t="s">
        <v>54</v>
      </c>
      <c r="F537" s="33" t="s">
        <v>55</v>
      </c>
      <c r="G537" s="33">
        <v>0</v>
      </c>
      <c r="H537" s="33"/>
      <c r="I537" s="33" t="s">
        <v>55</v>
      </c>
      <c r="J537" s="33" t="s">
        <v>55</v>
      </c>
      <c r="K537" s="33">
        <v>0</v>
      </c>
      <c r="L537" s="33" t="s">
        <v>55</v>
      </c>
      <c r="M537" s="33" t="s">
        <v>55</v>
      </c>
      <c r="N537" s="33" t="s">
        <v>55</v>
      </c>
      <c r="O537" s="33" t="s">
        <v>55</v>
      </c>
      <c r="P537" s="33" t="s">
        <v>55</v>
      </c>
      <c r="Q537" s="33" t="s">
        <v>55</v>
      </c>
      <c r="R537" s="33" t="s">
        <v>55</v>
      </c>
      <c r="S537" s="33">
        <v>2</v>
      </c>
      <c r="T537" s="33">
        <v>2</v>
      </c>
      <c r="U537" s="33">
        <v>0</v>
      </c>
      <c r="V537" s="28">
        <v>46126</v>
      </c>
      <c r="W537" s="28">
        <v>46126</v>
      </c>
      <c r="X537" s="28">
        <v>46126</v>
      </c>
      <c r="Y537" s="53">
        <v>46133</v>
      </c>
      <c r="Z537" s="53">
        <v>46139</v>
      </c>
      <c r="AA537" s="33">
        <f>MONTH(Z537)</f>
        <v>4</v>
      </c>
      <c r="AB537" s="240" t="s">
        <v>1651</v>
      </c>
      <c r="AC537" s="35" t="s">
        <v>1652</v>
      </c>
      <c r="AD537" s="19" t="str">
        <f t="shared" si="60"/>
        <v>N/A</v>
      </c>
      <c r="AE537" s="67" t="str">
        <f>IFERROR(NETWORKDAYS(B537,I537,Hoja1!$A$1:$A$29),"N/A")</f>
        <v>N/A</v>
      </c>
      <c r="AF537" s="21">
        <f>IFERROR(NETWORKDAYS(B537,W537,Hoja1!$A$1:$A$29),"N/A")</f>
        <v>5</v>
      </c>
      <c r="AG537" s="78">
        <v>0</v>
      </c>
      <c r="AH537" s="21">
        <f t="shared" si="58"/>
        <v>5</v>
      </c>
      <c r="AI537" s="21">
        <f>IFERROR(NETWORKDAYS(X537,Y537,Hoja1!$A$1:$A$29),"N/A")</f>
        <v>6</v>
      </c>
      <c r="AJ537" s="78">
        <v>1</v>
      </c>
      <c r="AK537" s="75">
        <f t="shared" si="59"/>
        <v>5</v>
      </c>
      <c r="AL537" s="21">
        <f>IFERROR(NETWORKDAYS(B537,Y537,Hoja1!$A$1:$A$29),"N/A")</f>
        <v>10</v>
      </c>
      <c r="AM537" s="21">
        <f t="shared" si="61"/>
        <v>9</v>
      </c>
      <c r="AN537" s="87" t="s">
        <v>1376</v>
      </c>
      <c r="AO537" s="87"/>
      <c r="AP537" s="87"/>
      <c r="AQ537" s="87"/>
      <c r="AR537" s="87"/>
      <c r="AS537" s="87" t="s">
        <v>1915</v>
      </c>
      <c r="AT537" s="87" t="s">
        <v>2056</v>
      </c>
      <c r="AU537" s="87" t="s">
        <v>2221</v>
      </c>
      <c r="AV537" s="320" t="s">
        <v>2553</v>
      </c>
      <c r="AW537" s="403" t="s">
        <v>3121</v>
      </c>
      <c r="AY537" s="414"/>
    </row>
    <row r="538" spans="1:51" ht="15" customHeight="1" x14ac:dyDescent="0.25">
      <c r="A538" s="294">
        <v>16086</v>
      </c>
      <c r="B538" s="53">
        <v>46088</v>
      </c>
      <c r="C538" s="53">
        <v>46088</v>
      </c>
      <c r="D538" s="2">
        <v>1</v>
      </c>
      <c r="E538" s="111" t="s">
        <v>54</v>
      </c>
      <c r="F538" s="21" t="s">
        <v>55</v>
      </c>
      <c r="G538" s="21">
        <v>3</v>
      </c>
      <c r="H538" s="21" t="s">
        <v>112</v>
      </c>
      <c r="I538" s="53">
        <v>46093</v>
      </c>
      <c r="J538" s="53">
        <v>46099</v>
      </c>
      <c r="K538" s="21">
        <v>3</v>
      </c>
      <c r="L538" s="21" t="s">
        <v>55</v>
      </c>
      <c r="M538" s="21" t="s">
        <v>55</v>
      </c>
      <c r="N538" s="21" t="s">
        <v>55</v>
      </c>
      <c r="O538" s="21" t="s">
        <v>55</v>
      </c>
      <c r="P538" s="21" t="s">
        <v>55</v>
      </c>
      <c r="Q538" s="21" t="s">
        <v>55</v>
      </c>
      <c r="R538" s="21" t="s">
        <v>55</v>
      </c>
      <c r="S538" s="21">
        <v>3</v>
      </c>
      <c r="T538" s="21">
        <v>1</v>
      </c>
      <c r="U538" s="21">
        <v>0</v>
      </c>
      <c r="V538" s="53">
        <v>46099</v>
      </c>
      <c r="W538" s="53">
        <v>46105</v>
      </c>
      <c r="X538" s="53">
        <v>46113</v>
      </c>
      <c r="Y538" s="180">
        <v>46126</v>
      </c>
      <c r="Z538" s="180">
        <v>46127</v>
      </c>
      <c r="AA538" s="21">
        <v>4</v>
      </c>
      <c r="AB538" s="159" t="s">
        <v>1654</v>
      </c>
      <c r="AC538" s="111" t="s">
        <v>1655</v>
      </c>
      <c r="AD538" s="19">
        <f t="shared" si="60"/>
        <v>1</v>
      </c>
      <c r="AE538" s="67">
        <f>IFERROR(NETWORKDAYS(B538,I538,Hoja1!$A$1:$A$29),"N/A")</f>
        <v>4</v>
      </c>
      <c r="AF538" s="21">
        <f>IFERROR(NETWORKDAYS(B538,W538,Hoja1!$A$1:$A$29),"N/A")</f>
        <v>11</v>
      </c>
      <c r="AG538" s="78">
        <v>0</v>
      </c>
      <c r="AH538" s="21">
        <f t="shared" si="58"/>
        <v>11</v>
      </c>
      <c r="AI538" s="21">
        <f>IFERROR(NETWORKDAYS(X538,Y538,Hoja1!$A$1:$A$29),"N/A")</f>
        <v>8</v>
      </c>
      <c r="AJ538" s="78">
        <v>0</v>
      </c>
      <c r="AK538" s="75">
        <f t="shared" si="59"/>
        <v>8</v>
      </c>
      <c r="AL538" s="21">
        <f>IFERROR(NETWORKDAYS(B538,Y538,Hoja1!$A$1:$A$29),"N/A")</f>
        <v>24</v>
      </c>
      <c r="AM538" s="21">
        <f t="shared" si="61"/>
        <v>24</v>
      </c>
      <c r="AN538" s="87"/>
      <c r="AO538" s="87"/>
      <c r="AP538" s="87"/>
      <c r="AQ538" s="87"/>
      <c r="AR538" s="87"/>
      <c r="AS538" s="87" t="s">
        <v>1890</v>
      </c>
      <c r="AT538" s="87" t="s">
        <v>1994</v>
      </c>
      <c r="AU538" s="87" t="s">
        <v>2219</v>
      </c>
      <c r="AV538" s="320" t="s">
        <v>2232</v>
      </c>
      <c r="AW538" s="403" t="s">
        <v>3122</v>
      </c>
      <c r="AY538" s="415"/>
    </row>
    <row r="539" spans="1:51" ht="15" customHeight="1" x14ac:dyDescent="0.25">
      <c r="A539" s="294">
        <v>16087</v>
      </c>
      <c r="B539" s="53">
        <v>46088</v>
      </c>
      <c r="C539" s="53">
        <v>46088</v>
      </c>
      <c r="D539" s="2">
        <v>1</v>
      </c>
      <c r="E539" s="111" t="s">
        <v>54</v>
      </c>
      <c r="F539" s="21" t="s">
        <v>55</v>
      </c>
      <c r="G539" s="21">
        <v>3</v>
      </c>
      <c r="H539" s="21" t="s">
        <v>112</v>
      </c>
      <c r="I539" s="53">
        <v>46093</v>
      </c>
      <c r="J539" s="53">
        <v>46099</v>
      </c>
      <c r="K539" s="21">
        <v>3</v>
      </c>
      <c r="L539" s="21" t="s">
        <v>55</v>
      </c>
      <c r="M539" s="21" t="s">
        <v>55</v>
      </c>
      <c r="N539" s="21" t="s">
        <v>55</v>
      </c>
      <c r="O539" s="21" t="s">
        <v>55</v>
      </c>
      <c r="P539" s="21" t="s">
        <v>55</v>
      </c>
      <c r="Q539" s="21" t="s">
        <v>55</v>
      </c>
      <c r="R539" s="21" t="s">
        <v>55</v>
      </c>
      <c r="S539" s="21">
        <v>3</v>
      </c>
      <c r="T539" s="21">
        <v>1</v>
      </c>
      <c r="U539" s="21">
        <v>0</v>
      </c>
      <c r="V539" s="53">
        <v>46099</v>
      </c>
      <c r="W539" s="53">
        <v>46105</v>
      </c>
      <c r="X539" s="53">
        <v>46113</v>
      </c>
      <c r="Y539" s="180">
        <v>46126</v>
      </c>
      <c r="Z539" s="180">
        <v>46127</v>
      </c>
      <c r="AA539" s="21">
        <v>4</v>
      </c>
      <c r="AB539" s="159" t="s">
        <v>1656</v>
      </c>
      <c r="AC539" s="111" t="s">
        <v>1657</v>
      </c>
      <c r="AD539" s="19">
        <f t="shared" si="60"/>
        <v>1</v>
      </c>
      <c r="AE539" s="67">
        <f>IFERROR(NETWORKDAYS(B539,I539,Hoja1!$A$1:$A$29),"N/A")</f>
        <v>4</v>
      </c>
      <c r="AF539" s="21">
        <f>IFERROR(NETWORKDAYS(B539,W539,Hoja1!$A$1:$A$29),"N/A")</f>
        <v>11</v>
      </c>
      <c r="AG539" s="78">
        <v>0</v>
      </c>
      <c r="AH539" s="21">
        <f t="shared" si="58"/>
        <v>11</v>
      </c>
      <c r="AI539" s="21">
        <f>IFERROR(NETWORKDAYS(X539,Y539,Hoja1!$A$1:$A$29),"N/A")</f>
        <v>8</v>
      </c>
      <c r="AJ539" s="78">
        <v>0</v>
      </c>
      <c r="AK539" s="75">
        <f t="shared" si="59"/>
        <v>8</v>
      </c>
      <c r="AL539" s="21">
        <f>IFERROR(NETWORKDAYS(B539,Y539,Hoja1!$A$1:$A$29),"N/A")</f>
        <v>24</v>
      </c>
      <c r="AM539" s="21">
        <f t="shared" si="61"/>
        <v>24</v>
      </c>
      <c r="AN539" s="87"/>
      <c r="AO539" s="87"/>
      <c r="AP539" s="87"/>
      <c r="AQ539" s="87"/>
      <c r="AR539" s="87"/>
      <c r="AS539" s="87" t="s">
        <v>1890</v>
      </c>
      <c r="AT539" s="87" t="s">
        <v>1994</v>
      </c>
      <c r="AU539" s="87" t="s">
        <v>2219</v>
      </c>
      <c r="AV539" s="320" t="s">
        <v>2232</v>
      </c>
      <c r="AW539" s="403" t="s">
        <v>3122</v>
      </c>
      <c r="AY539" s="414"/>
    </row>
    <row r="540" spans="1:51" ht="15" customHeight="1" x14ac:dyDescent="0.25">
      <c r="A540" s="298">
        <v>16088</v>
      </c>
      <c r="B540" s="16">
        <v>46090</v>
      </c>
      <c r="C540" s="16">
        <v>46090</v>
      </c>
      <c r="D540" s="1">
        <v>1</v>
      </c>
      <c r="E540" s="111" t="s">
        <v>54</v>
      </c>
      <c r="F540" s="33" t="s">
        <v>55</v>
      </c>
      <c r="G540" s="33">
        <v>3</v>
      </c>
      <c r="H540" s="21" t="s">
        <v>112</v>
      </c>
      <c r="I540" s="16">
        <v>46112</v>
      </c>
      <c r="J540" s="16">
        <v>46112</v>
      </c>
      <c r="K540" s="33">
        <v>3</v>
      </c>
      <c r="L540" s="33" t="s">
        <v>55</v>
      </c>
      <c r="M540" s="33" t="s">
        <v>55</v>
      </c>
      <c r="N540" s="33" t="s">
        <v>55</v>
      </c>
      <c r="O540" s="33" t="s">
        <v>55</v>
      </c>
      <c r="P540" s="33" t="s">
        <v>55</v>
      </c>
      <c r="Q540" s="33" t="s">
        <v>55</v>
      </c>
      <c r="R540" s="21" t="s">
        <v>55</v>
      </c>
      <c r="S540" s="33">
        <v>1</v>
      </c>
      <c r="T540" s="33">
        <v>1</v>
      </c>
      <c r="U540" s="33">
        <v>0</v>
      </c>
      <c r="V540" s="53">
        <v>46127</v>
      </c>
      <c r="W540" s="53">
        <v>46127</v>
      </c>
      <c r="X540" s="53">
        <v>46127</v>
      </c>
      <c r="Y540" s="16">
        <v>46134</v>
      </c>
      <c r="Z540" s="53">
        <v>46139</v>
      </c>
      <c r="AA540" s="33">
        <f>MONTH(Z540)</f>
        <v>4</v>
      </c>
      <c r="AB540" s="183" t="s">
        <v>1658</v>
      </c>
      <c r="AC540" s="49" t="s">
        <v>1659</v>
      </c>
      <c r="AD540" s="19">
        <f t="shared" si="60"/>
        <v>1</v>
      </c>
      <c r="AE540" s="67">
        <f>IFERROR(NETWORKDAYS(B540,I540,Hoja1!$A$1:$A$29),"N/A")</f>
        <v>16</v>
      </c>
      <c r="AF540" s="21">
        <f>IFERROR(NETWORKDAYS(B540,W540,Hoja1!$A$1:$A$29),"N/A")</f>
        <v>25</v>
      </c>
      <c r="AG540" s="78">
        <v>6</v>
      </c>
      <c r="AH540" s="21">
        <f t="shared" si="58"/>
        <v>19</v>
      </c>
      <c r="AI540" s="21">
        <f>IFERROR(NETWORKDAYS(X540,Y540,Hoja1!$A$1:$A$29),"N/A")</f>
        <v>6</v>
      </c>
      <c r="AJ540" s="78">
        <v>1</v>
      </c>
      <c r="AK540" s="75">
        <f t="shared" si="59"/>
        <v>5</v>
      </c>
      <c r="AL540" s="21">
        <f>IFERROR(NETWORKDAYS(B540,Y540,Hoja1!$A$1:$A$29),"N/A")</f>
        <v>30</v>
      </c>
      <c r="AM540" s="21">
        <f t="shared" si="61"/>
        <v>23</v>
      </c>
      <c r="AN540" s="87"/>
      <c r="AO540" s="87"/>
      <c r="AP540" s="87"/>
      <c r="AQ540" s="87"/>
      <c r="AR540" s="87"/>
      <c r="AS540" s="87" t="s">
        <v>1911</v>
      </c>
      <c r="AT540" s="87" t="s">
        <v>2095</v>
      </c>
      <c r="AU540" s="87" t="s">
        <v>2210</v>
      </c>
      <c r="AV540" s="320" t="s">
        <v>2554</v>
      </c>
      <c r="AW540" s="403" t="s">
        <v>3123</v>
      </c>
      <c r="AY540" s="415"/>
    </row>
    <row r="541" spans="1:51" ht="15" customHeight="1" x14ac:dyDescent="0.25">
      <c r="A541" s="294">
        <v>16089</v>
      </c>
      <c r="B541" s="53">
        <v>46090</v>
      </c>
      <c r="C541" s="53">
        <v>46090</v>
      </c>
      <c r="D541" s="2">
        <v>1</v>
      </c>
      <c r="E541" s="111" t="s">
        <v>54</v>
      </c>
      <c r="F541" s="21" t="s">
        <v>55</v>
      </c>
      <c r="G541" s="21">
        <v>4</v>
      </c>
      <c r="H541" s="21" t="s">
        <v>112</v>
      </c>
      <c r="I541" s="53">
        <v>46097</v>
      </c>
      <c r="J541" s="53">
        <v>46097</v>
      </c>
      <c r="K541" s="21">
        <v>4</v>
      </c>
      <c r="L541" s="21" t="s">
        <v>55</v>
      </c>
      <c r="M541" s="21" t="s">
        <v>55</v>
      </c>
      <c r="N541" s="21" t="s">
        <v>55</v>
      </c>
      <c r="O541" s="21" t="s">
        <v>55</v>
      </c>
      <c r="P541" s="21" t="s">
        <v>55</v>
      </c>
      <c r="Q541" s="21" t="s">
        <v>55</v>
      </c>
      <c r="R541" s="21" t="s">
        <v>55</v>
      </c>
      <c r="S541" s="21">
        <v>4</v>
      </c>
      <c r="T541" s="21">
        <v>1</v>
      </c>
      <c r="U541" s="21">
        <v>0</v>
      </c>
      <c r="V541" s="53">
        <v>46106</v>
      </c>
      <c r="W541" s="53">
        <v>46106</v>
      </c>
      <c r="X541" s="53">
        <v>46106</v>
      </c>
      <c r="Y541" s="28">
        <v>46112</v>
      </c>
      <c r="Z541" s="53">
        <v>46118</v>
      </c>
      <c r="AA541" s="21">
        <v>4</v>
      </c>
      <c r="AB541" s="159" t="s">
        <v>1661</v>
      </c>
      <c r="AC541" s="111" t="s">
        <v>1662</v>
      </c>
      <c r="AD541" s="19">
        <f t="shared" si="60"/>
        <v>1</v>
      </c>
      <c r="AE541" s="67">
        <f>IFERROR(NETWORKDAYS(B541,I541,Hoja1!$A$1:$A$29),"N/A")</f>
        <v>6</v>
      </c>
      <c r="AF541" s="21">
        <f>IFERROR(NETWORKDAYS(B541,W541,Hoja1!$A$1:$A$29),"N/A")</f>
        <v>12</v>
      </c>
      <c r="AG541" s="78">
        <v>0</v>
      </c>
      <c r="AH541" s="21">
        <f t="shared" si="58"/>
        <v>12</v>
      </c>
      <c r="AI541" s="21">
        <f>IFERROR(NETWORKDAYS(X541,Y541,Hoja1!$A$1:$A$29),"N/A")</f>
        <v>5</v>
      </c>
      <c r="AJ541" s="78">
        <v>0</v>
      </c>
      <c r="AK541" s="75">
        <f t="shared" si="59"/>
        <v>5</v>
      </c>
      <c r="AL541" s="21">
        <f>IFERROR(NETWORKDAYS(B541,Y541,Hoja1!$A$1:$A$29),"N/A")</f>
        <v>16</v>
      </c>
      <c r="AM541" s="21">
        <f t="shared" si="61"/>
        <v>16</v>
      </c>
      <c r="AN541" s="87"/>
      <c r="AO541" s="87"/>
      <c r="AP541" s="87"/>
      <c r="AQ541" s="87"/>
      <c r="AR541" s="87"/>
      <c r="AS541" s="87" t="s">
        <v>1954</v>
      </c>
      <c r="AT541" s="87" t="s">
        <v>2017</v>
      </c>
      <c r="AU541" s="87" t="s">
        <v>2216</v>
      </c>
      <c r="AV541" s="320" t="s">
        <v>2555</v>
      </c>
      <c r="AW541" s="403" t="s">
        <v>3124</v>
      </c>
      <c r="AY541" s="414"/>
    </row>
    <row r="542" spans="1:51" ht="15" customHeight="1" x14ac:dyDescent="0.25">
      <c r="A542" s="294">
        <v>16097</v>
      </c>
      <c r="B542" s="28">
        <v>46091</v>
      </c>
      <c r="C542" s="28">
        <v>46091</v>
      </c>
      <c r="D542" s="33">
        <v>1</v>
      </c>
      <c r="E542" s="111" t="s">
        <v>54</v>
      </c>
      <c r="F542" s="33" t="s">
        <v>55</v>
      </c>
      <c r="G542" s="33">
        <v>5</v>
      </c>
      <c r="H542" s="21" t="s">
        <v>112</v>
      </c>
      <c r="I542" s="53">
        <v>46098</v>
      </c>
      <c r="J542" s="28">
        <v>46100</v>
      </c>
      <c r="K542" s="33">
        <v>5</v>
      </c>
      <c r="L542" s="28">
        <v>46091</v>
      </c>
      <c r="M542" s="28">
        <v>46093</v>
      </c>
      <c r="N542" s="53">
        <v>46098</v>
      </c>
      <c r="O542" s="33" t="s">
        <v>55</v>
      </c>
      <c r="P542" s="33" t="s">
        <v>55</v>
      </c>
      <c r="Q542" s="33" t="s">
        <v>55</v>
      </c>
      <c r="R542" s="33" t="s">
        <v>55</v>
      </c>
      <c r="S542" s="33">
        <v>2</v>
      </c>
      <c r="T542" s="33">
        <v>2</v>
      </c>
      <c r="U542" s="33">
        <v>0</v>
      </c>
      <c r="V542" s="38">
        <v>46105</v>
      </c>
      <c r="W542" s="38">
        <v>46105</v>
      </c>
      <c r="X542" s="180">
        <v>46105</v>
      </c>
      <c r="Y542" s="28">
        <v>46112</v>
      </c>
      <c r="Z542" s="53">
        <v>46118</v>
      </c>
      <c r="AA542" s="33">
        <v>4</v>
      </c>
      <c r="AB542" s="144" t="s">
        <v>1664</v>
      </c>
      <c r="AC542" s="35" t="s">
        <v>1665</v>
      </c>
      <c r="AD542" s="19">
        <f t="shared" si="60"/>
        <v>1</v>
      </c>
      <c r="AE542" s="67">
        <f>IFERROR(NETWORKDAYS(B542,I542,Hoja1!$A$1:$A$29),"N/A")</f>
        <v>6</v>
      </c>
      <c r="AF542" s="21">
        <f>IFERROR(NETWORKDAYS(B542,W542,Hoja1!$A$1:$A$29),"N/A")</f>
        <v>10</v>
      </c>
      <c r="AG542" s="78">
        <v>0</v>
      </c>
      <c r="AH542" s="21">
        <f t="shared" si="58"/>
        <v>10</v>
      </c>
      <c r="AI542" s="21">
        <f>IFERROR(NETWORKDAYS(X542,Y542,Hoja1!$A$1:$A$29),"N/A")</f>
        <v>6</v>
      </c>
      <c r="AJ542" s="78">
        <v>1</v>
      </c>
      <c r="AK542" s="75">
        <f t="shared" si="59"/>
        <v>5</v>
      </c>
      <c r="AL542" s="21">
        <f>IFERROR(NETWORKDAYS(B542,Y542,Hoja1!$A$1:$A$29),"N/A")</f>
        <v>15</v>
      </c>
      <c r="AM542" s="21">
        <f t="shared" si="61"/>
        <v>14</v>
      </c>
      <c r="AN542" s="87"/>
      <c r="AO542" s="87"/>
      <c r="AP542" s="87"/>
      <c r="AQ542" s="87"/>
      <c r="AR542" s="87"/>
      <c r="AS542" s="87" t="s">
        <v>1984</v>
      </c>
      <c r="AT542" s="87" t="s">
        <v>2187</v>
      </c>
      <c r="AU542" s="87" t="s">
        <v>2218</v>
      </c>
      <c r="AV542" s="320" t="s">
        <v>2556</v>
      </c>
      <c r="AW542" s="403" t="s">
        <v>3125</v>
      </c>
      <c r="AY542" s="415"/>
    </row>
    <row r="543" spans="1:51" ht="15" customHeight="1" x14ac:dyDescent="0.25">
      <c r="A543" s="294">
        <v>16098</v>
      </c>
      <c r="B543" s="28">
        <v>46091</v>
      </c>
      <c r="C543" s="28">
        <v>46091</v>
      </c>
      <c r="D543" s="3">
        <v>1</v>
      </c>
      <c r="E543" s="111" t="s">
        <v>54</v>
      </c>
      <c r="F543" s="33" t="s">
        <v>55</v>
      </c>
      <c r="G543" s="33">
        <v>8</v>
      </c>
      <c r="H543" s="21" t="s">
        <v>56</v>
      </c>
      <c r="I543" s="53">
        <v>46098</v>
      </c>
      <c r="J543" s="53">
        <v>46098</v>
      </c>
      <c r="K543" s="33">
        <v>8</v>
      </c>
      <c r="L543" s="33" t="s">
        <v>55</v>
      </c>
      <c r="M543" s="33" t="s">
        <v>55</v>
      </c>
      <c r="N543" s="33" t="s">
        <v>55</v>
      </c>
      <c r="O543" s="33" t="s">
        <v>55</v>
      </c>
      <c r="P543" s="33" t="s">
        <v>55</v>
      </c>
      <c r="Q543" s="33" t="s">
        <v>55</v>
      </c>
      <c r="R543" s="21" t="s">
        <v>55</v>
      </c>
      <c r="S543" s="33">
        <v>3</v>
      </c>
      <c r="T543" s="33">
        <v>3</v>
      </c>
      <c r="U543" s="33">
        <v>0</v>
      </c>
      <c r="V543" s="28">
        <v>46113</v>
      </c>
      <c r="W543" s="28">
        <v>46118</v>
      </c>
      <c r="X543" s="28">
        <v>46119</v>
      </c>
      <c r="Y543" s="28">
        <v>46127</v>
      </c>
      <c r="Z543" s="180">
        <v>46127</v>
      </c>
      <c r="AA543" s="21">
        <v>4</v>
      </c>
      <c r="AB543" s="87" t="s">
        <v>1666</v>
      </c>
      <c r="AC543" s="48" t="s">
        <v>1667</v>
      </c>
      <c r="AD543" s="19">
        <f t="shared" si="60"/>
        <v>1</v>
      </c>
      <c r="AE543" s="67">
        <f>IFERROR(NETWORKDAYS(B543,I543,Hoja1!$A$1:$A$29),"N/A")</f>
        <v>6</v>
      </c>
      <c r="AF543" s="21">
        <f>IFERROR(NETWORKDAYS(B543,W543,Hoja1!$A$1:$A$29),"N/A")</f>
        <v>17</v>
      </c>
      <c r="AG543" s="78">
        <v>2</v>
      </c>
      <c r="AH543" s="21">
        <f t="shared" si="58"/>
        <v>15</v>
      </c>
      <c r="AI543" s="21">
        <f>IFERROR(NETWORKDAYS(X543,Y543,Hoja1!$A$1:$A$29),"N/A")</f>
        <v>7</v>
      </c>
      <c r="AJ543" s="78">
        <v>0</v>
      </c>
      <c r="AK543" s="75">
        <f t="shared" si="59"/>
        <v>7</v>
      </c>
      <c r="AL543" s="21">
        <f>IFERROR(NETWORKDAYS(B543,Y543,Hoja1!$A$1:$A$29),"N/A")</f>
        <v>24</v>
      </c>
      <c r="AM543" s="21">
        <f t="shared" si="61"/>
        <v>22</v>
      </c>
      <c r="AN543" s="87"/>
      <c r="AO543" s="87"/>
      <c r="AP543" s="87"/>
      <c r="AQ543" s="87"/>
      <c r="AR543" s="87"/>
      <c r="AS543" s="87" t="s">
        <v>1913</v>
      </c>
      <c r="AT543" s="87" t="s">
        <v>2053</v>
      </c>
      <c r="AU543" s="87" t="s">
        <v>2209</v>
      </c>
      <c r="AV543" s="320" t="s">
        <v>2457</v>
      </c>
      <c r="AW543" s="403" t="s">
        <v>3126</v>
      </c>
      <c r="AY543" s="414"/>
    </row>
    <row r="544" spans="1:51" ht="15" customHeight="1" x14ac:dyDescent="0.25">
      <c r="A544" s="294">
        <v>16100</v>
      </c>
      <c r="B544" s="53">
        <v>46092</v>
      </c>
      <c r="C544" s="53">
        <v>46092</v>
      </c>
      <c r="D544" s="2">
        <v>1</v>
      </c>
      <c r="E544" s="111" t="s">
        <v>54</v>
      </c>
      <c r="F544" s="21" t="s">
        <v>55</v>
      </c>
      <c r="G544" s="21">
        <v>4</v>
      </c>
      <c r="H544" s="21" t="s">
        <v>112</v>
      </c>
      <c r="I544" s="53">
        <v>46097</v>
      </c>
      <c r="J544" s="53">
        <v>46097</v>
      </c>
      <c r="K544" s="21">
        <v>4</v>
      </c>
      <c r="L544" s="21" t="s">
        <v>55</v>
      </c>
      <c r="M544" s="21" t="s">
        <v>55</v>
      </c>
      <c r="N544" s="21" t="s">
        <v>55</v>
      </c>
      <c r="O544" s="21" t="s">
        <v>55</v>
      </c>
      <c r="P544" s="21" t="s">
        <v>55</v>
      </c>
      <c r="Q544" s="21" t="s">
        <v>55</v>
      </c>
      <c r="R544" s="21" t="s">
        <v>55</v>
      </c>
      <c r="S544" s="21">
        <v>1</v>
      </c>
      <c r="T544" s="21">
        <v>1</v>
      </c>
      <c r="U544" s="21">
        <v>0</v>
      </c>
      <c r="V544" s="53">
        <v>46120</v>
      </c>
      <c r="W544" s="53">
        <v>46120</v>
      </c>
      <c r="X544" s="53">
        <v>46120</v>
      </c>
      <c r="Y544" s="180">
        <v>46126</v>
      </c>
      <c r="Z544" s="180">
        <v>46127</v>
      </c>
      <c r="AA544" s="21">
        <v>4</v>
      </c>
      <c r="AB544" s="152" t="s">
        <v>1669</v>
      </c>
      <c r="AC544" s="111" t="s">
        <v>1670</v>
      </c>
      <c r="AD544" s="19">
        <f t="shared" si="60"/>
        <v>1</v>
      </c>
      <c r="AE544" s="67">
        <f>IFERROR(NETWORKDAYS(B544,I544,Hoja1!$A$1:$A$29),"N/A")</f>
        <v>4</v>
      </c>
      <c r="AF544" s="21">
        <f>IFERROR(NETWORKDAYS(B544,W544,Hoja1!$A$1:$A$29),"N/A")</f>
        <v>18</v>
      </c>
      <c r="AG544" s="78">
        <v>7</v>
      </c>
      <c r="AH544" s="21">
        <f t="shared" si="58"/>
        <v>11</v>
      </c>
      <c r="AI544" s="21">
        <f>IFERROR(NETWORKDAYS(X544,Y544,Hoja1!$A$1:$A$29),"N/A")</f>
        <v>5</v>
      </c>
      <c r="AJ544" s="78">
        <v>0</v>
      </c>
      <c r="AK544" s="75">
        <f t="shared" si="59"/>
        <v>5</v>
      </c>
      <c r="AL544" s="21">
        <f>IFERROR(NETWORKDAYS(B544,Y544,Hoja1!$A$1:$A$29),"N/A")</f>
        <v>22</v>
      </c>
      <c r="AM544" s="21">
        <f t="shared" si="61"/>
        <v>15</v>
      </c>
      <c r="AN544" s="87"/>
      <c r="AO544" s="87"/>
      <c r="AP544" s="87"/>
      <c r="AQ544" s="87"/>
      <c r="AR544" s="87"/>
      <c r="AS544" s="87" t="s">
        <v>1959</v>
      </c>
      <c r="AT544" s="87" t="s">
        <v>2188</v>
      </c>
      <c r="AU544" s="87" t="s">
        <v>2217</v>
      </c>
      <c r="AV544" s="320" t="s">
        <v>2557</v>
      </c>
      <c r="AW544" s="403" t="s">
        <v>3127</v>
      </c>
      <c r="AY544" s="415"/>
    </row>
    <row r="545" spans="1:51" ht="15" customHeight="1" x14ac:dyDescent="0.25">
      <c r="A545" s="294">
        <v>16102</v>
      </c>
      <c r="B545" s="16">
        <v>46092</v>
      </c>
      <c r="C545" s="16">
        <v>46092</v>
      </c>
      <c r="D545" s="1">
        <v>1</v>
      </c>
      <c r="E545" s="111" t="s">
        <v>54</v>
      </c>
      <c r="F545" s="33" t="s">
        <v>55</v>
      </c>
      <c r="G545" s="33">
        <v>7</v>
      </c>
      <c r="H545" s="21" t="s">
        <v>56</v>
      </c>
      <c r="I545" s="28">
        <v>46100</v>
      </c>
      <c r="J545" s="28">
        <v>46106</v>
      </c>
      <c r="K545" s="33">
        <v>7</v>
      </c>
      <c r="L545" s="28">
        <v>46092</v>
      </c>
      <c r="M545" s="28">
        <v>46093</v>
      </c>
      <c r="N545" s="28">
        <v>46100</v>
      </c>
      <c r="O545" s="33" t="s">
        <v>55</v>
      </c>
      <c r="P545" s="33" t="s">
        <v>55</v>
      </c>
      <c r="Q545" s="33" t="s">
        <v>55</v>
      </c>
      <c r="R545" s="33" t="s">
        <v>55</v>
      </c>
      <c r="S545" s="33">
        <v>2</v>
      </c>
      <c r="T545" s="33">
        <v>2</v>
      </c>
      <c r="U545" s="33">
        <v>0</v>
      </c>
      <c r="V545" s="53">
        <v>46106</v>
      </c>
      <c r="W545" s="53">
        <v>46106</v>
      </c>
      <c r="X545" s="53">
        <v>46106</v>
      </c>
      <c r="Y545" s="28">
        <v>46112</v>
      </c>
      <c r="Z545" s="53">
        <v>46118</v>
      </c>
      <c r="AA545" s="33">
        <v>4</v>
      </c>
      <c r="AB545" s="240" t="s">
        <v>1671</v>
      </c>
      <c r="AC545" s="49" t="s">
        <v>1672</v>
      </c>
      <c r="AD545" s="19">
        <f t="shared" si="60"/>
        <v>1</v>
      </c>
      <c r="AE545" s="67">
        <f>IFERROR(NETWORKDAYS(B545,I545,Hoja1!$A$1:$A$29),"N/A")</f>
        <v>7</v>
      </c>
      <c r="AF545" s="21">
        <f>IFERROR(NETWORKDAYS(B545,W545,Hoja1!$A$1:$A$29),"N/A")</f>
        <v>10</v>
      </c>
      <c r="AG545" s="78">
        <v>0</v>
      </c>
      <c r="AH545" s="21">
        <f t="shared" si="58"/>
        <v>10</v>
      </c>
      <c r="AI545" s="21">
        <f>IFERROR(NETWORKDAYS(X545,Y545,Hoja1!$A$1:$A$29),"N/A")</f>
        <v>5</v>
      </c>
      <c r="AJ545" s="78">
        <v>0</v>
      </c>
      <c r="AK545" s="75">
        <f t="shared" si="59"/>
        <v>5</v>
      </c>
      <c r="AL545" s="21">
        <f>IFERROR(NETWORKDAYS(B545,Y545,Hoja1!$A$1:$A$29),"N/A")</f>
        <v>14</v>
      </c>
      <c r="AM545" s="21">
        <f t="shared" si="61"/>
        <v>14</v>
      </c>
      <c r="AN545" s="87"/>
      <c r="AO545" s="87"/>
      <c r="AP545" s="87"/>
      <c r="AQ545" s="87"/>
      <c r="AR545" s="87"/>
      <c r="AS545" s="87" t="s">
        <v>1933</v>
      </c>
      <c r="AT545" s="87" t="s">
        <v>2189</v>
      </c>
      <c r="AU545" s="87" t="s">
        <v>2218</v>
      </c>
      <c r="AV545" s="320" t="s">
        <v>2250</v>
      </c>
      <c r="AW545" s="403" t="s">
        <v>3128</v>
      </c>
      <c r="AY545" s="414"/>
    </row>
    <row r="546" spans="1:51" ht="15" customHeight="1" x14ac:dyDescent="0.25">
      <c r="A546" s="294">
        <v>16104</v>
      </c>
      <c r="B546" s="53">
        <v>46092</v>
      </c>
      <c r="C546" s="53">
        <v>46092</v>
      </c>
      <c r="D546" s="2">
        <v>1</v>
      </c>
      <c r="E546" s="111" t="s">
        <v>54</v>
      </c>
      <c r="F546" s="21" t="s">
        <v>55</v>
      </c>
      <c r="G546" s="21">
        <v>3</v>
      </c>
      <c r="H546" s="21" t="s">
        <v>56</v>
      </c>
      <c r="I546" s="53">
        <v>46118</v>
      </c>
      <c r="J546" s="53">
        <v>46118</v>
      </c>
      <c r="K546" s="21">
        <v>3</v>
      </c>
      <c r="L546" s="21" t="s">
        <v>55</v>
      </c>
      <c r="M546" s="21" t="s">
        <v>55</v>
      </c>
      <c r="N546" s="21" t="s">
        <v>55</v>
      </c>
      <c r="O546" s="21" t="s">
        <v>55</v>
      </c>
      <c r="P546" s="21" t="s">
        <v>55</v>
      </c>
      <c r="Q546" s="21" t="s">
        <v>55</v>
      </c>
      <c r="R546" s="21" t="s">
        <v>55</v>
      </c>
      <c r="S546" s="21">
        <v>1</v>
      </c>
      <c r="T546" s="21">
        <v>1</v>
      </c>
      <c r="U546" s="21">
        <v>0</v>
      </c>
      <c r="V546" s="53">
        <v>46127</v>
      </c>
      <c r="W546" s="53">
        <v>46127</v>
      </c>
      <c r="X546" s="53">
        <v>46127</v>
      </c>
      <c r="Y546" s="53">
        <v>46133</v>
      </c>
      <c r="Z546" s="53">
        <v>46139</v>
      </c>
      <c r="AA546" s="21">
        <v>4</v>
      </c>
      <c r="AB546" s="159" t="s">
        <v>1673</v>
      </c>
      <c r="AC546" s="111" t="s">
        <v>1674</v>
      </c>
      <c r="AD546" s="19">
        <f t="shared" si="60"/>
        <v>1</v>
      </c>
      <c r="AE546" s="67">
        <f>IFERROR(NETWORKDAYS(B546,I546,Hoja1!$A$1:$A$29),"N/A")</f>
        <v>16</v>
      </c>
      <c r="AF546" s="21">
        <f>IFERROR(NETWORKDAYS(B546,W546,Hoja1!$A$1:$A$29),"N/A")</f>
        <v>23</v>
      </c>
      <c r="AG546" s="78">
        <v>0</v>
      </c>
      <c r="AH546" s="21">
        <f t="shared" si="58"/>
        <v>23</v>
      </c>
      <c r="AI546" s="21">
        <f>IFERROR(NETWORKDAYS(X546,Y546,Hoja1!$A$1:$A$29),"N/A")</f>
        <v>5</v>
      </c>
      <c r="AJ546" s="78">
        <v>0</v>
      </c>
      <c r="AK546" s="75">
        <f t="shared" si="59"/>
        <v>5</v>
      </c>
      <c r="AL546" s="21">
        <f>IFERROR(NETWORKDAYS(B546,Y546,Hoja1!$A$1:$A$29),"N/A")</f>
        <v>27</v>
      </c>
      <c r="AM546" s="21">
        <f t="shared" si="61"/>
        <v>27</v>
      </c>
      <c r="AN546" s="111"/>
      <c r="AO546" s="87"/>
      <c r="AP546" s="87"/>
      <c r="AQ546" s="87"/>
      <c r="AR546" s="87"/>
      <c r="AS546" s="87" t="s">
        <v>1892</v>
      </c>
      <c r="AT546" s="87" t="s">
        <v>1994</v>
      </c>
      <c r="AU546" s="87" t="s">
        <v>2214</v>
      </c>
      <c r="AV546" s="320" t="s">
        <v>2239</v>
      </c>
      <c r="AW546" s="403" t="s">
        <v>3129</v>
      </c>
      <c r="AY546" s="415"/>
    </row>
    <row r="547" spans="1:51" ht="15" customHeight="1" x14ac:dyDescent="0.25">
      <c r="A547" s="294">
        <v>16108</v>
      </c>
      <c r="B547" s="53">
        <v>46092</v>
      </c>
      <c r="C547" s="53">
        <v>46092</v>
      </c>
      <c r="D547" s="2">
        <v>1</v>
      </c>
      <c r="E547" s="111" t="s">
        <v>54</v>
      </c>
      <c r="F547" s="21" t="s">
        <v>55</v>
      </c>
      <c r="G547" s="21">
        <v>3</v>
      </c>
      <c r="H547" s="21" t="s">
        <v>112</v>
      </c>
      <c r="I547" s="53">
        <v>46093</v>
      </c>
      <c r="J547" s="28">
        <v>46100</v>
      </c>
      <c r="K547" s="21">
        <v>3</v>
      </c>
      <c r="L547" s="21" t="s">
        <v>55</v>
      </c>
      <c r="M547" s="21" t="s">
        <v>55</v>
      </c>
      <c r="N547" s="21" t="s">
        <v>55</v>
      </c>
      <c r="O547" s="21" t="s">
        <v>55</v>
      </c>
      <c r="P547" s="21" t="s">
        <v>55</v>
      </c>
      <c r="Q547" s="21" t="s">
        <v>55</v>
      </c>
      <c r="R547" s="21" t="s">
        <v>55</v>
      </c>
      <c r="S547" s="21">
        <v>3</v>
      </c>
      <c r="T547" s="21">
        <v>1</v>
      </c>
      <c r="U547" s="21">
        <v>0</v>
      </c>
      <c r="V547" s="53">
        <v>46105</v>
      </c>
      <c r="W547" s="53">
        <v>46105</v>
      </c>
      <c r="X547" s="53">
        <v>46106</v>
      </c>
      <c r="Y547" s="53">
        <v>46113</v>
      </c>
      <c r="Z547" s="53">
        <v>46118</v>
      </c>
      <c r="AA547" s="21">
        <v>4</v>
      </c>
      <c r="AB547" s="159" t="s">
        <v>1675</v>
      </c>
      <c r="AC547" s="111" t="s">
        <v>1676</v>
      </c>
      <c r="AD547" s="19">
        <f t="shared" si="60"/>
        <v>1</v>
      </c>
      <c r="AE547" s="67">
        <f>IFERROR(NETWORKDAYS(B547,I547,Hoja1!$A$1:$A$29),"N/A")</f>
        <v>2</v>
      </c>
      <c r="AF547" s="21">
        <f>IFERROR(NETWORKDAYS(B547,W547,Hoja1!$A$1:$A$29),"N/A")</f>
        <v>9</v>
      </c>
      <c r="AG547" s="78">
        <v>0</v>
      </c>
      <c r="AH547" s="21">
        <f t="shared" si="58"/>
        <v>9</v>
      </c>
      <c r="AI547" s="21">
        <f>IFERROR(NETWORKDAYS(X547,Y547,Hoja1!$A$1:$A$29),"N/A")</f>
        <v>6</v>
      </c>
      <c r="AJ547" s="78">
        <v>0</v>
      </c>
      <c r="AK547" s="75">
        <f t="shared" si="59"/>
        <v>6</v>
      </c>
      <c r="AL547" s="21">
        <f>IFERROR(NETWORKDAYS(B547,Y547,Hoja1!$A$1:$A$29),"N/A")</f>
        <v>15</v>
      </c>
      <c r="AM547" s="21">
        <f t="shared" si="61"/>
        <v>15</v>
      </c>
      <c r="AN547" s="87"/>
      <c r="AO547" s="87"/>
      <c r="AP547" s="87"/>
      <c r="AQ547" s="87"/>
      <c r="AR547" s="87"/>
      <c r="AS547" s="87" t="s">
        <v>1890</v>
      </c>
      <c r="AT547" s="87" t="s">
        <v>1995</v>
      </c>
      <c r="AU547" s="87" t="s">
        <v>2219</v>
      </c>
      <c r="AV547" s="320" t="s">
        <v>2558</v>
      </c>
      <c r="AW547" s="403" t="s">
        <v>3130</v>
      </c>
      <c r="AY547" s="414"/>
    </row>
    <row r="548" spans="1:51" ht="15" customHeight="1" x14ac:dyDescent="0.25">
      <c r="A548" s="294">
        <v>16110</v>
      </c>
      <c r="B548" s="53">
        <v>46092</v>
      </c>
      <c r="C548" s="53">
        <v>46092</v>
      </c>
      <c r="D548" s="2">
        <v>1</v>
      </c>
      <c r="E548" s="111" t="s">
        <v>54</v>
      </c>
      <c r="F548" s="21" t="s">
        <v>55</v>
      </c>
      <c r="G548" s="21">
        <v>4</v>
      </c>
      <c r="H548" s="21" t="s">
        <v>112</v>
      </c>
      <c r="I548" s="53">
        <v>46098</v>
      </c>
      <c r="J548" s="53">
        <v>46098</v>
      </c>
      <c r="K548" s="21">
        <v>4</v>
      </c>
      <c r="L548" s="21" t="s">
        <v>55</v>
      </c>
      <c r="M548" s="21" t="s">
        <v>55</v>
      </c>
      <c r="N548" s="21" t="s">
        <v>55</v>
      </c>
      <c r="O548" s="21" t="s">
        <v>55</v>
      </c>
      <c r="P548" s="21" t="s">
        <v>55</v>
      </c>
      <c r="Q548" s="21" t="s">
        <v>55</v>
      </c>
      <c r="R548" s="21" t="s">
        <v>55</v>
      </c>
      <c r="S548" s="21">
        <v>4</v>
      </c>
      <c r="T548" s="21">
        <v>1</v>
      </c>
      <c r="U548" s="21">
        <v>0</v>
      </c>
      <c r="V548" s="38">
        <v>46105</v>
      </c>
      <c r="W548" s="38">
        <v>46105</v>
      </c>
      <c r="X548" s="53">
        <v>46106</v>
      </c>
      <c r="Y548" s="53">
        <v>46113</v>
      </c>
      <c r="Z548" s="53">
        <v>46118</v>
      </c>
      <c r="AA548" s="21">
        <v>4</v>
      </c>
      <c r="AB548" s="159" t="s">
        <v>1678</v>
      </c>
      <c r="AC548" s="111" t="s">
        <v>1679</v>
      </c>
      <c r="AD548" s="19">
        <f t="shared" si="60"/>
        <v>1</v>
      </c>
      <c r="AE548" s="67">
        <f>IFERROR(NETWORKDAYS(B548,I548,Hoja1!$A$1:$A$29),"N/A")</f>
        <v>5</v>
      </c>
      <c r="AF548" s="21">
        <f>IFERROR(NETWORKDAYS(B548,W548,Hoja1!$A$1:$A$29),"N/A")</f>
        <v>9</v>
      </c>
      <c r="AG548" s="78">
        <v>0</v>
      </c>
      <c r="AH548" s="21">
        <f t="shared" si="58"/>
        <v>9</v>
      </c>
      <c r="AI548" s="21">
        <f>IFERROR(NETWORKDAYS(X548,Y548,Hoja1!$A$1:$A$29),"N/A")</f>
        <v>6</v>
      </c>
      <c r="AJ548" s="78">
        <v>0</v>
      </c>
      <c r="AK548" s="75">
        <f t="shared" si="59"/>
        <v>6</v>
      </c>
      <c r="AL548" s="21">
        <f>IFERROR(NETWORKDAYS(B548,Y548,Hoja1!$A$1:$A$29),"N/A")</f>
        <v>15</v>
      </c>
      <c r="AM548" s="21">
        <f t="shared" si="61"/>
        <v>15</v>
      </c>
      <c r="AN548" s="87"/>
      <c r="AO548" s="87"/>
      <c r="AP548" s="87"/>
      <c r="AQ548" s="87"/>
      <c r="AR548" s="87"/>
      <c r="AS548" s="87" t="s">
        <v>1890</v>
      </c>
      <c r="AT548" s="87" t="s">
        <v>2020</v>
      </c>
      <c r="AU548" s="87" t="s">
        <v>2219</v>
      </c>
      <c r="AV548" s="320" t="s">
        <v>2381</v>
      </c>
      <c r="AW548" s="403" t="s">
        <v>3131</v>
      </c>
      <c r="AY548" s="415"/>
    </row>
    <row r="549" spans="1:51" ht="15" customHeight="1" x14ac:dyDescent="0.25">
      <c r="A549" s="301">
        <v>16111</v>
      </c>
      <c r="B549" s="116">
        <v>46093</v>
      </c>
      <c r="C549" s="116">
        <v>46093</v>
      </c>
      <c r="D549" s="33">
        <v>1</v>
      </c>
      <c r="E549" s="111" t="s">
        <v>54</v>
      </c>
      <c r="F549" s="33" t="s">
        <v>55</v>
      </c>
      <c r="G549" s="33">
        <v>5</v>
      </c>
      <c r="H549" s="21" t="s">
        <v>112</v>
      </c>
      <c r="I549" s="53">
        <v>46097</v>
      </c>
      <c r="J549" s="28">
        <v>46107</v>
      </c>
      <c r="K549" s="33">
        <v>5</v>
      </c>
      <c r="L549" s="33" t="s">
        <v>55</v>
      </c>
      <c r="M549" s="33" t="s">
        <v>55</v>
      </c>
      <c r="N549" s="33" t="s">
        <v>55</v>
      </c>
      <c r="O549" s="33" t="s">
        <v>55</v>
      </c>
      <c r="P549" s="33" t="s">
        <v>55</v>
      </c>
      <c r="Q549" s="33" t="s">
        <v>55</v>
      </c>
      <c r="R549" s="21" t="s">
        <v>55</v>
      </c>
      <c r="S549" s="33">
        <v>2</v>
      </c>
      <c r="T549" s="33">
        <v>2</v>
      </c>
      <c r="U549" s="33">
        <v>0</v>
      </c>
      <c r="V549" s="28">
        <v>46118</v>
      </c>
      <c r="W549" s="28">
        <v>46118</v>
      </c>
      <c r="X549" s="28">
        <v>46118</v>
      </c>
      <c r="Y549" s="180">
        <v>46126</v>
      </c>
      <c r="Z549" s="180">
        <v>46127</v>
      </c>
      <c r="AA549" s="33">
        <v>4</v>
      </c>
      <c r="AB549" s="144" t="s">
        <v>1680</v>
      </c>
      <c r="AC549" s="35" t="s">
        <v>1681</v>
      </c>
      <c r="AD549" s="19">
        <f t="shared" si="60"/>
        <v>1</v>
      </c>
      <c r="AE549" s="67">
        <f>IFERROR(NETWORKDAYS(B549,I549,Hoja1!$A$1:$A$29),"N/A")</f>
        <v>3</v>
      </c>
      <c r="AF549" s="21">
        <f>IFERROR(NETWORKDAYS(B549,W549,Hoja1!$A$1:$A$29),"N/A")</f>
        <v>15</v>
      </c>
      <c r="AG549" s="78">
        <v>3</v>
      </c>
      <c r="AH549" s="21">
        <f t="shared" si="58"/>
        <v>12</v>
      </c>
      <c r="AI549" s="21">
        <f>IFERROR(NETWORKDAYS(X549,Y549,Hoja1!$A$1:$A$29),"N/A")</f>
        <v>7</v>
      </c>
      <c r="AJ549" s="78">
        <v>2</v>
      </c>
      <c r="AK549" s="75">
        <f t="shared" si="59"/>
        <v>5</v>
      </c>
      <c r="AL549" s="21">
        <f>IFERROR(NETWORKDAYS(B549,Y549,Hoja1!$A$1:$A$29),"N/A")</f>
        <v>21</v>
      </c>
      <c r="AM549" s="21">
        <f t="shared" si="61"/>
        <v>16</v>
      </c>
      <c r="AN549" s="87" t="s">
        <v>1379</v>
      </c>
      <c r="AO549" s="87"/>
      <c r="AP549" s="87"/>
      <c r="AQ549" s="87"/>
      <c r="AR549" s="87"/>
      <c r="AS549" s="87" t="s">
        <v>1906</v>
      </c>
      <c r="AT549" s="87" t="s">
        <v>2012</v>
      </c>
      <c r="AU549" s="87" t="s">
        <v>2210</v>
      </c>
      <c r="AV549" s="320" t="s">
        <v>2559</v>
      </c>
      <c r="AW549" s="403" t="s">
        <v>3132</v>
      </c>
      <c r="AY549" s="414"/>
    </row>
    <row r="550" spans="1:51" ht="15" customHeight="1" x14ac:dyDescent="0.25">
      <c r="A550" s="301">
        <v>16117</v>
      </c>
      <c r="B550" s="16">
        <v>46093</v>
      </c>
      <c r="C550" s="16">
        <v>46093</v>
      </c>
      <c r="D550" s="2">
        <v>1</v>
      </c>
      <c r="E550" s="111" t="s">
        <v>54</v>
      </c>
      <c r="F550" s="33" t="s">
        <v>55</v>
      </c>
      <c r="G550" s="33">
        <v>0</v>
      </c>
      <c r="H550" s="21"/>
      <c r="I550" s="33" t="s">
        <v>55</v>
      </c>
      <c r="J550" s="33" t="s">
        <v>55</v>
      </c>
      <c r="K550" s="33">
        <v>0</v>
      </c>
      <c r="L550" s="33" t="s">
        <v>55</v>
      </c>
      <c r="M550" s="33" t="s">
        <v>55</v>
      </c>
      <c r="N550" s="33" t="s">
        <v>55</v>
      </c>
      <c r="O550" s="33" t="s">
        <v>55</v>
      </c>
      <c r="P550" s="33" t="s">
        <v>55</v>
      </c>
      <c r="Q550" s="33" t="s">
        <v>55</v>
      </c>
      <c r="R550" s="33" t="s">
        <v>55</v>
      </c>
      <c r="S550" s="33">
        <v>1</v>
      </c>
      <c r="T550" s="33">
        <v>1</v>
      </c>
      <c r="U550" s="33">
        <v>0</v>
      </c>
      <c r="V550" s="28">
        <v>46100</v>
      </c>
      <c r="W550" s="28">
        <v>46100</v>
      </c>
      <c r="X550" s="28">
        <v>46100</v>
      </c>
      <c r="Y550" s="53">
        <v>46111</v>
      </c>
      <c r="Z550" s="53">
        <v>46118</v>
      </c>
      <c r="AA550" s="33">
        <f>MONTH(Z550)</f>
        <v>4</v>
      </c>
      <c r="AB550" s="144" t="s">
        <v>1684</v>
      </c>
      <c r="AC550" s="114" t="s">
        <v>1685</v>
      </c>
      <c r="AD550" s="19" t="str">
        <f t="shared" si="60"/>
        <v>N/A</v>
      </c>
      <c r="AE550" s="67" t="str">
        <f>IFERROR(NETWORKDAYS(B550,I550,Hoja1!$A$1:$A$29),"N/A")</f>
        <v>N/A</v>
      </c>
      <c r="AF550" s="21">
        <f>IFERROR(NETWORKDAYS(B550,W550,Hoja1!$A$1:$A$29),"N/A")</f>
        <v>6</v>
      </c>
      <c r="AG550" s="78">
        <v>0</v>
      </c>
      <c r="AH550" s="21">
        <f t="shared" si="58"/>
        <v>6</v>
      </c>
      <c r="AI550" s="21">
        <f>IFERROR(NETWORKDAYS(X550,Y550,Hoja1!$A$1:$A$29),"N/A")</f>
        <v>7</v>
      </c>
      <c r="AJ550" s="78">
        <v>2</v>
      </c>
      <c r="AK550" s="75">
        <f t="shared" si="59"/>
        <v>5</v>
      </c>
      <c r="AL550" s="21">
        <f>IFERROR(NETWORKDAYS(B550,Y550,Hoja1!$A$1:$A$29),"N/A")</f>
        <v>12</v>
      </c>
      <c r="AM550" s="21">
        <f t="shared" si="61"/>
        <v>10</v>
      </c>
      <c r="AN550" s="87"/>
      <c r="AO550" s="87"/>
      <c r="AP550" s="87"/>
      <c r="AQ550" s="87"/>
      <c r="AR550" s="87"/>
      <c r="AS550" s="87" t="s">
        <v>1932</v>
      </c>
      <c r="AT550" s="87" t="s">
        <v>2190</v>
      </c>
      <c r="AU550" s="87" t="s">
        <v>2220</v>
      </c>
      <c r="AV550" s="320" t="s">
        <v>2560</v>
      </c>
      <c r="AW550" s="403" t="s">
        <v>3133</v>
      </c>
      <c r="AY550" s="415"/>
    </row>
    <row r="551" spans="1:51" ht="15" customHeight="1" x14ac:dyDescent="0.25">
      <c r="A551" s="301">
        <v>16119</v>
      </c>
      <c r="B551" s="116">
        <v>46093</v>
      </c>
      <c r="C551" s="116">
        <v>46093</v>
      </c>
      <c r="D551" s="1">
        <v>1</v>
      </c>
      <c r="E551" s="111" t="s">
        <v>54</v>
      </c>
      <c r="F551" s="33" t="s">
        <v>55</v>
      </c>
      <c r="G551" s="33">
        <v>0</v>
      </c>
      <c r="H551" s="1"/>
      <c r="I551" s="33" t="s">
        <v>55</v>
      </c>
      <c r="J551" s="33" t="s">
        <v>55</v>
      </c>
      <c r="K551" s="33">
        <v>0</v>
      </c>
      <c r="L551" s="33" t="s">
        <v>55</v>
      </c>
      <c r="M551" s="33" t="s">
        <v>55</v>
      </c>
      <c r="N551" s="33" t="s">
        <v>55</v>
      </c>
      <c r="O551" s="33" t="s">
        <v>55</v>
      </c>
      <c r="P551" s="33" t="s">
        <v>55</v>
      </c>
      <c r="Q551" s="33" t="s">
        <v>55</v>
      </c>
      <c r="R551" s="33" t="s">
        <v>55</v>
      </c>
      <c r="S551" s="33">
        <v>1</v>
      </c>
      <c r="T551" s="33">
        <v>1</v>
      </c>
      <c r="U551" s="33">
        <v>0</v>
      </c>
      <c r="V551" s="53">
        <v>46099</v>
      </c>
      <c r="W551" s="180">
        <v>46105</v>
      </c>
      <c r="X551" s="180">
        <v>46105</v>
      </c>
      <c r="Y551" s="28">
        <v>46108</v>
      </c>
      <c r="Z551" s="53">
        <v>46118</v>
      </c>
      <c r="AA551" s="33">
        <f>MONTH(Z551)</f>
        <v>4</v>
      </c>
      <c r="AB551" s="144" t="s">
        <v>1688</v>
      </c>
      <c r="AC551" s="114" t="s">
        <v>1689</v>
      </c>
      <c r="AD551" s="19" t="str">
        <f t="shared" si="60"/>
        <v>N/A</v>
      </c>
      <c r="AE551" s="67" t="str">
        <f>IFERROR(NETWORKDAYS(B551,I551,Hoja1!$A$1:$A$29),"N/A")</f>
        <v>N/A</v>
      </c>
      <c r="AF551" s="21">
        <f>IFERROR(NETWORKDAYS(B551,W551,Hoja1!$A$1:$A$29),"N/A")</f>
        <v>8</v>
      </c>
      <c r="AG551" s="78">
        <v>3</v>
      </c>
      <c r="AH551" s="21">
        <f t="shared" si="58"/>
        <v>5</v>
      </c>
      <c r="AI551" s="21">
        <f>IFERROR(NETWORKDAYS(X551,Y551,Hoja1!$A$1:$A$29),"N/A")</f>
        <v>4</v>
      </c>
      <c r="AJ551" s="78">
        <v>0</v>
      </c>
      <c r="AK551" s="75">
        <f t="shared" si="59"/>
        <v>4</v>
      </c>
      <c r="AL551" s="21">
        <f>IFERROR(NETWORKDAYS(B551,Y551,Hoja1!$A$1:$A$29),"N/A")</f>
        <v>11</v>
      </c>
      <c r="AM551" s="21">
        <f t="shared" si="61"/>
        <v>8</v>
      </c>
      <c r="AN551" s="87"/>
      <c r="AO551" s="87"/>
      <c r="AP551" s="87"/>
      <c r="AQ551" s="87"/>
      <c r="AR551" s="87"/>
      <c r="AS551" s="87" t="s">
        <v>1891</v>
      </c>
      <c r="AT551" s="87" t="s">
        <v>2191</v>
      </c>
      <c r="AU551" s="87" t="s">
        <v>2220</v>
      </c>
      <c r="AV551" s="320" t="s">
        <v>2561</v>
      </c>
      <c r="AW551" s="403" t="s">
        <v>3134</v>
      </c>
      <c r="AY551" s="414"/>
    </row>
    <row r="552" spans="1:51" ht="15" customHeight="1" x14ac:dyDescent="0.25">
      <c r="A552" s="294">
        <v>16122</v>
      </c>
      <c r="B552" s="53">
        <v>46093</v>
      </c>
      <c r="C552" s="53">
        <v>46093</v>
      </c>
      <c r="D552" s="2">
        <v>1</v>
      </c>
      <c r="E552" s="111" t="s">
        <v>54</v>
      </c>
      <c r="F552" s="21" t="s">
        <v>55</v>
      </c>
      <c r="G552" s="21">
        <v>3</v>
      </c>
      <c r="H552" s="21" t="s">
        <v>112</v>
      </c>
      <c r="I552" s="53">
        <v>46094</v>
      </c>
      <c r="J552" s="28">
        <v>46100</v>
      </c>
      <c r="K552" s="21">
        <v>3</v>
      </c>
      <c r="L552" s="21" t="s">
        <v>55</v>
      </c>
      <c r="M552" s="21" t="s">
        <v>55</v>
      </c>
      <c r="N552" s="21" t="s">
        <v>55</v>
      </c>
      <c r="O552" s="21" t="s">
        <v>55</v>
      </c>
      <c r="P552" s="21" t="s">
        <v>55</v>
      </c>
      <c r="Q552" s="21" t="s">
        <v>55</v>
      </c>
      <c r="R552" s="21" t="s">
        <v>55</v>
      </c>
      <c r="S552" s="21">
        <v>3</v>
      </c>
      <c r="T552" s="21">
        <v>1</v>
      </c>
      <c r="U552" s="21">
        <v>0</v>
      </c>
      <c r="V552" s="53">
        <v>46100</v>
      </c>
      <c r="W552" s="28">
        <v>46100</v>
      </c>
      <c r="X552" s="180">
        <v>46105</v>
      </c>
      <c r="Y552" s="28">
        <v>46112</v>
      </c>
      <c r="Z552" s="53">
        <v>46118</v>
      </c>
      <c r="AA552" s="21">
        <v>4</v>
      </c>
      <c r="AB552" s="159" t="s">
        <v>1692</v>
      </c>
      <c r="AC552" s="111" t="s">
        <v>1693</v>
      </c>
      <c r="AD552" s="19">
        <f t="shared" si="60"/>
        <v>1</v>
      </c>
      <c r="AE552" s="67">
        <f>IFERROR(NETWORKDAYS(B552,I552,Hoja1!$A$1:$A$29),"N/A")</f>
        <v>2</v>
      </c>
      <c r="AF552" s="21">
        <f>IFERROR(NETWORKDAYS(B552,W552,Hoja1!$A$1:$A$29),"N/A")</f>
        <v>6</v>
      </c>
      <c r="AG552" s="78">
        <v>0</v>
      </c>
      <c r="AH552" s="21">
        <f t="shared" si="58"/>
        <v>6</v>
      </c>
      <c r="AI552" s="21">
        <f>IFERROR(NETWORKDAYS(X552,Y552,Hoja1!$A$1:$A$29),"N/A")</f>
        <v>6</v>
      </c>
      <c r="AJ552" s="78">
        <v>0</v>
      </c>
      <c r="AK552" s="75">
        <f t="shared" si="59"/>
        <v>6</v>
      </c>
      <c r="AL552" s="21">
        <f>IFERROR(NETWORKDAYS(B552,Y552,Hoja1!$A$1:$A$29),"N/A")</f>
        <v>13</v>
      </c>
      <c r="AM552" s="21">
        <f t="shared" si="61"/>
        <v>13</v>
      </c>
      <c r="AN552" s="87"/>
      <c r="AO552" s="87"/>
      <c r="AP552" s="87"/>
      <c r="AQ552" s="87"/>
      <c r="AR552" s="87"/>
      <c r="AS552" s="87" t="s">
        <v>1890</v>
      </c>
      <c r="AT552" s="87" t="s">
        <v>2192</v>
      </c>
      <c r="AU552" s="87" t="s">
        <v>2219</v>
      </c>
      <c r="AV552" s="320" t="s">
        <v>2562</v>
      </c>
      <c r="AW552" s="403" t="s">
        <v>3135</v>
      </c>
      <c r="AY552" s="415"/>
    </row>
    <row r="553" spans="1:51" ht="15" customHeight="1" x14ac:dyDescent="0.25">
      <c r="A553" s="294">
        <v>16126</v>
      </c>
      <c r="B553" s="53">
        <v>46093</v>
      </c>
      <c r="C553" s="53">
        <v>46093</v>
      </c>
      <c r="D553" s="2">
        <v>1</v>
      </c>
      <c r="E553" s="111" t="s">
        <v>54</v>
      </c>
      <c r="F553" s="21" t="s">
        <v>55</v>
      </c>
      <c r="G553" s="21">
        <v>5</v>
      </c>
      <c r="H553" s="21" t="s">
        <v>112</v>
      </c>
      <c r="I553" s="53">
        <v>46101</v>
      </c>
      <c r="J553" s="53">
        <v>46101</v>
      </c>
      <c r="K553" s="21">
        <v>5</v>
      </c>
      <c r="L553" s="21" t="s">
        <v>55</v>
      </c>
      <c r="M553" s="21" t="s">
        <v>55</v>
      </c>
      <c r="N553" s="21" t="s">
        <v>55</v>
      </c>
      <c r="O553" s="21" t="s">
        <v>55</v>
      </c>
      <c r="P553" s="21" t="s">
        <v>55</v>
      </c>
      <c r="Q553" s="21" t="s">
        <v>55</v>
      </c>
      <c r="R553" s="21" t="s">
        <v>55</v>
      </c>
      <c r="S553" s="21">
        <v>5</v>
      </c>
      <c r="T553" s="21">
        <v>1</v>
      </c>
      <c r="U553" s="21">
        <v>0</v>
      </c>
      <c r="V553" s="53">
        <v>46106</v>
      </c>
      <c r="W553" s="53">
        <v>46106</v>
      </c>
      <c r="X553" s="53">
        <v>46106</v>
      </c>
      <c r="Y553" s="53">
        <v>46113</v>
      </c>
      <c r="Z553" s="53">
        <v>46118</v>
      </c>
      <c r="AA553" s="21">
        <v>4</v>
      </c>
      <c r="AB553" s="159" t="s">
        <v>1695</v>
      </c>
      <c r="AC553" s="111" t="s">
        <v>1696</v>
      </c>
      <c r="AD553" s="19">
        <f t="shared" si="60"/>
        <v>1</v>
      </c>
      <c r="AE553" s="67">
        <f>IFERROR(NETWORKDAYS(B553,I553,Hoja1!$A$1:$A$29),"N/A")</f>
        <v>7</v>
      </c>
      <c r="AF553" s="21">
        <f>IFERROR(NETWORKDAYS(B553,W553,Hoja1!$A$1:$A$29),"N/A")</f>
        <v>9</v>
      </c>
      <c r="AG553" s="78">
        <v>0</v>
      </c>
      <c r="AH553" s="21">
        <f t="shared" si="58"/>
        <v>9</v>
      </c>
      <c r="AI553" s="21">
        <f>IFERROR(NETWORKDAYS(X553,Y553,Hoja1!$A$1:$A$29),"N/A")</f>
        <v>6</v>
      </c>
      <c r="AJ553" s="78">
        <v>0</v>
      </c>
      <c r="AK553" s="75">
        <f t="shared" si="59"/>
        <v>6</v>
      </c>
      <c r="AL553" s="21">
        <f>IFERROR(NETWORKDAYS(B553,Y553,Hoja1!$A$1:$A$29),"N/A")</f>
        <v>14</v>
      </c>
      <c r="AM553" s="21">
        <f t="shared" si="61"/>
        <v>14</v>
      </c>
      <c r="AN553" s="87"/>
      <c r="AO553" s="87"/>
      <c r="AP553" s="87"/>
      <c r="AQ553" s="87"/>
      <c r="AR553" s="87"/>
      <c r="AS553" s="87" t="s">
        <v>1890</v>
      </c>
      <c r="AT553" s="87" t="s">
        <v>1995</v>
      </c>
      <c r="AU553" s="87" t="s">
        <v>2216</v>
      </c>
      <c r="AV553" s="320" t="s">
        <v>2543</v>
      </c>
      <c r="AW553" s="403" t="s">
        <v>3136</v>
      </c>
      <c r="AY553" s="414"/>
    </row>
    <row r="554" spans="1:51" ht="15" customHeight="1" x14ac:dyDescent="0.25">
      <c r="A554" s="301">
        <v>16127</v>
      </c>
      <c r="B554" s="16">
        <v>46094</v>
      </c>
      <c r="C554" s="16">
        <v>46093</v>
      </c>
      <c r="D554" s="33">
        <v>1</v>
      </c>
      <c r="E554" s="111" t="s">
        <v>54</v>
      </c>
      <c r="F554" s="33" t="s">
        <v>55</v>
      </c>
      <c r="G554" s="33">
        <v>2</v>
      </c>
      <c r="H554" s="21" t="s">
        <v>112</v>
      </c>
      <c r="I554" s="16">
        <v>46105</v>
      </c>
      <c r="J554" s="16">
        <v>46111</v>
      </c>
      <c r="K554" s="33">
        <v>2</v>
      </c>
      <c r="L554" s="33" t="s">
        <v>55</v>
      </c>
      <c r="M554" s="33" t="s">
        <v>55</v>
      </c>
      <c r="N554" s="33" t="s">
        <v>55</v>
      </c>
      <c r="O554" s="33" t="s">
        <v>55</v>
      </c>
      <c r="P554" s="33" t="s">
        <v>55</v>
      </c>
      <c r="Q554" s="33" t="s">
        <v>55</v>
      </c>
      <c r="R554" s="21" t="s">
        <v>55</v>
      </c>
      <c r="S554" s="33">
        <v>1</v>
      </c>
      <c r="T554" s="33">
        <v>1</v>
      </c>
      <c r="U554" s="33">
        <v>0</v>
      </c>
      <c r="V554" s="28">
        <v>46119</v>
      </c>
      <c r="W554" s="28">
        <v>46119</v>
      </c>
      <c r="X554" s="28">
        <v>46119</v>
      </c>
      <c r="Y554" s="180">
        <v>46126</v>
      </c>
      <c r="Z554" s="180">
        <v>46127</v>
      </c>
      <c r="AA554" s="33">
        <v>4</v>
      </c>
      <c r="AB554" s="144" t="s">
        <v>1698</v>
      </c>
      <c r="AC554" s="35" t="s">
        <v>1699</v>
      </c>
      <c r="AD554" s="19">
        <f t="shared" si="60"/>
        <v>1</v>
      </c>
      <c r="AE554" s="67">
        <f>IFERROR(NETWORKDAYS(B554,I554,Hoja1!$A$1:$A$29),"N/A")</f>
        <v>7</v>
      </c>
      <c r="AF554" s="21">
        <f>IFERROR(NETWORKDAYS(B554,W554,Hoja1!$A$1:$A$29),"N/A")</f>
        <v>15</v>
      </c>
      <c r="AG554" s="78">
        <v>0</v>
      </c>
      <c r="AH554" s="21">
        <f t="shared" si="58"/>
        <v>15</v>
      </c>
      <c r="AI554" s="21">
        <f>IFERROR(NETWORKDAYS(X554,Y554,Hoja1!$A$1:$A$29),"N/A")</f>
        <v>6</v>
      </c>
      <c r="AJ554" s="78">
        <v>1</v>
      </c>
      <c r="AK554" s="75">
        <f t="shared" si="59"/>
        <v>5</v>
      </c>
      <c r="AL554" s="21">
        <f>IFERROR(NETWORKDAYS(B554,Y554,Hoja1!$A$1:$A$29),"N/A")</f>
        <v>20</v>
      </c>
      <c r="AM554" s="21">
        <f t="shared" si="61"/>
        <v>19</v>
      </c>
      <c r="AN554" s="87"/>
      <c r="AO554" s="87"/>
      <c r="AP554" s="87"/>
      <c r="AQ554" s="87"/>
      <c r="AR554" s="87"/>
      <c r="AS554" s="87" t="s">
        <v>1891</v>
      </c>
      <c r="AT554" s="87" t="s">
        <v>2193</v>
      </c>
      <c r="AU554" s="87" t="s">
        <v>2222</v>
      </c>
      <c r="AV554" s="320" t="s">
        <v>2563</v>
      </c>
      <c r="AW554" s="403" t="s">
        <v>3137</v>
      </c>
      <c r="AY554" s="415"/>
    </row>
    <row r="555" spans="1:51" ht="15" customHeight="1" x14ac:dyDescent="0.25">
      <c r="A555" s="294">
        <v>16129</v>
      </c>
      <c r="B555" s="28">
        <v>46093</v>
      </c>
      <c r="C555" s="28">
        <v>46093</v>
      </c>
      <c r="D555" s="3">
        <v>1</v>
      </c>
      <c r="E555" s="111" t="s">
        <v>54</v>
      </c>
      <c r="F555" s="33" t="s">
        <v>55</v>
      </c>
      <c r="G555" s="33">
        <v>0</v>
      </c>
      <c r="H555" s="33"/>
      <c r="I555" s="33" t="s">
        <v>55</v>
      </c>
      <c r="J555" s="33" t="s">
        <v>55</v>
      </c>
      <c r="K555" s="33">
        <v>0</v>
      </c>
      <c r="L555" s="33" t="s">
        <v>55</v>
      </c>
      <c r="M555" s="33" t="s">
        <v>55</v>
      </c>
      <c r="N555" s="33" t="s">
        <v>55</v>
      </c>
      <c r="O555" s="33" t="s">
        <v>55</v>
      </c>
      <c r="P555" s="33" t="s">
        <v>55</v>
      </c>
      <c r="Q555" s="33" t="s">
        <v>55</v>
      </c>
      <c r="R555" s="33" t="s">
        <v>55</v>
      </c>
      <c r="S555" s="33">
        <v>1</v>
      </c>
      <c r="T555" s="33">
        <v>1</v>
      </c>
      <c r="U555" s="33">
        <v>0</v>
      </c>
      <c r="V555" s="38">
        <v>46105</v>
      </c>
      <c r="W555" s="38">
        <v>46105</v>
      </c>
      <c r="X555" s="28">
        <v>46108</v>
      </c>
      <c r="Y555" s="28">
        <v>46127</v>
      </c>
      <c r="Z555" s="180">
        <v>46127</v>
      </c>
      <c r="AA555" s="21">
        <v>4</v>
      </c>
      <c r="AB555" s="87" t="s">
        <v>1701</v>
      </c>
      <c r="AC555" s="48" t="s">
        <v>1702</v>
      </c>
      <c r="AD555" s="19" t="str">
        <f t="shared" si="60"/>
        <v>N/A</v>
      </c>
      <c r="AE555" s="67" t="str">
        <f>IFERROR(NETWORKDAYS(B555,I555,Hoja1!$A$1:$A$29),"N/A")</f>
        <v>N/A</v>
      </c>
      <c r="AF555" s="21">
        <f>IFERROR(NETWORKDAYS(B555,W555,Hoja1!$A$1:$A$29),"N/A")</f>
        <v>8</v>
      </c>
      <c r="AG555" s="78">
        <v>0</v>
      </c>
      <c r="AH555" s="21">
        <f t="shared" si="58"/>
        <v>8</v>
      </c>
      <c r="AI555" s="21">
        <f>IFERROR(NETWORKDAYS(X555,Y555,Hoja1!$A$1:$A$29),"N/A")</f>
        <v>12</v>
      </c>
      <c r="AJ555" s="78">
        <v>0</v>
      </c>
      <c r="AK555" s="75">
        <f t="shared" si="59"/>
        <v>12</v>
      </c>
      <c r="AL555" s="21">
        <f>IFERROR(NETWORKDAYS(B555,Y555,Hoja1!$A$1:$A$29),"N/A")</f>
        <v>22</v>
      </c>
      <c r="AM555" s="21">
        <f t="shared" si="61"/>
        <v>22</v>
      </c>
      <c r="AN555" s="87"/>
      <c r="AO555" s="87"/>
      <c r="AP555" s="87"/>
      <c r="AQ555" s="87"/>
      <c r="AR555" s="87"/>
      <c r="AS555" s="87" t="s">
        <v>1930</v>
      </c>
      <c r="AT555" s="87" t="s">
        <v>2072</v>
      </c>
      <c r="AU555" s="87" t="s">
        <v>2209</v>
      </c>
      <c r="AV555" s="320" t="s">
        <v>2235</v>
      </c>
      <c r="AW555" s="403" t="s">
        <v>3138</v>
      </c>
      <c r="AY555" s="414"/>
    </row>
    <row r="556" spans="1:51" ht="15" customHeight="1" x14ac:dyDescent="0.25">
      <c r="A556" s="294">
        <v>16138</v>
      </c>
      <c r="B556" s="53">
        <v>46097</v>
      </c>
      <c r="C556" s="53">
        <v>46097</v>
      </c>
      <c r="D556" s="2">
        <v>1</v>
      </c>
      <c r="E556" s="111" t="s">
        <v>54</v>
      </c>
      <c r="F556" s="21" t="s">
        <v>55</v>
      </c>
      <c r="G556" s="21">
        <v>3</v>
      </c>
      <c r="H556" s="21" t="s">
        <v>112</v>
      </c>
      <c r="I556" s="16">
        <v>46099</v>
      </c>
      <c r="J556" s="16">
        <v>46099</v>
      </c>
      <c r="K556" s="21">
        <v>3</v>
      </c>
      <c r="L556" s="21" t="s">
        <v>55</v>
      </c>
      <c r="M556" s="21" t="s">
        <v>55</v>
      </c>
      <c r="N556" s="21" t="s">
        <v>55</v>
      </c>
      <c r="O556" s="21" t="s">
        <v>55</v>
      </c>
      <c r="P556" s="21" t="s">
        <v>55</v>
      </c>
      <c r="Q556" s="21" t="s">
        <v>55</v>
      </c>
      <c r="R556" s="21" t="s">
        <v>55</v>
      </c>
      <c r="S556" s="21">
        <v>3</v>
      </c>
      <c r="T556" s="21">
        <v>1</v>
      </c>
      <c r="U556" s="21">
        <v>0</v>
      </c>
      <c r="V556" s="53">
        <v>46099</v>
      </c>
      <c r="W556" s="53">
        <v>46105</v>
      </c>
      <c r="X556" s="53">
        <v>46118</v>
      </c>
      <c r="Y556" s="180">
        <v>46126</v>
      </c>
      <c r="Z556" s="180">
        <v>46127</v>
      </c>
      <c r="AA556" s="21">
        <v>4</v>
      </c>
      <c r="AB556" s="159" t="s">
        <v>1703</v>
      </c>
      <c r="AC556" s="111" t="s">
        <v>1704</v>
      </c>
      <c r="AD556" s="19">
        <f t="shared" si="60"/>
        <v>1</v>
      </c>
      <c r="AE556" s="67">
        <f>IFERROR(NETWORKDAYS(B556,I556,Hoja1!$A$1:$A$29),"N/A")</f>
        <v>3</v>
      </c>
      <c r="AF556" s="21">
        <f>IFERROR(NETWORKDAYS(B556,W556,Hoja1!$A$1:$A$29),"N/A")</f>
        <v>6</v>
      </c>
      <c r="AG556" s="78">
        <v>0</v>
      </c>
      <c r="AH556" s="21">
        <f t="shared" si="58"/>
        <v>6</v>
      </c>
      <c r="AI556" s="21">
        <f>IFERROR(NETWORKDAYS(X556,Y556,Hoja1!$A$1:$A$29),"N/A")</f>
        <v>7</v>
      </c>
      <c r="AJ556" s="78">
        <v>0</v>
      </c>
      <c r="AK556" s="75">
        <f t="shared" si="59"/>
        <v>7</v>
      </c>
      <c r="AL556" s="21">
        <f>IFERROR(NETWORKDAYS(B556,Y556,Hoja1!$A$1:$A$29),"N/A")</f>
        <v>19</v>
      </c>
      <c r="AM556" s="21">
        <f t="shared" si="61"/>
        <v>19</v>
      </c>
      <c r="AN556" s="87"/>
      <c r="AO556" s="87"/>
      <c r="AP556" s="87"/>
      <c r="AQ556" s="87"/>
      <c r="AR556" s="87"/>
      <c r="AS556" s="87" t="s">
        <v>1894</v>
      </c>
      <c r="AT556" s="87" t="s">
        <v>1994</v>
      </c>
      <c r="AU556" s="87" t="s">
        <v>2219</v>
      </c>
      <c r="AV556" s="320" t="s">
        <v>2232</v>
      </c>
      <c r="AW556" s="403" t="s">
        <v>3139</v>
      </c>
      <c r="AY556" s="415"/>
    </row>
    <row r="557" spans="1:51" ht="15" customHeight="1" x14ac:dyDescent="0.25">
      <c r="A557" s="296">
        <v>16140</v>
      </c>
      <c r="B557" s="38">
        <v>46098</v>
      </c>
      <c r="C557" s="38">
        <v>46097</v>
      </c>
      <c r="D557" s="3">
        <v>1</v>
      </c>
      <c r="E557" s="111" t="s">
        <v>54</v>
      </c>
      <c r="F557" s="33" t="s">
        <v>55</v>
      </c>
      <c r="G557" s="33">
        <v>5</v>
      </c>
      <c r="H557" s="21" t="s">
        <v>112</v>
      </c>
      <c r="I557" s="28">
        <v>46106</v>
      </c>
      <c r="J557" s="28">
        <v>46106</v>
      </c>
      <c r="K557" s="33">
        <v>5</v>
      </c>
      <c r="L557" s="33" t="s">
        <v>55</v>
      </c>
      <c r="M557" s="33" t="s">
        <v>55</v>
      </c>
      <c r="N557" s="33" t="s">
        <v>55</v>
      </c>
      <c r="O557" s="33" t="s">
        <v>55</v>
      </c>
      <c r="P557" s="33" t="s">
        <v>55</v>
      </c>
      <c r="Q557" s="33" t="s">
        <v>55</v>
      </c>
      <c r="R557" s="21" t="s">
        <v>55</v>
      </c>
      <c r="S557" s="33">
        <v>1</v>
      </c>
      <c r="T557" s="33">
        <v>1</v>
      </c>
      <c r="U557" s="33">
        <v>0</v>
      </c>
      <c r="V557" s="28">
        <v>46116</v>
      </c>
      <c r="W557" s="28">
        <v>46118</v>
      </c>
      <c r="X557" s="28">
        <v>46119</v>
      </c>
      <c r="Y557" s="180">
        <v>46132</v>
      </c>
      <c r="Z557" s="53">
        <v>46139</v>
      </c>
      <c r="AA557" s="33">
        <v>4</v>
      </c>
      <c r="AB557" s="144" t="s">
        <v>1705</v>
      </c>
      <c r="AC557" s="35" t="s">
        <v>1706</v>
      </c>
      <c r="AD557" s="19">
        <f t="shared" si="60"/>
        <v>1</v>
      </c>
      <c r="AE557" s="67">
        <f>IFERROR(NETWORKDAYS(B557,I557,Hoja1!$A$1:$A$29),"N/A")</f>
        <v>6</v>
      </c>
      <c r="AF557" s="21">
        <f>IFERROR(NETWORKDAYS(B557,W557,Hoja1!$A$1:$A$29),"N/A")</f>
        <v>12</v>
      </c>
      <c r="AG557" s="78">
        <v>0</v>
      </c>
      <c r="AH557" s="21">
        <f t="shared" si="58"/>
        <v>12</v>
      </c>
      <c r="AI557" s="21">
        <f>IFERROR(NETWORKDAYS(X557,Y557,Hoja1!$A$1:$A$29),"N/A")</f>
        <v>10</v>
      </c>
      <c r="AJ557" s="78">
        <v>5</v>
      </c>
      <c r="AK557" s="75">
        <f t="shared" si="59"/>
        <v>5</v>
      </c>
      <c r="AL557" s="21">
        <f>IFERROR(NETWORKDAYS(B557,Y557,Hoja1!$A$1:$A$29),"N/A")</f>
        <v>22</v>
      </c>
      <c r="AM557" s="21">
        <f t="shared" si="61"/>
        <v>17</v>
      </c>
      <c r="AN557" s="87"/>
      <c r="AO557" s="87"/>
      <c r="AP557" s="87"/>
      <c r="AQ557" s="87"/>
      <c r="AR557" s="87"/>
      <c r="AS557" s="87" t="s">
        <v>1911</v>
      </c>
      <c r="AT557" s="87" t="s">
        <v>1992</v>
      </c>
      <c r="AU557" s="87" t="s">
        <v>2210</v>
      </c>
      <c r="AV557" s="320" t="s">
        <v>2564</v>
      </c>
      <c r="AW557" s="403" t="s">
        <v>3140</v>
      </c>
      <c r="AY557" s="414"/>
    </row>
    <row r="558" spans="1:51" ht="15" customHeight="1" x14ac:dyDescent="0.25">
      <c r="A558" s="296">
        <v>16141</v>
      </c>
      <c r="B558" s="38">
        <v>46097</v>
      </c>
      <c r="C558" s="38">
        <v>46097</v>
      </c>
      <c r="D558" s="3">
        <v>1</v>
      </c>
      <c r="E558" s="111" t="s">
        <v>54</v>
      </c>
      <c r="F558" s="33" t="s">
        <v>55</v>
      </c>
      <c r="G558" s="33">
        <v>0</v>
      </c>
      <c r="H558" s="33"/>
      <c r="I558" s="33" t="s">
        <v>55</v>
      </c>
      <c r="J558" s="33" t="s">
        <v>55</v>
      </c>
      <c r="K558" s="33">
        <v>0</v>
      </c>
      <c r="L558" s="33" t="s">
        <v>55</v>
      </c>
      <c r="M558" s="33" t="s">
        <v>55</v>
      </c>
      <c r="N558" s="33" t="s">
        <v>55</v>
      </c>
      <c r="O558" s="33" t="s">
        <v>55</v>
      </c>
      <c r="P558" s="33" t="s">
        <v>55</v>
      </c>
      <c r="Q558" s="33" t="s">
        <v>55</v>
      </c>
      <c r="R558" s="33" t="s">
        <v>55</v>
      </c>
      <c r="S558" s="33">
        <v>1</v>
      </c>
      <c r="T558" s="33">
        <v>1</v>
      </c>
      <c r="U558" s="33">
        <v>0</v>
      </c>
      <c r="V558" s="53">
        <v>46106</v>
      </c>
      <c r="W558" s="53">
        <v>46106</v>
      </c>
      <c r="X558" s="53">
        <v>46106</v>
      </c>
      <c r="Y558" s="28">
        <v>46112</v>
      </c>
      <c r="Z558" s="53">
        <v>46118</v>
      </c>
      <c r="AA558" s="33">
        <v>4</v>
      </c>
      <c r="AB558" s="144" t="s">
        <v>1708</v>
      </c>
      <c r="AC558" s="35" t="s">
        <v>1709</v>
      </c>
      <c r="AD558" s="19" t="str">
        <f t="shared" si="60"/>
        <v>N/A</v>
      </c>
      <c r="AE558" s="67" t="str">
        <f>IFERROR(NETWORKDAYS(B558,I558,Hoja1!$A$1:$A$29),"N/A")</f>
        <v>N/A</v>
      </c>
      <c r="AF558" s="21">
        <f>IFERROR(NETWORKDAYS(B558,W558,Hoja1!$A$1:$A$29),"N/A")</f>
        <v>7</v>
      </c>
      <c r="AG558" s="78">
        <v>0</v>
      </c>
      <c r="AH558" s="21">
        <f t="shared" si="58"/>
        <v>7</v>
      </c>
      <c r="AI558" s="21">
        <f>IFERROR(NETWORKDAYS(X558,Y558,Hoja1!$A$1:$A$29),"N/A")</f>
        <v>5</v>
      </c>
      <c r="AJ558" s="78">
        <v>0</v>
      </c>
      <c r="AK558" s="75">
        <f t="shared" si="59"/>
        <v>5</v>
      </c>
      <c r="AL558" s="21">
        <f>IFERROR(NETWORKDAYS(B558,Y558,Hoja1!$A$1:$A$29),"N/A")</f>
        <v>11</v>
      </c>
      <c r="AM558" s="21">
        <f t="shared" si="61"/>
        <v>11</v>
      </c>
      <c r="AN558" s="87"/>
      <c r="AO558" s="87"/>
      <c r="AP558" s="87"/>
      <c r="AQ558" s="87"/>
      <c r="AR558" s="87"/>
      <c r="AS558" s="87" t="s">
        <v>1911</v>
      </c>
      <c r="AT558" s="87" t="s">
        <v>2030</v>
      </c>
      <c r="AU558" s="87" t="s">
        <v>2210</v>
      </c>
      <c r="AV558" s="320" t="s">
        <v>2565</v>
      </c>
      <c r="AW558" s="403" t="s">
        <v>3141</v>
      </c>
      <c r="AY558" s="415"/>
    </row>
    <row r="559" spans="1:51" ht="15" customHeight="1" x14ac:dyDescent="0.25">
      <c r="A559" s="301">
        <v>16145</v>
      </c>
      <c r="B559" s="116">
        <v>46120</v>
      </c>
      <c r="C559" s="28">
        <v>46129</v>
      </c>
      <c r="D559" s="33">
        <v>1</v>
      </c>
      <c r="E559" s="111" t="s">
        <v>54</v>
      </c>
      <c r="F559" s="33" t="s">
        <v>55</v>
      </c>
      <c r="G559" s="33">
        <v>0</v>
      </c>
      <c r="H559" s="33"/>
      <c r="I559" s="33" t="s">
        <v>55</v>
      </c>
      <c r="J559" s="33" t="s">
        <v>55</v>
      </c>
      <c r="K559" s="33">
        <v>0</v>
      </c>
      <c r="L559" s="33" t="s">
        <v>55</v>
      </c>
      <c r="M559" s="33" t="s">
        <v>55</v>
      </c>
      <c r="N559" s="33" t="s">
        <v>55</v>
      </c>
      <c r="O559" s="33" t="s">
        <v>55</v>
      </c>
      <c r="P559" s="33" t="s">
        <v>55</v>
      </c>
      <c r="Q559" s="33" t="s">
        <v>55</v>
      </c>
      <c r="R559" s="33" t="s">
        <v>55</v>
      </c>
      <c r="S559" s="33">
        <v>3</v>
      </c>
      <c r="T559" s="33">
        <v>3</v>
      </c>
      <c r="U559" s="33">
        <v>0</v>
      </c>
      <c r="V559" s="53">
        <v>46127</v>
      </c>
      <c r="W559" s="53">
        <v>46127</v>
      </c>
      <c r="X559" s="53">
        <v>46127</v>
      </c>
      <c r="Y559" s="16">
        <v>46134</v>
      </c>
      <c r="Z559" s="53">
        <v>46139</v>
      </c>
      <c r="AA559" s="33">
        <f>MONTH(Z559)</f>
        <v>4</v>
      </c>
      <c r="AB559" s="144" t="s">
        <v>1710</v>
      </c>
      <c r="AC559" s="35" t="s">
        <v>1711</v>
      </c>
      <c r="AD559" s="19" t="str">
        <f t="shared" si="60"/>
        <v>N/A</v>
      </c>
      <c r="AE559" s="67" t="str">
        <f>IFERROR(NETWORKDAYS(B559,I559,Hoja1!$A$1:$A$29),"N/A")</f>
        <v>N/A</v>
      </c>
      <c r="AF559" s="21">
        <f>IFERROR(NETWORKDAYS(B559,W559,Hoja1!$A$1:$A$29),"N/A")</f>
        <v>6</v>
      </c>
      <c r="AG559" s="78">
        <v>0</v>
      </c>
      <c r="AH559" s="21">
        <f t="shared" si="58"/>
        <v>6</v>
      </c>
      <c r="AI559" s="21">
        <f>IFERROR(NETWORKDAYS(X559,Y559,Hoja1!$A$1:$A$29),"N/A")</f>
        <v>6</v>
      </c>
      <c r="AJ559" s="78">
        <v>1</v>
      </c>
      <c r="AK559" s="75">
        <f t="shared" si="59"/>
        <v>5</v>
      </c>
      <c r="AL559" s="21">
        <f>IFERROR(NETWORKDAYS(B559,Y559,Hoja1!$A$1:$A$29),"N/A")</f>
        <v>11</v>
      </c>
      <c r="AM559" s="21">
        <f t="shared" si="61"/>
        <v>10</v>
      </c>
      <c r="AN559" s="87"/>
      <c r="AO559" s="87"/>
      <c r="AP559" s="87"/>
      <c r="AQ559" s="87"/>
      <c r="AR559" s="87"/>
      <c r="AS559" s="87" t="s">
        <v>1911</v>
      </c>
      <c r="AT559" s="87" t="s">
        <v>2194</v>
      </c>
      <c r="AU559" s="87" t="s">
        <v>2210</v>
      </c>
      <c r="AV559" s="320" t="s">
        <v>2566</v>
      </c>
      <c r="AW559" s="403" t="s">
        <v>3142</v>
      </c>
      <c r="AY559" s="414"/>
    </row>
    <row r="560" spans="1:51" ht="15" customHeight="1" x14ac:dyDescent="0.25">
      <c r="A560" s="301">
        <v>16146</v>
      </c>
      <c r="B560" s="116">
        <v>46099</v>
      </c>
      <c r="C560" s="116">
        <v>46097</v>
      </c>
      <c r="D560" s="1">
        <v>1</v>
      </c>
      <c r="E560" s="111" t="s">
        <v>54</v>
      </c>
      <c r="F560" s="33" t="s">
        <v>55</v>
      </c>
      <c r="G560" s="33">
        <v>0</v>
      </c>
      <c r="H560" s="1"/>
      <c r="I560" s="33" t="s">
        <v>55</v>
      </c>
      <c r="J560" s="33" t="s">
        <v>55</v>
      </c>
      <c r="K560" s="33">
        <v>0</v>
      </c>
      <c r="L560" s="33" t="s">
        <v>55</v>
      </c>
      <c r="M560" s="33" t="s">
        <v>55</v>
      </c>
      <c r="N560" s="33" t="s">
        <v>55</v>
      </c>
      <c r="O560" s="33" t="s">
        <v>55</v>
      </c>
      <c r="P560" s="33" t="s">
        <v>55</v>
      </c>
      <c r="Q560" s="33" t="s">
        <v>55</v>
      </c>
      <c r="R560" s="33" t="s">
        <v>55</v>
      </c>
      <c r="S560" s="33">
        <v>1</v>
      </c>
      <c r="T560" s="33">
        <v>1</v>
      </c>
      <c r="U560" s="33">
        <v>0</v>
      </c>
      <c r="V560" s="38">
        <v>46105</v>
      </c>
      <c r="W560" s="180">
        <v>46108</v>
      </c>
      <c r="X560" s="53">
        <v>46111</v>
      </c>
      <c r="Y560" s="180">
        <v>46126</v>
      </c>
      <c r="Z560" s="180">
        <v>46127</v>
      </c>
      <c r="AA560" s="33">
        <f>MONTH(Z560)</f>
        <v>4</v>
      </c>
      <c r="AB560" s="144" t="s">
        <v>1714</v>
      </c>
      <c r="AC560" s="114" t="s">
        <v>1715</v>
      </c>
      <c r="AD560" s="19" t="str">
        <f t="shared" si="60"/>
        <v>N/A</v>
      </c>
      <c r="AE560" s="67" t="str">
        <f>IFERROR(NETWORKDAYS(B560,I560,Hoja1!$A$1:$A$29),"N/A")</f>
        <v>N/A</v>
      </c>
      <c r="AF560" s="21">
        <f>IFERROR(NETWORKDAYS(B560,W560,Hoja1!$A$1:$A$29),"N/A")</f>
        <v>7</v>
      </c>
      <c r="AG560" s="78">
        <v>2</v>
      </c>
      <c r="AH560" s="21">
        <f t="shared" si="58"/>
        <v>5</v>
      </c>
      <c r="AI560" s="21">
        <f>IFERROR(NETWORKDAYS(X560,Y560,Hoja1!$A$1:$A$29),"N/A")</f>
        <v>10</v>
      </c>
      <c r="AJ560" s="78">
        <v>5</v>
      </c>
      <c r="AK560" s="75">
        <f t="shared" si="59"/>
        <v>5</v>
      </c>
      <c r="AL560" s="21">
        <f>IFERROR(NETWORKDAYS(B560,Y560,Hoja1!$A$1:$A$29),"N/A")</f>
        <v>17</v>
      </c>
      <c r="AM560" s="21">
        <f t="shared" si="61"/>
        <v>10</v>
      </c>
      <c r="AN560" s="87"/>
      <c r="AO560" s="87"/>
      <c r="AP560" s="87"/>
      <c r="AQ560" s="87"/>
      <c r="AR560" s="87"/>
      <c r="AS560" s="87" t="s">
        <v>1889</v>
      </c>
      <c r="AT560" s="87" t="s">
        <v>2195</v>
      </c>
      <c r="AU560" s="87" t="s">
        <v>2220</v>
      </c>
      <c r="AV560" s="320" t="s">
        <v>2512</v>
      </c>
      <c r="AW560" s="403" t="s">
        <v>3143</v>
      </c>
      <c r="AY560" s="415"/>
    </row>
    <row r="561" spans="1:51" ht="15" customHeight="1" x14ac:dyDescent="0.25">
      <c r="A561" s="301">
        <v>16147</v>
      </c>
      <c r="B561" s="116">
        <v>46098</v>
      </c>
      <c r="C561" s="116">
        <v>46097</v>
      </c>
      <c r="D561" s="33">
        <v>1</v>
      </c>
      <c r="E561" s="111" t="s">
        <v>54</v>
      </c>
      <c r="F561" s="33" t="s">
        <v>55</v>
      </c>
      <c r="G561" s="33">
        <v>5</v>
      </c>
      <c r="H561" s="21" t="s">
        <v>112</v>
      </c>
      <c r="I561" s="16">
        <v>46099</v>
      </c>
      <c r="J561" s="28">
        <v>46100</v>
      </c>
      <c r="K561" s="33">
        <v>5</v>
      </c>
      <c r="L561" s="33" t="s">
        <v>55</v>
      </c>
      <c r="M561" s="33" t="s">
        <v>55</v>
      </c>
      <c r="N561" s="33" t="s">
        <v>55</v>
      </c>
      <c r="O561" s="33" t="s">
        <v>55</v>
      </c>
      <c r="P561" s="33" t="s">
        <v>55</v>
      </c>
      <c r="Q561" s="33" t="s">
        <v>55</v>
      </c>
      <c r="R561" s="21" t="s">
        <v>55</v>
      </c>
      <c r="S561" s="33">
        <v>3</v>
      </c>
      <c r="T561" s="33">
        <v>3</v>
      </c>
      <c r="U561" s="33">
        <v>0</v>
      </c>
      <c r="V561" s="28">
        <v>46116</v>
      </c>
      <c r="W561" s="28">
        <v>46120</v>
      </c>
      <c r="X561" s="28">
        <v>46120</v>
      </c>
      <c r="Y561" s="180">
        <v>46127</v>
      </c>
      <c r="Z561" s="53">
        <v>46139</v>
      </c>
      <c r="AA561" s="33">
        <f>MONTH(Z561)</f>
        <v>4</v>
      </c>
      <c r="AB561" s="144" t="s">
        <v>1717</v>
      </c>
      <c r="AC561" s="35" t="s">
        <v>1718</v>
      </c>
      <c r="AD561" s="19">
        <f t="shared" si="60"/>
        <v>1</v>
      </c>
      <c r="AE561" s="67">
        <f>IFERROR(NETWORKDAYS(B561,I561,Hoja1!$A$1:$A$29),"N/A")</f>
        <v>2</v>
      </c>
      <c r="AF561" s="21">
        <f>IFERROR(NETWORKDAYS(B561,W561,Hoja1!$A$1:$A$29),"N/A")</f>
        <v>14</v>
      </c>
      <c r="AG561" s="78">
        <v>0</v>
      </c>
      <c r="AH561" s="21">
        <f t="shared" si="58"/>
        <v>14</v>
      </c>
      <c r="AI561" s="21">
        <f>IFERROR(NETWORKDAYS(X561,Y561,Hoja1!$A$1:$A$29),"N/A")</f>
        <v>6</v>
      </c>
      <c r="AJ561" s="78">
        <v>1</v>
      </c>
      <c r="AK561" s="75">
        <f t="shared" si="59"/>
        <v>5</v>
      </c>
      <c r="AL561" s="21">
        <f>IFERROR(NETWORKDAYS(B561,Y561,Hoja1!$A$1:$A$29),"N/A")</f>
        <v>19</v>
      </c>
      <c r="AM561" s="21">
        <f t="shared" si="61"/>
        <v>18</v>
      </c>
      <c r="AN561" s="87"/>
      <c r="AO561" s="87"/>
      <c r="AP561" s="87"/>
      <c r="AQ561" s="87"/>
      <c r="AR561" s="87"/>
      <c r="AS561" s="87" t="s">
        <v>1889</v>
      </c>
      <c r="AT561" s="87" t="s">
        <v>2196</v>
      </c>
      <c r="AU561" s="87" t="s">
        <v>2221</v>
      </c>
      <c r="AV561" s="320" t="s">
        <v>2567</v>
      </c>
      <c r="AW561" s="403" t="s">
        <v>3144</v>
      </c>
      <c r="AY561" s="414"/>
    </row>
    <row r="562" spans="1:51" ht="15" customHeight="1" x14ac:dyDescent="0.25">
      <c r="A562" s="294">
        <v>16148</v>
      </c>
      <c r="B562" s="28">
        <v>46091</v>
      </c>
      <c r="C562" s="28">
        <v>46098</v>
      </c>
      <c r="D562" s="3">
        <v>1</v>
      </c>
      <c r="E562" s="111" t="s">
        <v>54</v>
      </c>
      <c r="F562" s="33" t="s">
        <v>55</v>
      </c>
      <c r="G562" s="33">
        <v>6</v>
      </c>
      <c r="H562" s="21" t="s">
        <v>112</v>
      </c>
      <c r="I562" s="28">
        <v>46094</v>
      </c>
      <c r="J562" s="28">
        <v>46094</v>
      </c>
      <c r="K562" s="33">
        <v>6</v>
      </c>
      <c r="L562" s="33" t="s">
        <v>55</v>
      </c>
      <c r="M562" s="33" t="s">
        <v>55</v>
      </c>
      <c r="N562" s="33" t="s">
        <v>55</v>
      </c>
      <c r="O562" s="33" t="s">
        <v>55</v>
      </c>
      <c r="P562" s="33" t="s">
        <v>55</v>
      </c>
      <c r="Q562" s="33" t="s">
        <v>55</v>
      </c>
      <c r="R562" s="21" t="s">
        <v>55</v>
      </c>
      <c r="S562" s="33">
        <v>1</v>
      </c>
      <c r="T562" s="33">
        <v>1</v>
      </c>
      <c r="U562" s="33">
        <v>0</v>
      </c>
      <c r="V562" s="53">
        <v>46106</v>
      </c>
      <c r="W562" s="53">
        <v>46106</v>
      </c>
      <c r="X562" s="53">
        <v>46106</v>
      </c>
      <c r="Y562" s="28">
        <v>46118</v>
      </c>
      <c r="Z562" s="53">
        <v>46118</v>
      </c>
      <c r="AA562" s="21">
        <v>4</v>
      </c>
      <c r="AB562" s="87" t="s">
        <v>1720</v>
      </c>
      <c r="AC562" s="48" t="s">
        <v>1721</v>
      </c>
      <c r="AD562" s="19">
        <f t="shared" si="60"/>
        <v>1</v>
      </c>
      <c r="AE562" s="67">
        <f>IFERROR(NETWORKDAYS(B562,I562,Hoja1!$A$1:$A$29),"N/A")</f>
        <v>4</v>
      </c>
      <c r="AF562" s="21">
        <f>IFERROR(NETWORKDAYS(B562,W562,Hoja1!$A$1:$A$29),"N/A")</f>
        <v>11</v>
      </c>
      <c r="AG562" s="78">
        <v>0</v>
      </c>
      <c r="AH562" s="21">
        <f t="shared" si="58"/>
        <v>11</v>
      </c>
      <c r="AI562" s="21">
        <f>IFERROR(NETWORKDAYS(X562,Y562,Hoja1!$A$1:$A$29),"N/A")</f>
        <v>7</v>
      </c>
      <c r="AJ562" s="78">
        <v>0</v>
      </c>
      <c r="AK562" s="75">
        <f t="shared" si="59"/>
        <v>7</v>
      </c>
      <c r="AL562" s="21">
        <f>IFERROR(NETWORKDAYS(B562,Y562,Hoja1!$A$1:$A$29),"N/A")</f>
        <v>17</v>
      </c>
      <c r="AM562" s="21">
        <f t="shared" si="61"/>
        <v>17</v>
      </c>
      <c r="AN562" s="87"/>
      <c r="AO562" s="87"/>
      <c r="AP562" s="87"/>
      <c r="AQ562" s="87"/>
      <c r="AR562" s="87"/>
      <c r="AS562" s="87" t="s">
        <v>1913</v>
      </c>
      <c r="AT562" s="87" t="s">
        <v>2017</v>
      </c>
      <c r="AU562" s="87" t="s">
        <v>2209</v>
      </c>
      <c r="AV562" s="320" t="s">
        <v>2337</v>
      </c>
      <c r="AW562" s="403" t="s">
        <v>3145</v>
      </c>
      <c r="AY562" s="415"/>
    </row>
    <row r="563" spans="1:51" ht="15" customHeight="1" x14ac:dyDescent="0.25">
      <c r="A563" s="301">
        <v>16149</v>
      </c>
      <c r="B563" s="116">
        <v>46098</v>
      </c>
      <c r="C563" s="116">
        <v>46098</v>
      </c>
      <c r="D563" s="1">
        <v>1</v>
      </c>
      <c r="E563" s="111" t="s">
        <v>54</v>
      </c>
      <c r="F563" s="33" t="s">
        <v>55</v>
      </c>
      <c r="G563" s="33">
        <v>0</v>
      </c>
      <c r="H563" s="1"/>
      <c r="I563" s="33" t="s">
        <v>55</v>
      </c>
      <c r="J563" s="33" t="s">
        <v>55</v>
      </c>
      <c r="K563" s="33">
        <v>0</v>
      </c>
      <c r="L563" s="33" t="s">
        <v>55</v>
      </c>
      <c r="M563" s="33" t="s">
        <v>55</v>
      </c>
      <c r="N563" s="33" t="s">
        <v>55</v>
      </c>
      <c r="O563" s="33" t="s">
        <v>55</v>
      </c>
      <c r="P563" s="33" t="s">
        <v>55</v>
      </c>
      <c r="Q563" s="33" t="s">
        <v>55</v>
      </c>
      <c r="R563" s="33" t="s">
        <v>55</v>
      </c>
      <c r="S563" s="33">
        <v>1</v>
      </c>
      <c r="T563" s="33">
        <v>1</v>
      </c>
      <c r="U563" s="33">
        <v>0</v>
      </c>
      <c r="V563" s="53">
        <v>46106</v>
      </c>
      <c r="W563" s="53">
        <v>46106</v>
      </c>
      <c r="X563" s="53">
        <v>46106</v>
      </c>
      <c r="Y563" s="28">
        <v>46113</v>
      </c>
      <c r="Z563" s="53">
        <v>46118</v>
      </c>
      <c r="AA563" s="33">
        <f>MONTH(Z563)</f>
        <v>4</v>
      </c>
      <c r="AB563" s="144" t="s">
        <v>1723</v>
      </c>
      <c r="AC563" s="114" t="s">
        <v>1724</v>
      </c>
      <c r="AD563" s="19" t="str">
        <f t="shared" si="60"/>
        <v>N/A</v>
      </c>
      <c r="AE563" s="67" t="str">
        <f>IFERROR(NETWORKDAYS(B563,I563,Hoja1!$A$1:$A$29),"N/A")</f>
        <v>N/A</v>
      </c>
      <c r="AF563" s="21">
        <f>IFERROR(NETWORKDAYS(B563,W563,Hoja1!$A$1:$A$29),"N/A")</f>
        <v>6</v>
      </c>
      <c r="AG563" s="78">
        <v>0</v>
      </c>
      <c r="AH563" s="21">
        <f t="shared" si="58"/>
        <v>6</v>
      </c>
      <c r="AI563" s="21">
        <f>IFERROR(NETWORKDAYS(X563,Y563,Hoja1!$A$1:$A$29),"N/A")</f>
        <v>6</v>
      </c>
      <c r="AJ563" s="78">
        <v>1</v>
      </c>
      <c r="AK563" s="75">
        <f t="shared" si="59"/>
        <v>5</v>
      </c>
      <c r="AL563" s="21">
        <f>IFERROR(NETWORKDAYS(B563,Y563,Hoja1!$A$1:$A$29),"N/A")</f>
        <v>11</v>
      </c>
      <c r="AM563" s="21">
        <f t="shared" si="61"/>
        <v>10</v>
      </c>
      <c r="AN563" s="87"/>
      <c r="AO563" s="87"/>
      <c r="AP563" s="87"/>
      <c r="AQ563" s="87"/>
      <c r="AR563" s="87"/>
      <c r="AS563" s="87" t="s">
        <v>1971</v>
      </c>
      <c r="AT563" s="87" t="s">
        <v>2197</v>
      </c>
      <c r="AU563" s="87" t="s">
        <v>2220</v>
      </c>
      <c r="AV563" s="320" t="s">
        <v>2518</v>
      </c>
      <c r="AW563" s="403" t="s">
        <v>3146</v>
      </c>
      <c r="AY563" s="414"/>
    </row>
    <row r="564" spans="1:51" ht="15" customHeight="1" x14ac:dyDescent="0.25">
      <c r="A564" s="298">
        <v>16153</v>
      </c>
      <c r="B564" s="116">
        <v>46108</v>
      </c>
      <c r="C564" s="116">
        <v>46098</v>
      </c>
      <c r="D564" s="194">
        <v>1</v>
      </c>
      <c r="E564" s="111" t="s">
        <v>54</v>
      </c>
      <c r="F564" s="194" t="s">
        <v>55</v>
      </c>
      <c r="G564" s="194">
        <v>0</v>
      </c>
      <c r="H564" s="264"/>
      <c r="I564" s="33" t="s">
        <v>55</v>
      </c>
      <c r="J564" s="33" t="s">
        <v>55</v>
      </c>
      <c r="K564" s="194">
        <v>0</v>
      </c>
      <c r="L564" s="194" t="s">
        <v>55</v>
      </c>
      <c r="M564" s="194" t="s">
        <v>55</v>
      </c>
      <c r="N564" s="194" t="s">
        <v>55</v>
      </c>
      <c r="O564" s="194" t="s">
        <v>55</v>
      </c>
      <c r="P564" s="194" t="s">
        <v>55</v>
      </c>
      <c r="Q564" s="194" t="s">
        <v>55</v>
      </c>
      <c r="R564" s="194" t="s">
        <v>55</v>
      </c>
      <c r="S564" s="194">
        <v>3</v>
      </c>
      <c r="T564" s="194">
        <v>2</v>
      </c>
      <c r="U564" s="194">
        <v>0</v>
      </c>
      <c r="V564" s="180">
        <v>46118</v>
      </c>
      <c r="W564" s="180">
        <v>46118</v>
      </c>
      <c r="X564" s="180">
        <v>46118</v>
      </c>
      <c r="Y564" s="180">
        <v>46126</v>
      </c>
      <c r="Z564" s="180">
        <v>46127</v>
      </c>
      <c r="AA564" s="194">
        <v>4</v>
      </c>
      <c r="AB564" s="195" t="s">
        <v>1725</v>
      </c>
      <c r="AC564" s="49" t="s">
        <v>1726</v>
      </c>
      <c r="AD564" s="19" t="str">
        <f t="shared" si="60"/>
        <v>N/A</v>
      </c>
      <c r="AE564" s="67" t="str">
        <f>IFERROR(NETWORKDAYS(B564,I564,Hoja1!$A$1:$A$29),"N/A")</f>
        <v>N/A</v>
      </c>
      <c r="AF564" s="21">
        <f>IFERROR(NETWORKDAYS(B564,W564,Hoja1!$A$1:$A$29),"N/A")</f>
        <v>5</v>
      </c>
      <c r="AG564" s="78">
        <v>0</v>
      </c>
      <c r="AH564" s="21">
        <f t="shared" si="58"/>
        <v>5</v>
      </c>
      <c r="AI564" s="21">
        <f>IFERROR(NETWORKDAYS(X564,Y564,Hoja1!$A$1:$A$29),"N/A")</f>
        <v>7</v>
      </c>
      <c r="AJ564" s="78">
        <v>2</v>
      </c>
      <c r="AK564" s="75">
        <f t="shared" si="59"/>
        <v>5</v>
      </c>
      <c r="AL564" s="21">
        <f>IFERROR(NETWORKDAYS(B564,Y564,Hoja1!$A$1:$A$29),"N/A")</f>
        <v>11</v>
      </c>
      <c r="AM564" s="21">
        <f t="shared" si="61"/>
        <v>9</v>
      </c>
      <c r="AN564" s="87"/>
      <c r="AO564" s="87"/>
      <c r="AP564" s="87"/>
      <c r="AQ564" s="87"/>
      <c r="AR564" s="87"/>
      <c r="AS564" s="87" t="s">
        <v>1907</v>
      </c>
      <c r="AT564" s="87" t="s">
        <v>2098</v>
      </c>
      <c r="AU564" s="87" t="s">
        <v>2221</v>
      </c>
      <c r="AV564" s="320" t="s">
        <v>2568</v>
      </c>
      <c r="AW564" s="403" t="s">
        <v>3147</v>
      </c>
      <c r="AY564" s="415"/>
    </row>
    <row r="565" spans="1:51" ht="15" customHeight="1" x14ac:dyDescent="0.25">
      <c r="A565" s="294">
        <v>16157</v>
      </c>
      <c r="B565" s="28">
        <v>46100</v>
      </c>
      <c r="C565" s="116">
        <v>46098</v>
      </c>
      <c r="D565" s="3">
        <v>1</v>
      </c>
      <c r="E565" s="111" t="s">
        <v>54</v>
      </c>
      <c r="F565" s="33" t="s">
        <v>55</v>
      </c>
      <c r="G565" s="33">
        <v>12</v>
      </c>
      <c r="H565" s="21" t="s">
        <v>56</v>
      </c>
      <c r="I565" s="28">
        <v>46112</v>
      </c>
      <c r="J565" s="28">
        <v>46112</v>
      </c>
      <c r="K565" s="33">
        <v>12</v>
      </c>
      <c r="L565" s="33" t="s">
        <v>55</v>
      </c>
      <c r="M565" s="33" t="s">
        <v>55</v>
      </c>
      <c r="N565" s="33" t="s">
        <v>55</v>
      </c>
      <c r="O565" s="33" t="s">
        <v>55</v>
      </c>
      <c r="P565" s="33" t="s">
        <v>55</v>
      </c>
      <c r="Q565" s="33" t="s">
        <v>55</v>
      </c>
      <c r="R565" s="21" t="s">
        <v>55</v>
      </c>
      <c r="S565" s="33">
        <v>4</v>
      </c>
      <c r="T565" s="33">
        <v>4</v>
      </c>
      <c r="U565" s="33">
        <v>0</v>
      </c>
      <c r="V565" s="28">
        <v>46125</v>
      </c>
      <c r="W565" s="28">
        <v>46125</v>
      </c>
      <c r="X565" s="28">
        <v>46126</v>
      </c>
      <c r="Y565" s="180">
        <v>46132</v>
      </c>
      <c r="Z565" s="53">
        <v>46139</v>
      </c>
      <c r="AA565" s="33">
        <v>4</v>
      </c>
      <c r="AB565" s="144" t="s">
        <v>1728</v>
      </c>
      <c r="AC565" s="45" t="s">
        <v>1729</v>
      </c>
      <c r="AD565" s="19">
        <f t="shared" si="60"/>
        <v>1</v>
      </c>
      <c r="AE565" s="67">
        <f>IFERROR(NETWORKDAYS(B565,I565,Hoja1!$A$1:$A$29),"N/A")</f>
        <v>8</v>
      </c>
      <c r="AF565" s="21">
        <f>IFERROR(NETWORKDAYS(B565,W565,Hoja1!$A$1:$A$29),"N/A")</f>
        <v>15</v>
      </c>
      <c r="AG565" s="78">
        <v>0</v>
      </c>
      <c r="AH565" s="21">
        <f t="shared" si="58"/>
        <v>15</v>
      </c>
      <c r="AI565" s="21">
        <f>IFERROR(NETWORKDAYS(X565,Y565,Hoja1!$A$1:$A$29),"N/A")</f>
        <v>5</v>
      </c>
      <c r="AJ565" s="78">
        <v>0</v>
      </c>
      <c r="AK565" s="75">
        <f t="shared" si="59"/>
        <v>5</v>
      </c>
      <c r="AL565" s="21">
        <f>IFERROR(NETWORKDAYS(B565,Y565,Hoja1!$A$1:$A$29),"N/A")</f>
        <v>20</v>
      </c>
      <c r="AM565" s="21">
        <f t="shared" si="61"/>
        <v>20</v>
      </c>
      <c r="AN565" s="111" t="s">
        <v>1376</v>
      </c>
      <c r="AO565" s="114" t="s">
        <v>1379</v>
      </c>
      <c r="AP565" s="114"/>
      <c r="AQ565" s="114"/>
      <c r="AR565" s="114"/>
      <c r="AS565" s="114" t="s">
        <v>1911</v>
      </c>
      <c r="AT565" s="114" t="s">
        <v>2095</v>
      </c>
      <c r="AU565" s="114" t="s">
        <v>2210</v>
      </c>
      <c r="AV565" s="322" t="s">
        <v>2569</v>
      </c>
      <c r="AW565" s="403" t="s">
        <v>3148</v>
      </c>
      <c r="AY565" s="414"/>
    </row>
    <row r="566" spans="1:51" ht="15" customHeight="1" x14ac:dyDescent="0.25">
      <c r="A566" s="301">
        <v>16162</v>
      </c>
      <c r="B566" s="116">
        <v>46099</v>
      </c>
      <c r="C566" s="116">
        <v>46099</v>
      </c>
      <c r="D566" s="33">
        <v>1</v>
      </c>
      <c r="E566" s="111" t="s">
        <v>54</v>
      </c>
      <c r="F566" s="33" t="s">
        <v>55</v>
      </c>
      <c r="G566" s="33">
        <v>6</v>
      </c>
      <c r="H566" s="21" t="s">
        <v>112</v>
      </c>
      <c r="I566" s="53">
        <v>46107</v>
      </c>
      <c r="J566" s="28">
        <v>46119</v>
      </c>
      <c r="K566" s="33">
        <v>6</v>
      </c>
      <c r="L566" s="33" t="s">
        <v>55</v>
      </c>
      <c r="M566" s="33" t="s">
        <v>55</v>
      </c>
      <c r="N566" s="33" t="s">
        <v>55</v>
      </c>
      <c r="O566" s="33" t="s">
        <v>55</v>
      </c>
      <c r="P566" s="33" t="s">
        <v>55</v>
      </c>
      <c r="Q566" s="33" t="s">
        <v>55</v>
      </c>
      <c r="R566" s="21" t="s">
        <v>55</v>
      </c>
      <c r="S566" s="33">
        <v>1</v>
      </c>
      <c r="T566" s="33">
        <v>1</v>
      </c>
      <c r="U566" s="33">
        <v>0</v>
      </c>
      <c r="V566" s="53">
        <v>46127</v>
      </c>
      <c r="W566" s="53">
        <v>46127</v>
      </c>
      <c r="X566" s="53">
        <v>46127</v>
      </c>
      <c r="Y566" s="53">
        <v>46133</v>
      </c>
      <c r="Z566" s="53">
        <v>46139</v>
      </c>
      <c r="AA566" s="33">
        <v>4</v>
      </c>
      <c r="AB566" s="143" t="s">
        <v>1731</v>
      </c>
      <c r="AC566" s="35" t="s">
        <v>1732</v>
      </c>
      <c r="AD566" s="19">
        <f t="shared" si="60"/>
        <v>1</v>
      </c>
      <c r="AE566" s="67">
        <f>IFERROR(NETWORKDAYS(B566,I566,Hoja1!$A$1:$A$29),"N/A")</f>
        <v>6</v>
      </c>
      <c r="AF566" s="21">
        <f>IFERROR(NETWORKDAYS(B566,W566,Hoja1!$A$1:$A$29),"N/A")</f>
        <v>18</v>
      </c>
      <c r="AG566" s="78">
        <v>3</v>
      </c>
      <c r="AH566" s="21">
        <f t="shared" si="58"/>
        <v>15</v>
      </c>
      <c r="AI566" s="21">
        <f>IFERROR(NETWORKDAYS(X566,Y566,Hoja1!$A$1:$A$29),"N/A")</f>
        <v>5</v>
      </c>
      <c r="AJ566" s="78">
        <v>0</v>
      </c>
      <c r="AK566" s="75">
        <f t="shared" si="59"/>
        <v>5</v>
      </c>
      <c r="AL566" s="21">
        <f>IFERROR(NETWORKDAYS(B566,Y566,Hoja1!$A$1:$A$29),"N/A")</f>
        <v>22</v>
      </c>
      <c r="AM566" s="21">
        <f t="shared" si="61"/>
        <v>19</v>
      </c>
      <c r="AN566" s="87"/>
      <c r="AO566" s="87"/>
      <c r="AP566" s="87"/>
      <c r="AQ566" s="87"/>
      <c r="AR566" s="87"/>
      <c r="AS566" s="87" t="s">
        <v>1941</v>
      </c>
      <c r="AT566" s="87" t="s">
        <v>1994</v>
      </c>
      <c r="AU566" s="87" t="s">
        <v>2218</v>
      </c>
      <c r="AV566" s="320" t="s">
        <v>2239</v>
      </c>
      <c r="AW566" s="403" t="s">
        <v>3149</v>
      </c>
      <c r="AY566" s="415"/>
    </row>
    <row r="567" spans="1:51" ht="15" customHeight="1" x14ac:dyDescent="0.25">
      <c r="A567" s="301">
        <v>16166</v>
      </c>
      <c r="B567" s="16">
        <v>46108</v>
      </c>
      <c r="C567" s="28">
        <v>46100</v>
      </c>
      <c r="D567" s="33">
        <v>1</v>
      </c>
      <c r="E567" s="111" t="s">
        <v>54</v>
      </c>
      <c r="F567" s="33" t="s">
        <v>55</v>
      </c>
      <c r="G567" s="33">
        <v>0</v>
      </c>
      <c r="H567" s="33"/>
      <c r="I567" s="33" t="s">
        <v>55</v>
      </c>
      <c r="J567" s="33" t="s">
        <v>55</v>
      </c>
      <c r="K567" s="33">
        <v>0</v>
      </c>
      <c r="L567" s="33" t="s">
        <v>55</v>
      </c>
      <c r="M567" s="33" t="s">
        <v>55</v>
      </c>
      <c r="N567" s="33" t="s">
        <v>55</v>
      </c>
      <c r="O567" s="33" t="s">
        <v>55</v>
      </c>
      <c r="P567" s="33" t="s">
        <v>55</v>
      </c>
      <c r="Q567" s="33" t="s">
        <v>55</v>
      </c>
      <c r="R567" s="33" t="s">
        <v>55</v>
      </c>
      <c r="S567" s="33">
        <v>1</v>
      </c>
      <c r="T567" s="33">
        <v>1</v>
      </c>
      <c r="U567" s="33">
        <v>0</v>
      </c>
      <c r="V567" s="28">
        <v>46118</v>
      </c>
      <c r="W567" s="28">
        <v>46120</v>
      </c>
      <c r="X567" s="28">
        <v>46126</v>
      </c>
      <c r="Y567" s="53">
        <v>46133</v>
      </c>
      <c r="Z567" s="53">
        <v>46139</v>
      </c>
      <c r="AA567" s="33">
        <v>4</v>
      </c>
      <c r="AB567" s="144" t="s">
        <v>1733</v>
      </c>
      <c r="AC567" s="35" t="s">
        <v>1734</v>
      </c>
      <c r="AD567" s="19" t="str">
        <f t="shared" si="60"/>
        <v>N/A</v>
      </c>
      <c r="AE567" s="67" t="str">
        <f>IFERROR(NETWORKDAYS(B567,I567,Hoja1!$A$1:$A$29),"N/A")</f>
        <v>N/A</v>
      </c>
      <c r="AF567" s="21">
        <f>IFERROR(NETWORKDAYS(B567,W567,Hoja1!$A$1:$A$29),"N/A")</f>
        <v>7</v>
      </c>
      <c r="AG567" s="78">
        <v>2</v>
      </c>
      <c r="AH567" s="21">
        <f t="shared" si="58"/>
        <v>5</v>
      </c>
      <c r="AI567" s="21">
        <f>IFERROR(NETWORKDAYS(X567,Y567,Hoja1!$A$1:$A$29),"N/A")</f>
        <v>6</v>
      </c>
      <c r="AJ567" s="78">
        <v>1</v>
      </c>
      <c r="AK567" s="75">
        <f t="shared" si="59"/>
        <v>5</v>
      </c>
      <c r="AL567" s="21">
        <f>IFERROR(NETWORKDAYS(B567,Y567,Hoja1!$A$1:$A$29),"N/A")</f>
        <v>16</v>
      </c>
      <c r="AM567" s="21">
        <f t="shared" si="61"/>
        <v>13</v>
      </c>
      <c r="AN567" s="87"/>
      <c r="AO567" s="87"/>
      <c r="AP567" s="87"/>
      <c r="AQ567" s="87"/>
      <c r="AR567" s="87"/>
      <c r="AS567" s="87" t="s">
        <v>1916</v>
      </c>
      <c r="AT567" s="87" t="s">
        <v>2075</v>
      </c>
      <c r="AU567" s="87" t="s">
        <v>2210</v>
      </c>
      <c r="AV567" s="320" t="s">
        <v>2258</v>
      </c>
      <c r="AW567" s="403" t="s">
        <v>3150</v>
      </c>
      <c r="AY567" s="414"/>
    </row>
    <row r="568" spans="1:51" ht="15" customHeight="1" x14ac:dyDescent="0.25">
      <c r="A568" s="296">
        <v>16170</v>
      </c>
      <c r="B568" s="16">
        <v>46090</v>
      </c>
      <c r="C568" s="16">
        <v>46100</v>
      </c>
      <c r="D568" s="3">
        <v>1</v>
      </c>
      <c r="E568" s="111" t="s">
        <v>54</v>
      </c>
      <c r="F568" s="33" t="s">
        <v>55</v>
      </c>
      <c r="G568" s="33">
        <v>1</v>
      </c>
      <c r="H568" s="21" t="s">
        <v>112</v>
      </c>
      <c r="I568" s="28">
        <v>46101</v>
      </c>
      <c r="J568" s="28">
        <v>46101</v>
      </c>
      <c r="K568" s="33">
        <v>1</v>
      </c>
      <c r="L568" s="33" t="s">
        <v>55</v>
      </c>
      <c r="M568" s="33" t="s">
        <v>55</v>
      </c>
      <c r="N568" s="33" t="s">
        <v>55</v>
      </c>
      <c r="O568" s="33" t="s">
        <v>55</v>
      </c>
      <c r="P568" s="33" t="s">
        <v>55</v>
      </c>
      <c r="Q568" s="33" t="s">
        <v>55</v>
      </c>
      <c r="R568" s="21" t="s">
        <v>55</v>
      </c>
      <c r="S568" s="33">
        <v>1</v>
      </c>
      <c r="T568" s="33">
        <v>1</v>
      </c>
      <c r="U568" s="33">
        <v>0</v>
      </c>
      <c r="V568" s="28">
        <v>46104</v>
      </c>
      <c r="W568" s="28">
        <v>46104</v>
      </c>
      <c r="X568" s="28">
        <v>46104</v>
      </c>
      <c r="Y568" s="38">
        <v>46113</v>
      </c>
      <c r="Z568" s="53">
        <v>46118</v>
      </c>
      <c r="AA568" s="21">
        <v>4</v>
      </c>
      <c r="AB568" s="48" t="s">
        <v>1735</v>
      </c>
      <c r="AC568" s="48" t="s">
        <v>1736</v>
      </c>
      <c r="AD568" s="19">
        <f t="shared" si="60"/>
        <v>1</v>
      </c>
      <c r="AE568" s="67">
        <f>IFERROR(NETWORKDAYS(B568,I568,Hoja1!$A$1:$A$29),"N/A")</f>
        <v>10</v>
      </c>
      <c r="AF568" s="21">
        <f>IFERROR(NETWORKDAYS(B568,W568,Hoja1!$A$1:$A$29),"N/A")</f>
        <v>10</v>
      </c>
      <c r="AG568" s="78">
        <v>0</v>
      </c>
      <c r="AH568" s="21">
        <f t="shared" si="58"/>
        <v>10</v>
      </c>
      <c r="AI568" s="21">
        <f>IFERROR(NETWORKDAYS(X568,Y568,Hoja1!$A$1:$A$29),"N/A")</f>
        <v>7</v>
      </c>
      <c r="AJ568" s="78">
        <v>0</v>
      </c>
      <c r="AK568" s="75">
        <f t="shared" si="59"/>
        <v>7</v>
      </c>
      <c r="AL568" s="21">
        <f>IFERROR(NETWORKDAYS(B568,Y568,Hoja1!$A$1:$A$29),"N/A")</f>
        <v>17</v>
      </c>
      <c r="AM568" s="21">
        <f t="shared" si="61"/>
        <v>17</v>
      </c>
      <c r="AN568" s="87"/>
      <c r="AO568" s="87"/>
      <c r="AP568" s="87"/>
      <c r="AQ568" s="87"/>
      <c r="AR568" s="87"/>
      <c r="AS568" s="87" t="s">
        <v>1893</v>
      </c>
      <c r="AT568" s="87" t="s">
        <v>2146</v>
      </c>
      <c r="AU568" s="87" t="s">
        <v>2215</v>
      </c>
      <c r="AV568" s="320" t="s">
        <v>2570</v>
      </c>
      <c r="AW568" s="403" t="s">
        <v>3151</v>
      </c>
      <c r="AY568" s="415"/>
    </row>
    <row r="569" spans="1:51" ht="15" customHeight="1" x14ac:dyDescent="0.25">
      <c r="A569" s="294">
        <v>16171</v>
      </c>
      <c r="B569" s="16">
        <v>46100</v>
      </c>
      <c r="C569" s="16">
        <v>46100</v>
      </c>
      <c r="D569" s="2">
        <v>1</v>
      </c>
      <c r="E569" s="111" t="s">
        <v>54</v>
      </c>
      <c r="F569" s="21" t="s">
        <v>55</v>
      </c>
      <c r="G569" s="21">
        <v>3</v>
      </c>
      <c r="H569" s="21" t="s">
        <v>112</v>
      </c>
      <c r="I569" s="16">
        <v>46105</v>
      </c>
      <c r="J569" s="53">
        <v>46112</v>
      </c>
      <c r="K569" s="21">
        <v>3</v>
      </c>
      <c r="L569" s="21" t="s">
        <v>55</v>
      </c>
      <c r="M569" s="21" t="s">
        <v>55</v>
      </c>
      <c r="N569" s="21" t="s">
        <v>55</v>
      </c>
      <c r="O569" s="21" t="s">
        <v>55</v>
      </c>
      <c r="P569" s="21" t="s">
        <v>55</v>
      </c>
      <c r="Q569" s="21" t="s">
        <v>55</v>
      </c>
      <c r="R569" s="21" t="s">
        <v>55</v>
      </c>
      <c r="S569" s="21">
        <v>3</v>
      </c>
      <c r="T569" s="21">
        <v>1</v>
      </c>
      <c r="U569" s="21">
        <v>0</v>
      </c>
      <c r="V569" s="28">
        <v>46112</v>
      </c>
      <c r="W569" s="28">
        <v>46112</v>
      </c>
      <c r="X569" s="53">
        <v>46118</v>
      </c>
      <c r="Y569" s="180">
        <v>46126</v>
      </c>
      <c r="Z569" s="180">
        <v>46127</v>
      </c>
      <c r="AA569" s="21">
        <v>4</v>
      </c>
      <c r="AB569" s="159" t="s">
        <v>1738</v>
      </c>
      <c r="AC569" s="111" t="s">
        <v>1739</v>
      </c>
      <c r="AD569" s="19">
        <f t="shared" si="60"/>
        <v>1</v>
      </c>
      <c r="AE569" s="67">
        <f>IFERROR(NETWORKDAYS(B569,I569,Hoja1!$A$1:$A$29),"N/A")</f>
        <v>3</v>
      </c>
      <c r="AF569" s="21">
        <f>IFERROR(NETWORKDAYS(B569,W569,Hoja1!$A$1:$A$29),"N/A")</f>
        <v>8</v>
      </c>
      <c r="AG569" s="78">
        <v>0</v>
      </c>
      <c r="AH569" s="21">
        <f t="shared" si="58"/>
        <v>8</v>
      </c>
      <c r="AI569" s="21">
        <f>IFERROR(NETWORKDAYS(X569,Y569,Hoja1!$A$1:$A$29),"N/A")</f>
        <v>7</v>
      </c>
      <c r="AJ569" s="78">
        <v>0</v>
      </c>
      <c r="AK569" s="75">
        <f t="shared" si="59"/>
        <v>7</v>
      </c>
      <c r="AL569" s="21">
        <f>IFERROR(NETWORKDAYS(B569,Y569,Hoja1!$A$1:$A$29),"N/A")</f>
        <v>16</v>
      </c>
      <c r="AM569" s="21">
        <f t="shared" si="61"/>
        <v>16</v>
      </c>
      <c r="AN569" s="87"/>
      <c r="AO569" s="87"/>
      <c r="AP569" s="87"/>
      <c r="AQ569" s="87"/>
      <c r="AR569" s="87"/>
      <c r="AS569" s="87" t="s">
        <v>1905</v>
      </c>
      <c r="AT569" s="87" t="s">
        <v>1994</v>
      </c>
      <c r="AU569" s="87" t="s">
        <v>2219</v>
      </c>
      <c r="AV569" s="320" t="s">
        <v>2232</v>
      </c>
      <c r="AW569" s="403" t="s">
        <v>3152</v>
      </c>
      <c r="AY569" s="414"/>
    </row>
    <row r="570" spans="1:51" ht="15" customHeight="1" x14ac:dyDescent="0.25">
      <c r="A570" s="301">
        <v>16172</v>
      </c>
      <c r="B570" s="53">
        <v>46101</v>
      </c>
      <c r="C570" s="116">
        <v>46101</v>
      </c>
      <c r="D570" s="33">
        <v>1</v>
      </c>
      <c r="E570" s="111" t="s">
        <v>54</v>
      </c>
      <c r="F570" s="33" t="s">
        <v>55</v>
      </c>
      <c r="G570" s="33">
        <v>0</v>
      </c>
      <c r="H570" s="33"/>
      <c r="I570" s="33" t="s">
        <v>55</v>
      </c>
      <c r="J570" s="33" t="s">
        <v>55</v>
      </c>
      <c r="K570" s="33">
        <v>0</v>
      </c>
      <c r="L570" s="33" t="s">
        <v>55</v>
      </c>
      <c r="M570" s="33" t="s">
        <v>55</v>
      </c>
      <c r="N570" s="33" t="s">
        <v>55</v>
      </c>
      <c r="O570" s="33" t="s">
        <v>55</v>
      </c>
      <c r="P570" s="33" t="s">
        <v>55</v>
      </c>
      <c r="Q570" s="33" t="s">
        <v>55</v>
      </c>
      <c r="R570" s="33" t="s">
        <v>55</v>
      </c>
      <c r="S570" s="33">
        <v>0</v>
      </c>
      <c r="T570" s="33">
        <v>0</v>
      </c>
      <c r="U570" s="33">
        <v>0</v>
      </c>
      <c r="V570" s="33" t="s">
        <v>55</v>
      </c>
      <c r="W570" s="180">
        <v>46101</v>
      </c>
      <c r="X570" s="28">
        <v>46106</v>
      </c>
      <c r="Y570" s="28">
        <v>46113</v>
      </c>
      <c r="Z570" s="28">
        <v>46113</v>
      </c>
      <c r="AA570" s="33">
        <f>MONTH(Z570)</f>
        <v>4</v>
      </c>
      <c r="AB570" s="144" t="s">
        <v>1741</v>
      </c>
      <c r="AC570" s="114" t="s">
        <v>1742</v>
      </c>
      <c r="AD570" s="19" t="str">
        <f t="shared" si="60"/>
        <v>N/A</v>
      </c>
      <c r="AE570" s="67" t="str">
        <f>IFERROR(NETWORKDAYS(B570,I570,Hoja1!$A$1:$A$29),"N/A")</f>
        <v>N/A</v>
      </c>
      <c r="AF570" s="21">
        <f>IFERROR(NETWORKDAYS(B570,W570,Hoja1!$A$1:$A$29),"N/A")</f>
        <v>1</v>
      </c>
      <c r="AG570" s="78">
        <v>0</v>
      </c>
      <c r="AH570" s="19" t="s">
        <v>82</v>
      </c>
      <c r="AI570" s="21">
        <f>IFERROR(NETWORKDAYS(X570,Y570,Hoja1!$A$1:$A$29),"N/A")</f>
        <v>6</v>
      </c>
      <c r="AJ570" s="78">
        <v>1</v>
      </c>
      <c r="AK570" s="75">
        <f t="shared" si="59"/>
        <v>5</v>
      </c>
      <c r="AL570" s="21">
        <f>IFERROR(NETWORKDAYS(B570,Y570,Hoja1!$A$1:$A$29),"N/A")</f>
        <v>8</v>
      </c>
      <c r="AM570" s="21">
        <f t="shared" si="61"/>
        <v>7</v>
      </c>
      <c r="AN570" s="87"/>
      <c r="AO570" s="87"/>
      <c r="AP570" s="87"/>
      <c r="AQ570" s="87"/>
      <c r="AR570" s="87"/>
      <c r="AS570" s="87" t="s">
        <v>1889</v>
      </c>
      <c r="AT570" s="87" t="s">
        <v>2198</v>
      </c>
      <c r="AU570" s="87" t="s">
        <v>2220</v>
      </c>
      <c r="AV570" s="320" t="s">
        <v>2571</v>
      </c>
      <c r="AW570" s="403" t="s">
        <v>3153</v>
      </c>
      <c r="AY570" s="415"/>
    </row>
    <row r="571" spans="1:51" ht="15" customHeight="1" x14ac:dyDescent="0.25">
      <c r="A571" s="296">
        <v>16175</v>
      </c>
      <c r="B571" s="53">
        <v>46100</v>
      </c>
      <c r="C571" s="28">
        <v>46105</v>
      </c>
      <c r="D571" s="3">
        <v>1</v>
      </c>
      <c r="E571" s="111" t="s">
        <v>54</v>
      </c>
      <c r="F571" s="33" t="s">
        <v>55</v>
      </c>
      <c r="G571" s="33">
        <v>8</v>
      </c>
      <c r="H571" s="21" t="s">
        <v>112</v>
      </c>
      <c r="I571" s="16">
        <v>46105</v>
      </c>
      <c r="J571" s="16">
        <v>46105</v>
      </c>
      <c r="K571" s="33">
        <v>8</v>
      </c>
      <c r="L571" s="33" t="s">
        <v>55</v>
      </c>
      <c r="M571" s="33" t="s">
        <v>55</v>
      </c>
      <c r="N571" s="33" t="s">
        <v>55</v>
      </c>
      <c r="O571" s="33" t="s">
        <v>55</v>
      </c>
      <c r="P571" s="33" t="s">
        <v>55</v>
      </c>
      <c r="Q571" s="33" t="s">
        <v>55</v>
      </c>
      <c r="R571" s="21" t="s">
        <v>55</v>
      </c>
      <c r="S571" s="33">
        <v>2</v>
      </c>
      <c r="T571" s="33">
        <v>2</v>
      </c>
      <c r="U571" s="33">
        <v>0</v>
      </c>
      <c r="V571" s="28">
        <v>46108</v>
      </c>
      <c r="W571" s="28">
        <v>46108</v>
      </c>
      <c r="X571" s="28">
        <v>46108</v>
      </c>
      <c r="Y571" s="38">
        <v>46135</v>
      </c>
      <c r="Z571" s="53">
        <v>46139</v>
      </c>
      <c r="AA571" s="21">
        <v>4</v>
      </c>
      <c r="AB571" s="48" t="s">
        <v>1744</v>
      </c>
      <c r="AC571" s="48" t="s">
        <v>1745</v>
      </c>
      <c r="AD571" s="19">
        <f t="shared" si="60"/>
        <v>1</v>
      </c>
      <c r="AE571" s="67">
        <f>IFERROR(NETWORKDAYS(B571,I571,Hoja1!$A$1:$A$29),"N/A")</f>
        <v>3</v>
      </c>
      <c r="AF571" s="21">
        <f>IFERROR(NETWORKDAYS(B571,W571,Hoja1!$A$1:$A$29),"N/A")</f>
        <v>6</v>
      </c>
      <c r="AG571" s="78">
        <v>0</v>
      </c>
      <c r="AH571" s="21">
        <f t="shared" si="58"/>
        <v>6</v>
      </c>
      <c r="AI571" s="21">
        <f>IFERROR(NETWORKDAYS(X571,Y571,Hoja1!$A$1:$A$29),"N/A")</f>
        <v>18</v>
      </c>
      <c r="AJ571" s="78">
        <v>10</v>
      </c>
      <c r="AK571" s="75">
        <f>AI571-AJ571</f>
        <v>8</v>
      </c>
      <c r="AL571" s="21">
        <f>IFERROR(NETWORKDAYS(B571,Y571,Hoja1!$A$1:$A$29),"N/A")</f>
        <v>23</v>
      </c>
      <c r="AM571" s="21">
        <f t="shared" si="61"/>
        <v>13</v>
      </c>
      <c r="AN571" s="87"/>
      <c r="AO571" s="87"/>
      <c r="AP571" s="87"/>
      <c r="AQ571" s="87"/>
      <c r="AR571" s="87"/>
      <c r="AS571" s="87" t="s">
        <v>1923</v>
      </c>
      <c r="AT571" s="87" t="s">
        <v>2083</v>
      </c>
      <c r="AU571" s="87" t="s">
        <v>2215</v>
      </c>
      <c r="AV571" s="320" t="s">
        <v>2551</v>
      </c>
      <c r="AW571" s="403" t="s">
        <v>3154</v>
      </c>
      <c r="AY571" s="414"/>
    </row>
    <row r="572" spans="1:51" ht="15" customHeight="1" x14ac:dyDescent="0.25">
      <c r="A572" s="294">
        <v>16177</v>
      </c>
      <c r="B572" s="28">
        <v>46105</v>
      </c>
      <c r="C572" s="28">
        <v>46105</v>
      </c>
      <c r="D572" s="3">
        <v>1</v>
      </c>
      <c r="E572" s="111" t="s">
        <v>54</v>
      </c>
      <c r="F572" s="33" t="s">
        <v>55</v>
      </c>
      <c r="G572" s="33">
        <v>0</v>
      </c>
      <c r="H572" s="33"/>
      <c r="I572" s="33" t="s">
        <v>55</v>
      </c>
      <c r="J572" s="33" t="s">
        <v>55</v>
      </c>
      <c r="K572" s="33">
        <v>0</v>
      </c>
      <c r="L572" s="33" t="s">
        <v>55</v>
      </c>
      <c r="M572" s="33" t="s">
        <v>55</v>
      </c>
      <c r="N572" s="33" t="s">
        <v>55</v>
      </c>
      <c r="O572" s="33" t="s">
        <v>55</v>
      </c>
      <c r="P572" s="33" t="s">
        <v>55</v>
      </c>
      <c r="Q572" s="33" t="s">
        <v>55</v>
      </c>
      <c r="R572" s="33" t="s">
        <v>55</v>
      </c>
      <c r="S572" s="33">
        <v>1</v>
      </c>
      <c r="T572" s="33">
        <v>1</v>
      </c>
      <c r="U572" s="33">
        <v>0</v>
      </c>
      <c r="V572" s="28">
        <v>46111</v>
      </c>
      <c r="W572" s="53">
        <v>46111</v>
      </c>
      <c r="X572" s="28">
        <v>46112</v>
      </c>
      <c r="Y572" s="28">
        <v>46127</v>
      </c>
      <c r="Z572" s="180">
        <v>46127</v>
      </c>
      <c r="AA572" s="21">
        <v>4</v>
      </c>
      <c r="AB572" s="87" t="s">
        <v>1746</v>
      </c>
      <c r="AC572" s="48" t="s">
        <v>1747</v>
      </c>
      <c r="AD572" s="19" t="str">
        <f t="shared" si="60"/>
        <v>N/A</v>
      </c>
      <c r="AE572" s="67" t="str">
        <f>IFERROR(NETWORKDAYS(B572,I572,Hoja1!$A$1:$A$29),"N/A")</f>
        <v>N/A</v>
      </c>
      <c r="AF572" s="21">
        <f>IFERROR(NETWORKDAYS(B572,W572,Hoja1!$A$1:$A$29),"N/A")</f>
        <v>5</v>
      </c>
      <c r="AG572" s="78">
        <v>0</v>
      </c>
      <c r="AH572" s="21">
        <f t="shared" si="58"/>
        <v>5</v>
      </c>
      <c r="AI572" s="21">
        <f>IFERROR(NETWORKDAYS(X572,Y572,Hoja1!$A$1:$A$29),"N/A")</f>
        <v>10</v>
      </c>
      <c r="AJ572" s="78">
        <v>0</v>
      </c>
      <c r="AK572" s="75">
        <f t="shared" si="59"/>
        <v>10</v>
      </c>
      <c r="AL572" s="21">
        <f>IFERROR(NETWORKDAYS(B572,Y572,Hoja1!$A$1:$A$29),"N/A")</f>
        <v>15</v>
      </c>
      <c r="AM572" s="21">
        <f t="shared" si="61"/>
        <v>15</v>
      </c>
      <c r="AN572" s="87"/>
      <c r="AO572" s="87"/>
      <c r="AP572" s="87"/>
      <c r="AQ572" s="87"/>
      <c r="AR572" s="87"/>
      <c r="AS572" s="87" t="s">
        <v>1985</v>
      </c>
      <c r="AT572" s="87" t="s">
        <v>2056</v>
      </c>
      <c r="AU572" s="87" t="s">
        <v>2209</v>
      </c>
      <c r="AV572" s="320" t="s">
        <v>2235</v>
      </c>
      <c r="AW572" s="403" t="s">
        <v>3155</v>
      </c>
      <c r="AY572" s="415"/>
    </row>
    <row r="573" spans="1:51" ht="15" customHeight="1" x14ac:dyDescent="0.25">
      <c r="A573" s="301">
        <v>16178</v>
      </c>
      <c r="B573" s="116">
        <v>46106</v>
      </c>
      <c r="C573" s="116">
        <v>46105</v>
      </c>
      <c r="D573" s="33">
        <v>1</v>
      </c>
      <c r="E573" s="111" t="s">
        <v>54</v>
      </c>
      <c r="F573" s="33" t="s">
        <v>55</v>
      </c>
      <c r="G573" s="33">
        <v>3</v>
      </c>
      <c r="H573" s="21" t="s">
        <v>112</v>
      </c>
      <c r="I573" s="28">
        <v>46121</v>
      </c>
      <c r="J573" s="28">
        <v>46122</v>
      </c>
      <c r="K573" s="33">
        <v>3</v>
      </c>
      <c r="L573" s="33" t="s">
        <v>55</v>
      </c>
      <c r="M573" s="33" t="s">
        <v>55</v>
      </c>
      <c r="N573" s="33" t="s">
        <v>55</v>
      </c>
      <c r="O573" s="33" t="s">
        <v>55</v>
      </c>
      <c r="P573" s="33" t="s">
        <v>55</v>
      </c>
      <c r="Q573" s="33" t="s">
        <v>55</v>
      </c>
      <c r="R573" s="21" t="s">
        <v>55</v>
      </c>
      <c r="S573" s="33">
        <v>1</v>
      </c>
      <c r="T573" s="33">
        <v>2</v>
      </c>
      <c r="U573" s="33">
        <v>0</v>
      </c>
      <c r="V573" s="53">
        <v>46127</v>
      </c>
      <c r="W573" s="53">
        <v>46127</v>
      </c>
      <c r="X573" s="53">
        <v>46127</v>
      </c>
      <c r="Y573" s="28">
        <v>46134</v>
      </c>
      <c r="Z573" s="53">
        <v>46139</v>
      </c>
      <c r="AA573" s="33">
        <f>MONTH(Z573)</f>
        <v>4</v>
      </c>
      <c r="AB573" s="144" t="s">
        <v>1748</v>
      </c>
      <c r="AC573" s="114" t="s">
        <v>1749</v>
      </c>
      <c r="AD573" s="19">
        <f t="shared" si="60"/>
        <v>1</v>
      </c>
      <c r="AE573" s="67">
        <f>IFERROR(NETWORKDAYS(B573,I573,Hoja1!$A$1:$A$29),"N/A")</f>
        <v>10</v>
      </c>
      <c r="AF573" s="21">
        <f>IFERROR(NETWORKDAYS(B573,W573,Hoja1!$A$1:$A$29),"N/A")</f>
        <v>14</v>
      </c>
      <c r="AG573" s="78">
        <v>0</v>
      </c>
      <c r="AH573" s="21">
        <f t="shared" ref="AH573:AH636" si="62">AF573-AG573</f>
        <v>14</v>
      </c>
      <c r="AI573" s="21">
        <f>IFERROR(NETWORKDAYS(X573,Y573,Hoja1!$A$1:$A$29),"N/A")</f>
        <v>6</v>
      </c>
      <c r="AJ573" s="78">
        <v>1</v>
      </c>
      <c r="AK573" s="75">
        <f t="shared" ref="AK573:AK607" si="63">AI573-AJ573</f>
        <v>5</v>
      </c>
      <c r="AL573" s="21">
        <f>IFERROR(NETWORKDAYS(B573,Y573,Hoja1!$A$1:$A$29),"N/A")</f>
        <v>19</v>
      </c>
      <c r="AM573" s="21">
        <f t="shared" si="61"/>
        <v>18</v>
      </c>
      <c r="AN573" s="87" t="s">
        <v>1376</v>
      </c>
      <c r="AO573" s="87"/>
      <c r="AP573" s="87"/>
      <c r="AQ573" s="87"/>
      <c r="AR573" s="87"/>
      <c r="AS573" s="87" t="s">
        <v>1908</v>
      </c>
      <c r="AT573" s="87" t="s">
        <v>1996</v>
      </c>
      <c r="AU573" s="87" t="s">
        <v>2220</v>
      </c>
      <c r="AV573" s="320" t="s">
        <v>2232</v>
      </c>
      <c r="AW573" s="403" t="s">
        <v>3156</v>
      </c>
      <c r="AY573" s="414"/>
    </row>
    <row r="574" spans="1:51" ht="15" customHeight="1" x14ac:dyDescent="0.25">
      <c r="A574" s="296">
        <v>16181</v>
      </c>
      <c r="B574" s="180">
        <v>46111</v>
      </c>
      <c r="C574" s="180">
        <v>46106</v>
      </c>
      <c r="D574" s="3">
        <v>1</v>
      </c>
      <c r="E574" s="111" t="s">
        <v>54</v>
      </c>
      <c r="F574" s="33" t="s">
        <v>55</v>
      </c>
      <c r="G574" s="33">
        <v>0</v>
      </c>
      <c r="H574" s="33"/>
      <c r="I574" s="33" t="s">
        <v>55</v>
      </c>
      <c r="J574" s="33" t="s">
        <v>55</v>
      </c>
      <c r="K574" s="33">
        <v>0</v>
      </c>
      <c r="L574" s="33" t="s">
        <v>55</v>
      </c>
      <c r="M574" s="33" t="s">
        <v>55</v>
      </c>
      <c r="N574" s="33" t="s">
        <v>55</v>
      </c>
      <c r="O574" s="33" t="s">
        <v>55</v>
      </c>
      <c r="P574" s="33" t="s">
        <v>55</v>
      </c>
      <c r="Q574" s="33" t="s">
        <v>55</v>
      </c>
      <c r="R574" s="33" t="s">
        <v>55</v>
      </c>
      <c r="S574" s="33">
        <v>1</v>
      </c>
      <c r="T574" s="33">
        <v>1</v>
      </c>
      <c r="U574" s="33">
        <v>0</v>
      </c>
      <c r="V574" s="28">
        <v>46119</v>
      </c>
      <c r="W574" s="28">
        <v>46119</v>
      </c>
      <c r="X574" s="28">
        <v>46120</v>
      </c>
      <c r="Y574" s="180">
        <v>46126</v>
      </c>
      <c r="Z574" s="180">
        <v>46127</v>
      </c>
      <c r="AA574" s="33">
        <v>4</v>
      </c>
      <c r="AB574" s="144" t="s">
        <v>1750</v>
      </c>
      <c r="AC574" s="202" t="s">
        <v>1751</v>
      </c>
      <c r="AD574" s="19" t="str">
        <f t="shared" si="60"/>
        <v>N/A</v>
      </c>
      <c r="AE574" s="67" t="str">
        <f>IFERROR(NETWORKDAYS(B574,I574,Hoja1!$A$1:$A$29),"N/A")</f>
        <v>N/A</v>
      </c>
      <c r="AF574" s="21">
        <f>IFERROR(NETWORKDAYS(B574,W574,Hoja1!$A$1:$A$29),"N/A")</f>
        <v>5</v>
      </c>
      <c r="AG574" s="78">
        <v>0</v>
      </c>
      <c r="AH574" s="21">
        <f t="shared" si="62"/>
        <v>5</v>
      </c>
      <c r="AI574" s="21">
        <f>IFERROR(NETWORKDAYS(X574,Y574,Hoja1!$A$1:$A$29),"N/A")</f>
        <v>5</v>
      </c>
      <c r="AJ574" s="78">
        <v>0</v>
      </c>
      <c r="AK574" s="75">
        <f t="shared" si="63"/>
        <v>5</v>
      </c>
      <c r="AL574" s="21">
        <f>IFERROR(NETWORKDAYS(B574,Y574,Hoja1!$A$1:$A$29),"N/A")</f>
        <v>10</v>
      </c>
      <c r="AM574" s="21">
        <f t="shared" si="61"/>
        <v>10</v>
      </c>
      <c r="AN574" s="87"/>
      <c r="AO574" s="87"/>
      <c r="AP574" s="87"/>
      <c r="AQ574" s="87"/>
      <c r="AR574" s="87"/>
      <c r="AS574" s="87" t="s">
        <v>1903</v>
      </c>
      <c r="AT574" s="87" t="s">
        <v>2199</v>
      </c>
      <c r="AU574" s="87" t="s">
        <v>2210</v>
      </c>
      <c r="AV574" s="320" t="s">
        <v>2572</v>
      </c>
      <c r="AW574" s="403" t="s">
        <v>3157</v>
      </c>
      <c r="AY574" s="415"/>
    </row>
    <row r="575" spans="1:51" ht="15" customHeight="1" x14ac:dyDescent="0.25">
      <c r="A575" s="294">
        <v>16182</v>
      </c>
      <c r="B575" s="53">
        <v>46106</v>
      </c>
      <c r="C575" s="53">
        <v>46106</v>
      </c>
      <c r="D575" s="2">
        <v>1</v>
      </c>
      <c r="E575" s="111" t="s">
        <v>54</v>
      </c>
      <c r="F575" s="21" t="s">
        <v>55</v>
      </c>
      <c r="G575" s="21">
        <v>6</v>
      </c>
      <c r="H575" s="21" t="s">
        <v>112</v>
      </c>
      <c r="I575" s="53">
        <v>46120</v>
      </c>
      <c r="J575" s="53">
        <v>46122</v>
      </c>
      <c r="K575" s="21">
        <v>6</v>
      </c>
      <c r="L575" s="21" t="s">
        <v>55</v>
      </c>
      <c r="M575" s="21" t="s">
        <v>55</v>
      </c>
      <c r="N575" s="21" t="s">
        <v>55</v>
      </c>
      <c r="O575" s="21" t="s">
        <v>55</v>
      </c>
      <c r="P575" s="21" t="s">
        <v>55</v>
      </c>
      <c r="Q575" s="21" t="s">
        <v>55</v>
      </c>
      <c r="R575" s="21" t="s">
        <v>55</v>
      </c>
      <c r="S575" s="21">
        <v>6</v>
      </c>
      <c r="T575" s="21">
        <v>1</v>
      </c>
      <c r="U575" s="21">
        <v>0</v>
      </c>
      <c r="V575" s="53">
        <v>46122</v>
      </c>
      <c r="W575" s="53">
        <v>46122</v>
      </c>
      <c r="X575" s="53">
        <v>46127</v>
      </c>
      <c r="Y575" s="53">
        <v>46133</v>
      </c>
      <c r="Z575" s="53">
        <v>46139</v>
      </c>
      <c r="AA575" s="21">
        <v>4</v>
      </c>
      <c r="AB575" s="159" t="s">
        <v>1753</v>
      </c>
      <c r="AC575" s="111" t="s">
        <v>1754</v>
      </c>
      <c r="AD575" s="19">
        <f t="shared" si="60"/>
        <v>1</v>
      </c>
      <c r="AE575" s="67">
        <f>IFERROR(NETWORKDAYS(B575,I575,Hoja1!$A$1:$A$29),"N/A")</f>
        <v>9</v>
      </c>
      <c r="AF575" s="21">
        <f>IFERROR(NETWORKDAYS(B575,W575,Hoja1!$A$1:$A$29),"N/A")</f>
        <v>11</v>
      </c>
      <c r="AG575" s="78">
        <v>0</v>
      </c>
      <c r="AH575" s="21">
        <f t="shared" si="62"/>
        <v>11</v>
      </c>
      <c r="AI575" s="21">
        <f>IFERROR(NETWORKDAYS(X575,Y575,Hoja1!$A$1:$A$29),"N/A")</f>
        <v>5</v>
      </c>
      <c r="AJ575" s="78">
        <v>0</v>
      </c>
      <c r="AK575" s="75">
        <f t="shared" si="63"/>
        <v>5</v>
      </c>
      <c r="AL575" s="21">
        <f>IFERROR(NETWORKDAYS(B575,Y575,Hoja1!$A$1:$A$29),"N/A")</f>
        <v>18</v>
      </c>
      <c r="AM575" s="21">
        <f t="shared" si="61"/>
        <v>18</v>
      </c>
      <c r="AN575" s="87"/>
      <c r="AO575" s="87"/>
      <c r="AP575" s="87"/>
      <c r="AQ575" s="87"/>
      <c r="AR575" s="87"/>
      <c r="AS575" s="87" t="s">
        <v>1986</v>
      </c>
      <c r="AT575" s="87" t="s">
        <v>2017</v>
      </c>
      <c r="AU575" s="87" t="s">
        <v>2216</v>
      </c>
      <c r="AV575" s="320" t="s">
        <v>2573</v>
      </c>
      <c r="AW575" s="403" t="s">
        <v>3158</v>
      </c>
      <c r="AY575" s="414"/>
    </row>
    <row r="576" spans="1:51" ht="15" customHeight="1" x14ac:dyDescent="0.25">
      <c r="A576" s="294">
        <v>16186</v>
      </c>
      <c r="B576" s="28">
        <v>46106</v>
      </c>
      <c r="C576" s="28">
        <v>46106</v>
      </c>
      <c r="D576" s="3">
        <v>1</v>
      </c>
      <c r="E576" s="111" t="s">
        <v>54</v>
      </c>
      <c r="F576" s="33" t="s">
        <v>55</v>
      </c>
      <c r="G576" s="33">
        <v>5</v>
      </c>
      <c r="H576" s="21" t="s">
        <v>112</v>
      </c>
      <c r="I576" s="28">
        <v>46112</v>
      </c>
      <c r="J576" s="28">
        <v>46112</v>
      </c>
      <c r="K576" s="33">
        <v>5</v>
      </c>
      <c r="L576" s="33" t="s">
        <v>55</v>
      </c>
      <c r="M576" s="33" t="s">
        <v>55</v>
      </c>
      <c r="N576" s="33" t="s">
        <v>55</v>
      </c>
      <c r="O576" s="33" t="s">
        <v>55</v>
      </c>
      <c r="P576" s="33" t="s">
        <v>55</v>
      </c>
      <c r="Q576" s="33" t="s">
        <v>55</v>
      </c>
      <c r="R576" s="21" t="s">
        <v>55</v>
      </c>
      <c r="S576" s="33">
        <v>1</v>
      </c>
      <c r="T576" s="33">
        <v>1</v>
      </c>
      <c r="U576" s="33">
        <v>0</v>
      </c>
      <c r="V576" s="28">
        <v>46119</v>
      </c>
      <c r="W576" s="28">
        <v>46120</v>
      </c>
      <c r="X576" s="28">
        <v>46120</v>
      </c>
      <c r="Y576" s="28">
        <v>46127</v>
      </c>
      <c r="Z576" s="180">
        <v>46127</v>
      </c>
      <c r="AA576" s="21">
        <v>4</v>
      </c>
      <c r="AB576" s="87" t="s">
        <v>1756</v>
      </c>
      <c r="AC576" s="48" t="s">
        <v>1757</v>
      </c>
      <c r="AD576" s="19">
        <f t="shared" si="60"/>
        <v>1</v>
      </c>
      <c r="AE576" s="67">
        <f>IFERROR(NETWORKDAYS(B576,I576,Hoja1!$A$1:$A$29),"N/A")</f>
        <v>5</v>
      </c>
      <c r="AF576" s="21">
        <f>IFERROR(NETWORKDAYS(B576,W576,Hoja1!$A$1:$A$29),"N/A")</f>
        <v>9</v>
      </c>
      <c r="AG576" s="78">
        <v>0</v>
      </c>
      <c r="AH576" s="21">
        <f t="shared" si="62"/>
        <v>9</v>
      </c>
      <c r="AI576" s="21">
        <f>IFERROR(NETWORKDAYS(X576,Y576,Hoja1!$A$1:$A$29),"N/A")</f>
        <v>6</v>
      </c>
      <c r="AJ576" s="78">
        <v>0</v>
      </c>
      <c r="AK576" s="75">
        <f t="shared" si="63"/>
        <v>6</v>
      </c>
      <c r="AL576" s="21">
        <f>IFERROR(NETWORKDAYS(B576,Y576,Hoja1!$A$1:$A$29),"N/A")</f>
        <v>14</v>
      </c>
      <c r="AM576" s="21">
        <f t="shared" si="61"/>
        <v>14</v>
      </c>
      <c r="AN576" s="87"/>
      <c r="AO576" s="87"/>
      <c r="AP576" s="87"/>
      <c r="AQ576" s="87"/>
      <c r="AR576" s="87"/>
      <c r="AS576" s="87" t="s">
        <v>1953</v>
      </c>
      <c r="AT576" s="87" t="s">
        <v>2095</v>
      </c>
      <c r="AU576" s="87" t="s">
        <v>2209</v>
      </c>
      <c r="AV576" s="320" t="s">
        <v>2574</v>
      </c>
      <c r="AW576" s="403" t="s">
        <v>3159</v>
      </c>
      <c r="AY576" s="415"/>
    </row>
    <row r="577" spans="1:51" ht="15" customHeight="1" x14ac:dyDescent="0.25">
      <c r="A577" s="294">
        <v>16187</v>
      </c>
      <c r="B577" s="180">
        <v>46106</v>
      </c>
      <c r="C577" s="180">
        <v>46106</v>
      </c>
      <c r="D577" s="3">
        <v>1</v>
      </c>
      <c r="E577" s="111" t="s">
        <v>54</v>
      </c>
      <c r="F577" s="33" t="s">
        <v>55</v>
      </c>
      <c r="G577" s="33">
        <v>0</v>
      </c>
      <c r="H577" s="33"/>
      <c r="I577" s="28" t="s">
        <v>55</v>
      </c>
      <c r="J577" s="28" t="s">
        <v>55</v>
      </c>
      <c r="K577" s="33">
        <v>0</v>
      </c>
      <c r="L577" s="33" t="s">
        <v>55</v>
      </c>
      <c r="M577" s="33" t="s">
        <v>55</v>
      </c>
      <c r="N577" s="33" t="s">
        <v>55</v>
      </c>
      <c r="O577" s="33" t="s">
        <v>55</v>
      </c>
      <c r="P577" s="33" t="s">
        <v>55</v>
      </c>
      <c r="Q577" s="33" t="s">
        <v>55</v>
      </c>
      <c r="R577" s="33" t="s">
        <v>55</v>
      </c>
      <c r="S577" s="33">
        <v>1</v>
      </c>
      <c r="T577" s="33">
        <v>1</v>
      </c>
      <c r="U577" s="33">
        <v>0</v>
      </c>
      <c r="V577" s="28">
        <v>46112</v>
      </c>
      <c r="W577" s="28">
        <v>46112</v>
      </c>
      <c r="X577" s="28">
        <v>46118</v>
      </c>
      <c r="Y577" s="180">
        <v>46126</v>
      </c>
      <c r="Z577" s="180">
        <v>46127</v>
      </c>
      <c r="AA577" s="33">
        <v>4</v>
      </c>
      <c r="AB577" s="144" t="s">
        <v>1759</v>
      </c>
      <c r="AC577" s="45" t="s">
        <v>1760</v>
      </c>
      <c r="AD577" s="19" t="str">
        <f t="shared" si="60"/>
        <v>N/A</v>
      </c>
      <c r="AE577" s="67" t="str">
        <f>IFERROR(NETWORKDAYS(B577,I577,Hoja1!$A$1:$A$29),"N/A")</f>
        <v>N/A</v>
      </c>
      <c r="AF577" s="21">
        <f>IFERROR(NETWORKDAYS(B577,W577,Hoja1!$A$1:$A$29),"N/A")</f>
        <v>5</v>
      </c>
      <c r="AG577" s="78">
        <v>0</v>
      </c>
      <c r="AH577" s="21">
        <f t="shared" si="62"/>
        <v>5</v>
      </c>
      <c r="AI577" s="21">
        <f>IFERROR(NETWORKDAYS(X577,Y577,Hoja1!$A$1:$A$29),"N/A")</f>
        <v>7</v>
      </c>
      <c r="AJ577" s="78">
        <v>2</v>
      </c>
      <c r="AK577" s="75">
        <f t="shared" si="63"/>
        <v>5</v>
      </c>
      <c r="AL577" s="21">
        <f>IFERROR(NETWORKDAYS(B577,Y577,Hoja1!$A$1:$A$29),"N/A")</f>
        <v>13</v>
      </c>
      <c r="AM577" s="21">
        <f t="shared" si="61"/>
        <v>11</v>
      </c>
      <c r="AN577" s="87"/>
      <c r="AO577" s="87"/>
      <c r="AP577" s="87"/>
      <c r="AQ577" s="87"/>
      <c r="AR577" s="87"/>
      <c r="AS577" s="87" t="s">
        <v>1888</v>
      </c>
      <c r="AT577" s="87" t="s">
        <v>2032</v>
      </c>
      <c r="AU577" s="87" t="s">
        <v>2222</v>
      </c>
      <c r="AV577" s="320" t="s">
        <v>2575</v>
      </c>
      <c r="AW577" s="403" t="s">
        <v>3160</v>
      </c>
      <c r="AY577" s="414"/>
    </row>
    <row r="578" spans="1:51" ht="15" customHeight="1" x14ac:dyDescent="0.25">
      <c r="A578" s="294">
        <v>16191</v>
      </c>
      <c r="B578" s="53">
        <v>46106</v>
      </c>
      <c r="C578" s="53">
        <v>46106</v>
      </c>
      <c r="D578" s="2">
        <v>1</v>
      </c>
      <c r="E578" s="111" t="s">
        <v>54</v>
      </c>
      <c r="F578" s="21" t="s">
        <v>55</v>
      </c>
      <c r="G578" s="21">
        <v>3</v>
      </c>
      <c r="H578" s="21" t="s">
        <v>112</v>
      </c>
      <c r="I578" s="53">
        <v>46111</v>
      </c>
      <c r="J578" s="53">
        <v>46111</v>
      </c>
      <c r="K578" s="21">
        <v>3</v>
      </c>
      <c r="L578" s="21" t="s">
        <v>55</v>
      </c>
      <c r="M578" s="21" t="s">
        <v>55</v>
      </c>
      <c r="N578" s="21" t="s">
        <v>55</v>
      </c>
      <c r="O578" s="21" t="s">
        <v>55</v>
      </c>
      <c r="P578" s="21" t="s">
        <v>55</v>
      </c>
      <c r="Q578" s="21" t="s">
        <v>55</v>
      </c>
      <c r="R578" s="21" t="s">
        <v>55</v>
      </c>
      <c r="S578" s="21">
        <v>3</v>
      </c>
      <c r="T578" s="21">
        <v>1</v>
      </c>
      <c r="U578" s="21">
        <v>0</v>
      </c>
      <c r="V578" s="53">
        <v>46120</v>
      </c>
      <c r="W578" s="53">
        <v>46120</v>
      </c>
      <c r="X578" s="53">
        <v>46120</v>
      </c>
      <c r="Y578" s="180">
        <v>46126</v>
      </c>
      <c r="Z578" s="180">
        <v>46127</v>
      </c>
      <c r="AA578" s="21">
        <v>4</v>
      </c>
      <c r="AB578" s="159" t="s">
        <v>1762</v>
      </c>
      <c r="AC578" s="111" t="s">
        <v>1763</v>
      </c>
      <c r="AD578" s="19">
        <f t="shared" ref="AD578:AD641" si="64">IFERROR(K578/G578,"N/A")</f>
        <v>1</v>
      </c>
      <c r="AE578" s="67">
        <f>IFERROR(NETWORKDAYS(B578,I578,Hoja1!$A$1:$A$29),"N/A")</f>
        <v>4</v>
      </c>
      <c r="AF578" s="21">
        <f>IFERROR(NETWORKDAYS(B578,W578,Hoja1!$A$1:$A$29),"N/A")</f>
        <v>9</v>
      </c>
      <c r="AG578" s="78">
        <v>0</v>
      </c>
      <c r="AH578" s="21">
        <f t="shared" si="62"/>
        <v>9</v>
      </c>
      <c r="AI578" s="21">
        <f>IFERROR(NETWORKDAYS(X578,Y578,Hoja1!$A$1:$A$29),"N/A")</f>
        <v>5</v>
      </c>
      <c r="AJ578" s="78">
        <v>0</v>
      </c>
      <c r="AK578" s="75">
        <f t="shared" si="63"/>
        <v>5</v>
      </c>
      <c r="AL578" s="21">
        <f>IFERROR(NETWORKDAYS(B578,Y578,Hoja1!$A$1:$A$29),"N/A")</f>
        <v>13</v>
      </c>
      <c r="AM578" s="21">
        <f t="shared" ref="AM578:AM641" si="65">AL578-AG578-AJ578</f>
        <v>13</v>
      </c>
      <c r="AN578" s="87"/>
      <c r="AO578" s="87"/>
      <c r="AP578" s="87"/>
      <c r="AQ578" s="87"/>
      <c r="AR578" s="87"/>
      <c r="AS578" s="87" t="s">
        <v>1890</v>
      </c>
      <c r="AT578" s="87" t="s">
        <v>1995</v>
      </c>
      <c r="AU578" s="87" t="s">
        <v>2219</v>
      </c>
      <c r="AV578" s="320" t="s">
        <v>2576</v>
      </c>
      <c r="AW578" s="403" t="s">
        <v>3161</v>
      </c>
      <c r="AY578" s="415"/>
    </row>
    <row r="579" spans="1:51" ht="15" customHeight="1" x14ac:dyDescent="0.25">
      <c r="A579" s="294">
        <v>16193</v>
      </c>
      <c r="B579" s="53">
        <v>46106</v>
      </c>
      <c r="C579" s="53">
        <v>46106</v>
      </c>
      <c r="D579" s="2">
        <v>1</v>
      </c>
      <c r="E579" s="111" t="s">
        <v>54</v>
      </c>
      <c r="F579" s="21" t="s">
        <v>55</v>
      </c>
      <c r="G579" s="21">
        <v>3</v>
      </c>
      <c r="H579" s="21" t="s">
        <v>112</v>
      </c>
      <c r="I579" s="53">
        <v>46118</v>
      </c>
      <c r="J579" s="53">
        <v>46120</v>
      </c>
      <c r="K579" s="21">
        <v>3</v>
      </c>
      <c r="L579" s="21" t="s">
        <v>55</v>
      </c>
      <c r="M579" s="21" t="s">
        <v>55</v>
      </c>
      <c r="N579" s="21" t="s">
        <v>55</v>
      </c>
      <c r="O579" s="21" t="s">
        <v>55</v>
      </c>
      <c r="P579" s="21" t="s">
        <v>55</v>
      </c>
      <c r="Q579" s="21" t="s">
        <v>55</v>
      </c>
      <c r="R579" s="21" t="s">
        <v>55</v>
      </c>
      <c r="S579" s="21">
        <v>3</v>
      </c>
      <c r="T579" s="21">
        <v>1</v>
      </c>
      <c r="U579" s="21">
        <v>0</v>
      </c>
      <c r="V579" s="53">
        <v>46126</v>
      </c>
      <c r="W579" s="53">
        <v>46126</v>
      </c>
      <c r="X579" s="53">
        <v>46127</v>
      </c>
      <c r="Y579" s="53">
        <v>46133</v>
      </c>
      <c r="Z579" s="53">
        <v>46139</v>
      </c>
      <c r="AA579" s="21">
        <v>4</v>
      </c>
      <c r="AB579" s="159" t="s">
        <v>1765</v>
      </c>
      <c r="AC579" s="111" t="s">
        <v>1766</v>
      </c>
      <c r="AD579" s="19">
        <f t="shared" si="64"/>
        <v>1</v>
      </c>
      <c r="AE579" s="67">
        <f>IFERROR(NETWORKDAYS(B579,I579,Hoja1!$A$1:$A$29),"N/A")</f>
        <v>7</v>
      </c>
      <c r="AF579" s="21">
        <f>IFERROR(NETWORKDAYS(B579,W579,Hoja1!$A$1:$A$29),"N/A")</f>
        <v>13</v>
      </c>
      <c r="AG579" s="78">
        <v>0</v>
      </c>
      <c r="AH579" s="21">
        <f t="shared" si="62"/>
        <v>13</v>
      </c>
      <c r="AI579" s="21">
        <f>IFERROR(NETWORKDAYS(X579,Y579,Hoja1!$A$1:$A$29),"N/A")</f>
        <v>5</v>
      </c>
      <c r="AJ579" s="78">
        <v>0</v>
      </c>
      <c r="AK579" s="75">
        <f t="shared" si="63"/>
        <v>5</v>
      </c>
      <c r="AL579" s="21">
        <f>IFERROR(NETWORKDAYS(B579,Y579,Hoja1!$A$1:$A$29),"N/A")</f>
        <v>18</v>
      </c>
      <c r="AM579" s="21">
        <f t="shared" si="65"/>
        <v>18</v>
      </c>
      <c r="AN579" s="87"/>
      <c r="AO579" s="87"/>
      <c r="AP579" s="87"/>
      <c r="AQ579" s="87"/>
      <c r="AR579" s="87"/>
      <c r="AS579" s="87" t="s">
        <v>1890</v>
      </c>
      <c r="AT579" s="87" t="s">
        <v>1995</v>
      </c>
      <c r="AU579" s="87" t="s">
        <v>2219</v>
      </c>
      <c r="AV579" s="320" t="s">
        <v>2577</v>
      </c>
      <c r="AW579" s="403" t="s">
        <v>3162</v>
      </c>
      <c r="AY579" s="414"/>
    </row>
    <row r="580" spans="1:51" ht="15" customHeight="1" x14ac:dyDescent="0.25">
      <c r="A580" s="296">
        <v>16196</v>
      </c>
      <c r="B580" s="53">
        <v>46101</v>
      </c>
      <c r="C580" s="28">
        <v>46108</v>
      </c>
      <c r="D580" s="3">
        <v>1</v>
      </c>
      <c r="E580" s="111" t="s">
        <v>54</v>
      </c>
      <c r="F580" s="33" t="s">
        <v>55</v>
      </c>
      <c r="G580" s="33">
        <v>7</v>
      </c>
      <c r="H580" s="21" t="s">
        <v>112</v>
      </c>
      <c r="I580" s="16">
        <v>46105</v>
      </c>
      <c r="J580" s="16">
        <v>46105</v>
      </c>
      <c r="K580" s="33">
        <v>7</v>
      </c>
      <c r="L580" s="33" t="s">
        <v>55</v>
      </c>
      <c r="M580" s="33" t="s">
        <v>55</v>
      </c>
      <c r="N580" s="33" t="s">
        <v>55</v>
      </c>
      <c r="O580" s="33" t="s">
        <v>55</v>
      </c>
      <c r="P580" s="33" t="s">
        <v>55</v>
      </c>
      <c r="Q580" s="33" t="s">
        <v>55</v>
      </c>
      <c r="R580" s="21" t="s">
        <v>55</v>
      </c>
      <c r="S580" s="33">
        <v>2</v>
      </c>
      <c r="T580" s="33">
        <v>2</v>
      </c>
      <c r="U580" s="33">
        <v>0</v>
      </c>
      <c r="V580" s="28">
        <v>46108</v>
      </c>
      <c r="W580" s="28">
        <v>46120</v>
      </c>
      <c r="X580" s="28">
        <v>46120</v>
      </c>
      <c r="Y580" s="53">
        <v>46133</v>
      </c>
      <c r="Z580" s="53">
        <v>46139</v>
      </c>
      <c r="AA580" s="21">
        <v>4</v>
      </c>
      <c r="AB580" s="48" t="s">
        <v>1768</v>
      </c>
      <c r="AC580" s="48" t="s">
        <v>1769</v>
      </c>
      <c r="AD580" s="19">
        <f t="shared" si="64"/>
        <v>1</v>
      </c>
      <c r="AE580" s="67">
        <f>IFERROR(NETWORKDAYS(B580,I580,Hoja1!$A$1:$A$29),"N/A")</f>
        <v>2</v>
      </c>
      <c r="AF580" s="21">
        <f>IFERROR(NETWORKDAYS(B580,W580,Hoja1!$A$1:$A$29),"N/A")</f>
        <v>11</v>
      </c>
      <c r="AG580" s="78">
        <v>0</v>
      </c>
      <c r="AH580" s="21">
        <f t="shared" si="62"/>
        <v>11</v>
      </c>
      <c r="AI580" s="21">
        <f>IFERROR(NETWORKDAYS(X580,Y580,Hoja1!$A$1:$A$29),"N/A")</f>
        <v>10</v>
      </c>
      <c r="AJ580" s="78">
        <v>0</v>
      </c>
      <c r="AK580" s="75">
        <f t="shared" si="63"/>
        <v>10</v>
      </c>
      <c r="AL580" s="21">
        <f>IFERROR(NETWORKDAYS(B580,Y580,Hoja1!$A$1:$A$29),"N/A")</f>
        <v>20</v>
      </c>
      <c r="AM580" s="21">
        <f t="shared" si="65"/>
        <v>20</v>
      </c>
      <c r="AN580" s="87"/>
      <c r="AO580" s="87"/>
      <c r="AP580" s="87"/>
      <c r="AQ580" s="87"/>
      <c r="AR580" s="87"/>
      <c r="AS580" s="87" t="s">
        <v>1987</v>
      </c>
      <c r="AT580" s="87" t="s">
        <v>1994</v>
      </c>
      <c r="AU580" s="87" t="s">
        <v>2215</v>
      </c>
      <c r="AV580" s="320" t="s">
        <v>2307</v>
      </c>
      <c r="AW580" s="403" t="s">
        <v>3163</v>
      </c>
      <c r="AY580" s="415"/>
    </row>
    <row r="581" spans="1:51" ht="15" customHeight="1" x14ac:dyDescent="0.25">
      <c r="A581" s="298">
        <v>16197</v>
      </c>
      <c r="B581" s="180">
        <v>46108</v>
      </c>
      <c r="C581" s="180">
        <v>46108</v>
      </c>
      <c r="D581" s="1">
        <v>1</v>
      </c>
      <c r="E581" s="111" t="s">
        <v>54</v>
      </c>
      <c r="F581" s="33" t="s">
        <v>55</v>
      </c>
      <c r="G581" s="33">
        <v>0</v>
      </c>
      <c r="H581" s="1"/>
      <c r="I581" s="33" t="s">
        <v>55</v>
      </c>
      <c r="J581" s="33" t="s">
        <v>55</v>
      </c>
      <c r="K581" s="33">
        <v>0</v>
      </c>
      <c r="L581" s="33" t="s">
        <v>55</v>
      </c>
      <c r="M581" s="33" t="s">
        <v>55</v>
      </c>
      <c r="N581" s="33" t="s">
        <v>55</v>
      </c>
      <c r="O581" s="33" t="s">
        <v>55</v>
      </c>
      <c r="P581" s="33" t="s">
        <v>55</v>
      </c>
      <c r="Q581" s="33" t="s">
        <v>55</v>
      </c>
      <c r="R581" s="33" t="s">
        <v>55</v>
      </c>
      <c r="S581" s="33">
        <v>1</v>
      </c>
      <c r="T581" s="33">
        <v>1</v>
      </c>
      <c r="U581" s="33">
        <v>0</v>
      </c>
      <c r="V581" s="16">
        <v>46120</v>
      </c>
      <c r="W581" s="16">
        <v>46120</v>
      </c>
      <c r="X581" s="16">
        <v>46120</v>
      </c>
      <c r="Y581" s="180">
        <v>46126</v>
      </c>
      <c r="Z581" s="180">
        <v>46127</v>
      </c>
      <c r="AA581" s="33">
        <v>4</v>
      </c>
      <c r="AB581" s="183" t="s">
        <v>1771</v>
      </c>
      <c r="AC581" s="49" t="s">
        <v>1772</v>
      </c>
      <c r="AD581" s="19" t="str">
        <f t="shared" si="64"/>
        <v>N/A</v>
      </c>
      <c r="AE581" s="67" t="str">
        <f>IFERROR(NETWORKDAYS(B581,I581,Hoja1!$A$1:$A$29),"N/A")</f>
        <v>N/A</v>
      </c>
      <c r="AF581" s="21">
        <f>IFERROR(NETWORKDAYS(B581,W581,Hoja1!$A$1:$A$29),"N/A")</f>
        <v>7</v>
      </c>
      <c r="AG581" s="78">
        <v>0</v>
      </c>
      <c r="AH581" s="21">
        <f t="shared" si="62"/>
        <v>7</v>
      </c>
      <c r="AI581" s="21">
        <f>IFERROR(NETWORKDAYS(X581,Y581,Hoja1!$A$1:$A$29),"N/A")</f>
        <v>5</v>
      </c>
      <c r="AJ581" s="78">
        <v>0</v>
      </c>
      <c r="AK581" s="75">
        <f t="shared" si="63"/>
        <v>5</v>
      </c>
      <c r="AL581" s="21">
        <f>IFERROR(NETWORKDAYS(B581,Y581,Hoja1!$A$1:$A$29),"N/A")</f>
        <v>11</v>
      </c>
      <c r="AM581" s="21">
        <f t="shared" si="65"/>
        <v>11</v>
      </c>
      <c r="AN581" s="87"/>
      <c r="AO581" s="87"/>
      <c r="AP581" s="87"/>
      <c r="AQ581" s="87"/>
      <c r="AR581" s="87"/>
      <c r="AS581" s="87" t="s">
        <v>1903</v>
      </c>
      <c r="AT581" s="87" t="s">
        <v>2200</v>
      </c>
      <c r="AU581" s="87" t="s">
        <v>2210</v>
      </c>
      <c r="AV581" s="320" t="s">
        <v>2566</v>
      </c>
      <c r="AW581" s="403" t="s">
        <v>3164</v>
      </c>
      <c r="AY581" s="414"/>
    </row>
    <row r="582" spans="1:51" ht="15" customHeight="1" x14ac:dyDescent="0.25">
      <c r="A582" s="294">
        <v>16198</v>
      </c>
      <c r="B582" s="53">
        <v>46083</v>
      </c>
      <c r="C582" s="53">
        <v>46108</v>
      </c>
      <c r="D582" s="2">
        <v>1</v>
      </c>
      <c r="E582" s="111" t="s">
        <v>54</v>
      </c>
      <c r="F582" s="21" t="s">
        <v>55</v>
      </c>
      <c r="G582" s="21">
        <v>4</v>
      </c>
      <c r="H582" s="21" t="s">
        <v>112</v>
      </c>
      <c r="I582" s="53">
        <v>46094</v>
      </c>
      <c r="J582" s="53">
        <v>46094</v>
      </c>
      <c r="K582" s="21">
        <v>4</v>
      </c>
      <c r="L582" s="21" t="s">
        <v>55</v>
      </c>
      <c r="M582" s="21" t="s">
        <v>55</v>
      </c>
      <c r="N582" s="21" t="s">
        <v>55</v>
      </c>
      <c r="O582" s="21" t="s">
        <v>55</v>
      </c>
      <c r="P582" s="21" t="s">
        <v>55</v>
      </c>
      <c r="Q582" s="21" t="s">
        <v>55</v>
      </c>
      <c r="R582" s="21" t="s">
        <v>55</v>
      </c>
      <c r="S582" s="21">
        <v>4</v>
      </c>
      <c r="T582" s="21">
        <v>1</v>
      </c>
      <c r="U582" s="21">
        <v>0</v>
      </c>
      <c r="V582" s="53">
        <v>46106</v>
      </c>
      <c r="W582" s="53">
        <v>46106</v>
      </c>
      <c r="X582" s="53">
        <v>46106</v>
      </c>
      <c r="Y582" s="28">
        <v>46112</v>
      </c>
      <c r="Z582" s="53">
        <v>46118</v>
      </c>
      <c r="AA582" s="21">
        <v>4</v>
      </c>
      <c r="AB582" s="159" t="s">
        <v>1773</v>
      </c>
      <c r="AC582" s="111" t="s">
        <v>1774</v>
      </c>
      <c r="AD582" s="19">
        <f t="shared" si="64"/>
        <v>1</v>
      </c>
      <c r="AE582" s="67">
        <f>IFERROR(NETWORKDAYS(B582,I582,Hoja1!$A$1:$A$29),"N/A")</f>
        <v>10</v>
      </c>
      <c r="AF582" s="21">
        <f>IFERROR(NETWORKDAYS(B582,W582,Hoja1!$A$1:$A$29),"N/A")</f>
        <v>17</v>
      </c>
      <c r="AG582" s="78">
        <v>0</v>
      </c>
      <c r="AH582" s="21">
        <f t="shared" si="62"/>
        <v>17</v>
      </c>
      <c r="AI582" s="21">
        <f>IFERROR(NETWORKDAYS(X582,Y582,Hoja1!$A$1:$A$29),"N/A")</f>
        <v>5</v>
      </c>
      <c r="AJ582" s="78">
        <v>0</v>
      </c>
      <c r="AK582" s="75">
        <f t="shared" si="63"/>
        <v>5</v>
      </c>
      <c r="AL582" s="21">
        <f>IFERROR(NETWORKDAYS(B582,Y582,Hoja1!$A$1:$A$29),"N/A")</f>
        <v>21</v>
      </c>
      <c r="AM582" s="21">
        <f t="shared" si="65"/>
        <v>21</v>
      </c>
      <c r="AN582" s="87"/>
      <c r="AO582" s="87"/>
      <c r="AP582" s="87"/>
      <c r="AQ582" s="87"/>
      <c r="AR582" s="87"/>
      <c r="AS582" s="87" t="s">
        <v>1895</v>
      </c>
      <c r="AT582" s="87" t="s">
        <v>2053</v>
      </c>
      <c r="AU582" s="87" t="s">
        <v>2216</v>
      </c>
      <c r="AV582" s="320" t="s">
        <v>2578</v>
      </c>
      <c r="AW582" s="403" t="s">
        <v>3165</v>
      </c>
      <c r="AY582" s="415"/>
    </row>
    <row r="583" spans="1:51" ht="15" customHeight="1" x14ac:dyDescent="0.25">
      <c r="A583" s="301">
        <v>16199</v>
      </c>
      <c r="B583" s="180">
        <v>46108</v>
      </c>
      <c r="C583" s="180">
        <v>46108</v>
      </c>
      <c r="D583" s="1">
        <v>1</v>
      </c>
      <c r="E583" s="111" t="s">
        <v>54</v>
      </c>
      <c r="F583" s="33" t="s">
        <v>55</v>
      </c>
      <c r="G583" s="33">
        <v>0</v>
      </c>
      <c r="H583" s="1"/>
      <c r="I583" s="16" t="s">
        <v>55</v>
      </c>
      <c r="J583" s="16" t="s">
        <v>55</v>
      </c>
      <c r="K583" s="33">
        <v>0</v>
      </c>
      <c r="L583" s="33" t="s">
        <v>55</v>
      </c>
      <c r="M583" s="33" t="s">
        <v>55</v>
      </c>
      <c r="N583" s="33" t="s">
        <v>55</v>
      </c>
      <c r="O583" s="33" t="s">
        <v>55</v>
      </c>
      <c r="P583" s="33" t="s">
        <v>55</v>
      </c>
      <c r="Q583" s="33" t="s">
        <v>55</v>
      </c>
      <c r="R583" s="33" t="s">
        <v>55</v>
      </c>
      <c r="S583" s="33">
        <v>1</v>
      </c>
      <c r="T583" s="33">
        <v>1</v>
      </c>
      <c r="U583" s="33">
        <v>0</v>
      </c>
      <c r="V583" s="16">
        <v>46118</v>
      </c>
      <c r="W583" s="16">
        <v>46118</v>
      </c>
      <c r="X583" s="16">
        <v>46118</v>
      </c>
      <c r="Y583" s="180">
        <v>46126</v>
      </c>
      <c r="Z583" s="180">
        <v>46127</v>
      </c>
      <c r="AA583" s="33">
        <v>4</v>
      </c>
      <c r="AB583" s="240" t="s">
        <v>1776</v>
      </c>
      <c r="AC583" s="49" t="s">
        <v>1777</v>
      </c>
      <c r="AD583" s="19" t="str">
        <f t="shared" si="64"/>
        <v>N/A</v>
      </c>
      <c r="AE583" s="67" t="str">
        <f>IFERROR(NETWORKDAYS(B583,I583,Hoja1!$A$1:$A$29),"N/A")</f>
        <v>N/A</v>
      </c>
      <c r="AF583" s="21">
        <f>IFERROR(NETWORKDAYS(B583,W583,Hoja1!$A$1:$A$29),"N/A")</f>
        <v>5</v>
      </c>
      <c r="AG583" s="78">
        <v>0</v>
      </c>
      <c r="AH583" s="21">
        <f t="shared" si="62"/>
        <v>5</v>
      </c>
      <c r="AI583" s="21">
        <f>IFERROR(NETWORKDAYS(X583,Y583,Hoja1!$A$1:$A$29),"N/A")</f>
        <v>7</v>
      </c>
      <c r="AJ583" s="78">
        <v>2</v>
      </c>
      <c r="AK583" s="75">
        <f t="shared" si="63"/>
        <v>5</v>
      </c>
      <c r="AL583" s="21">
        <f>IFERROR(NETWORKDAYS(B583,Y583,Hoja1!$A$1:$A$29),"N/A")</f>
        <v>11</v>
      </c>
      <c r="AM583" s="21">
        <f t="shared" si="65"/>
        <v>9</v>
      </c>
      <c r="AN583" s="87"/>
      <c r="AO583" s="87"/>
      <c r="AP583" s="87"/>
      <c r="AQ583" s="87"/>
      <c r="AR583" s="87"/>
      <c r="AS583" s="87" t="s">
        <v>1888</v>
      </c>
      <c r="AT583" s="87" t="s">
        <v>2062</v>
      </c>
      <c r="AU583" s="87" t="s">
        <v>2222</v>
      </c>
      <c r="AV583" s="320" t="s">
        <v>2579</v>
      </c>
      <c r="AW583" s="403" t="s">
        <v>3166</v>
      </c>
      <c r="AY583" s="414"/>
    </row>
    <row r="584" spans="1:51" ht="15" customHeight="1" x14ac:dyDescent="0.25">
      <c r="A584" s="301">
        <v>16200</v>
      </c>
      <c r="B584" s="180">
        <v>46106</v>
      </c>
      <c r="C584" s="180">
        <v>46108</v>
      </c>
      <c r="D584" s="1">
        <v>1</v>
      </c>
      <c r="E584" s="111" t="s">
        <v>54</v>
      </c>
      <c r="F584" s="33" t="s">
        <v>55</v>
      </c>
      <c r="G584" s="33">
        <v>0</v>
      </c>
      <c r="H584" s="1"/>
      <c r="I584" s="21" t="s">
        <v>55</v>
      </c>
      <c r="J584" s="21" t="s">
        <v>55</v>
      </c>
      <c r="K584" s="33">
        <v>0</v>
      </c>
      <c r="L584" s="33" t="s">
        <v>55</v>
      </c>
      <c r="M584" s="33" t="s">
        <v>55</v>
      </c>
      <c r="N584" s="33" t="s">
        <v>55</v>
      </c>
      <c r="O584" s="33" t="s">
        <v>55</v>
      </c>
      <c r="P584" s="33" t="s">
        <v>55</v>
      </c>
      <c r="Q584" s="33" t="s">
        <v>55</v>
      </c>
      <c r="R584" s="33" t="s">
        <v>55</v>
      </c>
      <c r="S584" s="33">
        <v>1</v>
      </c>
      <c r="T584" s="33">
        <v>1</v>
      </c>
      <c r="U584" s="33">
        <v>0</v>
      </c>
      <c r="V584" s="28">
        <v>46112</v>
      </c>
      <c r="W584" s="16">
        <v>46118</v>
      </c>
      <c r="X584" s="16">
        <v>46118</v>
      </c>
      <c r="Y584" s="180">
        <v>46126</v>
      </c>
      <c r="Z584" s="180">
        <v>46127</v>
      </c>
      <c r="AA584" s="33">
        <v>4</v>
      </c>
      <c r="AB584" s="240" t="s">
        <v>1779</v>
      </c>
      <c r="AC584" s="49" t="s">
        <v>1780</v>
      </c>
      <c r="AD584" s="19" t="str">
        <f t="shared" si="64"/>
        <v>N/A</v>
      </c>
      <c r="AE584" s="67" t="str">
        <f>IFERROR(NETWORKDAYS(B584,I584,Hoja1!$A$1:$A$29),"N/A")</f>
        <v>N/A</v>
      </c>
      <c r="AF584" s="21">
        <f>IFERROR(NETWORKDAYS(B584,W584,Hoja1!$A$1:$A$29),"N/A")</f>
        <v>7</v>
      </c>
      <c r="AG584" s="78">
        <v>2</v>
      </c>
      <c r="AH584" s="21">
        <f t="shared" si="62"/>
        <v>5</v>
      </c>
      <c r="AI584" s="21">
        <f>IFERROR(NETWORKDAYS(X584,Y584,Hoja1!$A$1:$A$29),"N/A")</f>
        <v>7</v>
      </c>
      <c r="AJ584" s="78">
        <v>2</v>
      </c>
      <c r="AK584" s="75">
        <f t="shared" si="63"/>
        <v>5</v>
      </c>
      <c r="AL584" s="21">
        <f>IFERROR(NETWORKDAYS(B584,Y584,Hoja1!$A$1:$A$29),"N/A")</f>
        <v>13</v>
      </c>
      <c r="AM584" s="21">
        <f t="shared" si="65"/>
        <v>9</v>
      </c>
      <c r="AN584" s="87"/>
      <c r="AO584" s="87"/>
      <c r="AP584" s="87"/>
      <c r="AQ584" s="87"/>
      <c r="AR584" s="87"/>
      <c r="AS584" s="87" t="s">
        <v>1888</v>
      </c>
      <c r="AT584" s="87" t="s">
        <v>2062</v>
      </c>
      <c r="AU584" s="87" t="s">
        <v>2222</v>
      </c>
      <c r="AV584" s="320" t="s">
        <v>2580</v>
      </c>
      <c r="AW584" s="403" t="s">
        <v>3167</v>
      </c>
      <c r="AY584" s="415"/>
    </row>
    <row r="585" spans="1:51" ht="15" customHeight="1" x14ac:dyDescent="0.25">
      <c r="A585" s="298">
        <v>16201</v>
      </c>
      <c r="B585" s="180">
        <v>46105</v>
      </c>
      <c r="C585" s="180">
        <v>46108</v>
      </c>
      <c r="D585" s="1">
        <v>1</v>
      </c>
      <c r="E585" s="111" t="s">
        <v>54</v>
      </c>
      <c r="F585" s="33" t="s">
        <v>55</v>
      </c>
      <c r="G585" s="33">
        <v>0</v>
      </c>
      <c r="H585" s="1"/>
      <c r="I585" s="16" t="s">
        <v>55</v>
      </c>
      <c r="J585" s="16" t="s">
        <v>55</v>
      </c>
      <c r="K585" s="33">
        <v>0</v>
      </c>
      <c r="L585" s="33" t="s">
        <v>55</v>
      </c>
      <c r="M585" s="33" t="s">
        <v>55</v>
      </c>
      <c r="N585" s="33" t="s">
        <v>55</v>
      </c>
      <c r="O585" s="33" t="s">
        <v>55</v>
      </c>
      <c r="P585" s="33" t="s">
        <v>55</v>
      </c>
      <c r="Q585" s="33" t="s">
        <v>55</v>
      </c>
      <c r="R585" s="33" t="s">
        <v>55</v>
      </c>
      <c r="S585" s="33">
        <v>1</v>
      </c>
      <c r="T585" s="33">
        <v>1</v>
      </c>
      <c r="U585" s="33">
        <v>0</v>
      </c>
      <c r="V585" s="180">
        <v>46111</v>
      </c>
      <c r="W585" s="53">
        <v>46111</v>
      </c>
      <c r="X585" s="28">
        <v>46112</v>
      </c>
      <c r="Y585" s="180">
        <v>46127</v>
      </c>
      <c r="Z585" s="180">
        <v>46127</v>
      </c>
      <c r="AA585" s="33">
        <v>4</v>
      </c>
      <c r="AB585" s="183" t="s">
        <v>1781</v>
      </c>
      <c r="AC585" s="49" t="s">
        <v>1782</v>
      </c>
      <c r="AD585" s="19" t="str">
        <f t="shared" si="64"/>
        <v>N/A</v>
      </c>
      <c r="AE585" s="67" t="str">
        <f>IFERROR(NETWORKDAYS(B585,I585,Hoja1!$A$1:$A$29),"N/A")</f>
        <v>N/A</v>
      </c>
      <c r="AF585" s="21">
        <f>IFERROR(NETWORKDAYS(B585,W585,Hoja1!$A$1:$A$29),"N/A")</f>
        <v>5</v>
      </c>
      <c r="AG585" s="78">
        <v>0</v>
      </c>
      <c r="AH585" s="21">
        <f t="shared" si="62"/>
        <v>5</v>
      </c>
      <c r="AI585" s="21">
        <f>IFERROR(NETWORKDAYS(X585,Y585,Hoja1!$A$1:$A$29),"N/A")</f>
        <v>10</v>
      </c>
      <c r="AJ585" s="78">
        <v>5</v>
      </c>
      <c r="AK585" s="75">
        <f t="shared" si="63"/>
        <v>5</v>
      </c>
      <c r="AL585" s="21">
        <f>IFERROR(NETWORKDAYS(B585,Y585,Hoja1!$A$1:$A$29),"N/A")</f>
        <v>15</v>
      </c>
      <c r="AM585" s="21">
        <f t="shared" si="65"/>
        <v>10</v>
      </c>
      <c r="AN585" s="87"/>
      <c r="AO585" s="87"/>
      <c r="AP585" s="87"/>
      <c r="AQ585" s="87"/>
      <c r="AR585" s="87"/>
      <c r="AS585" s="87" t="s">
        <v>1888</v>
      </c>
      <c r="AT585" s="87" t="s">
        <v>2201</v>
      </c>
      <c r="AU585" s="87" t="s">
        <v>2222</v>
      </c>
      <c r="AV585" s="320" t="s">
        <v>2581</v>
      </c>
      <c r="AW585" s="403" t="s">
        <v>3168</v>
      </c>
      <c r="AY585" s="414"/>
    </row>
    <row r="586" spans="1:51" ht="15" customHeight="1" x14ac:dyDescent="0.25">
      <c r="A586" s="298">
        <v>16203</v>
      </c>
      <c r="B586" s="180">
        <v>46108</v>
      </c>
      <c r="C586" s="180">
        <v>46108</v>
      </c>
      <c r="D586" s="1">
        <v>1</v>
      </c>
      <c r="E586" s="111" t="s">
        <v>54</v>
      </c>
      <c r="F586" s="33" t="s">
        <v>55</v>
      </c>
      <c r="G586" s="33">
        <v>0</v>
      </c>
      <c r="H586" s="1"/>
      <c r="I586" s="16" t="s">
        <v>55</v>
      </c>
      <c r="J586" s="16" t="s">
        <v>55</v>
      </c>
      <c r="K586" s="33">
        <v>0</v>
      </c>
      <c r="L586" s="33" t="s">
        <v>55</v>
      </c>
      <c r="M586" s="33" t="s">
        <v>55</v>
      </c>
      <c r="N586" s="33" t="s">
        <v>55</v>
      </c>
      <c r="O586" s="33" t="s">
        <v>55</v>
      </c>
      <c r="P586" s="33" t="s">
        <v>55</v>
      </c>
      <c r="Q586" s="33" t="s">
        <v>55</v>
      </c>
      <c r="R586" s="33" t="s">
        <v>55</v>
      </c>
      <c r="S586" s="33">
        <v>1</v>
      </c>
      <c r="T586" s="33">
        <v>1</v>
      </c>
      <c r="U586" s="33">
        <v>0</v>
      </c>
      <c r="V586" s="16">
        <v>46118</v>
      </c>
      <c r="W586" s="28">
        <v>46119</v>
      </c>
      <c r="X586" s="28">
        <v>46120</v>
      </c>
      <c r="Y586" s="180">
        <v>46126</v>
      </c>
      <c r="Z586" s="180">
        <v>46127</v>
      </c>
      <c r="AA586" s="33">
        <v>4</v>
      </c>
      <c r="AB586" s="183" t="s">
        <v>1784</v>
      </c>
      <c r="AC586" s="49" t="s">
        <v>1785</v>
      </c>
      <c r="AD586" s="19" t="str">
        <f t="shared" si="64"/>
        <v>N/A</v>
      </c>
      <c r="AE586" s="67" t="str">
        <f>IFERROR(NETWORKDAYS(B586,I586,Hoja1!$A$1:$A$29),"N/A")</f>
        <v>N/A</v>
      </c>
      <c r="AF586" s="21">
        <f>IFERROR(NETWORKDAYS(B586,W586,Hoja1!$A$1:$A$29),"N/A")</f>
        <v>6</v>
      </c>
      <c r="AG586" s="78">
        <v>0</v>
      </c>
      <c r="AH586" s="21">
        <f t="shared" si="62"/>
        <v>6</v>
      </c>
      <c r="AI586" s="21">
        <f>IFERROR(NETWORKDAYS(X586,Y586,Hoja1!$A$1:$A$29),"N/A")</f>
        <v>5</v>
      </c>
      <c r="AJ586" s="78">
        <v>0</v>
      </c>
      <c r="AK586" s="75">
        <f t="shared" si="63"/>
        <v>5</v>
      </c>
      <c r="AL586" s="21">
        <f>IFERROR(NETWORKDAYS(B586,Y586,Hoja1!$A$1:$A$29),"N/A")</f>
        <v>11</v>
      </c>
      <c r="AM586" s="21">
        <f t="shared" si="65"/>
        <v>11</v>
      </c>
      <c r="AN586" s="87"/>
      <c r="AO586" s="87"/>
      <c r="AP586" s="87"/>
      <c r="AQ586" s="87"/>
      <c r="AR586" s="87"/>
      <c r="AS586" s="87" t="s">
        <v>1888</v>
      </c>
      <c r="AT586" s="87" t="s">
        <v>2062</v>
      </c>
      <c r="AU586" s="87" t="s">
        <v>2222</v>
      </c>
      <c r="AV586" s="320" t="s">
        <v>2582</v>
      </c>
      <c r="AW586" s="403" t="s">
        <v>3169</v>
      </c>
      <c r="AY586" s="415"/>
    </row>
    <row r="587" spans="1:51" ht="15" customHeight="1" x14ac:dyDescent="0.25">
      <c r="A587" s="301">
        <v>16204</v>
      </c>
      <c r="B587" s="16">
        <v>46111</v>
      </c>
      <c r="C587" s="180">
        <v>46108</v>
      </c>
      <c r="D587" s="33">
        <v>1</v>
      </c>
      <c r="E587" s="111" t="s">
        <v>54</v>
      </c>
      <c r="F587" s="33" t="s">
        <v>55</v>
      </c>
      <c r="G587" s="33">
        <v>0</v>
      </c>
      <c r="H587" s="33"/>
      <c r="I587" s="53" t="s">
        <v>55</v>
      </c>
      <c r="J587" s="53" t="s">
        <v>55</v>
      </c>
      <c r="K587" s="33">
        <v>0</v>
      </c>
      <c r="L587" s="33" t="s">
        <v>55</v>
      </c>
      <c r="M587" s="33" t="s">
        <v>55</v>
      </c>
      <c r="N587" s="33" t="s">
        <v>55</v>
      </c>
      <c r="O587" s="33" t="s">
        <v>55</v>
      </c>
      <c r="P587" s="33" t="s">
        <v>55</v>
      </c>
      <c r="Q587" s="33" t="s">
        <v>55</v>
      </c>
      <c r="R587" s="33" t="s">
        <v>55</v>
      </c>
      <c r="S587" s="33">
        <v>1</v>
      </c>
      <c r="T587" s="33">
        <v>1</v>
      </c>
      <c r="U587" s="33">
        <v>0</v>
      </c>
      <c r="V587" s="28">
        <v>46119</v>
      </c>
      <c r="W587" s="28">
        <v>46125</v>
      </c>
      <c r="X587" s="28">
        <v>46126</v>
      </c>
      <c r="Y587" s="53">
        <v>46133</v>
      </c>
      <c r="Z587" s="53">
        <v>46139</v>
      </c>
      <c r="AA587" s="33">
        <v>4</v>
      </c>
      <c r="AB587" s="144" t="s">
        <v>1787</v>
      </c>
      <c r="AC587" s="35" t="s">
        <v>1788</v>
      </c>
      <c r="AD587" s="19" t="str">
        <f t="shared" si="64"/>
        <v>N/A</v>
      </c>
      <c r="AE587" s="67" t="str">
        <f>IFERROR(NETWORKDAYS(B587,I587,Hoja1!$A$1:$A$29),"N/A")</f>
        <v>N/A</v>
      </c>
      <c r="AF587" s="21">
        <f>IFERROR(NETWORKDAYS(B587,W587,Hoja1!$A$1:$A$29),"N/A")</f>
        <v>9</v>
      </c>
      <c r="AG587" s="78">
        <v>3</v>
      </c>
      <c r="AH587" s="21">
        <f t="shared" si="62"/>
        <v>6</v>
      </c>
      <c r="AI587" s="21">
        <f>IFERROR(NETWORKDAYS(X587,Y587,Hoja1!$A$1:$A$29),"N/A")</f>
        <v>6</v>
      </c>
      <c r="AJ587" s="78">
        <v>1</v>
      </c>
      <c r="AK587" s="75">
        <f t="shared" si="63"/>
        <v>5</v>
      </c>
      <c r="AL587" s="21">
        <f>IFERROR(NETWORKDAYS(B587,Y587,Hoja1!$A$1:$A$29),"N/A")</f>
        <v>15</v>
      </c>
      <c r="AM587" s="21">
        <f t="shared" si="65"/>
        <v>11</v>
      </c>
      <c r="AN587" s="87"/>
      <c r="AO587" s="87"/>
      <c r="AP587" s="87"/>
      <c r="AQ587" s="87"/>
      <c r="AR587" s="87"/>
      <c r="AS587" s="87" t="s">
        <v>1888</v>
      </c>
      <c r="AT587" s="87" t="s">
        <v>2062</v>
      </c>
      <c r="AU587" s="87" t="s">
        <v>2222</v>
      </c>
      <c r="AV587" s="320" t="s">
        <v>2583</v>
      </c>
      <c r="AW587" s="403" t="s">
        <v>3170</v>
      </c>
      <c r="AY587" s="414"/>
    </row>
    <row r="588" spans="1:51" ht="15" customHeight="1" x14ac:dyDescent="0.25">
      <c r="A588" s="294">
        <v>16213</v>
      </c>
      <c r="B588" s="53">
        <v>46111</v>
      </c>
      <c r="C588" s="53">
        <v>46112</v>
      </c>
      <c r="D588" s="2">
        <v>1</v>
      </c>
      <c r="E588" s="111" t="s">
        <v>54</v>
      </c>
      <c r="F588" s="21" t="s">
        <v>55</v>
      </c>
      <c r="G588" s="21">
        <v>1</v>
      </c>
      <c r="H588" s="21" t="s">
        <v>112</v>
      </c>
      <c r="I588" s="53">
        <v>46118</v>
      </c>
      <c r="J588" s="53">
        <v>46118</v>
      </c>
      <c r="K588" s="21">
        <v>1</v>
      </c>
      <c r="L588" s="21" t="s">
        <v>55</v>
      </c>
      <c r="M588" s="21" t="s">
        <v>55</v>
      </c>
      <c r="N588" s="21" t="s">
        <v>55</v>
      </c>
      <c r="O588" s="21" t="s">
        <v>55</v>
      </c>
      <c r="P588" s="21" t="s">
        <v>55</v>
      </c>
      <c r="Q588" s="21" t="s">
        <v>55</v>
      </c>
      <c r="R588" s="21" t="s">
        <v>55</v>
      </c>
      <c r="S588" s="21">
        <v>1</v>
      </c>
      <c r="T588" s="21">
        <v>1</v>
      </c>
      <c r="U588" s="21">
        <v>0</v>
      </c>
      <c r="V588" s="53">
        <v>46118</v>
      </c>
      <c r="W588" s="53">
        <v>46118</v>
      </c>
      <c r="X588" s="53">
        <v>46118</v>
      </c>
      <c r="Y588" s="180">
        <v>46126</v>
      </c>
      <c r="Z588" s="180">
        <v>46127</v>
      </c>
      <c r="AA588" s="21">
        <v>4</v>
      </c>
      <c r="AB588" s="159" t="s">
        <v>1791</v>
      </c>
      <c r="AC588" s="111" t="s">
        <v>1792</v>
      </c>
      <c r="AD588" s="19">
        <f t="shared" si="64"/>
        <v>1</v>
      </c>
      <c r="AE588" s="67">
        <f>IFERROR(NETWORKDAYS(B588,I588,Hoja1!$A$1:$A$29),"N/A")</f>
        <v>4</v>
      </c>
      <c r="AF588" s="21">
        <f>IFERROR(NETWORKDAYS(B588,W588,Hoja1!$A$1:$A$29),"N/A")</f>
        <v>4</v>
      </c>
      <c r="AG588" s="78">
        <v>0</v>
      </c>
      <c r="AH588" s="21">
        <f t="shared" si="62"/>
        <v>4</v>
      </c>
      <c r="AI588" s="21">
        <f>IFERROR(NETWORKDAYS(X588,Y588,Hoja1!$A$1:$A$29),"N/A")</f>
        <v>7</v>
      </c>
      <c r="AJ588" s="78">
        <v>0</v>
      </c>
      <c r="AK588" s="75">
        <f t="shared" si="63"/>
        <v>7</v>
      </c>
      <c r="AL588" s="21">
        <f>IFERROR(NETWORKDAYS(B588,Y588,Hoja1!$A$1:$A$29),"N/A")</f>
        <v>10</v>
      </c>
      <c r="AM588" s="21">
        <f t="shared" si="65"/>
        <v>10</v>
      </c>
      <c r="AN588" s="87"/>
      <c r="AO588" s="87"/>
      <c r="AP588" s="87"/>
      <c r="AQ588" s="87"/>
      <c r="AR588" s="87"/>
      <c r="AS588" s="87" t="s">
        <v>1988</v>
      </c>
      <c r="AT588" s="87" t="s">
        <v>2113</v>
      </c>
      <c r="AU588" s="87" t="s">
        <v>2219</v>
      </c>
      <c r="AV588" s="320" t="s">
        <v>2584</v>
      </c>
      <c r="AW588" s="403" t="s">
        <v>3171</v>
      </c>
      <c r="AY588" s="415"/>
    </row>
    <row r="589" spans="1:51" ht="15" customHeight="1" x14ac:dyDescent="0.25">
      <c r="A589" s="301">
        <v>16214</v>
      </c>
      <c r="B589" s="116">
        <v>46111</v>
      </c>
      <c r="C589" s="116">
        <v>46111</v>
      </c>
      <c r="D589" s="1">
        <v>1</v>
      </c>
      <c r="E589" s="111" t="s">
        <v>54</v>
      </c>
      <c r="F589" s="33" t="s">
        <v>55</v>
      </c>
      <c r="G589" s="33">
        <v>0</v>
      </c>
      <c r="H589" s="1"/>
      <c r="I589" s="33" t="s">
        <v>55</v>
      </c>
      <c r="J589" s="33" t="s">
        <v>55</v>
      </c>
      <c r="K589" s="33">
        <v>0</v>
      </c>
      <c r="L589" s="33" t="s">
        <v>55</v>
      </c>
      <c r="M589" s="33" t="s">
        <v>55</v>
      </c>
      <c r="N589" s="33" t="s">
        <v>55</v>
      </c>
      <c r="O589" s="33" t="s">
        <v>55</v>
      </c>
      <c r="P589" s="33" t="s">
        <v>55</v>
      </c>
      <c r="Q589" s="33" t="s">
        <v>55</v>
      </c>
      <c r="R589" s="33" t="s">
        <v>55</v>
      </c>
      <c r="S589" s="33">
        <v>1</v>
      </c>
      <c r="T589" s="33">
        <v>1</v>
      </c>
      <c r="U589" s="33">
        <v>0</v>
      </c>
      <c r="V589" s="38">
        <v>46119</v>
      </c>
      <c r="W589" s="38">
        <v>46119</v>
      </c>
      <c r="X589" s="28">
        <v>46120</v>
      </c>
      <c r="Y589" s="180">
        <v>46126</v>
      </c>
      <c r="Z589" s="180">
        <v>46127</v>
      </c>
      <c r="AA589" s="33">
        <f>MONTH(Z589)</f>
        <v>4</v>
      </c>
      <c r="AB589" s="144" t="s">
        <v>1793</v>
      </c>
      <c r="AC589" s="114" t="s">
        <v>1794</v>
      </c>
      <c r="AD589" s="19" t="str">
        <f t="shared" si="64"/>
        <v>N/A</v>
      </c>
      <c r="AE589" s="67" t="str">
        <f>IFERROR(NETWORKDAYS(B589,I589,Hoja1!$A$1:$A$29),"N/A")</f>
        <v>N/A</v>
      </c>
      <c r="AF589" s="21">
        <f>IFERROR(NETWORKDAYS(B589,W589,Hoja1!$A$1:$A$29),"N/A")</f>
        <v>5</v>
      </c>
      <c r="AG589" s="78">
        <v>0</v>
      </c>
      <c r="AH589" s="21">
        <f t="shared" si="62"/>
        <v>5</v>
      </c>
      <c r="AI589" s="21">
        <f>IFERROR(NETWORKDAYS(X589,Y589,Hoja1!$A$1:$A$29),"N/A")</f>
        <v>5</v>
      </c>
      <c r="AJ589" s="78">
        <v>0</v>
      </c>
      <c r="AK589" s="75">
        <f t="shared" si="63"/>
        <v>5</v>
      </c>
      <c r="AL589" s="21">
        <f>IFERROR(NETWORKDAYS(B589,Y589,Hoja1!$A$1:$A$29),"N/A")</f>
        <v>10</v>
      </c>
      <c r="AM589" s="21">
        <f t="shared" si="65"/>
        <v>10</v>
      </c>
      <c r="AN589" s="87"/>
      <c r="AO589" s="87"/>
      <c r="AP589" s="87"/>
      <c r="AQ589" s="87"/>
      <c r="AR589" s="87"/>
      <c r="AS589" s="87" t="s">
        <v>1906</v>
      </c>
      <c r="AT589" s="87" t="s">
        <v>2016</v>
      </c>
      <c r="AU589" s="87" t="s">
        <v>2220</v>
      </c>
      <c r="AV589" s="320" t="s">
        <v>2585</v>
      </c>
      <c r="AW589" s="403" t="s">
        <v>3172</v>
      </c>
      <c r="AY589" s="414"/>
    </row>
    <row r="590" spans="1:51" ht="15" customHeight="1" x14ac:dyDescent="0.25">
      <c r="A590" s="301">
        <v>16217</v>
      </c>
      <c r="B590" s="116">
        <v>46106</v>
      </c>
      <c r="C590" s="116">
        <v>46111</v>
      </c>
      <c r="D590" s="33">
        <v>1</v>
      </c>
      <c r="E590" s="111" t="s">
        <v>54</v>
      </c>
      <c r="F590" s="33" t="s">
        <v>55</v>
      </c>
      <c r="G590" s="33">
        <v>3</v>
      </c>
      <c r="H590" s="21" t="s">
        <v>112</v>
      </c>
      <c r="I590" s="28">
        <v>46108</v>
      </c>
      <c r="J590" s="28">
        <v>46108</v>
      </c>
      <c r="K590" s="33">
        <v>3</v>
      </c>
      <c r="L590" s="33" t="s">
        <v>55</v>
      </c>
      <c r="M590" s="33" t="s">
        <v>55</v>
      </c>
      <c r="N590" s="33" t="s">
        <v>55</v>
      </c>
      <c r="O590" s="33" t="s">
        <v>55</v>
      </c>
      <c r="P590" s="33" t="s">
        <v>55</v>
      </c>
      <c r="Q590" s="33" t="s">
        <v>55</v>
      </c>
      <c r="R590" s="21" t="s">
        <v>55</v>
      </c>
      <c r="S590" s="33">
        <v>1</v>
      </c>
      <c r="T590" s="33">
        <v>1</v>
      </c>
      <c r="U590" s="33">
        <v>0</v>
      </c>
      <c r="V590" s="28">
        <v>46119</v>
      </c>
      <c r="W590" s="28">
        <v>46119</v>
      </c>
      <c r="X590" s="28">
        <v>46119</v>
      </c>
      <c r="Y590" s="180">
        <v>46126</v>
      </c>
      <c r="Z590" s="180">
        <v>46127</v>
      </c>
      <c r="AA590" s="33">
        <f>MONTH(Z590)</f>
        <v>4</v>
      </c>
      <c r="AB590" s="144" t="s">
        <v>1796</v>
      </c>
      <c r="AC590" s="114" t="s">
        <v>1797</v>
      </c>
      <c r="AD590" s="19">
        <f t="shared" si="64"/>
        <v>1</v>
      </c>
      <c r="AE590" s="67">
        <f>IFERROR(NETWORKDAYS(B590,I590,Hoja1!$A$1:$A$29),"N/A")</f>
        <v>3</v>
      </c>
      <c r="AF590" s="21">
        <f>IFERROR(NETWORKDAYS(B590,W590,Hoja1!$A$1:$A$29),"N/A")</f>
        <v>8</v>
      </c>
      <c r="AG590" s="78">
        <v>0</v>
      </c>
      <c r="AH590" s="21">
        <f t="shared" si="62"/>
        <v>8</v>
      </c>
      <c r="AI590" s="21">
        <f>IFERROR(NETWORKDAYS(X590,Y590,Hoja1!$A$1:$A$29),"N/A")</f>
        <v>6</v>
      </c>
      <c r="AJ590" s="78">
        <v>1</v>
      </c>
      <c r="AK590" s="75">
        <f t="shared" si="63"/>
        <v>5</v>
      </c>
      <c r="AL590" s="21">
        <f>IFERROR(NETWORKDAYS(B590,Y590,Hoja1!$A$1:$A$29),"N/A")</f>
        <v>13</v>
      </c>
      <c r="AM590" s="21">
        <f t="shared" si="65"/>
        <v>12</v>
      </c>
      <c r="AN590" s="87"/>
      <c r="AO590" s="87"/>
      <c r="AP590" s="87"/>
      <c r="AQ590" s="87"/>
      <c r="AR590" s="87"/>
      <c r="AS590" s="87" t="s">
        <v>1897</v>
      </c>
      <c r="AT590" s="87" t="s">
        <v>1994</v>
      </c>
      <c r="AU590" s="87" t="s">
        <v>2220</v>
      </c>
      <c r="AV590" s="320" t="s">
        <v>2232</v>
      </c>
      <c r="AW590" s="403" t="s">
        <v>3173</v>
      </c>
      <c r="AY590" s="415"/>
    </row>
    <row r="591" spans="1:51" ht="15" customHeight="1" x14ac:dyDescent="0.25">
      <c r="A591" s="294">
        <v>16219</v>
      </c>
      <c r="B591" s="210">
        <v>46111</v>
      </c>
      <c r="C591" s="53">
        <v>46111</v>
      </c>
      <c r="D591" s="2">
        <v>1</v>
      </c>
      <c r="E591" s="111" t="s">
        <v>54</v>
      </c>
      <c r="F591" s="21" t="s">
        <v>55</v>
      </c>
      <c r="G591" s="21">
        <v>3</v>
      </c>
      <c r="H591" s="21" t="s">
        <v>112</v>
      </c>
      <c r="I591" s="53">
        <v>46119</v>
      </c>
      <c r="J591" s="53">
        <v>46119</v>
      </c>
      <c r="K591" s="21">
        <v>3</v>
      </c>
      <c r="L591" s="21" t="s">
        <v>55</v>
      </c>
      <c r="M591" s="21" t="s">
        <v>55</v>
      </c>
      <c r="N591" s="21" t="s">
        <v>55</v>
      </c>
      <c r="O591" s="21" t="s">
        <v>55</v>
      </c>
      <c r="P591" s="21" t="s">
        <v>55</v>
      </c>
      <c r="Q591" s="21" t="s">
        <v>55</v>
      </c>
      <c r="R591" s="21" t="s">
        <v>55</v>
      </c>
      <c r="S591" s="21">
        <v>3</v>
      </c>
      <c r="T591" s="21">
        <v>1</v>
      </c>
      <c r="U591" s="21">
        <v>0</v>
      </c>
      <c r="V591" s="53">
        <v>46119</v>
      </c>
      <c r="W591" s="53">
        <v>46119</v>
      </c>
      <c r="X591" s="53">
        <v>46119</v>
      </c>
      <c r="Y591" s="53">
        <v>46125</v>
      </c>
      <c r="Z591" s="180">
        <v>46127</v>
      </c>
      <c r="AA591" s="21">
        <v>4</v>
      </c>
      <c r="AB591" s="159" t="s">
        <v>1798</v>
      </c>
      <c r="AC591" s="111" t="s">
        <v>1799</v>
      </c>
      <c r="AD591" s="19">
        <f t="shared" si="64"/>
        <v>1</v>
      </c>
      <c r="AE591" s="67">
        <f>IFERROR(NETWORKDAYS(B591,I591,Hoja1!$A$1:$A$29),"N/A")</f>
        <v>5</v>
      </c>
      <c r="AF591" s="21">
        <f>IFERROR(NETWORKDAYS(B591,W591,Hoja1!$A$1:$A$29),"N/A")</f>
        <v>5</v>
      </c>
      <c r="AG591" s="78">
        <v>0</v>
      </c>
      <c r="AH591" s="21">
        <f t="shared" si="62"/>
        <v>5</v>
      </c>
      <c r="AI591" s="21">
        <f>IFERROR(NETWORKDAYS(X591,Y591,Hoja1!$A$1:$A$29),"N/A")</f>
        <v>5</v>
      </c>
      <c r="AJ591" s="78">
        <v>0</v>
      </c>
      <c r="AK591" s="75">
        <f t="shared" si="63"/>
        <v>5</v>
      </c>
      <c r="AL591" s="21">
        <f>IFERROR(NETWORKDAYS(B591,Y591,Hoja1!$A$1:$A$29),"N/A")</f>
        <v>9</v>
      </c>
      <c r="AM591" s="21">
        <f t="shared" si="65"/>
        <v>9</v>
      </c>
      <c r="AN591" s="87"/>
      <c r="AO591" s="87"/>
      <c r="AP591" s="87"/>
      <c r="AQ591" s="87"/>
      <c r="AR591" s="87"/>
      <c r="AS591" s="87" t="s">
        <v>1890</v>
      </c>
      <c r="AT591" s="87" t="s">
        <v>2019</v>
      </c>
      <c r="AU591" s="87" t="s">
        <v>2219</v>
      </c>
      <c r="AV591" s="320" t="s">
        <v>2586</v>
      </c>
      <c r="AW591" s="403" t="s">
        <v>3174</v>
      </c>
      <c r="AY591" s="414"/>
    </row>
    <row r="592" spans="1:51" ht="15" customHeight="1" x14ac:dyDescent="0.25">
      <c r="A592" s="301">
        <v>16220</v>
      </c>
      <c r="B592" s="116">
        <v>46120</v>
      </c>
      <c r="C592" s="116">
        <v>46119</v>
      </c>
      <c r="D592" s="33">
        <v>1</v>
      </c>
      <c r="E592" s="159" t="s">
        <v>247</v>
      </c>
      <c r="F592" s="33" t="s">
        <v>55</v>
      </c>
      <c r="G592" s="33">
        <v>0</v>
      </c>
      <c r="H592" s="33"/>
      <c r="I592" s="33" t="s">
        <v>55</v>
      </c>
      <c r="J592" s="33" t="s">
        <v>55</v>
      </c>
      <c r="K592" s="33">
        <v>0</v>
      </c>
      <c r="L592" s="33" t="s">
        <v>55</v>
      </c>
      <c r="M592" s="33" t="s">
        <v>55</v>
      </c>
      <c r="N592" s="33" t="s">
        <v>55</v>
      </c>
      <c r="O592" s="33" t="s">
        <v>55</v>
      </c>
      <c r="P592" s="33" t="s">
        <v>55</v>
      </c>
      <c r="Q592" s="33" t="s">
        <v>55</v>
      </c>
      <c r="R592" s="33" t="s">
        <v>55</v>
      </c>
      <c r="S592" s="33">
        <v>2</v>
      </c>
      <c r="T592" s="33">
        <v>2</v>
      </c>
      <c r="U592" s="33">
        <v>0</v>
      </c>
      <c r="V592" s="28">
        <v>46139</v>
      </c>
      <c r="W592" s="180">
        <v>46142</v>
      </c>
      <c r="X592" s="28" t="s">
        <v>55</v>
      </c>
      <c r="Y592" s="180">
        <v>46142</v>
      </c>
      <c r="Z592" s="180">
        <v>46142</v>
      </c>
      <c r="AA592" s="33">
        <f>MONTH(Z592)</f>
        <v>4</v>
      </c>
      <c r="AB592" s="144" t="s">
        <v>1802</v>
      </c>
      <c r="AC592" s="114" t="s">
        <v>1803</v>
      </c>
      <c r="AD592" s="19" t="str">
        <f t="shared" si="64"/>
        <v>N/A</v>
      </c>
      <c r="AE592" s="67" t="str">
        <f>IFERROR(NETWORKDAYS(B592,I592,Hoja1!$A$1:$A$29),"N/A")</f>
        <v>N/A</v>
      </c>
      <c r="AF592" s="21">
        <f>IFERROR(NETWORKDAYS(B592,W592,Hoja1!$A$1:$A$29),"N/A")</f>
        <v>17</v>
      </c>
      <c r="AG592" s="78">
        <v>0</v>
      </c>
      <c r="AH592" s="21">
        <f t="shared" si="62"/>
        <v>17</v>
      </c>
      <c r="AI592" s="21" t="str">
        <f>IFERROR(NETWORKDAYS(X592,Y592,Hoja1!$A$1:$A$29),"N/A")</f>
        <v>N/A</v>
      </c>
      <c r="AJ592" s="78">
        <v>0</v>
      </c>
      <c r="AK592" s="21" t="s">
        <v>82</v>
      </c>
      <c r="AL592" s="21">
        <f>IFERROR(NETWORKDAYS(B592,Y592,Hoja1!$A$1:$A$29),"N/A")</f>
        <v>17</v>
      </c>
      <c r="AM592" s="21">
        <f t="shared" si="65"/>
        <v>17</v>
      </c>
      <c r="AN592" s="87"/>
      <c r="AO592" s="87"/>
      <c r="AP592" s="87"/>
      <c r="AQ592" s="87"/>
      <c r="AR592" s="87"/>
      <c r="AS592" s="87" t="s">
        <v>1932</v>
      </c>
      <c r="AT592" s="87" t="s">
        <v>2202</v>
      </c>
      <c r="AU592" s="87" t="s">
        <v>2220</v>
      </c>
      <c r="AV592" s="320" t="s">
        <v>2329</v>
      </c>
      <c r="AW592" s="403" t="s">
        <v>3175</v>
      </c>
      <c r="AY592" s="415"/>
    </row>
    <row r="593" spans="1:51" ht="15" customHeight="1" x14ac:dyDescent="0.25">
      <c r="A593" s="308">
        <v>16222</v>
      </c>
      <c r="B593" s="178">
        <v>46112</v>
      </c>
      <c r="C593" s="178">
        <v>46112</v>
      </c>
      <c r="D593" s="96">
        <v>1</v>
      </c>
      <c r="E593" s="177" t="s">
        <v>54</v>
      </c>
      <c r="F593" s="99" t="s">
        <v>55</v>
      </c>
      <c r="G593" s="99">
        <v>6</v>
      </c>
      <c r="H593" s="66" t="s">
        <v>112</v>
      </c>
      <c r="I593" s="178">
        <v>46118</v>
      </c>
      <c r="J593" s="178">
        <v>46118</v>
      </c>
      <c r="K593" s="99">
        <v>6</v>
      </c>
      <c r="L593" s="99" t="s">
        <v>55</v>
      </c>
      <c r="M593" s="99" t="s">
        <v>55</v>
      </c>
      <c r="N593" s="99" t="s">
        <v>55</v>
      </c>
      <c r="O593" s="99" t="s">
        <v>55</v>
      </c>
      <c r="P593" s="99" t="s">
        <v>55</v>
      </c>
      <c r="Q593" s="99" t="s">
        <v>55</v>
      </c>
      <c r="R593" s="66" t="s">
        <v>55</v>
      </c>
      <c r="S593" s="99">
        <v>1</v>
      </c>
      <c r="T593" s="99">
        <v>1</v>
      </c>
      <c r="U593" s="99">
        <v>0</v>
      </c>
      <c r="V593" s="178">
        <v>46120</v>
      </c>
      <c r="W593" s="178">
        <v>46120</v>
      </c>
      <c r="X593" s="178">
        <v>46120</v>
      </c>
      <c r="Y593" s="178">
        <v>46127</v>
      </c>
      <c r="Z593" s="199">
        <v>46127</v>
      </c>
      <c r="AA593" s="66">
        <v>4</v>
      </c>
      <c r="AB593" s="184" t="s">
        <v>1805</v>
      </c>
      <c r="AC593" s="185" t="s">
        <v>1806</v>
      </c>
      <c r="AD593" s="19">
        <f t="shared" si="64"/>
        <v>1</v>
      </c>
      <c r="AE593" s="67">
        <f>IFERROR(NETWORKDAYS(B593,I593,Hoja1!$A$1:$A$29),"N/A")</f>
        <v>3</v>
      </c>
      <c r="AF593" s="21">
        <f>IFERROR(NETWORKDAYS(B593,W593,Hoja1!$A$1:$A$29),"N/A")</f>
        <v>5</v>
      </c>
      <c r="AG593" s="273">
        <v>0</v>
      </c>
      <c r="AH593" s="66">
        <f t="shared" si="62"/>
        <v>5</v>
      </c>
      <c r="AI593" s="21">
        <f>IFERROR(NETWORKDAYS(X593,Y593,Hoja1!$A$1:$A$29),"N/A")</f>
        <v>6</v>
      </c>
      <c r="AJ593" s="65">
        <v>0</v>
      </c>
      <c r="AK593" s="68">
        <f t="shared" si="63"/>
        <v>6</v>
      </c>
      <c r="AL593" s="21">
        <f>IFERROR(NETWORKDAYS(B593,Y593,Hoja1!$A$1:$A$29),"N/A")</f>
        <v>10</v>
      </c>
      <c r="AM593" s="66">
        <f t="shared" si="65"/>
        <v>10</v>
      </c>
      <c r="AN593" s="184"/>
      <c r="AO593" s="184"/>
      <c r="AP593" s="184"/>
      <c r="AQ593" s="184"/>
      <c r="AR593" s="184"/>
      <c r="AS593" s="184" t="s">
        <v>1989</v>
      </c>
      <c r="AT593" s="184" t="s">
        <v>2056</v>
      </c>
      <c r="AU593" s="184" t="s">
        <v>2209</v>
      </c>
      <c r="AV593" s="330" t="s">
        <v>2587</v>
      </c>
      <c r="AW593" s="403" t="s">
        <v>3176</v>
      </c>
      <c r="AY593" s="414"/>
    </row>
    <row r="594" spans="1:51" ht="15" customHeight="1" x14ac:dyDescent="0.25">
      <c r="A594" s="294">
        <v>16230</v>
      </c>
      <c r="B594" s="28">
        <v>46101</v>
      </c>
      <c r="C594" s="28">
        <v>46113</v>
      </c>
      <c r="D594" s="3">
        <v>1</v>
      </c>
      <c r="E594" s="111" t="s">
        <v>54</v>
      </c>
      <c r="F594" s="33" t="s">
        <v>55</v>
      </c>
      <c r="G594" s="33">
        <v>1</v>
      </c>
      <c r="H594" s="21" t="s">
        <v>112</v>
      </c>
      <c r="I594" s="28">
        <v>46106</v>
      </c>
      <c r="J594" s="28">
        <v>46106</v>
      </c>
      <c r="K594" s="33">
        <v>1</v>
      </c>
      <c r="L594" s="33" t="s">
        <v>55</v>
      </c>
      <c r="M594" s="33" t="s">
        <v>55</v>
      </c>
      <c r="N594" s="33" t="s">
        <v>55</v>
      </c>
      <c r="O594" s="33" t="s">
        <v>55</v>
      </c>
      <c r="P594" s="33" t="s">
        <v>55</v>
      </c>
      <c r="Q594" s="33" t="s">
        <v>55</v>
      </c>
      <c r="R594" s="21" t="s">
        <v>55</v>
      </c>
      <c r="S594" s="33">
        <v>1</v>
      </c>
      <c r="T594" s="33">
        <v>1</v>
      </c>
      <c r="U594" s="33">
        <v>0</v>
      </c>
      <c r="V594" s="28">
        <v>46112</v>
      </c>
      <c r="W594" s="28">
        <v>46113</v>
      </c>
      <c r="X594" s="28">
        <v>46119</v>
      </c>
      <c r="Y594" s="28">
        <v>46127</v>
      </c>
      <c r="Z594" s="180">
        <v>46127</v>
      </c>
      <c r="AA594" s="21">
        <v>4</v>
      </c>
      <c r="AB594" s="87" t="s">
        <v>1808</v>
      </c>
      <c r="AC594" s="48" t="s">
        <v>1809</v>
      </c>
      <c r="AD594" s="19">
        <f t="shared" si="64"/>
        <v>1</v>
      </c>
      <c r="AE594" s="67">
        <f>IFERROR(NETWORKDAYS(B594,I594,Hoja1!$A$1:$A$29),"N/A")</f>
        <v>3</v>
      </c>
      <c r="AF594" s="21">
        <f>IFERROR(NETWORKDAYS(B594,W594,Hoja1!$A$1:$A$29),"N/A")</f>
        <v>8</v>
      </c>
      <c r="AG594" s="78">
        <v>0</v>
      </c>
      <c r="AH594" s="21">
        <f t="shared" si="62"/>
        <v>8</v>
      </c>
      <c r="AI594" s="21">
        <f>IFERROR(NETWORKDAYS(X594,Y594,Hoja1!$A$1:$A$29),"N/A")</f>
        <v>7</v>
      </c>
      <c r="AJ594" s="78">
        <v>0</v>
      </c>
      <c r="AK594" s="75">
        <f t="shared" si="63"/>
        <v>7</v>
      </c>
      <c r="AL594" s="21">
        <f>IFERROR(NETWORKDAYS(B594,Y594,Hoja1!$A$1:$A$29),"N/A")</f>
        <v>16</v>
      </c>
      <c r="AM594" s="21">
        <f t="shared" si="65"/>
        <v>16</v>
      </c>
      <c r="AN594" s="87"/>
      <c r="AO594" s="87"/>
      <c r="AP594" s="87"/>
      <c r="AQ594" s="87"/>
      <c r="AR594" s="87"/>
      <c r="AS594" s="87" t="s">
        <v>1930</v>
      </c>
      <c r="AT594" s="87" t="s">
        <v>1992</v>
      </c>
      <c r="AU594" s="87" t="s">
        <v>2209</v>
      </c>
      <c r="AV594" s="320" t="s">
        <v>2588</v>
      </c>
      <c r="AW594" s="403" t="s">
        <v>3177</v>
      </c>
      <c r="AY594" s="415"/>
    </row>
    <row r="595" spans="1:51" ht="15" customHeight="1" x14ac:dyDescent="0.25">
      <c r="A595" s="294">
        <v>16233</v>
      </c>
      <c r="B595" s="53">
        <v>46108</v>
      </c>
      <c r="C595" s="53">
        <v>46118</v>
      </c>
      <c r="D595" s="2">
        <v>1</v>
      </c>
      <c r="E595" s="111" t="s">
        <v>54</v>
      </c>
      <c r="F595" s="21" t="s">
        <v>55</v>
      </c>
      <c r="G595" s="21">
        <v>3</v>
      </c>
      <c r="H595" s="21" t="s">
        <v>112</v>
      </c>
      <c r="I595" s="53">
        <v>46122</v>
      </c>
      <c r="J595" s="53">
        <v>46122</v>
      </c>
      <c r="K595" s="21">
        <v>3</v>
      </c>
      <c r="L595" s="21" t="s">
        <v>55</v>
      </c>
      <c r="M595" s="21" t="s">
        <v>55</v>
      </c>
      <c r="N595" s="21" t="s">
        <v>55</v>
      </c>
      <c r="O595" s="21" t="s">
        <v>55</v>
      </c>
      <c r="P595" s="21" t="s">
        <v>55</v>
      </c>
      <c r="Q595" s="21" t="s">
        <v>55</v>
      </c>
      <c r="R595" s="21" t="s">
        <v>55</v>
      </c>
      <c r="S595" s="21">
        <v>3</v>
      </c>
      <c r="T595" s="21">
        <v>1</v>
      </c>
      <c r="U595" s="21">
        <v>0</v>
      </c>
      <c r="V595" s="53">
        <v>46127</v>
      </c>
      <c r="W595" s="53">
        <v>46127</v>
      </c>
      <c r="X595" s="53">
        <v>46127</v>
      </c>
      <c r="Y595" s="53">
        <v>46133</v>
      </c>
      <c r="Z595" s="53">
        <v>46139</v>
      </c>
      <c r="AA595" s="21">
        <v>4</v>
      </c>
      <c r="AB595" s="159" t="s">
        <v>1810</v>
      </c>
      <c r="AC595" s="111" t="s">
        <v>1811</v>
      </c>
      <c r="AD595" s="19">
        <f t="shared" si="64"/>
        <v>1</v>
      </c>
      <c r="AE595" s="67">
        <f>IFERROR(NETWORKDAYS(B595,I595,Hoja1!$A$1:$A$29),"N/A")</f>
        <v>9</v>
      </c>
      <c r="AF595" s="21">
        <f>IFERROR(NETWORKDAYS(B595,W595,Hoja1!$A$1:$A$29),"N/A")</f>
        <v>12</v>
      </c>
      <c r="AG595" s="78">
        <v>0</v>
      </c>
      <c r="AH595" s="21">
        <f t="shared" si="62"/>
        <v>12</v>
      </c>
      <c r="AI595" s="21">
        <f>IFERROR(NETWORKDAYS(X595,Y595,Hoja1!$A$1:$A$29),"N/A")</f>
        <v>5</v>
      </c>
      <c r="AJ595" s="78">
        <v>0</v>
      </c>
      <c r="AK595" s="75">
        <f t="shared" si="63"/>
        <v>5</v>
      </c>
      <c r="AL595" s="21">
        <f>IFERROR(NETWORKDAYS(B595,Y595,Hoja1!$A$1:$A$29),"N/A")</f>
        <v>16</v>
      </c>
      <c r="AM595" s="21">
        <f t="shared" si="65"/>
        <v>16</v>
      </c>
      <c r="AN595" s="87"/>
      <c r="AO595" s="87"/>
      <c r="AP595" s="87"/>
      <c r="AQ595" s="87"/>
      <c r="AR595" s="87"/>
      <c r="AS595" s="87" t="s">
        <v>1890</v>
      </c>
      <c r="AT595" s="87" t="s">
        <v>1995</v>
      </c>
      <c r="AU595" s="87" t="s">
        <v>2219</v>
      </c>
      <c r="AV595" s="320" t="s">
        <v>2589</v>
      </c>
      <c r="AW595" s="403" t="s">
        <v>3178</v>
      </c>
      <c r="AY595" s="414"/>
    </row>
    <row r="596" spans="1:51" ht="15" customHeight="1" x14ac:dyDescent="0.25">
      <c r="A596" s="294">
        <v>16236</v>
      </c>
      <c r="B596" s="28">
        <v>46090</v>
      </c>
      <c r="C596" s="28">
        <v>46118</v>
      </c>
      <c r="D596" s="3">
        <v>1</v>
      </c>
      <c r="E596" s="111" t="s">
        <v>54</v>
      </c>
      <c r="F596" s="33" t="s">
        <v>55</v>
      </c>
      <c r="G596" s="33">
        <v>2</v>
      </c>
      <c r="H596" s="21" t="s">
        <v>112</v>
      </c>
      <c r="I596" s="28">
        <v>46094</v>
      </c>
      <c r="J596" s="28">
        <v>46094</v>
      </c>
      <c r="K596" s="33">
        <v>2</v>
      </c>
      <c r="L596" s="33" t="s">
        <v>55</v>
      </c>
      <c r="M596" s="33" t="s">
        <v>55</v>
      </c>
      <c r="N596" s="33" t="s">
        <v>55</v>
      </c>
      <c r="O596" s="33" t="s">
        <v>55</v>
      </c>
      <c r="P596" s="33" t="s">
        <v>55</v>
      </c>
      <c r="Q596" s="33" t="s">
        <v>55</v>
      </c>
      <c r="R596" s="21" t="s">
        <v>55</v>
      </c>
      <c r="S596" s="33">
        <v>1</v>
      </c>
      <c r="T596" s="33">
        <v>1</v>
      </c>
      <c r="U596" s="33">
        <v>0</v>
      </c>
      <c r="V596" s="28">
        <v>46119</v>
      </c>
      <c r="W596" s="28">
        <v>46119</v>
      </c>
      <c r="X596" s="28">
        <v>46119</v>
      </c>
      <c r="Y596" s="28">
        <v>46139</v>
      </c>
      <c r="Z596" s="53">
        <v>46139</v>
      </c>
      <c r="AA596" s="21">
        <v>4</v>
      </c>
      <c r="AB596" s="87" t="s">
        <v>1813</v>
      </c>
      <c r="AC596" s="48" t="s">
        <v>1814</v>
      </c>
      <c r="AD596" s="19">
        <f t="shared" si="64"/>
        <v>1</v>
      </c>
      <c r="AE596" s="67">
        <f>IFERROR(NETWORKDAYS(B596,I596,Hoja1!$A$1:$A$29),"N/A")</f>
        <v>5</v>
      </c>
      <c r="AF596" s="21">
        <f>IFERROR(NETWORKDAYS(B596,W596,Hoja1!$A$1:$A$29),"N/A")</f>
        <v>19</v>
      </c>
      <c r="AG596" s="78">
        <v>10</v>
      </c>
      <c r="AH596" s="21">
        <f t="shared" si="62"/>
        <v>9</v>
      </c>
      <c r="AI596" s="21">
        <f>IFERROR(NETWORKDAYS(X596,Y596,Hoja1!$A$1:$A$29),"N/A")</f>
        <v>15</v>
      </c>
      <c r="AJ596" s="78">
        <v>0</v>
      </c>
      <c r="AK596" s="75">
        <f t="shared" si="63"/>
        <v>15</v>
      </c>
      <c r="AL596" s="21">
        <f>IFERROR(NETWORKDAYS(B596,Y596,Hoja1!$A$1:$A$29),"N/A")</f>
        <v>33</v>
      </c>
      <c r="AM596" s="21">
        <f t="shared" si="65"/>
        <v>23</v>
      </c>
      <c r="AN596" s="87"/>
      <c r="AO596" s="87"/>
      <c r="AP596" s="87"/>
      <c r="AQ596" s="87"/>
      <c r="AR596" s="87"/>
      <c r="AS596" s="87" t="s">
        <v>1913</v>
      </c>
      <c r="AT596" s="87" t="s">
        <v>2186</v>
      </c>
      <c r="AU596" s="87" t="s">
        <v>2209</v>
      </c>
      <c r="AV596" s="320" t="s">
        <v>2552</v>
      </c>
      <c r="AW596" s="403" t="s">
        <v>3179</v>
      </c>
      <c r="AY596" s="415"/>
    </row>
    <row r="597" spans="1:51" ht="15" customHeight="1" x14ac:dyDescent="0.25">
      <c r="A597" s="294">
        <v>16238</v>
      </c>
      <c r="B597" s="28">
        <v>46104</v>
      </c>
      <c r="C597" s="28">
        <v>46118</v>
      </c>
      <c r="D597" s="3">
        <v>1</v>
      </c>
      <c r="E597" s="111" t="s">
        <v>54</v>
      </c>
      <c r="F597" s="33" t="s">
        <v>55</v>
      </c>
      <c r="G597" s="33">
        <v>5</v>
      </c>
      <c r="H597" s="21" t="s">
        <v>56</v>
      </c>
      <c r="I597" s="53">
        <v>46107</v>
      </c>
      <c r="J597" s="53">
        <v>46107</v>
      </c>
      <c r="K597" s="33">
        <v>5</v>
      </c>
      <c r="L597" s="33" t="s">
        <v>55</v>
      </c>
      <c r="M597" s="33" t="s">
        <v>55</v>
      </c>
      <c r="N597" s="33" t="s">
        <v>55</v>
      </c>
      <c r="O597" s="33" t="s">
        <v>55</v>
      </c>
      <c r="P597" s="33" t="s">
        <v>55</v>
      </c>
      <c r="Q597" s="33" t="s">
        <v>55</v>
      </c>
      <c r="R597" s="21" t="s">
        <v>55</v>
      </c>
      <c r="S597" s="33">
        <v>3</v>
      </c>
      <c r="T597" s="33">
        <v>3</v>
      </c>
      <c r="U597" s="33">
        <v>0</v>
      </c>
      <c r="V597" s="28">
        <v>46119</v>
      </c>
      <c r="W597" s="28">
        <v>46119</v>
      </c>
      <c r="X597" s="28">
        <v>46119</v>
      </c>
      <c r="Y597" s="28">
        <v>46127</v>
      </c>
      <c r="Z597" s="180">
        <v>46127</v>
      </c>
      <c r="AA597" s="21">
        <v>4</v>
      </c>
      <c r="AB597" s="87" t="s">
        <v>1815</v>
      </c>
      <c r="AC597" s="48" t="s">
        <v>1816</v>
      </c>
      <c r="AD597" s="19">
        <f t="shared" si="64"/>
        <v>1</v>
      </c>
      <c r="AE597" s="67">
        <f>IFERROR(NETWORKDAYS(B597,I597,Hoja1!$A$1:$A$29),"N/A")</f>
        <v>3</v>
      </c>
      <c r="AF597" s="21">
        <f>IFERROR(NETWORKDAYS(B597,W597,Hoja1!$A$1:$A$29),"N/A")</f>
        <v>9</v>
      </c>
      <c r="AG597" s="78">
        <v>0</v>
      </c>
      <c r="AH597" s="21">
        <f t="shared" si="62"/>
        <v>9</v>
      </c>
      <c r="AI597" s="21">
        <f>IFERROR(NETWORKDAYS(X597,Y597,Hoja1!$A$1:$A$29),"N/A")</f>
        <v>7</v>
      </c>
      <c r="AJ597" s="78">
        <v>0</v>
      </c>
      <c r="AK597" s="75">
        <f t="shared" si="63"/>
        <v>7</v>
      </c>
      <c r="AL597" s="21">
        <f>IFERROR(NETWORKDAYS(B597,Y597,Hoja1!$A$1:$A$29),"N/A")</f>
        <v>15</v>
      </c>
      <c r="AM597" s="21">
        <f t="shared" si="65"/>
        <v>15</v>
      </c>
      <c r="AN597" s="87"/>
      <c r="AO597" s="87"/>
      <c r="AP597" s="87"/>
      <c r="AQ597" s="87"/>
      <c r="AR597" s="87"/>
      <c r="AS597" s="87" t="s">
        <v>1913</v>
      </c>
      <c r="AT597" s="87" t="s">
        <v>2095</v>
      </c>
      <c r="AU597" s="87" t="s">
        <v>2209</v>
      </c>
      <c r="AV597" s="320" t="s">
        <v>2590</v>
      </c>
      <c r="AW597" s="403" t="s">
        <v>3180</v>
      </c>
      <c r="AY597" s="414"/>
    </row>
    <row r="598" spans="1:51" ht="15" customHeight="1" x14ac:dyDescent="0.25">
      <c r="A598" s="294">
        <v>16241</v>
      </c>
      <c r="B598" s="116">
        <v>46118</v>
      </c>
      <c r="C598" s="116">
        <v>46118</v>
      </c>
      <c r="D598" s="33">
        <v>1</v>
      </c>
      <c r="E598" s="111" t="s">
        <v>54</v>
      </c>
      <c r="F598" s="33" t="s">
        <v>55</v>
      </c>
      <c r="G598" s="33">
        <v>0</v>
      </c>
      <c r="H598" s="1"/>
      <c r="I598" s="33" t="s">
        <v>55</v>
      </c>
      <c r="J598" s="33" t="s">
        <v>55</v>
      </c>
      <c r="K598" s="33">
        <v>0</v>
      </c>
      <c r="L598" s="33" t="s">
        <v>55</v>
      </c>
      <c r="M598" s="33" t="s">
        <v>55</v>
      </c>
      <c r="N598" s="33" t="s">
        <v>55</v>
      </c>
      <c r="O598" s="33" t="s">
        <v>55</v>
      </c>
      <c r="P598" s="33" t="s">
        <v>55</v>
      </c>
      <c r="Q598" s="33" t="s">
        <v>55</v>
      </c>
      <c r="R598" s="33" t="s">
        <v>55</v>
      </c>
      <c r="S598" s="33">
        <v>1</v>
      </c>
      <c r="T598" s="33">
        <v>1</v>
      </c>
      <c r="U598" s="33">
        <v>0</v>
      </c>
      <c r="V598" s="16">
        <v>46119</v>
      </c>
      <c r="W598" s="16">
        <v>46119</v>
      </c>
      <c r="X598" s="16">
        <v>46120</v>
      </c>
      <c r="Y598" s="180">
        <v>46126</v>
      </c>
      <c r="Z598" s="180">
        <v>46127</v>
      </c>
      <c r="AA598" s="33">
        <v>4</v>
      </c>
      <c r="AB598" s="183" t="s">
        <v>1817</v>
      </c>
      <c r="AC598" s="49" t="s">
        <v>1818</v>
      </c>
      <c r="AD598" s="19" t="str">
        <f t="shared" si="64"/>
        <v>N/A</v>
      </c>
      <c r="AE598" s="67" t="str">
        <f>IFERROR(NETWORKDAYS(B598,I598,Hoja1!$A$1:$A$29),"N/A")</f>
        <v>N/A</v>
      </c>
      <c r="AF598" s="21">
        <f>IFERROR(NETWORKDAYS(B598,W598,Hoja1!$A$1:$A$29),"N/A")</f>
        <v>2</v>
      </c>
      <c r="AG598" s="78">
        <v>0</v>
      </c>
      <c r="AH598" s="21">
        <f t="shared" si="62"/>
        <v>2</v>
      </c>
      <c r="AI598" s="21">
        <f>IFERROR(NETWORKDAYS(X598,Y598,Hoja1!$A$1:$A$29),"N/A")</f>
        <v>5</v>
      </c>
      <c r="AJ598" s="78">
        <v>0</v>
      </c>
      <c r="AK598" s="75">
        <f t="shared" si="63"/>
        <v>5</v>
      </c>
      <c r="AL598" s="21">
        <f>IFERROR(NETWORKDAYS(B598,Y598,Hoja1!$A$1:$A$29),"N/A")</f>
        <v>7</v>
      </c>
      <c r="AM598" s="21">
        <f t="shared" si="65"/>
        <v>7</v>
      </c>
      <c r="AN598" s="87"/>
      <c r="AO598" s="87"/>
      <c r="AP598" s="87"/>
      <c r="AQ598" s="87"/>
      <c r="AR598" s="87"/>
      <c r="AS598" s="87" t="s">
        <v>1906</v>
      </c>
      <c r="AT598" s="87" t="s">
        <v>2075</v>
      </c>
      <c r="AU598" s="87" t="s">
        <v>2221</v>
      </c>
      <c r="AV598" s="320" t="s">
        <v>2258</v>
      </c>
      <c r="AW598" s="403" t="s">
        <v>3181</v>
      </c>
      <c r="AY598" s="415"/>
    </row>
    <row r="599" spans="1:51" ht="15" customHeight="1" x14ac:dyDescent="0.25">
      <c r="A599" s="301">
        <v>16266</v>
      </c>
      <c r="B599" s="116">
        <v>46120</v>
      </c>
      <c r="C599" s="116">
        <v>46119</v>
      </c>
      <c r="D599" s="33">
        <v>1</v>
      </c>
      <c r="E599" s="159" t="s">
        <v>247</v>
      </c>
      <c r="F599" s="33" t="s">
        <v>55</v>
      </c>
      <c r="G599" s="33">
        <v>0</v>
      </c>
      <c r="H599" s="33"/>
      <c r="I599" s="33" t="s">
        <v>55</v>
      </c>
      <c r="J599" s="33" t="s">
        <v>55</v>
      </c>
      <c r="K599" s="33">
        <v>0</v>
      </c>
      <c r="L599" s="33" t="s">
        <v>55</v>
      </c>
      <c r="M599" s="33" t="s">
        <v>55</v>
      </c>
      <c r="N599" s="33" t="s">
        <v>55</v>
      </c>
      <c r="O599" s="33" t="s">
        <v>55</v>
      </c>
      <c r="P599" s="33" t="s">
        <v>55</v>
      </c>
      <c r="Q599" s="33" t="s">
        <v>55</v>
      </c>
      <c r="R599" s="33" t="s">
        <v>55</v>
      </c>
      <c r="S599" s="33">
        <v>2</v>
      </c>
      <c r="T599" s="33">
        <v>2</v>
      </c>
      <c r="U599" s="33">
        <v>0</v>
      </c>
      <c r="V599" s="28">
        <v>46139</v>
      </c>
      <c r="W599" s="180">
        <v>46142</v>
      </c>
      <c r="X599" s="28" t="s">
        <v>55</v>
      </c>
      <c r="Y599" s="180">
        <v>46142</v>
      </c>
      <c r="Z599" s="180">
        <v>46142</v>
      </c>
      <c r="AA599" s="33">
        <f>MONTH(Z599)</f>
        <v>4</v>
      </c>
      <c r="AB599" s="144" t="s">
        <v>1819</v>
      </c>
      <c r="AC599" s="114" t="s">
        <v>1820</v>
      </c>
      <c r="AD599" s="19" t="str">
        <f t="shared" si="64"/>
        <v>N/A</v>
      </c>
      <c r="AE599" s="67" t="str">
        <f>IFERROR(NETWORKDAYS(B599,I599,Hoja1!$A$1:$A$29),"N/A")</f>
        <v>N/A</v>
      </c>
      <c r="AF599" s="21">
        <f>IFERROR(NETWORKDAYS(B599,W599,Hoja1!$A$1:$A$29),"N/A")</f>
        <v>17</v>
      </c>
      <c r="AG599" s="78">
        <v>0</v>
      </c>
      <c r="AH599" s="21">
        <f t="shared" si="62"/>
        <v>17</v>
      </c>
      <c r="AI599" s="21" t="str">
        <f>IFERROR(NETWORKDAYS(X599,Y599,Hoja1!$A$1:$A$29),"N/A")</f>
        <v>N/A</v>
      </c>
      <c r="AJ599" s="78">
        <v>0</v>
      </c>
      <c r="AK599" s="21" t="s">
        <v>82</v>
      </c>
      <c r="AL599" s="21">
        <f>IFERROR(NETWORKDAYS(B599,Y599,Hoja1!$A$1:$A$29),"N/A")</f>
        <v>17</v>
      </c>
      <c r="AM599" s="21">
        <f t="shared" si="65"/>
        <v>17</v>
      </c>
      <c r="AN599" s="87"/>
      <c r="AO599" s="87"/>
      <c r="AP599" s="87"/>
      <c r="AQ599" s="87"/>
      <c r="AR599" s="87"/>
      <c r="AS599" s="87" t="s">
        <v>1932</v>
      </c>
      <c r="AT599" s="87" t="s">
        <v>2202</v>
      </c>
      <c r="AU599" s="87" t="s">
        <v>2220</v>
      </c>
      <c r="AV599" s="320" t="s">
        <v>2329</v>
      </c>
      <c r="AW599" s="403" t="s">
        <v>3175</v>
      </c>
      <c r="AY599" s="414"/>
    </row>
    <row r="600" spans="1:51" ht="15" customHeight="1" x14ac:dyDescent="0.25">
      <c r="A600" s="294">
        <v>16277</v>
      </c>
      <c r="B600" s="53">
        <v>46099</v>
      </c>
      <c r="C600" s="53">
        <v>46120</v>
      </c>
      <c r="D600" s="2">
        <v>1</v>
      </c>
      <c r="E600" s="111" t="s">
        <v>54</v>
      </c>
      <c r="F600" s="21" t="s">
        <v>55</v>
      </c>
      <c r="G600" s="21">
        <v>6</v>
      </c>
      <c r="H600" s="21" t="s">
        <v>112</v>
      </c>
      <c r="I600" s="16">
        <v>46106</v>
      </c>
      <c r="J600" s="16">
        <v>46106</v>
      </c>
      <c r="K600" s="21">
        <v>6</v>
      </c>
      <c r="L600" s="21" t="s">
        <v>55</v>
      </c>
      <c r="M600" s="21" t="s">
        <v>55</v>
      </c>
      <c r="N600" s="21" t="s">
        <v>55</v>
      </c>
      <c r="O600" s="21" t="s">
        <v>55</v>
      </c>
      <c r="P600" s="21" t="s">
        <v>55</v>
      </c>
      <c r="Q600" s="21" t="s">
        <v>55</v>
      </c>
      <c r="R600" s="21" t="s">
        <v>55</v>
      </c>
      <c r="S600" s="21">
        <v>6</v>
      </c>
      <c r="T600" s="21">
        <v>1</v>
      </c>
      <c r="U600" s="21">
        <v>0</v>
      </c>
      <c r="V600" s="53">
        <v>46126</v>
      </c>
      <c r="W600" s="53">
        <v>46126</v>
      </c>
      <c r="X600" s="53">
        <v>46126</v>
      </c>
      <c r="Y600" s="53">
        <v>46134</v>
      </c>
      <c r="Z600" s="53">
        <v>46139</v>
      </c>
      <c r="AA600" s="21">
        <v>4</v>
      </c>
      <c r="AB600" s="159" t="s">
        <v>1821</v>
      </c>
      <c r="AC600" s="111" t="s">
        <v>1822</v>
      </c>
      <c r="AD600" s="19">
        <f t="shared" si="64"/>
        <v>1</v>
      </c>
      <c r="AE600" s="67">
        <f>IFERROR(NETWORKDAYS(B600,I600,Hoja1!$A$1:$A$29),"N/A")</f>
        <v>5</v>
      </c>
      <c r="AF600" s="21">
        <f>IFERROR(NETWORKDAYS(B600,W600,Hoja1!$A$1:$A$29),"N/A")</f>
        <v>17</v>
      </c>
      <c r="AG600" s="78">
        <v>0</v>
      </c>
      <c r="AH600" s="21">
        <f t="shared" si="62"/>
        <v>17</v>
      </c>
      <c r="AI600" s="21">
        <f>IFERROR(NETWORKDAYS(X600,Y600,Hoja1!$A$1:$A$29),"N/A")</f>
        <v>7</v>
      </c>
      <c r="AJ600" s="78">
        <v>0</v>
      </c>
      <c r="AK600" s="75">
        <f t="shared" si="63"/>
        <v>7</v>
      </c>
      <c r="AL600" s="21">
        <f>IFERROR(NETWORKDAYS(B600,Y600,Hoja1!$A$1:$A$29),"N/A")</f>
        <v>23</v>
      </c>
      <c r="AM600" s="21">
        <f t="shared" si="65"/>
        <v>23</v>
      </c>
      <c r="AN600" s="87"/>
      <c r="AO600" s="87"/>
      <c r="AP600" s="87"/>
      <c r="AQ600" s="87"/>
      <c r="AR600" s="87"/>
      <c r="AS600" s="87" t="s">
        <v>1895</v>
      </c>
      <c r="AT600" s="87" t="s">
        <v>2047</v>
      </c>
      <c r="AU600" s="87" t="s">
        <v>2216</v>
      </c>
      <c r="AV600" s="320" t="s">
        <v>2591</v>
      </c>
      <c r="AW600" s="403" t="s">
        <v>3182</v>
      </c>
      <c r="AY600" s="415"/>
    </row>
    <row r="601" spans="1:51" ht="15" customHeight="1" x14ac:dyDescent="0.25">
      <c r="A601" s="294">
        <v>16278</v>
      </c>
      <c r="B601" s="53">
        <v>46099</v>
      </c>
      <c r="C601" s="53">
        <v>46120</v>
      </c>
      <c r="D601" s="2">
        <v>1</v>
      </c>
      <c r="E601" s="111" t="s">
        <v>54</v>
      </c>
      <c r="F601" s="21" t="s">
        <v>55</v>
      </c>
      <c r="G601" s="21">
        <v>5</v>
      </c>
      <c r="H601" s="21" t="s">
        <v>112</v>
      </c>
      <c r="I601" s="16">
        <v>46106</v>
      </c>
      <c r="J601" s="16">
        <v>46106</v>
      </c>
      <c r="K601" s="21">
        <v>5</v>
      </c>
      <c r="L601" s="21" t="s">
        <v>55</v>
      </c>
      <c r="M601" s="21" t="s">
        <v>55</v>
      </c>
      <c r="N601" s="21" t="s">
        <v>55</v>
      </c>
      <c r="O601" s="21" t="s">
        <v>55</v>
      </c>
      <c r="P601" s="21" t="s">
        <v>55</v>
      </c>
      <c r="Q601" s="21" t="s">
        <v>55</v>
      </c>
      <c r="R601" s="21" t="s">
        <v>55</v>
      </c>
      <c r="S601" s="21">
        <v>5</v>
      </c>
      <c r="T601" s="21">
        <v>1</v>
      </c>
      <c r="U601" s="21">
        <v>0</v>
      </c>
      <c r="V601" s="53">
        <v>46126</v>
      </c>
      <c r="W601" s="53">
        <v>46126</v>
      </c>
      <c r="X601" s="53">
        <v>46126</v>
      </c>
      <c r="Y601" s="53">
        <v>46133</v>
      </c>
      <c r="Z601" s="53">
        <v>46139</v>
      </c>
      <c r="AA601" s="21">
        <v>4</v>
      </c>
      <c r="AB601" s="159" t="s">
        <v>1824</v>
      </c>
      <c r="AC601" s="111" t="s">
        <v>1825</v>
      </c>
      <c r="AD601" s="19">
        <f t="shared" si="64"/>
        <v>1</v>
      </c>
      <c r="AE601" s="67">
        <f>IFERROR(NETWORKDAYS(B601,I601,Hoja1!$A$1:$A$29),"N/A")</f>
        <v>5</v>
      </c>
      <c r="AF601" s="21">
        <f>IFERROR(NETWORKDAYS(B601,W601,Hoja1!$A$1:$A$29),"N/A")</f>
        <v>17</v>
      </c>
      <c r="AG601" s="78">
        <v>0</v>
      </c>
      <c r="AH601" s="21">
        <f t="shared" si="62"/>
        <v>17</v>
      </c>
      <c r="AI601" s="21">
        <f>IFERROR(NETWORKDAYS(X601,Y601,Hoja1!$A$1:$A$29),"N/A")</f>
        <v>6</v>
      </c>
      <c r="AJ601" s="78">
        <v>0</v>
      </c>
      <c r="AK601" s="75">
        <f t="shared" si="63"/>
        <v>6</v>
      </c>
      <c r="AL601" s="21">
        <f>IFERROR(NETWORKDAYS(B601,Y601,Hoja1!$A$1:$A$29),"N/A")</f>
        <v>22</v>
      </c>
      <c r="AM601" s="21">
        <f t="shared" si="65"/>
        <v>22</v>
      </c>
      <c r="AN601" s="87"/>
      <c r="AO601" s="87"/>
      <c r="AP601" s="87"/>
      <c r="AQ601" s="87"/>
      <c r="AR601" s="87"/>
      <c r="AS601" s="87" t="s">
        <v>1895</v>
      </c>
      <c r="AT601" s="87" t="s">
        <v>2047</v>
      </c>
      <c r="AU601" s="87" t="s">
        <v>2216</v>
      </c>
      <c r="AV601" s="320" t="s">
        <v>2592</v>
      </c>
      <c r="AW601" s="403" t="s">
        <v>3183</v>
      </c>
      <c r="AY601" s="414"/>
    </row>
    <row r="602" spans="1:51" ht="15" customHeight="1" x14ac:dyDescent="0.25">
      <c r="A602" s="301">
        <v>16279</v>
      </c>
      <c r="B602" s="28">
        <v>46127</v>
      </c>
      <c r="C602" s="116">
        <v>46120</v>
      </c>
      <c r="D602" s="2">
        <v>1</v>
      </c>
      <c r="E602" s="111" t="s">
        <v>54</v>
      </c>
      <c r="F602" s="33" t="s">
        <v>55</v>
      </c>
      <c r="G602" s="33">
        <v>0</v>
      </c>
      <c r="H602" s="21"/>
      <c r="I602" s="33" t="s">
        <v>55</v>
      </c>
      <c r="J602" s="33" t="s">
        <v>55</v>
      </c>
      <c r="K602" s="33">
        <v>0</v>
      </c>
      <c r="L602" s="33" t="s">
        <v>55</v>
      </c>
      <c r="M602" s="33" t="s">
        <v>55</v>
      </c>
      <c r="N602" s="33" t="s">
        <v>55</v>
      </c>
      <c r="O602" s="33" t="s">
        <v>55</v>
      </c>
      <c r="P602" s="33" t="s">
        <v>55</v>
      </c>
      <c r="Q602" s="33" t="s">
        <v>55</v>
      </c>
      <c r="R602" s="33" t="s">
        <v>55</v>
      </c>
      <c r="S602" s="33">
        <v>0</v>
      </c>
      <c r="T602" s="33">
        <v>0</v>
      </c>
      <c r="U602" s="33">
        <v>0</v>
      </c>
      <c r="V602" s="33" t="s">
        <v>55</v>
      </c>
      <c r="W602" s="28">
        <v>46127</v>
      </c>
      <c r="X602" s="28">
        <v>46128</v>
      </c>
      <c r="Y602" s="28">
        <v>46135</v>
      </c>
      <c r="Z602" s="53">
        <v>46139</v>
      </c>
      <c r="AA602" s="33">
        <f>MONTH(Z602)</f>
        <v>4</v>
      </c>
      <c r="AB602" s="144" t="s">
        <v>1200</v>
      </c>
      <c r="AC602" s="114" t="s">
        <v>1827</v>
      </c>
      <c r="AD602" s="19" t="str">
        <f t="shared" si="64"/>
        <v>N/A</v>
      </c>
      <c r="AE602" s="67" t="str">
        <f>IFERROR(NETWORKDAYS(B602,I602,Hoja1!$A$1:$A$29),"N/A")</f>
        <v>N/A</v>
      </c>
      <c r="AF602" s="21">
        <f>IFERROR(NETWORKDAYS(B602,W602,Hoja1!$A$1:$A$29),"N/A")</f>
        <v>1</v>
      </c>
      <c r="AG602" s="78">
        <v>0</v>
      </c>
      <c r="AH602" s="19" t="s">
        <v>82</v>
      </c>
      <c r="AI602" s="21">
        <f>IFERROR(NETWORKDAYS(X602,Y602,Hoja1!$A$1:$A$29),"N/A")</f>
        <v>6</v>
      </c>
      <c r="AJ602" s="78">
        <v>0</v>
      </c>
      <c r="AK602" s="75">
        <f t="shared" si="63"/>
        <v>6</v>
      </c>
      <c r="AL602" s="21">
        <f>IFERROR(NETWORKDAYS(B602,Y602,Hoja1!$A$1:$A$29),"N/A")</f>
        <v>7</v>
      </c>
      <c r="AM602" s="21">
        <f t="shared" si="65"/>
        <v>7</v>
      </c>
      <c r="AN602" s="87"/>
      <c r="AO602" s="87"/>
      <c r="AP602" s="87"/>
      <c r="AQ602" s="87"/>
      <c r="AR602" s="87"/>
      <c r="AS602" s="87" t="s">
        <v>1908</v>
      </c>
      <c r="AT602" s="87" t="s">
        <v>2203</v>
      </c>
      <c r="AU602" s="87" t="s">
        <v>2220</v>
      </c>
      <c r="AV602" s="320" t="s">
        <v>2258</v>
      </c>
      <c r="AW602" s="403" t="s">
        <v>3184</v>
      </c>
      <c r="AY602" s="415"/>
    </row>
    <row r="603" spans="1:51" ht="15" customHeight="1" x14ac:dyDescent="0.25">
      <c r="A603" s="301">
        <v>16282</v>
      </c>
      <c r="B603" s="116">
        <v>46125</v>
      </c>
      <c r="C603" s="116">
        <v>46121</v>
      </c>
      <c r="D603" s="1">
        <v>1</v>
      </c>
      <c r="E603" s="111" t="s">
        <v>54</v>
      </c>
      <c r="F603" s="33" t="s">
        <v>55</v>
      </c>
      <c r="G603" s="33">
        <v>0</v>
      </c>
      <c r="H603" s="33"/>
      <c r="I603" s="33" t="s">
        <v>55</v>
      </c>
      <c r="J603" s="33" t="s">
        <v>55</v>
      </c>
      <c r="K603" s="33">
        <v>0</v>
      </c>
      <c r="L603" s="33" t="s">
        <v>55</v>
      </c>
      <c r="M603" s="33" t="s">
        <v>55</v>
      </c>
      <c r="N603" s="33" t="s">
        <v>55</v>
      </c>
      <c r="O603" s="33" t="s">
        <v>55</v>
      </c>
      <c r="P603" s="33" t="s">
        <v>55</v>
      </c>
      <c r="Q603" s="33" t="s">
        <v>55</v>
      </c>
      <c r="R603" s="33" t="s">
        <v>55</v>
      </c>
      <c r="S603" s="33">
        <v>4</v>
      </c>
      <c r="T603" s="33">
        <v>4</v>
      </c>
      <c r="U603" s="33">
        <v>0</v>
      </c>
      <c r="V603" s="16">
        <v>46128</v>
      </c>
      <c r="W603" s="16">
        <v>46132</v>
      </c>
      <c r="X603" s="16">
        <v>46132</v>
      </c>
      <c r="Y603" s="53">
        <v>46133</v>
      </c>
      <c r="Z603" s="53">
        <v>46139</v>
      </c>
      <c r="AA603" s="33">
        <f>MONTH(Z603)</f>
        <v>4</v>
      </c>
      <c r="AB603" s="240" t="s">
        <v>1829</v>
      </c>
      <c r="AC603" s="49" t="s">
        <v>1830</v>
      </c>
      <c r="AD603" s="19" t="str">
        <f t="shared" si="64"/>
        <v>N/A</v>
      </c>
      <c r="AE603" s="67" t="str">
        <f>IFERROR(NETWORKDAYS(B603,I603,Hoja1!$A$1:$A$29),"N/A")</f>
        <v>N/A</v>
      </c>
      <c r="AF603" s="21">
        <f>IFERROR(NETWORKDAYS(B603,W603,Hoja1!$A$1:$A$29),"N/A")</f>
        <v>6</v>
      </c>
      <c r="AG603" s="78">
        <v>0</v>
      </c>
      <c r="AH603" s="21">
        <f t="shared" si="62"/>
        <v>6</v>
      </c>
      <c r="AI603" s="21">
        <f>IFERROR(NETWORKDAYS(X603,Y603,Hoja1!$A$1:$A$29),"N/A")</f>
        <v>2</v>
      </c>
      <c r="AJ603" s="78">
        <v>0</v>
      </c>
      <c r="AK603" s="75">
        <f t="shared" si="63"/>
        <v>2</v>
      </c>
      <c r="AL603" s="21">
        <f>IFERROR(NETWORKDAYS(B603,Y603,Hoja1!$A$1:$A$29),"N/A")</f>
        <v>7</v>
      </c>
      <c r="AM603" s="21">
        <f t="shared" si="65"/>
        <v>7</v>
      </c>
      <c r="AN603" s="87"/>
      <c r="AO603" s="87"/>
      <c r="AP603" s="87"/>
      <c r="AQ603" s="87"/>
      <c r="AR603" s="87"/>
      <c r="AS603" s="87" t="s">
        <v>1906</v>
      </c>
      <c r="AT603" s="87" t="s">
        <v>2204</v>
      </c>
      <c r="AU603" s="87" t="s">
        <v>2221</v>
      </c>
      <c r="AV603" s="320" t="s">
        <v>2364</v>
      </c>
      <c r="AW603" s="403" t="s">
        <v>3185</v>
      </c>
      <c r="AY603" s="414"/>
    </row>
    <row r="604" spans="1:51" ht="15" customHeight="1" x14ac:dyDescent="0.25">
      <c r="A604" s="294">
        <v>16293</v>
      </c>
      <c r="B604" s="53">
        <v>46118</v>
      </c>
      <c r="C604" s="53">
        <v>46123</v>
      </c>
      <c r="D604" s="2">
        <v>1</v>
      </c>
      <c r="E604" s="111" t="s">
        <v>54</v>
      </c>
      <c r="F604" s="21" t="s">
        <v>55</v>
      </c>
      <c r="G604" s="21">
        <v>3</v>
      </c>
      <c r="H604" s="21" t="s">
        <v>112</v>
      </c>
      <c r="I604" s="53">
        <v>46123</v>
      </c>
      <c r="J604" s="53">
        <v>46123</v>
      </c>
      <c r="K604" s="21">
        <v>3</v>
      </c>
      <c r="L604" s="21" t="s">
        <v>55</v>
      </c>
      <c r="M604" s="21" t="s">
        <v>55</v>
      </c>
      <c r="N604" s="21" t="s">
        <v>55</v>
      </c>
      <c r="O604" s="21" t="s">
        <v>55</v>
      </c>
      <c r="P604" s="21" t="s">
        <v>55</v>
      </c>
      <c r="Q604" s="21" t="s">
        <v>55</v>
      </c>
      <c r="R604" s="21" t="s">
        <v>55</v>
      </c>
      <c r="S604" s="21">
        <v>3</v>
      </c>
      <c r="T604" s="21">
        <v>1</v>
      </c>
      <c r="U604" s="21">
        <v>0</v>
      </c>
      <c r="V604" s="53">
        <v>46127</v>
      </c>
      <c r="W604" s="53">
        <v>46127</v>
      </c>
      <c r="X604" s="53">
        <v>46127</v>
      </c>
      <c r="Y604" s="53">
        <v>46133</v>
      </c>
      <c r="Z604" s="53">
        <v>46139</v>
      </c>
      <c r="AA604" s="21">
        <v>4</v>
      </c>
      <c r="AB604" s="159" t="s">
        <v>1831</v>
      </c>
      <c r="AC604" s="111" t="s">
        <v>1832</v>
      </c>
      <c r="AD604" s="19">
        <f t="shared" si="64"/>
        <v>1</v>
      </c>
      <c r="AE604" s="67">
        <f>IFERROR(NETWORKDAYS(B604,I604,Hoja1!$A$1:$A$29),"N/A")</f>
        <v>5</v>
      </c>
      <c r="AF604" s="21">
        <f>IFERROR(NETWORKDAYS(B604,W604,Hoja1!$A$1:$A$29),"N/A")</f>
        <v>8</v>
      </c>
      <c r="AG604" s="78">
        <v>0</v>
      </c>
      <c r="AH604" s="21">
        <f t="shared" si="62"/>
        <v>8</v>
      </c>
      <c r="AI604" s="21">
        <f>IFERROR(NETWORKDAYS(X604,Y604,Hoja1!$A$1:$A$29),"N/A")</f>
        <v>5</v>
      </c>
      <c r="AJ604" s="78">
        <v>0</v>
      </c>
      <c r="AK604" s="75">
        <f t="shared" si="63"/>
        <v>5</v>
      </c>
      <c r="AL604" s="21">
        <f>IFERROR(NETWORKDAYS(B604,Y604,Hoja1!$A$1:$A$29),"N/A")</f>
        <v>12</v>
      </c>
      <c r="AM604" s="21">
        <f t="shared" si="65"/>
        <v>12</v>
      </c>
      <c r="AN604" s="87"/>
      <c r="AO604" s="87"/>
      <c r="AP604" s="87"/>
      <c r="AQ604" s="87"/>
      <c r="AR604" s="87"/>
      <c r="AS604" s="87" t="s">
        <v>1890</v>
      </c>
      <c r="AT604" s="87" t="s">
        <v>1995</v>
      </c>
      <c r="AU604" s="87" t="s">
        <v>2219</v>
      </c>
      <c r="AV604" s="320" t="s">
        <v>2593</v>
      </c>
      <c r="AW604" s="403" t="s">
        <v>3186</v>
      </c>
      <c r="AY604" s="415"/>
    </row>
    <row r="605" spans="1:51" ht="15" customHeight="1" x14ac:dyDescent="0.25">
      <c r="A605" s="301">
        <v>16317</v>
      </c>
      <c r="B605" s="116">
        <v>46107</v>
      </c>
      <c r="C605" s="116">
        <v>46125</v>
      </c>
      <c r="D605" s="33">
        <v>1</v>
      </c>
      <c r="E605" s="111" t="s">
        <v>54</v>
      </c>
      <c r="F605" s="33" t="s">
        <v>55</v>
      </c>
      <c r="G605" s="33">
        <v>3</v>
      </c>
      <c r="H605" s="21" t="s">
        <v>112</v>
      </c>
      <c r="I605" s="16">
        <v>46112</v>
      </c>
      <c r="J605" s="16">
        <v>46112</v>
      </c>
      <c r="K605" s="33">
        <v>3</v>
      </c>
      <c r="L605" s="33" t="s">
        <v>55</v>
      </c>
      <c r="M605" s="33" t="s">
        <v>55</v>
      </c>
      <c r="N605" s="33" t="s">
        <v>55</v>
      </c>
      <c r="O605" s="33" t="s">
        <v>55</v>
      </c>
      <c r="P605" s="33" t="s">
        <v>55</v>
      </c>
      <c r="Q605" s="33" t="s">
        <v>55</v>
      </c>
      <c r="R605" s="21" t="s">
        <v>55</v>
      </c>
      <c r="S605" s="33">
        <v>1</v>
      </c>
      <c r="T605" s="33">
        <v>1</v>
      </c>
      <c r="U605" s="33">
        <v>0</v>
      </c>
      <c r="V605" s="53">
        <v>46127</v>
      </c>
      <c r="W605" s="53">
        <v>46127</v>
      </c>
      <c r="X605" s="53">
        <v>46127</v>
      </c>
      <c r="Y605" s="16">
        <v>46134</v>
      </c>
      <c r="Z605" s="53">
        <v>46139</v>
      </c>
      <c r="AA605" s="33">
        <v>4</v>
      </c>
      <c r="AB605" s="144" t="s">
        <v>1833</v>
      </c>
      <c r="AC605" s="35" t="s">
        <v>1834</v>
      </c>
      <c r="AD605" s="19">
        <f t="shared" si="64"/>
        <v>1</v>
      </c>
      <c r="AE605" s="67">
        <f>IFERROR(NETWORKDAYS(B605,I605,Hoja1!$A$1:$A$29),"N/A")</f>
        <v>4</v>
      </c>
      <c r="AF605" s="21">
        <f>IFERROR(NETWORKDAYS(B605,W605,Hoja1!$A$1:$A$29),"N/A")</f>
        <v>13</v>
      </c>
      <c r="AG605" s="78">
        <v>0</v>
      </c>
      <c r="AH605" s="21">
        <f t="shared" si="62"/>
        <v>13</v>
      </c>
      <c r="AI605" s="21">
        <f>IFERROR(NETWORKDAYS(X605,Y605,Hoja1!$A$1:$A$29),"N/A")</f>
        <v>6</v>
      </c>
      <c r="AJ605" s="78">
        <v>1</v>
      </c>
      <c r="AK605" s="75">
        <f t="shared" si="63"/>
        <v>5</v>
      </c>
      <c r="AL605" s="21">
        <f>IFERROR(NETWORKDAYS(B605,Y605,Hoja1!$A$1:$A$29),"N/A")</f>
        <v>18</v>
      </c>
      <c r="AM605" s="21">
        <f t="shared" si="65"/>
        <v>17</v>
      </c>
      <c r="AN605" s="87"/>
      <c r="AO605" s="87"/>
      <c r="AP605" s="87"/>
      <c r="AQ605" s="87"/>
      <c r="AR605" s="87"/>
      <c r="AS605" s="87" t="s">
        <v>1911</v>
      </c>
      <c r="AT605" s="87" t="s">
        <v>2095</v>
      </c>
      <c r="AU605" s="87" t="s">
        <v>2210</v>
      </c>
      <c r="AV605" s="320" t="s">
        <v>2398</v>
      </c>
      <c r="AW605" s="403" t="s">
        <v>3187</v>
      </c>
      <c r="AY605" s="414"/>
    </row>
    <row r="606" spans="1:51" ht="15" customHeight="1" x14ac:dyDescent="0.25">
      <c r="A606" s="294">
        <v>16322</v>
      </c>
      <c r="B606" s="53">
        <v>46088</v>
      </c>
      <c r="C606" s="53">
        <v>46126</v>
      </c>
      <c r="D606" s="2">
        <v>1</v>
      </c>
      <c r="E606" s="111" t="s">
        <v>54</v>
      </c>
      <c r="F606" s="21" t="s">
        <v>55</v>
      </c>
      <c r="G606" s="21">
        <v>4</v>
      </c>
      <c r="H606" s="21" t="s">
        <v>112</v>
      </c>
      <c r="I606" s="16">
        <v>46099</v>
      </c>
      <c r="J606" s="16">
        <v>46099</v>
      </c>
      <c r="K606" s="21">
        <v>4</v>
      </c>
      <c r="L606" s="21" t="s">
        <v>55</v>
      </c>
      <c r="M606" s="21" t="s">
        <v>55</v>
      </c>
      <c r="N606" s="21" t="s">
        <v>55</v>
      </c>
      <c r="O606" s="21" t="s">
        <v>55</v>
      </c>
      <c r="P606" s="21" t="s">
        <v>55</v>
      </c>
      <c r="Q606" s="21" t="s">
        <v>55</v>
      </c>
      <c r="R606" s="21" t="s">
        <v>55</v>
      </c>
      <c r="S606" s="21">
        <v>4</v>
      </c>
      <c r="T606" s="21">
        <v>1</v>
      </c>
      <c r="U606" s="21">
        <v>0</v>
      </c>
      <c r="V606" s="53">
        <v>46119</v>
      </c>
      <c r="W606" s="53">
        <v>46119</v>
      </c>
      <c r="X606" s="53">
        <v>46120</v>
      </c>
      <c r="Y606" s="53">
        <v>46127</v>
      </c>
      <c r="Z606" s="180">
        <v>46127</v>
      </c>
      <c r="AA606" s="21">
        <v>4</v>
      </c>
      <c r="AB606" s="159" t="s">
        <v>1835</v>
      </c>
      <c r="AC606" s="111" t="s">
        <v>1836</v>
      </c>
      <c r="AD606" s="19">
        <f t="shared" si="64"/>
        <v>1</v>
      </c>
      <c r="AE606" s="67">
        <f>IFERROR(NETWORKDAYS(B606,I606,Hoja1!$A$1:$A$29),"N/A")</f>
        <v>8</v>
      </c>
      <c r="AF606" s="21">
        <f>IFERROR(NETWORKDAYS(B606,W606,Hoja1!$A$1:$A$29),"N/A")</f>
        <v>19</v>
      </c>
      <c r="AG606" s="78">
        <v>2</v>
      </c>
      <c r="AH606" s="21">
        <f t="shared" si="62"/>
        <v>17</v>
      </c>
      <c r="AI606" s="21">
        <f>IFERROR(NETWORKDAYS(X606,Y606,Hoja1!$A$1:$A$29),"N/A")</f>
        <v>6</v>
      </c>
      <c r="AJ606" s="78">
        <v>0</v>
      </c>
      <c r="AK606" s="75">
        <f t="shared" si="63"/>
        <v>6</v>
      </c>
      <c r="AL606" s="21">
        <f>IFERROR(NETWORKDAYS(B606,Y606,Hoja1!$A$1:$A$29),"N/A")</f>
        <v>25</v>
      </c>
      <c r="AM606" s="21">
        <f t="shared" si="65"/>
        <v>23</v>
      </c>
      <c r="AN606" s="87"/>
      <c r="AO606" s="87"/>
      <c r="AP606" s="87"/>
      <c r="AQ606" s="87"/>
      <c r="AR606" s="87"/>
      <c r="AS606" s="87" t="s">
        <v>1890</v>
      </c>
      <c r="AT606" s="87" t="s">
        <v>1994</v>
      </c>
      <c r="AU606" s="87" t="s">
        <v>2219</v>
      </c>
      <c r="AV606" s="320" t="s">
        <v>2232</v>
      </c>
      <c r="AW606" s="403" t="s">
        <v>3188</v>
      </c>
      <c r="AY606" s="415"/>
    </row>
    <row r="607" spans="1:51" ht="15" customHeight="1" x14ac:dyDescent="0.25">
      <c r="A607" s="294">
        <v>16324</v>
      </c>
      <c r="B607" s="53">
        <v>46126</v>
      </c>
      <c r="C607" s="53">
        <v>46126</v>
      </c>
      <c r="D607" s="2">
        <v>1</v>
      </c>
      <c r="E607" s="111" t="s">
        <v>54</v>
      </c>
      <c r="F607" s="21" t="s">
        <v>55</v>
      </c>
      <c r="G607" s="21">
        <v>0</v>
      </c>
      <c r="H607" s="21"/>
      <c r="I607" s="21" t="s">
        <v>55</v>
      </c>
      <c r="J607" s="21" t="s">
        <v>55</v>
      </c>
      <c r="K607" s="21">
        <v>0</v>
      </c>
      <c r="L607" s="21" t="s">
        <v>55</v>
      </c>
      <c r="M607" s="21" t="s">
        <v>55</v>
      </c>
      <c r="N607" s="21" t="s">
        <v>55</v>
      </c>
      <c r="O607" s="21" t="s">
        <v>55</v>
      </c>
      <c r="P607" s="21" t="s">
        <v>55</v>
      </c>
      <c r="Q607" s="21" t="s">
        <v>55</v>
      </c>
      <c r="R607" s="21" t="s">
        <v>55</v>
      </c>
      <c r="S607" s="21">
        <v>1</v>
      </c>
      <c r="T607" s="21">
        <v>1</v>
      </c>
      <c r="U607" s="21">
        <v>0</v>
      </c>
      <c r="V607" s="16">
        <v>46132</v>
      </c>
      <c r="W607" s="16">
        <v>46132</v>
      </c>
      <c r="X607" s="16">
        <v>46128</v>
      </c>
      <c r="Y607" s="53">
        <v>46136</v>
      </c>
      <c r="Z607" s="53">
        <v>46139</v>
      </c>
      <c r="AA607" s="21">
        <v>4</v>
      </c>
      <c r="AB607" s="152" t="s">
        <v>1838</v>
      </c>
      <c r="AC607" s="111" t="s">
        <v>1839</v>
      </c>
      <c r="AD607" s="19" t="str">
        <f t="shared" si="64"/>
        <v>N/A</v>
      </c>
      <c r="AE607" s="67" t="str">
        <f>IFERROR(NETWORKDAYS(B607,I607,Hoja1!$A$1:$A$29),"N/A")</f>
        <v>N/A</v>
      </c>
      <c r="AF607" s="21">
        <f>IFERROR(NETWORKDAYS(B607,W607,Hoja1!$A$1:$A$29),"N/A")</f>
        <v>5</v>
      </c>
      <c r="AG607" s="78">
        <v>0</v>
      </c>
      <c r="AH607" s="21">
        <f t="shared" si="62"/>
        <v>5</v>
      </c>
      <c r="AI607" s="21">
        <f>IFERROR(NETWORKDAYS(X607,Y607,Hoja1!$A$1:$A$29),"N/A")</f>
        <v>7</v>
      </c>
      <c r="AJ607" s="78">
        <v>2</v>
      </c>
      <c r="AK607" s="75">
        <f t="shared" si="63"/>
        <v>5</v>
      </c>
      <c r="AL607" s="21">
        <f>IFERROR(NETWORKDAYS(B607,Y607,Hoja1!$A$1:$A$29),"N/A")</f>
        <v>9</v>
      </c>
      <c r="AM607" s="21">
        <f t="shared" si="65"/>
        <v>7</v>
      </c>
      <c r="AN607" s="87"/>
      <c r="AO607" s="87"/>
      <c r="AP607" s="87"/>
      <c r="AQ607" s="87"/>
      <c r="AR607" s="87"/>
      <c r="AS607" s="87" t="s">
        <v>1925</v>
      </c>
      <c r="AT607" s="87" t="s">
        <v>2205</v>
      </c>
      <c r="AU607" s="87" t="s">
        <v>2217</v>
      </c>
      <c r="AV607" s="320" t="s">
        <v>2594</v>
      </c>
      <c r="AW607" s="403" t="s">
        <v>3189</v>
      </c>
      <c r="AY607" s="414"/>
    </row>
    <row r="608" spans="1:51" ht="15" customHeight="1" x14ac:dyDescent="0.25">
      <c r="A608" s="301">
        <v>16342</v>
      </c>
      <c r="B608" s="28">
        <v>46128</v>
      </c>
      <c r="C608" s="28">
        <v>46132</v>
      </c>
      <c r="D608" s="33">
        <v>1</v>
      </c>
      <c r="E608" s="159" t="s">
        <v>247</v>
      </c>
      <c r="F608" s="33" t="s">
        <v>55</v>
      </c>
      <c r="G608" s="33">
        <v>0</v>
      </c>
      <c r="H608" s="33"/>
      <c r="I608" s="21" t="s">
        <v>55</v>
      </c>
      <c r="J608" s="21" t="s">
        <v>55</v>
      </c>
      <c r="K608" s="33">
        <v>0</v>
      </c>
      <c r="L608" s="33" t="s">
        <v>55</v>
      </c>
      <c r="M608" s="33" t="s">
        <v>55</v>
      </c>
      <c r="N608" s="33" t="s">
        <v>55</v>
      </c>
      <c r="O608" s="33" t="s">
        <v>55</v>
      </c>
      <c r="P608" s="33" t="s">
        <v>55</v>
      </c>
      <c r="Q608" s="33" t="s">
        <v>55</v>
      </c>
      <c r="R608" s="33" t="s">
        <v>55</v>
      </c>
      <c r="S608" s="33">
        <v>1</v>
      </c>
      <c r="T608" s="33">
        <v>1</v>
      </c>
      <c r="U608" s="33">
        <v>0</v>
      </c>
      <c r="V608" s="28">
        <v>46133</v>
      </c>
      <c r="W608" s="28">
        <v>46133</v>
      </c>
      <c r="X608" s="28" t="s">
        <v>55</v>
      </c>
      <c r="Y608" s="53">
        <v>46133</v>
      </c>
      <c r="Z608" s="140">
        <v>46143</v>
      </c>
      <c r="AA608" s="33">
        <v>4</v>
      </c>
      <c r="AB608" s="144" t="s">
        <v>1841</v>
      </c>
      <c r="AC608" s="35" t="s">
        <v>1842</v>
      </c>
      <c r="AD608" s="19" t="str">
        <f t="shared" si="64"/>
        <v>N/A</v>
      </c>
      <c r="AE608" s="67" t="str">
        <f>IFERROR(NETWORKDAYS(B608,I608,Hoja1!$A$1:$A$29),"N/A")</f>
        <v>N/A</v>
      </c>
      <c r="AF608" s="21">
        <f>IFERROR(NETWORKDAYS(B608,W608,Hoja1!$A$1:$A$29),"N/A")</f>
        <v>4</v>
      </c>
      <c r="AG608" s="78">
        <v>0</v>
      </c>
      <c r="AH608" s="21">
        <f t="shared" si="62"/>
        <v>4</v>
      </c>
      <c r="AI608" s="21" t="str">
        <f>IFERROR(NETWORKDAYS(X608,Y608,Hoja1!$A$1:$A$29),"N/A")</f>
        <v>N/A</v>
      </c>
      <c r="AJ608" s="78">
        <v>0</v>
      </c>
      <c r="AK608" s="21" t="s">
        <v>82</v>
      </c>
      <c r="AL608" s="21">
        <f>IFERROR(NETWORKDAYS(B608,Y608,Hoja1!$A$1:$A$29),"N/A")</f>
        <v>4</v>
      </c>
      <c r="AM608" s="21">
        <f t="shared" si="65"/>
        <v>4</v>
      </c>
      <c r="AN608" s="87"/>
      <c r="AO608" s="87"/>
      <c r="AP608" s="87"/>
      <c r="AQ608" s="87"/>
      <c r="AR608" s="87"/>
      <c r="AS608" s="87" t="s">
        <v>1958</v>
      </c>
      <c r="AT608" s="87" t="s">
        <v>2102</v>
      </c>
      <c r="AU608" s="87" t="s">
        <v>2218</v>
      </c>
      <c r="AV608" s="320" t="s">
        <v>2250</v>
      </c>
      <c r="AW608" s="403" t="s">
        <v>3190</v>
      </c>
      <c r="AY608" s="415"/>
    </row>
    <row r="609" spans="1:51" ht="15" customHeight="1" x14ac:dyDescent="0.25">
      <c r="A609" s="301" t="s">
        <v>1843</v>
      </c>
      <c r="B609" s="196">
        <v>46125</v>
      </c>
      <c r="C609" s="196">
        <v>46125</v>
      </c>
      <c r="D609" s="167">
        <v>1</v>
      </c>
      <c r="E609" s="159" t="s">
        <v>247</v>
      </c>
      <c r="F609" s="168" t="s">
        <v>55</v>
      </c>
      <c r="G609" s="168">
        <v>0</v>
      </c>
      <c r="H609" s="164"/>
      <c r="I609" s="168" t="s">
        <v>55</v>
      </c>
      <c r="J609" s="168" t="s">
        <v>55</v>
      </c>
      <c r="K609" s="168">
        <v>0</v>
      </c>
      <c r="L609" s="168" t="s">
        <v>55</v>
      </c>
      <c r="M609" s="168" t="s">
        <v>55</v>
      </c>
      <c r="N609" s="168" t="s">
        <v>55</v>
      </c>
      <c r="O609" s="168" t="s">
        <v>55</v>
      </c>
      <c r="P609" s="168" t="s">
        <v>55</v>
      </c>
      <c r="Q609" s="168" t="s">
        <v>55</v>
      </c>
      <c r="R609" s="168" t="s">
        <v>55</v>
      </c>
      <c r="S609" s="168">
        <v>1</v>
      </c>
      <c r="T609" s="168">
        <v>1</v>
      </c>
      <c r="U609" s="168">
        <v>0</v>
      </c>
      <c r="V609" s="196">
        <v>46134</v>
      </c>
      <c r="W609" s="196">
        <v>46134</v>
      </c>
      <c r="X609" s="28" t="s">
        <v>55</v>
      </c>
      <c r="Y609" s="196">
        <v>46134</v>
      </c>
      <c r="Z609" s="196">
        <v>46134</v>
      </c>
      <c r="AA609" s="168">
        <f t="shared" ref="AA609:AA618" si="66">MONTH(Z609)</f>
        <v>4</v>
      </c>
      <c r="AB609" s="253" t="s">
        <v>1845</v>
      </c>
      <c r="AC609" s="215" t="s">
        <v>1846</v>
      </c>
      <c r="AD609" s="19" t="str">
        <f t="shared" si="64"/>
        <v>N/A</v>
      </c>
      <c r="AE609" s="67" t="str">
        <f>IFERROR(NETWORKDAYS(B609,I609,Hoja1!$A$1:$A$29),"N/A")</f>
        <v>N/A</v>
      </c>
      <c r="AF609" s="21">
        <f>IFERROR(NETWORKDAYS(B609,W609,Hoja1!$A$1:$A$29),"N/A")</f>
        <v>8</v>
      </c>
      <c r="AG609" s="78">
        <v>0</v>
      </c>
      <c r="AH609" s="21">
        <f t="shared" si="62"/>
        <v>8</v>
      </c>
      <c r="AI609" s="21" t="str">
        <f>IFERROR(NETWORKDAYS(X609,Y609,Hoja1!$A$1:$A$29),"N/A")</f>
        <v>N/A</v>
      </c>
      <c r="AJ609" s="78">
        <v>0</v>
      </c>
      <c r="AK609" s="21" t="s">
        <v>82</v>
      </c>
      <c r="AL609" s="21">
        <f>IFERROR(NETWORKDAYS(B609,Y609,Hoja1!$A$1:$A$29),"N/A")</f>
        <v>8</v>
      </c>
      <c r="AM609" s="21">
        <f t="shared" si="65"/>
        <v>8</v>
      </c>
      <c r="AN609" s="87"/>
      <c r="AO609" s="87"/>
      <c r="AP609" s="87"/>
      <c r="AQ609" s="87"/>
      <c r="AR609" s="87"/>
      <c r="AS609" s="87" t="s">
        <v>1889</v>
      </c>
      <c r="AT609" s="87" t="s">
        <v>2206</v>
      </c>
      <c r="AU609" s="87" t="s">
        <v>2220</v>
      </c>
      <c r="AV609" s="320" t="s">
        <v>2372</v>
      </c>
      <c r="AW609" s="403" t="s">
        <v>3191</v>
      </c>
      <c r="AY609" s="414"/>
    </row>
    <row r="610" spans="1:51" ht="15" customHeight="1" x14ac:dyDescent="0.25">
      <c r="A610" s="301" t="s">
        <v>1843</v>
      </c>
      <c r="B610" s="196">
        <v>46125</v>
      </c>
      <c r="C610" s="196">
        <v>46125</v>
      </c>
      <c r="D610" s="167">
        <v>1</v>
      </c>
      <c r="E610" s="159" t="s">
        <v>247</v>
      </c>
      <c r="F610" s="168" t="s">
        <v>55</v>
      </c>
      <c r="G610" s="168">
        <v>0</v>
      </c>
      <c r="H610" s="164"/>
      <c r="I610" s="168" t="s">
        <v>55</v>
      </c>
      <c r="J610" s="168" t="s">
        <v>55</v>
      </c>
      <c r="K610" s="168">
        <v>0</v>
      </c>
      <c r="L610" s="168" t="s">
        <v>55</v>
      </c>
      <c r="M610" s="168" t="s">
        <v>55</v>
      </c>
      <c r="N610" s="168" t="s">
        <v>55</v>
      </c>
      <c r="O610" s="168" t="s">
        <v>55</v>
      </c>
      <c r="P610" s="168" t="s">
        <v>55</v>
      </c>
      <c r="Q610" s="168" t="s">
        <v>55</v>
      </c>
      <c r="R610" s="168" t="s">
        <v>55</v>
      </c>
      <c r="S610" s="168">
        <v>1</v>
      </c>
      <c r="T610" s="168">
        <v>1</v>
      </c>
      <c r="U610" s="168">
        <v>0</v>
      </c>
      <c r="V610" s="196">
        <v>46134</v>
      </c>
      <c r="W610" s="196">
        <v>46134</v>
      </c>
      <c r="X610" s="28" t="s">
        <v>55</v>
      </c>
      <c r="Y610" s="196">
        <v>46134</v>
      </c>
      <c r="Z610" s="196">
        <v>46134</v>
      </c>
      <c r="AA610" s="168">
        <f t="shared" si="66"/>
        <v>4</v>
      </c>
      <c r="AB610" s="253" t="s">
        <v>1847</v>
      </c>
      <c r="AC610" s="215" t="s">
        <v>1846</v>
      </c>
      <c r="AD610" s="19" t="str">
        <f t="shared" si="64"/>
        <v>N/A</v>
      </c>
      <c r="AE610" s="67" t="str">
        <f>IFERROR(NETWORKDAYS(B610,I610,Hoja1!$A$1:$A$29),"N/A")</f>
        <v>N/A</v>
      </c>
      <c r="AF610" s="21">
        <f>IFERROR(NETWORKDAYS(B610,W610,Hoja1!$A$1:$A$29),"N/A")</f>
        <v>8</v>
      </c>
      <c r="AG610" s="78">
        <v>0</v>
      </c>
      <c r="AH610" s="21">
        <f t="shared" si="62"/>
        <v>8</v>
      </c>
      <c r="AI610" s="21" t="str">
        <f>IFERROR(NETWORKDAYS(X610,Y610,Hoja1!$A$1:$A$29),"N/A")</f>
        <v>N/A</v>
      </c>
      <c r="AJ610" s="78">
        <v>0</v>
      </c>
      <c r="AK610" s="21" t="s">
        <v>82</v>
      </c>
      <c r="AL610" s="21">
        <f>IFERROR(NETWORKDAYS(B610,Y610,Hoja1!$A$1:$A$29),"N/A")</f>
        <v>8</v>
      </c>
      <c r="AM610" s="21">
        <f t="shared" si="65"/>
        <v>8</v>
      </c>
      <c r="AN610" s="87"/>
      <c r="AO610" s="87"/>
      <c r="AP610" s="87"/>
      <c r="AQ610" s="87"/>
      <c r="AR610" s="87"/>
      <c r="AS610" s="87" t="s">
        <v>1889</v>
      </c>
      <c r="AT610" s="87" t="s">
        <v>2206</v>
      </c>
      <c r="AU610" s="87" t="s">
        <v>2220</v>
      </c>
      <c r="AV610" s="320" t="s">
        <v>2372</v>
      </c>
      <c r="AW610" s="403" t="s">
        <v>3191</v>
      </c>
      <c r="AY610" s="415"/>
    </row>
    <row r="611" spans="1:51" ht="15" customHeight="1" x14ac:dyDescent="0.25">
      <c r="A611" s="301" t="s">
        <v>1843</v>
      </c>
      <c r="B611" s="196">
        <v>46125</v>
      </c>
      <c r="C611" s="196">
        <v>46125</v>
      </c>
      <c r="D611" s="167">
        <v>1</v>
      </c>
      <c r="E611" s="159" t="s">
        <v>247</v>
      </c>
      <c r="F611" s="168" t="s">
        <v>55</v>
      </c>
      <c r="G611" s="168">
        <v>0</v>
      </c>
      <c r="H611" s="164"/>
      <c r="I611" s="168" t="s">
        <v>55</v>
      </c>
      <c r="J611" s="168" t="s">
        <v>55</v>
      </c>
      <c r="K611" s="168">
        <v>0</v>
      </c>
      <c r="L611" s="168" t="s">
        <v>55</v>
      </c>
      <c r="M611" s="168" t="s">
        <v>55</v>
      </c>
      <c r="N611" s="168" t="s">
        <v>55</v>
      </c>
      <c r="O611" s="168" t="s">
        <v>55</v>
      </c>
      <c r="P611" s="168" t="s">
        <v>55</v>
      </c>
      <c r="Q611" s="168" t="s">
        <v>55</v>
      </c>
      <c r="R611" s="168" t="s">
        <v>55</v>
      </c>
      <c r="S611" s="168">
        <v>1</v>
      </c>
      <c r="T611" s="168">
        <v>1</v>
      </c>
      <c r="U611" s="168">
        <v>0</v>
      </c>
      <c r="V611" s="196">
        <v>46134</v>
      </c>
      <c r="W611" s="196">
        <v>46134</v>
      </c>
      <c r="X611" s="28" t="s">
        <v>55</v>
      </c>
      <c r="Y611" s="196">
        <v>46134</v>
      </c>
      <c r="Z611" s="196">
        <v>46134</v>
      </c>
      <c r="AA611" s="168">
        <f t="shared" si="66"/>
        <v>4</v>
      </c>
      <c r="AB611" s="253" t="s">
        <v>659</v>
      </c>
      <c r="AC611" s="215" t="s">
        <v>1846</v>
      </c>
      <c r="AD611" s="19" t="str">
        <f t="shared" si="64"/>
        <v>N/A</v>
      </c>
      <c r="AE611" s="67" t="str">
        <f>IFERROR(NETWORKDAYS(B611,I611,Hoja1!$A$1:$A$29),"N/A")</f>
        <v>N/A</v>
      </c>
      <c r="AF611" s="21">
        <f>IFERROR(NETWORKDAYS(B611,W611,Hoja1!$A$1:$A$29),"N/A")</f>
        <v>8</v>
      </c>
      <c r="AG611" s="78">
        <v>0</v>
      </c>
      <c r="AH611" s="21">
        <f t="shared" si="62"/>
        <v>8</v>
      </c>
      <c r="AI611" s="21" t="str">
        <f>IFERROR(NETWORKDAYS(X611,Y611,Hoja1!$A$1:$A$29),"N/A")</f>
        <v>N/A</v>
      </c>
      <c r="AJ611" s="78">
        <v>0</v>
      </c>
      <c r="AK611" s="21" t="s">
        <v>82</v>
      </c>
      <c r="AL611" s="21">
        <f>IFERROR(NETWORKDAYS(B611,Y611,Hoja1!$A$1:$A$29),"N/A")</f>
        <v>8</v>
      </c>
      <c r="AM611" s="21">
        <f t="shared" si="65"/>
        <v>8</v>
      </c>
      <c r="AN611" s="87"/>
      <c r="AO611" s="87"/>
      <c r="AP611" s="87"/>
      <c r="AQ611" s="87"/>
      <c r="AR611" s="87"/>
      <c r="AS611" s="87" t="s">
        <v>1889</v>
      </c>
      <c r="AT611" s="87" t="s">
        <v>2206</v>
      </c>
      <c r="AU611" s="87" t="s">
        <v>2220</v>
      </c>
      <c r="AV611" s="320" t="s">
        <v>2372</v>
      </c>
      <c r="AW611" s="403" t="s">
        <v>3191</v>
      </c>
      <c r="AY611" s="414"/>
    </row>
    <row r="612" spans="1:51" ht="15" customHeight="1" x14ac:dyDescent="0.25">
      <c r="A612" s="301" t="s">
        <v>1843</v>
      </c>
      <c r="B612" s="196">
        <v>46125</v>
      </c>
      <c r="C612" s="196">
        <v>46125</v>
      </c>
      <c r="D612" s="167">
        <v>1</v>
      </c>
      <c r="E612" s="159" t="s">
        <v>247</v>
      </c>
      <c r="F612" s="168" t="s">
        <v>55</v>
      </c>
      <c r="G612" s="168">
        <v>0</v>
      </c>
      <c r="H612" s="164"/>
      <c r="I612" s="168" t="s">
        <v>55</v>
      </c>
      <c r="J612" s="168" t="s">
        <v>55</v>
      </c>
      <c r="K612" s="168">
        <v>0</v>
      </c>
      <c r="L612" s="168" t="s">
        <v>55</v>
      </c>
      <c r="M612" s="168" t="s">
        <v>55</v>
      </c>
      <c r="N612" s="168" t="s">
        <v>55</v>
      </c>
      <c r="O612" s="168" t="s">
        <v>55</v>
      </c>
      <c r="P612" s="168" t="s">
        <v>55</v>
      </c>
      <c r="Q612" s="168" t="s">
        <v>55</v>
      </c>
      <c r="R612" s="168" t="s">
        <v>55</v>
      </c>
      <c r="S612" s="168">
        <v>1</v>
      </c>
      <c r="T612" s="168">
        <v>1</v>
      </c>
      <c r="U612" s="168">
        <v>0</v>
      </c>
      <c r="V612" s="196">
        <v>46134</v>
      </c>
      <c r="W612" s="196">
        <v>46134</v>
      </c>
      <c r="X612" s="28" t="s">
        <v>55</v>
      </c>
      <c r="Y612" s="196">
        <v>46134</v>
      </c>
      <c r="Z612" s="196">
        <v>46134</v>
      </c>
      <c r="AA612" s="168">
        <f t="shared" si="66"/>
        <v>4</v>
      </c>
      <c r="AB612" s="253" t="s">
        <v>1848</v>
      </c>
      <c r="AC612" s="215" t="s">
        <v>1846</v>
      </c>
      <c r="AD612" s="19" t="str">
        <f t="shared" si="64"/>
        <v>N/A</v>
      </c>
      <c r="AE612" s="67" t="str">
        <f>IFERROR(NETWORKDAYS(B612,I612,Hoja1!$A$1:$A$29),"N/A")</f>
        <v>N/A</v>
      </c>
      <c r="AF612" s="21">
        <f>IFERROR(NETWORKDAYS(B612,W612,Hoja1!$A$1:$A$29),"N/A")</f>
        <v>8</v>
      </c>
      <c r="AG612" s="78">
        <v>0</v>
      </c>
      <c r="AH612" s="21">
        <f t="shared" si="62"/>
        <v>8</v>
      </c>
      <c r="AI612" s="21" t="str">
        <f>IFERROR(NETWORKDAYS(X612,Y612,Hoja1!$A$1:$A$29),"N/A")</f>
        <v>N/A</v>
      </c>
      <c r="AJ612" s="78">
        <v>0</v>
      </c>
      <c r="AK612" s="21" t="s">
        <v>82</v>
      </c>
      <c r="AL612" s="21">
        <f>IFERROR(NETWORKDAYS(B612,Y612,Hoja1!$A$1:$A$29),"N/A")</f>
        <v>8</v>
      </c>
      <c r="AM612" s="21">
        <f t="shared" si="65"/>
        <v>8</v>
      </c>
      <c r="AN612" s="87"/>
      <c r="AO612" s="87"/>
      <c r="AP612" s="87"/>
      <c r="AQ612" s="87"/>
      <c r="AR612" s="87"/>
      <c r="AS612" s="87" t="s">
        <v>1889</v>
      </c>
      <c r="AT612" s="87" t="s">
        <v>2206</v>
      </c>
      <c r="AU612" s="87" t="s">
        <v>2220</v>
      </c>
      <c r="AV612" s="320" t="s">
        <v>2372</v>
      </c>
      <c r="AW612" s="403" t="s">
        <v>3191</v>
      </c>
      <c r="AY612" s="415"/>
    </row>
    <row r="613" spans="1:51" ht="15" customHeight="1" x14ac:dyDescent="0.25">
      <c r="A613" s="301" t="s">
        <v>1843</v>
      </c>
      <c r="B613" s="196">
        <v>46125</v>
      </c>
      <c r="C613" s="196">
        <v>46125</v>
      </c>
      <c r="D613" s="167">
        <v>1</v>
      </c>
      <c r="E613" s="159" t="s">
        <v>247</v>
      </c>
      <c r="F613" s="168" t="s">
        <v>55</v>
      </c>
      <c r="G613" s="168">
        <v>0</v>
      </c>
      <c r="H613" s="164"/>
      <c r="I613" s="168" t="s">
        <v>55</v>
      </c>
      <c r="J613" s="168" t="s">
        <v>55</v>
      </c>
      <c r="K613" s="168">
        <v>0</v>
      </c>
      <c r="L613" s="168" t="s">
        <v>55</v>
      </c>
      <c r="M613" s="168" t="s">
        <v>55</v>
      </c>
      <c r="N613" s="168" t="s">
        <v>55</v>
      </c>
      <c r="O613" s="168" t="s">
        <v>55</v>
      </c>
      <c r="P613" s="168" t="s">
        <v>55</v>
      </c>
      <c r="Q613" s="168" t="s">
        <v>55</v>
      </c>
      <c r="R613" s="168" t="s">
        <v>55</v>
      </c>
      <c r="S613" s="168">
        <v>1</v>
      </c>
      <c r="T613" s="168">
        <v>1</v>
      </c>
      <c r="U613" s="168">
        <v>0</v>
      </c>
      <c r="V613" s="196">
        <v>46134</v>
      </c>
      <c r="W613" s="196">
        <v>46134</v>
      </c>
      <c r="X613" s="28" t="s">
        <v>55</v>
      </c>
      <c r="Y613" s="196">
        <v>46134</v>
      </c>
      <c r="Z613" s="196">
        <v>46134</v>
      </c>
      <c r="AA613" s="168">
        <f t="shared" si="66"/>
        <v>4</v>
      </c>
      <c r="AB613" s="253" t="s">
        <v>1849</v>
      </c>
      <c r="AC613" s="215" t="s">
        <v>1846</v>
      </c>
      <c r="AD613" s="19" t="str">
        <f t="shared" si="64"/>
        <v>N/A</v>
      </c>
      <c r="AE613" s="67" t="str">
        <f>IFERROR(NETWORKDAYS(B613,I613,Hoja1!$A$1:$A$29),"N/A")</f>
        <v>N/A</v>
      </c>
      <c r="AF613" s="21">
        <f>IFERROR(NETWORKDAYS(B613,W613,Hoja1!$A$1:$A$29),"N/A")</f>
        <v>8</v>
      </c>
      <c r="AG613" s="78">
        <v>0</v>
      </c>
      <c r="AH613" s="21">
        <f t="shared" si="62"/>
        <v>8</v>
      </c>
      <c r="AI613" s="21" t="str">
        <f>IFERROR(NETWORKDAYS(X613,Y613,Hoja1!$A$1:$A$29),"N/A")</f>
        <v>N/A</v>
      </c>
      <c r="AJ613" s="78">
        <v>0</v>
      </c>
      <c r="AK613" s="21" t="s">
        <v>82</v>
      </c>
      <c r="AL613" s="21">
        <f>IFERROR(NETWORKDAYS(B613,Y613,Hoja1!$A$1:$A$29),"N/A")</f>
        <v>8</v>
      </c>
      <c r="AM613" s="21">
        <f t="shared" si="65"/>
        <v>8</v>
      </c>
      <c r="AN613" s="87"/>
      <c r="AO613" s="87"/>
      <c r="AP613" s="87"/>
      <c r="AQ613" s="87"/>
      <c r="AR613" s="87"/>
      <c r="AS613" s="87" t="s">
        <v>1889</v>
      </c>
      <c r="AT613" s="87" t="s">
        <v>2206</v>
      </c>
      <c r="AU613" s="87" t="s">
        <v>2220</v>
      </c>
      <c r="AV613" s="320" t="s">
        <v>2372</v>
      </c>
      <c r="AW613" s="403" t="s">
        <v>3191</v>
      </c>
      <c r="AY613" s="414"/>
    </row>
    <row r="614" spans="1:51" ht="15" customHeight="1" x14ac:dyDescent="0.25">
      <c r="A614" s="301" t="s">
        <v>1843</v>
      </c>
      <c r="B614" s="196">
        <v>46125</v>
      </c>
      <c r="C614" s="196">
        <v>46125</v>
      </c>
      <c r="D614" s="167">
        <v>1</v>
      </c>
      <c r="E614" s="159" t="s">
        <v>247</v>
      </c>
      <c r="F614" s="168" t="s">
        <v>55</v>
      </c>
      <c r="G614" s="168">
        <v>0</v>
      </c>
      <c r="H614" s="164"/>
      <c r="I614" s="168" t="s">
        <v>55</v>
      </c>
      <c r="J614" s="168" t="s">
        <v>55</v>
      </c>
      <c r="K614" s="168">
        <v>0</v>
      </c>
      <c r="L614" s="168" t="s">
        <v>55</v>
      </c>
      <c r="M614" s="168" t="s">
        <v>55</v>
      </c>
      <c r="N614" s="168" t="s">
        <v>55</v>
      </c>
      <c r="O614" s="168" t="s">
        <v>55</v>
      </c>
      <c r="P614" s="168" t="s">
        <v>55</v>
      </c>
      <c r="Q614" s="168" t="s">
        <v>55</v>
      </c>
      <c r="R614" s="168" t="s">
        <v>55</v>
      </c>
      <c r="S614" s="168">
        <v>1</v>
      </c>
      <c r="T614" s="168">
        <v>1</v>
      </c>
      <c r="U614" s="168">
        <v>0</v>
      </c>
      <c r="V614" s="196">
        <v>46134</v>
      </c>
      <c r="W614" s="196">
        <v>46134</v>
      </c>
      <c r="X614" s="28" t="s">
        <v>55</v>
      </c>
      <c r="Y614" s="196">
        <v>46134</v>
      </c>
      <c r="Z614" s="196">
        <v>46134</v>
      </c>
      <c r="AA614" s="168">
        <f t="shared" si="66"/>
        <v>4</v>
      </c>
      <c r="AB614" s="253" t="s">
        <v>1850</v>
      </c>
      <c r="AC614" s="215" t="s">
        <v>1846</v>
      </c>
      <c r="AD614" s="19" t="str">
        <f t="shared" si="64"/>
        <v>N/A</v>
      </c>
      <c r="AE614" s="67" t="str">
        <f>IFERROR(NETWORKDAYS(B614,I614,Hoja1!$A$1:$A$29),"N/A")</f>
        <v>N/A</v>
      </c>
      <c r="AF614" s="21">
        <f>IFERROR(NETWORKDAYS(B614,W614,Hoja1!$A$1:$A$29),"N/A")</f>
        <v>8</v>
      </c>
      <c r="AG614" s="78">
        <v>0</v>
      </c>
      <c r="AH614" s="21">
        <f t="shared" si="62"/>
        <v>8</v>
      </c>
      <c r="AI614" s="21" t="str">
        <f>IFERROR(NETWORKDAYS(X614,Y614,Hoja1!$A$1:$A$29),"N/A")</f>
        <v>N/A</v>
      </c>
      <c r="AJ614" s="78">
        <v>0</v>
      </c>
      <c r="AK614" s="21" t="s">
        <v>82</v>
      </c>
      <c r="AL614" s="21">
        <f>IFERROR(NETWORKDAYS(B614,Y614,Hoja1!$A$1:$A$29),"N/A")</f>
        <v>8</v>
      </c>
      <c r="AM614" s="21">
        <f t="shared" si="65"/>
        <v>8</v>
      </c>
      <c r="AN614" s="87"/>
      <c r="AO614" s="87"/>
      <c r="AP614" s="87"/>
      <c r="AQ614" s="87"/>
      <c r="AR614" s="87"/>
      <c r="AS614" s="87" t="s">
        <v>1889</v>
      </c>
      <c r="AT614" s="87" t="s">
        <v>2206</v>
      </c>
      <c r="AU614" s="87" t="s">
        <v>2220</v>
      </c>
      <c r="AV614" s="320" t="s">
        <v>2372</v>
      </c>
      <c r="AW614" s="403" t="s">
        <v>3191</v>
      </c>
      <c r="AY614" s="415"/>
    </row>
    <row r="615" spans="1:51" ht="15" customHeight="1" x14ac:dyDescent="0.25">
      <c r="A615" s="301" t="s">
        <v>1843</v>
      </c>
      <c r="B615" s="196">
        <v>46125</v>
      </c>
      <c r="C615" s="196">
        <v>46125</v>
      </c>
      <c r="D615" s="167">
        <v>1</v>
      </c>
      <c r="E615" s="159" t="s">
        <v>247</v>
      </c>
      <c r="F615" s="168" t="s">
        <v>55</v>
      </c>
      <c r="G615" s="168">
        <v>0</v>
      </c>
      <c r="H615" s="164"/>
      <c r="I615" s="168" t="s">
        <v>55</v>
      </c>
      <c r="J615" s="168" t="s">
        <v>55</v>
      </c>
      <c r="K615" s="168">
        <v>0</v>
      </c>
      <c r="L615" s="168" t="s">
        <v>55</v>
      </c>
      <c r="M615" s="168" t="s">
        <v>55</v>
      </c>
      <c r="N615" s="168" t="s">
        <v>55</v>
      </c>
      <c r="O615" s="168" t="s">
        <v>55</v>
      </c>
      <c r="P615" s="168" t="s">
        <v>55</v>
      </c>
      <c r="Q615" s="168" t="s">
        <v>55</v>
      </c>
      <c r="R615" s="168" t="s">
        <v>55</v>
      </c>
      <c r="S615" s="168">
        <v>1</v>
      </c>
      <c r="T615" s="168">
        <v>1</v>
      </c>
      <c r="U615" s="168">
        <v>0</v>
      </c>
      <c r="V615" s="196">
        <v>46134</v>
      </c>
      <c r="W615" s="196">
        <v>46134</v>
      </c>
      <c r="X615" s="28" t="s">
        <v>55</v>
      </c>
      <c r="Y615" s="196">
        <v>46134</v>
      </c>
      <c r="Z615" s="196">
        <v>46134</v>
      </c>
      <c r="AA615" s="168">
        <f t="shared" si="66"/>
        <v>4</v>
      </c>
      <c r="AB615" s="253" t="s">
        <v>1851</v>
      </c>
      <c r="AC615" s="215" t="s">
        <v>1846</v>
      </c>
      <c r="AD615" s="19" t="str">
        <f t="shared" si="64"/>
        <v>N/A</v>
      </c>
      <c r="AE615" s="67" t="str">
        <f>IFERROR(NETWORKDAYS(B615,I615,Hoja1!$A$1:$A$29),"N/A")</f>
        <v>N/A</v>
      </c>
      <c r="AF615" s="21">
        <f>IFERROR(NETWORKDAYS(B615,W615,Hoja1!$A$1:$A$29),"N/A")</f>
        <v>8</v>
      </c>
      <c r="AG615" s="78">
        <v>0</v>
      </c>
      <c r="AH615" s="21">
        <f t="shared" si="62"/>
        <v>8</v>
      </c>
      <c r="AI615" s="21" t="str">
        <f>IFERROR(NETWORKDAYS(X615,Y615,Hoja1!$A$1:$A$29),"N/A")</f>
        <v>N/A</v>
      </c>
      <c r="AJ615" s="78">
        <v>0</v>
      </c>
      <c r="AK615" s="21" t="s">
        <v>82</v>
      </c>
      <c r="AL615" s="21">
        <f>IFERROR(NETWORKDAYS(B615,Y615,Hoja1!$A$1:$A$29),"N/A")</f>
        <v>8</v>
      </c>
      <c r="AM615" s="21">
        <f t="shared" si="65"/>
        <v>8</v>
      </c>
      <c r="AN615" s="87"/>
      <c r="AO615" s="87"/>
      <c r="AP615" s="87"/>
      <c r="AQ615" s="87"/>
      <c r="AR615" s="87"/>
      <c r="AS615" s="87" t="s">
        <v>1889</v>
      </c>
      <c r="AT615" s="87" t="s">
        <v>2206</v>
      </c>
      <c r="AU615" s="87" t="s">
        <v>2220</v>
      </c>
      <c r="AV615" s="320" t="s">
        <v>2372</v>
      </c>
      <c r="AW615" s="403" t="s">
        <v>3191</v>
      </c>
      <c r="AY615" s="414"/>
    </row>
    <row r="616" spans="1:51" ht="15" customHeight="1" x14ac:dyDescent="0.25">
      <c r="A616" s="301" t="s">
        <v>1843</v>
      </c>
      <c r="B616" s="196">
        <v>46125</v>
      </c>
      <c r="C616" s="196">
        <v>46125</v>
      </c>
      <c r="D616" s="167">
        <v>1</v>
      </c>
      <c r="E616" s="159" t="s">
        <v>247</v>
      </c>
      <c r="F616" s="168" t="s">
        <v>55</v>
      </c>
      <c r="G616" s="168">
        <v>0</v>
      </c>
      <c r="H616" s="164"/>
      <c r="I616" s="168" t="s">
        <v>55</v>
      </c>
      <c r="J616" s="168" t="s">
        <v>55</v>
      </c>
      <c r="K616" s="168">
        <v>0</v>
      </c>
      <c r="L616" s="168" t="s">
        <v>55</v>
      </c>
      <c r="M616" s="168" t="s">
        <v>55</v>
      </c>
      <c r="N616" s="168" t="s">
        <v>55</v>
      </c>
      <c r="O616" s="168" t="s">
        <v>55</v>
      </c>
      <c r="P616" s="168" t="s">
        <v>55</v>
      </c>
      <c r="Q616" s="168" t="s">
        <v>55</v>
      </c>
      <c r="R616" s="168" t="s">
        <v>55</v>
      </c>
      <c r="S616" s="168">
        <v>1</v>
      </c>
      <c r="T616" s="168">
        <v>1</v>
      </c>
      <c r="U616" s="168">
        <v>0</v>
      </c>
      <c r="V616" s="196">
        <v>46134</v>
      </c>
      <c r="W616" s="196">
        <v>46134</v>
      </c>
      <c r="X616" s="28" t="s">
        <v>55</v>
      </c>
      <c r="Y616" s="196">
        <v>46134</v>
      </c>
      <c r="Z616" s="196">
        <v>46134</v>
      </c>
      <c r="AA616" s="168">
        <f t="shared" si="66"/>
        <v>4</v>
      </c>
      <c r="AB616" s="253" t="s">
        <v>1852</v>
      </c>
      <c r="AC616" s="215" t="s">
        <v>1846</v>
      </c>
      <c r="AD616" s="19" t="str">
        <f t="shared" si="64"/>
        <v>N/A</v>
      </c>
      <c r="AE616" s="67" t="str">
        <f>IFERROR(NETWORKDAYS(B616,I616,Hoja1!$A$1:$A$29),"N/A")</f>
        <v>N/A</v>
      </c>
      <c r="AF616" s="21">
        <f>IFERROR(NETWORKDAYS(B616,W616,Hoja1!$A$1:$A$29),"N/A")</f>
        <v>8</v>
      </c>
      <c r="AG616" s="78">
        <v>0</v>
      </c>
      <c r="AH616" s="21">
        <f t="shared" si="62"/>
        <v>8</v>
      </c>
      <c r="AI616" s="21" t="str">
        <f>IFERROR(NETWORKDAYS(X616,Y616,Hoja1!$A$1:$A$29),"N/A")</f>
        <v>N/A</v>
      </c>
      <c r="AJ616" s="78">
        <v>0</v>
      </c>
      <c r="AK616" s="21" t="s">
        <v>82</v>
      </c>
      <c r="AL616" s="21">
        <f>IFERROR(NETWORKDAYS(B616,Y616,Hoja1!$A$1:$A$29),"N/A")</f>
        <v>8</v>
      </c>
      <c r="AM616" s="21">
        <f t="shared" si="65"/>
        <v>8</v>
      </c>
      <c r="AN616" s="87"/>
      <c r="AO616" s="87"/>
      <c r="AP616" s="87"/>
      <c r="AQ616" s="87"/>
      <c r="AR616" s="87"/>
      <c r="AS616" s="87" t="s">
        <v>1889</v>
      </c>
      <c r="AT616" s="87" t="s">
        <v>2206</v>
      </c>
      <c r="AU616" s="87" t="s">
        <v>2220</v>
      </c>
      <c r="AV616" s="320" t="s">
        <v>2372</v>
      </c>
      <c r="AW616" s="403" t="s">
        <v>3191</v>
      </c>
      <c r="AY616" s="415"/>
    </row>
    <row r="617" spans="1:51" ht="15" customHeight="1" x14ac:dyDescent="0.25">
      <c r="A617" s="301" t="s">
        <v>1843</v>
      </c>
      <c r="B617" s="196">
        <v>46125</v>
      </c>
      <c r="C617" s="196">
        <v>46125</v>
      </c>
      <c r="D617" s="167">
        <v>1</v>
      </c>
      <c r="E617" s="159" t="s">
        <v>247</v>
      </c>
      <c r="F617" s="168" t="s">
        <v>55</v>
      </c>
      <c r="G617" s="168">
        <v>0</v>
      </c>
      <c r="H617" s="164"/>
      <c r="I617" s="168" t="s">
        <v>55</v>
      </c>
      <c r="J617" s="168" t="s">
        <v>55</v>
      </c>
      <c r="K617" s="168">
        <v>0</v>
      </c>
      <c r="L617" s="168" t="s">
        <v>55</v>
      </c>
      <c r="M617" s="168" t="s">
        <v>55</v>
      </c>
      <c r="N617" s="168" t="s">
        <v>55</v>
      </c>
      <c r="O617" s="168" t="s">
        <v>55</v>
      </c>
      <c r="P617" s="168" t="s">
        <v>55</v>
      </c>
      <c r="Q617" s="168" t="s">
        <v>55</v>
      </c>
      <c r="R617" s="168" t="s">
        <v>55</v>
      </c>
      <c r="S617" s="168">
        <v>1</v>
      </c>
      <c r="T617" s="168">
        <v>1</v>
      </c>
      <c r="U617" s="168">
        <v>0</v>
      </c>
      <c r="V617" s="196">
        <v>46134</v>
      </c>
      <c r="W617" s="196">
        <v>46134</v>
      </c>
      <c r="X617" s="28" t="s">
        <v>55</v>
      </c>
      <c r="Y617" s="196">
        <v>46134</v>
      </c>
      <c r="Z617" s="196">
        <v>46134</v>
      </c>
      <c r="AA617" s="168">
        <f t="shared" si="66"/>
        <v>4</v>
      </c>
      <c r="AB617" s="253" t="s">
        <v>1853</v>
      </c>
      <c r="AC617" s="215" t="s">
        <v>1846</v>
      </c>
      <c r="AD617" s="19" t="str">
        <f t="shared" si="64"/>
        <v>N/A</v>
      </c>
      <c r="AE617" s="67" t="str">
        <f>IFERROR(NETWORKDAYS(B617,I617,Hoja1!$A$1:$A$29),"N/A")</f>
        <v>N/A</v>
      </c>
      <c r="AF617" s="21">
        <f>IFERROR(NETWORKDAYS(B617,W617,Hoja1!$A$1:$A$29),"N/A")</f>
        <v>8</v>
      </c>
      <c r="AG617" s="78">
        <v>0</v>
      </c>
      <c r="AH617" s="21">
        <f t="shared" si="62"/>
        <v>8</v>
      </c>
      <c r="AI617" s="21" t="str">
        <f>IFERROR(NETWORKDAYS(X617,Y617,Hoja1!$A$1:$A$29),"N/A")</f>
        <v>N/A</v>
      </c>
      <c r="AJ617" s="78">
        <v>0</v>
      </c>
      <c r="AK617" s="21" t="s">
        <v>82</v>
      </c>
      <c r="AL617" s="21">
        <f>IFERROR(NETWORKDAYS(B617,Y617,Hoja1!$A$1:$A$29),"N/A")</f>
        <v>8</v>
      </c>
      <c r="AM617" s="21">
        <f t="shared" si="65"/>
        <v>8</v>
      </c>
      <c r="AN617" s="87"/>
      <c r="AO617" s="87"/>
      <c r="AP617" s="87"/>
      <c r="AQ617" s="87"/>
      <c r="AR617" s="87"/>
      <c r="AS617" s="87" t="s">
        <v>1889</v>
      </c>
      <c r="AT617" s="87" t="s">
        <v>2206</v>
      </c>
      <c r="AU617" s="87" t="s">
        <v>2220</v>
      </c>
      <c r="AV617" s="320" t="s">
        <v>2372</v>
      </c>
      <c r="AW617" s="403" t="s">
        <v>3191</v>
      </c>
      <c r="AY617" s="414"/>
    </row>
    <row r="618" spans="1:51" ht="15" customHeight="1" x14ac:dyDescent="0.25">
      <c r="A618" s="301" t="s">
        <v>1843</v>
      </c>
      <c r="B618" s="196">
        <v>46125</v>
      </c>
      <c r="C618" s="196">
        <v>46125</v>
      </c>
      <c r="D618" s="167">
        <v>1</v>
      </c>
      <c r="E618" s="159" t="s">
        <v>247</v>
      </c>
      <c r="F618" s="168" t="s">
        <v>55</v>
      </c>
      <c r="G618" s="168">
        <v>0</v>
      </c>
      <c r="H618" s="164"/>
      <c r="I618" s="168" t="s">
        <v>55</v>
      </c>
      <c r="J618" s="168" t="s">
        <v>55</v>
      </c>
      <c r="K618" s="168">
        <v>0</v>
      </c>
      <c r="L618" s="168" t="s">
        <v>55</v>
      </c>
      <c r="M618" s="168" t="s">
        <v>55</v>
      </c>
      <c r="N618" s="168" t="s">
        <v>55</v>
      </c>
      <c r="O618" s="168" t="s">
        <v>55</v>
      </c>
      <c r="P618" s="168" t="s">
        <v>55</v>
      </c>
      <c r="Q618" s="168" t="s">
        <v>55</v>
      </c>
      <c r="R618" s="168" t="s">
        <v>55</v>
      </c>
      <c r="S618" s="168">
        <v>1</v>
      </c>
      <c r="T618" s="168">
        <v>1</v>
      </c>
      <c r="U618" s="168">
        <v>0</v>
      </c>
      <c r="V618" s="196">
        <v>46134</v>
      </c>
      <c r="W618" s="196">
        <v>46134</v>
      </c>
      <c r="X618" s="28" t="s">
        <v>55</v>
      </c>
      <c r="Y618" s="196">
        <v>46134</v>
      </c>
      <c r="Z618" s="196">
        <v>46134</v>
      </c>
      <c r="AA618" s="168">
        <f t="shared" si="66"/>
        <v>4</v>
      </c>
      <c r="AB618" s="253" t="s">
        <v>1854</v>
      </c>
      <c r="AC618" s="215" t="s">
        <v>1846</v>
      </c>
      <c r="AD618" s="19" t="str">
        <f t="shared" si="64"/>
        <v>N/A</v>
      </c>
      <c r="AE618" s="67" t="str">
        <f>IFERROR(NETWORKDAYS(B618,I618,Hoja1!$A$1:$A$29),"N/A")</f>
        <v>N/A</v>
      </c>
      <c r="AF618" s="21">
        <f>IFERROR(NETWORKDAYS(B618,W618,Hoja1!$A$1:$A$29),"N/A")</f>
        <v>8</v>
      </c>
      <c r="AG618" s="78">
        <v>0</v>
      </c>
      <c r="AH618" s="21">
        <f t="shared" si="62"/>
        <v>8</v>
      </c>
      <c r="AI618" s="21" t="str">
        <f>IFERROR(NETWORKDAYS(X618,Y618,Hoja1!$A$1:$A$29),"N/A")</f>
        <v>N/A</v>
      </c>
      <c r="AJ618" s="78">
        <v>0</v>
      </c>
      <c r="AK618" s="21" t="s">
        <v>82</v>
      </c>
      <c r="AL618" s="21">
        <f>IFERROR(NETWORKDAYS(B618,Y618,Hoja1!$A$1:$A$29),"N/A")</f>
        <v>8</v>
      </c>
      <c r="AM618" s="21">
        <f t="shared" si="65"/>
        <v>8</v>
      </c>
      <c r="AN618" s="87"/>
      <c r="AO618" s="87"/>
      <c r="AP618" s="87"/>
      <c r="AQ618" s="87"/>
      <c r="AR618" s="87"/>
      <c r="AS618" s="87" t="s">
        <v>1889</v>
      </c>
      <c r="AT618" s="87" t="s">
        <v>2206</v>
      </c>
      <c r="AU618" s="87" t="s">
        <v>2220</v>
      </c>
      <c r="AV618" s="320" t="s">
        <v>2372</v>
      </c>
      <c r="AW618" s="403" t="s">
        <v>3191</v>
      </c>
      <c r="AY618" s="415"/>
    </row>
    <row r="619" spans="1:51" ht="15" customHeight="1" x14ac:dyDescent="0.25">
      <c r="A619" s="301" t="s">
        <v>1843</v>
      </c>
      <c r="B619" s="196">
        <v>46122</v>
      </c>
      <c r="C619" s="196">
        <v>46122</v>
      </c>
      <c r="D619" s="167">
        <v>1</v>
      </c>
      <c r="E619" s="159" t="s">
        <v>247</v>
      </c>
      <c r="F619" s="168" t="s">
        <v>55</v>
      </c>
      <c r="G619" s="168">
        <v>0</v>
      </c>
      <c r="H619" s="164"/>
      <c r="I619" s="168" t="s">
        <v>55</v>
      </c>
      <c r="J619" s="168" t="s">
        <v>55</v>
      </c>
      <c r="K619" s="168">
        <v>0</v>
      </c>
      <c r="L619" s="168" t="s">
        <v>55</v>
      </c>
      <c r="M619" s="168" t="s">
        <v>55</v>
      </c>
      <c r="N619" s="168" t="s">
        <v>55</v>
      </c>
      <c r="O619" s="168" t="s">
        <v>55</v>
      </c>
      <c r="P619" s="168" t="s">
        <v>55</v>
      </c>
      <c r="Q619" s="168" t="s">
        <v>55</v>
      </c>
      <c r="R619" s="168" t="s">
        <v>55</v>
      </c>
      <c r="S619" s="168">
        <v>1</v>
      </c>
      <c r="T619" s="168">
        <v>1</v>
      </c>
      <c r="U619" s="168">
        <v>0</v>
      </c>
      <c r="V619" s="196">
        <v>46132</v>
      </c>
      <c r="W619" s="196">
        <v>46132</v>
      </c>
      <c r="X619" s="28" t="s">
        <v>55</v>
      </c>
      <c r="Y619" s="196">
        <v>46132</v>
      </c>
      <c r="Z619" s="196">
        <v>46132</v>
      </c>
      <c r="AA619" s="168">
        <v>4</v>
      </c>
      <c r="AB619" s="236" t="s">
        <v>1856</v>
      </c>
      <c r="AC619" s="49" t="s">
        <v>1857</v>
      </c>
      <c r="AD619" s="19" t="str">
        <f t="shared" si="64"/>
        <v>N/A</v>
      </c>
      <c r="AE619" s="67" t="str">
        <f>IFERROR(NETWORKDAYS(B619,I619,Hoja1!$A$1:$A$29),"N/A")</f>
        <v>N/A</v>
      </c>
      <c r="AF619" s="21">
        <f>IFERROR(NETWORKDAYS(B619,W619,Hoja1!$A$1:$A$29),"N/A")</f>
        <v>7</v>
      </c>
      <c r="AG619" s="78">
        <v>0</v>
      </c>
      <c r="AH619" s="21">
        <f t="shared" si="62"/>
        <v>7</v>
      </c>
      <c r="AI619" s="21" t="str">
        <f>IFERROR(NETWORKDAYS(X619,Y619,Hoja1!$A$1:$A$29),"N/A")</f>
        <v>N/A</v>
      </c>
      <c r="AJ619" s="78">
        <v>0</v>
      </c>
      <c r="AK619" s="21" t="s">
        <v>82</v>
      </c>
      <c r="AL619" s="21">
        <f>IFERROR(NETWORKDAYS(B619,Y619,Hoja1!$A$1:$A$29),"N/A")</f>
        <v>7</v>
      </c>
      <c r="AM619" s="21">
        <f t="shared" si="65"/>
        <v>7</v>
      </c>
      <c r="AN619" s="87"/>
      <c r="AO619" s="87"/>
      <c r="AP619" s="87"/>
      <c r="AQ619" s="87"/>
      <c r="AR619" s="87"/>
      <c r="AS619" s="87" t="s">
        <v>1990</v>
      </c>
      <c r="AT619" s="87" t="s">
        <v>2207</v>
      </c>
      <c r="AU619" s="87" t="s">
        <v>2217</v>
      </c>
      <c r="AV619" s="320" t="s">
        <v>2372</v>
      </c>
      <c r="AW619" s="403" t="s">
        <v>3192</v>
      </c>
      <c r="AY619" s="414"/>
    </row>
    <row r="620" spans="1:51" ht="15" customHeight="1" x14ac:dyDescent="0.25">
      <c r="A620" s="301" t="s">
        <v>1843</v>
      </c>
      <c r="B620" s="196">
        <v>46122</v>
      </c>
      <c r="C620" s="196">
        <v>46122</v>
      </c>
      <c r="D620" s="167">
        <v>1</v>
      </c>
      <c r="E620" s="159" t="s">
        <v>247</v>
      </c>
      <c r="F620" s="168" t="s">
        <v>55</v>
      </c>
      <c r="G620" s="168">
        <v>0</v>
      </c>
      <c r="H620" s="164"/>
      <c r="I620" s="168" t="s">
        <v>55</v>
      </c>
      <c r="J620" s="168" t="s">
        <v>55</v>
      </c>
      <c r="K620" s="168">
        <v>0</v>
      </c>
      <c r="L620" s="168" t="s">
        <v>55</v>
      </c>
      <c r="M620" s="168" t="s">
        <v>55</v>
      </c>
      <c r="N620" s="168" t="s">
        <v>55</v>
      </c>
      <c r="O620" s="168" t="s">
        <v>55</v>
      </c>
      <c r="P620" s="168" t="s">
        <v>55</v>
      </c>
      <c r="Q620" s="168" t="s">
        <v>55</v>
      </c>
      <c r="R620" s="168" t="s">
        <v>55</v>
      </c>
      <c r="S620" s="168">
        <v>1</v>
      </c>
      <c r="T620" s="168">
        <v>1</v>
      </c>
      <c r="U620" s="168">
        <v>0</v>
      </c>
      <c r="V620" s="196">
        <v>46132</v>
      </c>
      <c r="W620" s="196">
        <v>46132</v>
      </c>
      <c r="X620" s="28" t="s">
        <v>55</v>
      </c>
      <c r="Y620" s="196">
        <v>46132</v>
      </c>
      <c r="Z620" s="196">
        <v>46132</v>
      </c>
      <c r="AA620" s="168">
        <v>4</v>
      </c>
      <c r="AB620" s="236" t="s">
        <v>1858</v>
      </c>
      <c r="AC620" s="49" t="s">
        <v>1859</v>
      </c>
      <c r="AD620" s="19" t="str">
        <f t="shared" si="64"/>
        <v>N/A</v>
      </c>
      <c r="AE620" s="67" t="str">
        <f>IFERROR(NETWORKDAYS(B620,I620,Hoja1!$A$1:$A$29),"N/A")</f>
        <v>N/A</v>
      </c>
      <c r="AF620" s="21">
        <f>IFERROR(NETWORKDAYS(B620,W620,Hoja1!$A$1:$A$29),"N/A")</f>
        <v>7</v>
      </c>
      <c r="AG620" s="78">
        <v>0</v>
      </c>
      <c r="AH620" s="21">
        <f t="shared" si="62"/>
        <v>7</v>
      </c>
      <c r="AI620" s="21" t="str">
        <f>IFERROR(NETWORKDAYS(X620,Y620,Hoja1!$A$1:$A$29),"N/A")</f>
        <v>N/A</v>
      </c>
      <c r="AJ620" s="78">
        <v>0</v>
      </c>
      <c r="AK620" s="21" t="s">
        <v>82</v>
      </c>
      <c r="AL620" s="21">
        <f>IFERROR(NETWORKDAYS(B620,Y620,Hoja1!$A$1:$A$29),"N/A")</f>
        <v>7</v>
      </c>
      <c r="AM620" s="21">
        <f t="shared" si="65"/>
        <v>7</v>
      </c>
      <c r="AN620" s="87"/>
      <c r="AO620" s="87"/>
      <c r="AP620" s="87"/>
      <c r="AQ620" s="87"/>
      <c r="AR620" s="87"/>
      <c r="AS620" s="87" t="s">
        <v>1959</v>
      </c>
      <c r="AT620" s="87" t="s">
        <v>2207</v>
      </c>
      <c r="AU620" s="87" t="s">
        <v>2217</v>
      </c>
      <c r="AV620" s="320" t="s">
        <v>2372</v>
      </c>
      <c r="AW620" s="403" t="s">
        <v>3192</v>
      </c>
      <c r="AY620" s="415"/>
    </row>
    <row r="621" spans="1:51" ht="15" customHeight="1" x14ac:dyDescent="0.25">
      <c r="A621" s="301" t="s">
        <v>1843</v>
      </c>
      <c r="B621" s="196">
        <v>46122</v>
      </c>
      <c r="C621" s="196">
        <v>46122</v>
      </c>
      <c r="D621" s="167">
        <v>1</v>
      </c>
      <c r="E621" s="159" t="s">
        <v>247</v>
      </c>
      <c r="F621" s="168" t="s">
        <v>55</v>
      </c>
      <c r="G621" s="168">
        <v>0</v>
      </c>
      <c r="H621" s="164"/>
      <c r="I621" s="168" t="s">
        <v>55</v>
      </c>
      <c r="J621" s="168" t="s">
        <v>55</v>
      </c>
      <c r="K621" s="168">
        <v>0</v>
      </c>
      <c r="L621" s="168" t="s">
        <v>55</v>
      </c>
      <c r="M621" s="168" t="s">
        <v>55</v>
      </c>
      <c r="N621" s="168" t="s">
        <v>55</v>
      </c>
      <c r="O621" s="168" t="s">
        <v>55</v>
      </c>
      <c r="P621" s="168" t="s">
        <v>55</v>
      </c>
      <c r="Q621" s="168" t="s">
        <v>55</v>
      </c>
      <c r="R621" s="168" t="s">
        <v>55</v>
      </c>
      <c r="S621" s="168">
        <v>1</v>
      </c>
      <c r="T621" s="168">
        <v>1</v>
      </c>
      <c r="U621" s="168">
        <v>0</v>
      </c>
      <c r="V621" s="196">
        <v>46132</v>
      </c>
      <c r="W621" s="196">
        <v>46132</v>
      </c>
      <c r="X621" s="28" t="s">
        <v>55</v>
      </c>
      <c r="Y621" s="196">
        <v>46132</v>
      </c>
      <c r="Z621" s="196">
        <v>46132</v>
      </c>
      <c r="AA621" s="168">
        <v>4</v>
      </c>
      <c r="AB621" s="108" t="s">
        <v>1861</v>
      </c>
      <c r="AC621" s="49" t="s">
        <v>1862</v>
      </c>
      <c r="AD621" s="19" t="str">
        <f t="shared" si="64"/>
        <v>N/A</v>
      </c>
      <c r="AE621" s="67" t="str">
        <f>IFERROR(NETWORKDAYS(B621,I621,Hoja1!$A$1:$A$29),"N/A")</f>
        <v>N/A</v>
      </c>
      <c r="AF621" s="21">
        <f>IFERROR(NETWORKDAYS(B621,W621,Hoja1!$A$1:$A$29),"N/A")</f>
        <v>7</v>
      </c>
      <c r="AG621" s="78">
        <v>0</v>
      </c>
      <c r="AH621" s="21">
        <f t="shared" si="62"/>
        <v>7</v>
      </c>
      <c r="AI621" s="21" t="str">
        <f>IFERROR(NETWORKDAYS(X621,Y621,Hoja1!$A$1:$A$29),"N/A")</f>
        <v>N/A</v>
      </c>
      <c r="AJ621" s="78">
        <v>0</v>
      </c>
      <c r="AK621" s="21" t="s">
        <v>82</v>
      </c>
      <c r="AL621" s="21">
        <f>IFERROR(NETWORKDAYS(B621,Y621,Hoja1!$A$1:$A$29),"N/A")</f>
        <v>7</v>
      </c>
      <c r="AM621" s="21">
        <f t="shared" si="65"/>
        <v>7</v>
      </c>
      <c r="AN621" s="87"/>
      <c r="AO621" s="87"/>
      <c r="AP621" s="87"/>
      <c r="AQ621" s="87"/>
      <c r="AR621" s="87"/>
      <c r="AS621" s="87" t="s">
        <v>1959</v>
      </c>
      <c r="AT621" s="87" t="s">
        <v>2208</v>
      </c>
      <c r="AU621" s="87" t="s">
        <v>2217</v>
      </c>
      <c r="AV621" s="320" t="s">
        <v>2372</v>
      </c>
      <c r="AW621" s="403" t="s">
        <v>3192</v>
      </c>
      <c r="AY621" s="414"/>
    </row>
    <row r="622" spans="1:51" ht="15" customHeight="1" x14ac:dyDescent="0.25">
      <c r="A622" s="301" t="s">
        <v>1843</v>
      </c>
      <c r="B622" s="38">
        <v>46125</v>
      </c>
      <c r="C622" s="38">
        <v>46125</v>
      </c>
      <c r="D622" s="18">
        <v>1</v>
      </c>
      <c r="E622" s="159" t="s">
        <v>247</v>
      </c>
      <c r="F622" s="36" t="s">
        <v>55</v>
      </c>
      <c r="G622" s="36">
        <v>0</v>
      </c>
      <c r="H622" s="164"/>
      <c r="I622" s="36" t="s">
        <v>55</v>
      </c>
      <c r="J622" s="36" t="s">
        <v>55</v>
      </c>
      <c r="K622" s="36">
        <v>0</v>
      </c>
      <c r="L622" s="36" t="s">
        <v>55</v>
      </c>
      <c r="M622" s="36" t="s">
        <v>55</v>
      </c>
      <c r="N622" s="36" t="s">
        <v>55</v>
      </c>
      <c r="O622" s="36" t="s">
        <v>55</v>
      </c>
      <c r="P622" s="36" t="s">
        <v>55</v>
      </c>
      <c r="Q622" s="36" t="s">
        <v>55</v>
      </c>
      <c r="R622" s="36" t="s">
        <v>55</v>
      </c>
      <c r="S622" s="36">
        <v>1</v>
      </c>
      <c r="T622" s="36">
        <v>1</v>
      </c>
      <c r="U622" s="168">
        <v>0</v>
      </c>
      <c r="V622" s="38">
        <v>46134</v>
      </c>
      <c r="W622" s="38">
        <v>46134</v>
      </c>
      <c r="X622" s="28" t="s">
        <v>55</v>
      </c>
      <c r="Y622" s="38">
        <v>46134</v>
      </c>
      <c r="Z622" s="38">
        <v>46134</v>
      </c>
      <c r="AA622" s="33">
        <v>4</v>
      </c>
      <c r="AB622" s="29" t="s">
        <v>1863</v>
      </c>
      <c r="AC622" s="18" t="s">
        <v>1864</v>
      </c>
      <c r="AD622" s="19" t="str">
        <f t="shared" si="64"/>
        <v>N/A</v>
      </c>
      <c r="AE622" s="67" t="str">
        <f>IFERROR(NETWORKDAYS(B622,I622,Hoja1!$A$1:$A$29),"N/A")</f>
        <v>N/A</v>
      </c>
      <c r="AF622" s="21">
        <f>IFERROR(NETWORKDAYS(B622,W622,Hoja1!$A$1:$A$29),"N/A")</f>
        <v>8</v>
      </c>
      <c r="AG622" s="78">
        <v>0</v>
      </c>
      <c r="AH622" s="21">
        <f t="shared" si="62"/>
        <v>8</v>
      </c>
      <c r="AI622" s="21" t="str">
        <f>IFERROR(NETWORKDAYS(X622,Y622,Hoja1!$A$1:$A$29),"N/A")</f>
        <v>N/A</v>
      </c>
      <c r="AJ622" s="78">
        <v>0</v>
      </c>
      <c r="AK622" s="21" t="s">
        <v>82</v>
      </c>
      <c r="AL622" s="21">
        <f>IFERROR(NETWORKDAYS(B622,Y622,Hoja1!$A$1:$A$29),"N/A")</f>
        <v>8</v>
      </c>
      <c r="AM622" s="21">
        <f t="shared" si="65"/>
        <v>8</v>
      </c>
      <c r="AN622" s="87"/>
      <c r="AO622" s="87"/>
      <c r="AP622" s="87"/>
      <c r="AQ622" s="87"/>
      <c r="AR622" s="87"/>
      <c r="AS622" s="87" t="s">
        <v>1930</v>
      </c>
      <c r="AT622" s="87" t="s">
        <v>2206</v>
      </c>
      <c r="AU622" s="87" t="s">
        <v>2215</v>
      </c>
      <c r="AV622" s="320" t="s">
        <v>2372</v>
      </c>
      <c r="AW622" s="403" t="s">
        <v>3191</v>
      </c>
      <c r="AY622" s="415"/>
    </row>
    <row r="623" spans="1:51" ht="15" customHeight="1" x14ac:dyDescent="0.25">
      <c r="A623" s="301" t="s">
        <v>1843</v>
      </c>
      <c r="B623" s="38">
        <v>46125</v>
      </c>
      <c r="C623" s="38">
        <v>46125</v>
      </c>
      <c r="D623" s="18">
        <v>1</v>
      </c>
      <c r="E623" s="159" t="s">
        <v>247</v>
      </c>
      <c r="F623" s="168" t="s">
        <v>55</v>
      </c>
      <c r="G623" s="36">
        <v>0</v>
      </c>
      <c r="H623" s="164"/>
      <c r="I623" s="36" t="s">
        <v>55</v>
      </c>
      <c r="J623" s="36" t="s">
        <v>55</v>
      </c>
      <c r="K623" s="36">
        <v>0</v>
      </c>
      <c r="L623" s="36" t="s">
        <v>55</v>
      </c>
      <c r="M623" s="36" t="s">
        <v>55</v>
      </c>
      <c r="N623" s="36" t="s">
        <v>55</v>
      </c>
      <c r="O623" s="36" t="s">
        <v>55</v>
      </c>
      <c r="P623" s="36" t="s">
        <v>55</v>
      </c>
      <c r="Q623" s="36" t="s">
        <v>55</v>
      </c>
      <c r="R623" s="36" t="s">
        <v>55</v>
      </c>
      <c r="S623" s="36">
        <v>1</v>
      </c>
      <c r="T623" s="36">
        <v>1</v>
      </c>
      <c r="U623" s="168">
        <v>0</v>
      </c>
      <c r="V623" s="38">
        <v>46134</v>
      </c>
      <c r="W623" s="38">
        <v>46134</v>
      </c>
      <c r="X623" s="28" t="s">
        <v>55</v>
      </c>
      <c r="Y623" s="38">
        <v>46134</v>
      </c>
      <c r="Z623" s="38">
        <v>46134</v>
      </c>
      <c r="AA623" s="33">
        <v>4</v>
      </c>
      <c r="AB623" s="29" t="s">
        <v>1865</v>
      </c>
      <c r="AC623" s="18" t="s">
        <v>1864</v>
      </c>
      <c r="AD623" s="19" t="str">
        <f t="shared" si="64"/>
        <v>N/A</v>
      </c>
      <c r="AE623" s="67" t="str">
        <f>IFERROR(NETWORKDAYS(B623,I623,Hoja1!$A$1:$A$29),"N/A")</f>
        <v>N/A</v>
      </c>
      <c r="AF623" s="21">
        <f>IFERROR(NETWORKDAYS(B623,W623,Hoja1!$A$1:$A$29),"N/A")</f>
        <v>8</v>
      </c>
      <c r="AG623" s="78">
        <v>0</v>
      </c>
      <c r="AH623" s="21">
        <f t="shared" si="62"/>
        <v>8</v>
      </c>
      <c r="AI623" s="21" t="str">
        <f>IFERROR(NETWORKDAYS(X623,Y623,Hoja1!$A$1:$A$29),"N/A")</f>
        <v>N/A</v>
      </c>
      <c r="AJ623" s="78">
        <v>0</v>
      </c>
      <c r="AK623" s="21" t="s">
        <v>82</v>
      </c>
      <c r="AL623" s="21">
        <f>IFERROR(NETWORKDAYS(B623,Y623,Hoja1!$A$1:$A$29),"N/A")</f>
        <v>8</v>
      </c>
      <c r="AM623" s="21">
        <f t="shared" si="65"/>
        <v>8</v>
      </c>
      <c r="AN623" s="87"/>
      <c r="AO623" s="87"/>
      <c r="AP623" s="87"/>
      <c r="AQ623" s="87"/>
      <c r="AR623" s="87"/>
      <c r="AS623" s="87" t="s">
        <v>1930</v>
      </c>
      <c r="AT623" s="87" t="s">
        <v>2206</v>
      </c>
      <c r="AU623" s="87" t="s">
        <v>2215</v>
      </c>
      <c r="AV623" s="320" t="s">
        <v>2372</v>
      </c>
      <c r="AW623" s="403" t="s">
        <v>3191</v>
      </c>
      <c r="AY623" s="414"/>
    </row>
    <row r="624" spans="1:51" ht="15" customHeight="1" x14ac:dyDescent="0.25">
      <c r="A624" s="301" t="s">
        <v>1843</v>
      </c>
      <c r="B624" s="38">
        <v>46125</v>
      </c>
      <c r="C624" s="38">
        <v>46125</v>
      </c>
      <c r="D624" s="18">
        <v>1</v>
      </c>
      <c r="E624" s="159" t="s">
        <v>247</v>
      </c>
      <c r="F624" s="168" t="s">
        <v>55</v>
      </c>
      <c r="G624" s="36">
        <v>0</v>
      </c>
      <c r="H624" s="164"/>
      <c r="I624" s="36" t="s">
        <v>55</v>
      </c>
      <c r="J624" s="36" t="s">
        <v>55</v>
      </c>
      <c r="K624" s="36">
        <v>0</v>
      </c>
      <c r="L624" s="36" t="s">
        <v>55</v>
      </c>
      <c r="M624" s="36" t="s">
        <v>55</v>
      </c>
      <c r="N624" s="36" t="s">
        <v>55</v>
      </c>
      <c r="O624" s="36" t="s">
        <v>55</v>
      </c>
      <c r="P624" s="36" t="s">
        <v>55</v>
      </c>
      <c r="Q624" s="36" t="s">
        <v>55</v>
      </c>
      <c r="R624" s="36" t="s">
        <v>55</v>
      </c>
      <c r="S624" s="36">
        <v>1</v>
      </c>
      <c r="T624" s="36">
        <v>1</v>
      </c>
      <c r="U624" s="168">
        <v>0</v>
      </c>
      <c r="V624" s="38">
        <v>46134</v>
      </c>
      <c r="W624" s="38">
        <v>46134</v>
      </c>
      <c r="X624" s="28" t="s">
        <v>55</v>
      </c>
      <c r="Y624" s="38">
        <v>46134</v>
      </c>
      <c r="Z624" s="38">
        <v>46134</v>
      </c>
      <c r="AA624" s="33">
        <v>4</v>
      </c>
      <c r="AB624" s="29" t="s">
        <v>1866</v>
      </c>
      <c r="AC624" s="18" t="s">
        <v>1864</v>
      </c>
      <c r="AD624" s="19" t="str">
        <f t="shared" si="64"/>
        <v>N/A</v>
      </c>
      <c r="AE624" s="67" t="str">
        <f>IFERROR(NETWORKDAYS(B624,I624,Hoja1!$A$1:$A$29),"N/A")</f>
        <v>N/A</v>
      </c>
      <c r="AF624" s="21">
        <f>IFERROR(NETWORKDAYS(B624,W624,Hoja1!$A$1:$A$29),"N/A")</f>
        <v>8</v>
      </c>
      <c r="AG624" s="78">
        <v>0</v>
      </c>
      <c r="AH624" s="21">
        <f t="shared" si="62"/>
        <v>8</v>
      </c>
      <c r="AI624" s="21" t="str">
        <f>IFERROR(NETWORKDAYS(X624,Y624,Hoja1!$A$1:$A$29),"N/A")</f>
        <v>N/A</v>
      </c>
      <c r="AJ624" s="78">
        <v>0</v>
      </c>
      <c r="AK624" s="21" t="s">
        <v>82</v>
      </c>
      <c r="AL624" s="21">
        <f>IFERROR(NETWORKDAYS(B624,Y624,Hoja1!$A$1:$A$29),"N/A")</f>
        <v>8</v>
      </c>
      <c r="AM624" s="21">
        <f t="shared" si="65"/>
        <v>8</v>
      </c>
      <c r="AN624" s="87"/>
      <c r="AO624" s="87"/>
      <c r="AP624" s="87"/>
      <c r="AQ624" s="87"/>
      <c r="AR624" s="87"/>
      <c r="AS624" s="87" t="s">
        <v>1930</v>
      </c>
      <c r="AT624" s="87" t="s">
        <v>2206</v>
      </c>
      <c r="AU624" s="87" t="s">
        <v>2215</v>
      </c>
      <c r="AV624" s="320" t="s">
        <v>2372</v>
      </c>
      <c r="AW624" s="403" t="s">
        <v>3191</v>
      </c>
      <c r="AY624" s="415"/>
    </row>
    <row r="625" spans="1:51" ht="15" customHeight="1" x14ac:dyDescent="0.25">
      <c r="A625" s="301" t="s">
        <v>1843</v>
      </c>
      <c r="B625" s="38">
        <v>46125</v>
      </c>
      <c r="C625" s="38">
        <v>46125</v>
      </c>
      <c r="D625" s="18">
        <v>1</v>
      </c>
      <c r="E625" s="159" t="s">
        <v>247</v>
      </c>
      <c r="F625" s="168" t="s">
        <v>55</v>
      </c>
      <c r="G625" s="36">
        <v>0</v>
      </c>
      <c r="H625" s="164"/>
      <c r="I625" s="36" t="s">
        <v>55</v>
      </c>
      <c r="J625" s="36" t="s">
        <v>55</v>
      </c>
      <c r="K625" s="36">
        <v>0</v>
      </c>
      <c r="L625" s="36" t="s">
        <v>55</v>
      </c>
      <c r="M625" s="36" t="s">
        <v>55</v>
      </c>
      <c r="N625" s="36" t="s">
        <v>55</v>
      </c>
      <c r="O625" s="36" t="s">
        <v>55</v>
      </c>
      <c r="P625" s="36" t="s">
        <v>55</v>
      </c>
      <c r="Q625" s="36" t="s">
        <v>55</v>
      </c>
      <c r="R625" s="36" t="s">
        <v>55</v>
      </c>
      <c r="S625" s="36">
        <v>1</v>
      </c>
      <c r="T625" s="36">
        <v>1</v>
      </c>
      <c r="U625" s="168">
        <v>0</v>
      </c>
      <c r="V625" s="38">
        <v>46134</v>
      </c>
      <c r="W625" s="38">
        <v>46134</v>
      </c>
      <c r="X625" s="28" t="s">
        <v>55</v>
      </c>
      <c r="Y625" s="38">
        <v>46134</v>
      </c>
      <c r="Z625" s="38">
        <v>46134</v>
      </c>
      <c r="AA625" s="33">
        <v>4</v>
      </c>
      <c r="AB625" s="29" t="s">
        <v>1867</v>
      </c>
      <c r="AC625" s="18" t="s">
        <v>1864</v>
      </c>
      <c r="AD625" s="19" t="str">
        <f t="shared" si="64"/>
        <v>N/A</v>
      </c>
      <c r="AE625" s="67" t="str">
        <f>IFERROR(NETWORKDAYS(B625,I625,Hoja1!$A$1:$A$29),"N/A")</f>
        <v>N/A</v>
      </c>
      <c r="AF625" s="21">
        <f>IFERROR(NETWORKDAYS(B625,W625,Hoja1!$A$1:$A$29),"N/A")</f>
        <v>8</v>
      </c>
      <c r="AG625" s="78">
        <v>0</v>
      </c>
      <c r="AH625" s="21">
        <f t="shared" si="62"/>
        <v>8</v>
      </c>
      <c r="AI625" s="21" t="str">
        <f>IFERROR(NETWORKDAYS(X625,Y625,Hoja1!$A$1:$A$29),"N/A")</f>
        <v>N/A</v>
      </c>
      <c r="AJ625" s="78">
        <v>0</v>
      </c>
      <c r="AK625" s="21" t="s">
        <v>82</v>
      </c>
      <c r="AL625" s="21">
        <f>IFERROR(NETWORKDAYS(B625,Y625,Hoja1!$A$1:$A$29),"N/A")</f>
        <v>8</v>
      </c>
      <c r="AM625" s="21">
        <f t="shared" si="65"/>
        <v>8</v>
      </c>
      <c r="AN625" s="87"/>
      <c r="AO625" s="87"/>
      <c r="AP625" s="87"/>
      <c r="AQ625" s="87"/>
      <c r="AR625" s="87"/>
      <c r="AS625" s="87" t="s">
        <v>1930</v>
      </c>
      <c r="AT625" s="87" t="s">
        <v>2206</v>
      </c>
      <c r="AU625" s="87" t="s">
        <v>2215</v>
      </c>
      <c r="AV625" s="320" t="s">
        <v>2372</v>
      </c>
      <c r="AW625" s="403" t="s">
        <v>3191</v>
      </c>
      <c r="AY625" s="414"/>
    </row>
    <row r="626" spans="1:51" ht="15" customHeight="1" x14ac:dyDescent="0.25">
      <c r="A626" s="301" t="s">
        <v>1843</v>
      </c>
      <c r="B626" s="38">
        <v>46125</v>
      </c>
      <c r="C626" s="38">
        <v>46125</v>
      </c>
      <c r="D626" s="18">
        <v>1</v>
      </c>
      <c r="E626" s="159" t="s">
        <v>247</v>
      </c>
      <c r="F626" s="168" t="s">
        <v>55</v>
      </c>
      <c r="G626" s="36">
        <v>0</v>
      </c>
      <c r="H626" s="164"/>
      <c r="I626" s="36" t="s">
        <v>55</v>
      </c>
      <c r="J626" s="36" t="s">
        <v>55</v>
      </c>
      <c r="K626" s="36">
        <v>0</v>
      </c>
      <c r="L626" s="36" t="s">
        <v>55</v>
      </c>
      <c r="M626" s="36" t="s">
        <v>55</v>
      </c>
      <c r="N626" s="36" t="s">
        <v>55</v>
      </c>
      <c r="O626" s="36" t="s">
        <v>55</v>
      </c>
      <c r="P626" s="36" t="s">
        <v>55</v>
      </c>
      <c r="Q626" s="36" t="s">
        <v>55</v>
      </c>
      <c r="R626" s="36" t="s">
        <v>55</v>
      </c>
      <c r="S626" s="36">
        <v>1</v>
      </c>
      <c r="T626" s="36">
        <v>1</v>
      </c>
      <c r="U626" s="168">
        <v>0</v>
      </c>
      <c r="V626" s="38">
        <v>46134</v>
      </c>
      <c r="W626" s="38">
        <v>46134</v>
      </c>
      <c r="X626" s="28" t="s">
        <v>55</v>
      </c>
      <c r="Y626" s="38">
        <v>46134</v>
      </c>
      <c r="Z626" s="38">
        <v>46134</v>
      </c>
      <c r="AA626" s="33">
        <v>4</v>
      </c>
      <c r="AB626" s="29" t="s">
        <v>1868</v>
      </c>
      <c r="AC626" s="18" t="s">
        <v>1864</v>
      </c>
      <c r="AD626" s="19" t="str">
        <f t="shared" si="64"/>
        <v>N/A</v>
      </c>
      <c r="AE626" s="67" t="str">
        <f>IFERROR(NETWORKDAYS(B626,I626,Hoja1!$A$1:$A$29),"N/A")</f>
        <v>N/A</v>
      </c>
      <c r="AF626" s="21">
        <f>IFERROR(NETWORKDAYS(B626,W626,Hoja1!$A$1:$A$29),"N/A")</f>
        <v>8</v>
      </c>
      <c r="AG626" s="78">
        <v>0</v>
      </c>
      <c r="AH626" s="21">
        <f t="shared" si="62"/>
        <v>8</v>
      </c>
      <c r="AI626" s="21" t="str">
        <f>IFERROR(NETWORKDAYS(X626,Y626,Hoja1!$A$1:$A$29),"N/A")</f>
        <v>N/A</v>
      </c>
      <c r="AJ626" s="78">
        <v>0</v>
      </c>
      <c r="AK626" s="21" t="s">
        <v>82</v>
      </c>
      <c r="AL626" s="21">
        <f>IFERROR(NETWORKDAYS(B626,Y626,Hoja1!$A$1:$A$29),"N/A")</f>
        <v>8</v>
      </c>
      <c r="AM626" s="21">
        <f t="shared" si="65"/>
        <v>8</v>
      </c>
      <c r="AN626" s="87"/>
      <c r="AO626" s="87"/>
      <c r="AP626" s="87"/>
      <c r="AQ626" s="87"/>
      <c r="AR626" s="87"/>
      <c r="AS626" s="87" t="s">
        <v>1930</v>
      </c>
      <c r="AT626" s="87" t="s">
        <v>2206</v>
      </c>
      <c r="AU626" s="87" t="s">
        <v>2215</v>
      </c>
      <c r="AV626" s="320" t="s">
        <v>2372</v>
      </c>
      <c r="AW626" s="403" t="s">
        <v>3191</v>
      </c>
      <c r="AY626" s="415"/>
    </row>
    <row r="627" spans="1:51" ht="15" customHeight="1" x14ac:dyDescent="0.25">
      <c r="A627" s="301" t="s">
        <v>1843</v>
      </c>
      <c r="B627" s="38">
        <v>46125</v>
      </c>
      <c r="C627" s="38">
        <v>46125</v>
      </c>
      <c r="D627" s="18">
        <v>1</v>
      </c>
      <c r="E627" s="159" t="s">
        <v>247</v>
      </c>
      <c r="F627" s="168" t="s">
        <v>55</v>
      </c>
      <c r="G627" s="36">
        <v>0</v>
      </c>
      <c r="H627" s="164"/>
      <c r="I627" s="36" t="s">
        <v>55</v>
      </c>
      <c r="J627" s="36" t="s">
        <v>55</v>
      </c>
      <c r="K627" s="36">
        <v>0</v>
      </c>
      <c r="L627" s="36" t="s">
        <v>55</v>
      </c>
      <c r="M627" s="36" t="s">
        <v>55</v>
      </c>
      <c r="N627" s="36" t="s">
        <v>55</v>
      </c>
      <c r="O627" s="36" t="s">
        <v>55</v>
      </c>
      <c r="P627" s="36" t="s">
        <v>55</v>
      </c>
      <c r="Q627" s="36" t="s">
        <v>55</v>
      </c>
      <c r="R627" s="36" t="s">
        <v>55</v>
      </c>
      <c r="S627" s="36">
        <v>1</v>
      </c>
      <c r="T627" s="36">
        <v>1</v>
      </c>
      <c r="U627" s="168">
        <v>0</v>
      </c>
      <c r="V627" s="38">
        <v>46134</v>
      </c>
      <c r="W627" s="38">
        <v>46134</v>
      </c>
      <c r="X627" s="28" t="s">
        <v>55</v>
      </c>
      <c r="Y627" s="38">
        <v>46134</v>
      </c>
      <c r="Z627" s="38">
        <v>46134</v>
      </c>
      <c r="AA627" s="33">
        <v>4</v>
      </c>
      <c r="AB627" s="29" t="s">
        <v>1869</v>
      </c>
      <c r="AC627" s="18" t="s">
        <v>1864</v>
      </c>
      <c r="AD627" s="19" t="str">
        <f t="shared" si="64"/>
        <v>N/A</v>
      </c>
      <c r="AE627" s="67" t="str">
        <f>IFERROR(NETWORKDAYS(B627,I627,Hoja1!$A$1:$A$29),"N/A")</f>
        <v>N/A</v>
      </c>
      <c r="AF627" s="21">
        <f>IFERROR(NETWORKDAYS(B627,W627,Hoja1!$A$1:$A$29),"N/A")</f>
        <v>8</v>
      </c>
      <c r="AG627" s="78">
        <v>0</v>
      </c>
      <c r="AH627" s="21">
        <f t="shared" si="62"/>
        <v>8</v>
      </c>
      <c r="AI627" s="21" t="str">
        <f>IFERROR(NETWORKDAYS(X627,Y627,Hoja1!$A$1:$A$29),"N/A")</f>
        <v>N/A</v>
      </c>
      <c r="AJ627" s="78">
        <v>0</v>
      </c>
      <c r="AK627" s="21" t="s">
        <v>82</v>
      </c>
      <c r="AL627" s="21">
        <f>IFERROR(NETWORKDAYS(B627,Y627,Hoja1!$A$1:$A$29),"N/A")</f>
        <v>8</v>
      </c>
      <c r="AM627" s="21">
        <f t="shared" si="65"/>
        <v>8</v>
      </c>
      <c r="AN627" s="87"/>
      <c r="AO627" s="87"/>
      <c r="AP627" s="87"/>
      <c r="AQ627" s="87"/>
      <c r="AR627" s="87"/>
      <c r="AS627" s="87" t="s">
        <v>1930</v>
      </c>
      <c r="AT627" s="87" t="s">
        <v>2206</v>
      </c>
      <c r="AU627" s="87" t="s">
        <v>2215</v>
      </c>
      <c r="AV627" s="320" t="s">
        <v>2372</v>
      </c>
      <c r="AW627" s="403" t="s">
        <v>3191</v>
      </c>
      <c r="AY627" s="414"/>
    </row>
    <row r="628" spans="1:51" ht="15" customHeight="1" x14ac:dyDescent="0.25">
      <c r="A628" s="301" t="s">
        <v>1843</v>
      </c>
      <c r="B628" s="38">
        <v>46125</v>
      </c>
      <c r="C628" s="38">
        <v>46125</v>
      </c>
      <c r="D628" s="18">
        <v>1</v>
      </c>
      <c r="E628" s="159" t="s">
        <v>247</v>
      </c>
      <c r="F628" s="168" t="s">
        <v>55</v>
      </c>
      <c r="G628" s="36">
        <v>0</v>
      </c>
      <c r="H628" s="164"/>
      <c r="I628" s="36" t="s">
        <v>55</v>
      </c>
      <c r="J628" s="36" t="s">
        <v>55</v>
      </c>
      <c r="K628" s="36">
        <v>0</v>
      </c>
      <c r="L628" s="36" t="s">
        <v>55</v>
      </c>
      <c r="M628" s="36" t="s">
        <v>55</v>
      </c>
      <c r="N628" s="36" t="s">
        <v>55</v>
      </c>
      <c r="O628" s="36" t="s">
        <v>55</v>
      </c>
      <c r="P628" s="36" t="s">
        <v>55</v>
      </c>
      <c r="Q628" s="36" t="s">
        <v>55</v>
      </c>
      <c r="R628" s="36" t="s">
        <v>55</v>
      </c>
      <c r="S628" s="36">
        <v>1</v>
      </c>
      <c r="T628" s="36">
        <v>1</v>
      </c>
      <c r="U628" s="168">
        <v>0</v>
      </c>
      <c r="V628" s="38">
        <v>46134</v>
      </c>
      <c r="W628" s="38">
        <v>46134</v>
      </c>
      <c r="X628" s="28" t="s">
        <v>55</v>
      </c>
      <c r="Y628" s="38">
        <v>46134</v>
      </c>
      <c r="Z628" s="38">
        <v>46134</v>
      </c>
      <c r="AA628" s="33">
        <v>4</v>
      </c>
      <c r="AB628" s="29" t="s">
        <v>1870</v>
      </c>
      <c r="AC628" s="18" t="s">
        <v>1864</v>
      </c>
      <c r="AD628" s="19" t="str">
        <f t="shared" si="64"/>
        <v>N/A</v>
      </c>
      <c r="AE628" s="67" t="str">
        <f>IFERROR(NETWORKDAYS(B628,I628,Hoja1!$A$1:$A$29),"N/A")</f>
        <v>N/A</v>
      </c>
      <c r="AF628" s="21">
        <f>IFERROR(NETWORKDAYS(B628,W628,Hoja1!$A$1:$A$29),"N/A")</f>
        <v>8</v>
      </c>
      <c r="AG628" s="78">
        <v>0</v>
      </c>
      <c r="AH628" s="21">
        <f t="shared" si="62"/>
        <v>8</v>
      </c>
      <c r="AI628" s="21" t="str">
        <f>IFERROR(NETWORKDAYS(X628,Y628,Hoja1!$A$1:$A$29),"N/A")</f>
        <v>N/A</v>
      </c>
      <c r="AJ628" s="78">
        <v>0</v>
      </c>
      <c r="AK628" s="21" t="s">
        <v>82</v>
      </c>
      <c r="AL628" s="21">
        <f>IFERROR(NETWORKDAYS(B628,Y628,Hoja1!$A$1:$A$29),"N/A")</f>
        <v>8</v>
      </c>
      <c r="AM628" s="21">
        <f t="shared" si="65"/>
        <v>8</v>
      </c>
      <c r="AN628" s="87"/>
      <c r="AO628" s="87"/>
      <c r="AP628" s="87"/>
      <c r="AQ628" s="87"/>
      <c r="AR628" s="87"/>
      <c r="AS628" s="87" t="s">
        <v>1930</v>
      </c>
      <c r="AT628" s="87" t="s">
        <v>2206</v>
      </c>
      <c r="AU628" s="87" t="s">
        <v>2215</v>
      </c>
      <c r="AV628" s="320" t="s">
        <v>2372</v>
      </c>
      <c r="AW628" s="403" t="s">
        <v>3191</v>
      </c>
      <c r="AY628" s="415"/>
    </row>
    <row r="629" spans="1:51" ht="15" customHeight="1" x14ac:dyDescent="0.25">
      <c r="A629" s="301" t="s">
        <v>1843</v>
      </c>
      <c r="B629" s="38">
        <v>46125</v>
      </c>
      <c r="C629" s="38">
        <v>46125</v>
      </c>
      <c r="D629" s="18">
        <v>1</v>
      </c>
      <c r="E629" s="159" t="s">
        <v>247</v>
      </c>
      <c r="F629" s="168" t="s">
        <v>55</v>
      </c>
      <c r="G629" s="36">
        <v>0</v>
      </c>
      <c r="H629" s="164"/>
      <c r="I629" s="36" t="s">
        <v>55</v>
      </c>
      <c r="J629" s="36" t="s">
        <v>55</v>
      </c>
      <c r="K629" s="36">
        <v>0</v>
      </c>
      <c r="L629" s="36" t="s">
        <v>55</v>
      </c>
      <c r="M629" s="36" t="s">
        <v>55</v>
      </c>
      <c r="N629" s="36" t="s">
        <v>55</v>
      </c>
      <c r="O629" s="36" t="s">
        <v>55</v>
      </c>
      <c r="P629" s="36" t="s">
        <v>55</v>
      </c>
      <c r="Q629" s="36" t="s">
        <v>55</v>
      </c>
      <c r="R629" s="36" t="s">
        <v>55</v>
      </c>
      <c r="S629" s="36">
        <v>1</v>
      </c>
      <c r="T629" s="36">
        <v>1</v>
      </c>
      <c r="U629" s="168">
        <v>0</v>
      </c>
      <c r="V629" s="38">
        <v>46134</v>
      </c>
      <c r="W629" s="38">
        <v>46134</v>
      </c>
      <c r="X629" s="28" t="s">
        <v>55</v>
      </c>
      <c r="Y629" s="38">
        <v>46134</v>
      </c>
      <c r="Z629" s="38">
        <v>46134</v>
      </c>
      <c r="AA629" s="33">
        <v>4</v>
      </c>
      <c r="AB629" s="29" t="s">
        <v>1871</v>
      </c>
      <c r="AC629" s="18" t="s">
        <v>1864</v>
      </c>
      <c r="AD629" s="19" t="str">
        <f t="shared" si="64"/>
        <v>N/A</v>
      </c>
      <c r="AE629" s="67" t="str">
        <f>IFERROR(NETWORKDAYS(B629,I629,Hoja1!$A$1:$A$29),"N/A")</f>
        <v>N/A</v>
      </c>
      <c r="AF629" s="21">
        <f>IFERROR(NETWORKDAYS(B629,W629,Hoja1!$A$1:$A$29),"N/A")</f>
        <v>8</v>
      </c>
      <c r="AG629" s="78">
        <v>0</v>
      </c>
      <c r="AH629" s="21">
        <f t="shared" si="62"/>
        <v>8</v>
      </c>
      <c r="AI629" s="21" t="str">
        <f>IFERROR(NETWORKDAYS(X629,Y629,Hoja1!$A$1:$A$29),"N/A")</f>
        <v>N/A</v>
      </c>
      <c r="AJ629" s="78">
        <v>0</v>
      </c>
      <c r="AK629" s="21" t="s">
        <v>82</v>
      </c>
      <c r="AL629" s="21">
        <f>IFERROR(NETWORKDAYS(B629,Y629,Hoja1!$A$1:$A$29),"N/A")</f>
        <v>8</v>
      </c>
      <c r="AM629" s="21">
        <f t="shared" si="65"/>
        <v>8</v>
      </c>
      <c r="AN629" s="87"/>
      <c r="AO629" s="87"/>
      <c r="AP629" s="87"/>
      <c r="AQ629" s="87"/>
      <c r="AR629" s="87"/>
      <c r="AS629" s="87" t="s">
        <v>1930</v>
      </c>
      <c r="AT629" s="87" t="s">
        <v>2206</v>
      </c>
      <c r="AU629" s="87" t="s">
        <v>2215</v>
      </c>
      <c r="AV629" s="320" t="s">
        <v>2372</v>
      </c>
      <c r="AW629" s="403" t="s">
        <v>3191</v>
      </c>
      <c r="AY629" s="414"/>
    </row>
    <row r="630" spans="1:51" ht="15" customHeight="1" x14ac:dyDescent="0.25">
      <c r="A630" s="301" t="s">
        <v>1843</v>
      </c>
      <c r="B630" s="38">
        <v>46125</v>
      </c>
      <c r="C630" s="38">
        <v>46125</v>
      </c>
      <c r="D630" s="150">
        <v>1</v>
      </c>
      <c r="E630" s="159" t="s">
        <v>247</v>
      </c>
      <c r="F630" s="168" t="s">
        <v>55</v>
      </c>
      <c r="G630" s="257">
        <v>0</v>
      </c>
      <c r="H630" s="164"/>
      <c r="I630" s="257" t="s">
        <v>55</v>
      </c>
      <c r="J630" s="257" t="s">
        <v>55</v>
      </c>
      <c r="K630" s="257">
        <v>0</v>
      </c>
      <c r="L630" s="257" t="s">
        <v>55</v>
      </c>
      <c r="M630" s="257" t="s">
        <v>55</v>
      </c>
      <c r="N630" s="257" t="s">
        <v>55</v>
      </c>
      <c r="O630" s="257" t="s">
        <v>55</v>
      </c>
      <c r="P630" s="257" t="s">
        <v>55</v>
      </c>
      <c r="Q630" s="257" t="s">
        <v>55</v>
      </c>
      <c r="R630" s="257" t="s">
        <v>55</v>
      </c>
      <c r="S630" s="257">
        <v>1</v>
      </c>
      <c r="T630" s="257">
        <v>1</v>
      </c>
      <c r="U630" s="168">
        <v>0</v>
      </c>
      <c r="V630" s="258">
        <v>46139</v>
      </c>
      <c r="W630" s="258">
        <v>46139</v>
      </c>
      <c r="X630" s="196" t="s">
        <v>55</v>
      </c>
      <c r="Y630" s="258">
        <v>46139</v>
      </c>
      <c r="Z630" s="258">
        <v>46139</v>
      </c>
      <c r="AA630" s="168">
        <v>4</v>
      </c>
      <c r="AB630" s="254" t="s">
        <v>1872</v>
      </c>
      <c r="AC630" s="150" t="s">
        <v>1864</v>
      </c>
      <c r="AD630" s="19" t="str">
        <f t="shared" si="64"/>
        <v>N/A</v>
      </c>
      <c r="AE630" s="67" t="str">
        <f>IFERROR(NETWORKDAYS(B630,I630,Hoja1!$A$1:$A$29),"N/A")</f>
        <v>N/A</v>
      </c>
      <c r="AF630" s="21">
        <f>IFERROR(NETWORKDAYS(B630,W630,Hoja1!$A$1:$A$29),"N/A")</f>
        <v>11</v>
      </c>
      <c r="AG630" s="78">
        <v>0</v>
      </c>
      <c r="AH630" s="21">
        <f t="shared" si="62"/>
        <v>11</v>
      </c>
      <c r="AI630" s="21" t="str">
        <f>IFERROR(NETWORKDAYS(X630,Y630,Hoja1!$A$1:$A$29),"N/A")</f>
        <v>N/A</v>
      </c>
      <c r="AJ630" s="78">
        <v>0</v>
      </c>
      <c r="AK630" s="21" t="s">
        <v>82</v>
      </c>
      <c r="AL630" s="21">
        <f>IFERROR(NETWORKDAYS(B630,Y630,Hoja1!$A$1:$A$29),"N/A")</f>
        <v>11</v>
      </c>
      <c r="AM630" s="21">
        <f t="shared" si="65"/>
        <v>11</v>
      </c>
      <c r="AN630" s="156"/>
      <c r="AO630" s="156"/>
      <c r="AP630" s="156"/>
      <c r="AQ630" s="156"/>
      <c r="AR630" s="87"/>
      <c r="AS630" s="87" t="s">
        <v>1894</v>
      </c>
      <c r="AT630" s="87" t="s">
        <v>2206</v>
      </c>
      <c r="AU630" s="87" t="s">
        <v>2216</v>
      </c>
      <c r="AV630" s="320" t="s">
        <v>2372</v>
      </c>
      <c r="AW630" s="403" t="s">
        <v>3193</v>
      </c>
      <c r="AY630" s="415"/>
    </row>
    <row r="631" spans="1:51" ht="15" customHeight="1" x14ac:dyDescent="0.25">
      <c r="A631" s="301" t="s">
        <v>1843</v>
      </c>
      <c r="B631" s="38">
        <v>46125</v>
      </c>
      <c r="C631" s="38">
        <v>46125</v>
      </c>
      <c r="D631" s="150">
        <v>1</v>
      </c>
      <c r="E631" s="159" t="s">
        <v>247</v>
      </c>
      <c r="F631" s="168" t="s">
        <v>55</v>
      </c>
      <c r="G631" s="257">
        <v>0</v>
      </c>
      <c r="H631" s="164"/>
      <c r="I631" s="257" t="s">
        <v>55</v>
      </c>
      <c r="J631" s="257" t="s">
        <v>55</v>
      </c>
      <c r="K631" s="257">
        <v>0</v>
      </c>
      <c r="L631" s="257" t="s">
        <v>55</v>
      </c>
      <c r="M631" s="257" t="s">
        <v>55</v>
      </c>
      <c r="N631" s="257" t="s">
        <v>55</v>
      </c>
      <c r="O631" s="257" t="s">
        <v>55</v>
      </c>
      <c r="P631" s="257" t="s">
        <v>55</v>
      </c>
      <c r="Q631" s="257" t="s">
        <v>55</v>
      </c>
      <c r="R631" s="257" t="s">
        <v>55</v>
      </c>
      <c r="S631" s="257">
        <v>1</v>
      </c>
      <c r="T631" s="257">
        <v>1</v>
      </c>
      <c r="U631" s="168">
        <v>0</v>
      </c>
      <c r="V631" s="258">
        <v>46139</v>
      </c>
      <c r="W631" s="258">
        <v>46139</v>
      </c>
      <c r="X631" s="196" t="s">
        <v>55</v>
      </c>
      <c r="Y631" s="258">
        <v>46139</v>
      </c>
      <c r="Z631" s="258">
        <v>46139</v>
      </c>
      <c r="AA631" s="168">
        <v>4</v>
      </c>
      <c r="AB631" s="254" t="s">
        <v>1873</v>
      </c>
      <c r="AC631" s="150" t="s">
        <v>1864</v>
      </c>
      <c r="AD631" s="19" t="str">
        <f t="shared" si="64"/>
        <v>N/A</v>
      </c>
      <c r="AE631" s="67" t="str">
        <f>IFERROR(NETWORKDAYS(B631,I631,Hoja1!$A$1:$A$29),"N/A")</f>
        <v>N/A</v>
      </c>
      <c r="AF631" s="21">
        <f>IFERROR(NETWORKDAYS(B631,W631,Hoja1!$A$1:$A$29),"N/A")</f>
        <v>11</v>
      </c>
      <c r="AG631" s="78">
        <v>0</v>
      </c>
      <c r="AH631" s="21">
        <f t="shared" si="62"/>
        <v>11</v>
      </c>
      <c r="AI631" s="21" t="str">
        <f>IFERROR(NETWORKDAYS(X631,Y631,Hoja1!$A$1:$A$29),"N/A")</f>
        <v>N/A</v>
      </c>
      <c r="AJ631" s="78">
        <v>0</v>
      </c>
      <c r="AK631" s="21" t="s">
        <v>82</v>
      </c>
      <c r="AL631" s="21">
        <f>IFERROR(NETWORKDAYS(B631,Y631,Hoja1!$A$1:$A$29),"N/A")</f>
        <v>11</v>
      </c>
      <c r="AM631" s="21">
        <f t="shared" si="65"/>
        <v>11</v>
      </c>
      <c r="AN631" s="156"/>
      <c r="AO631" s="156"/>
      <c r="AP631" s="156"/>
      <c r="AQ631" s="156"/>
      <c r="AR631" s="87"/>
      <c r="AS631" s="87" t="s">
        <v>1894</v>
      </c>
      <c r="AT631" s="87" t="s">
        <v>2206</v>
      </c>
      <c r="AU631" s="87" t="s">
        <v>2216</v>
      </c>
      <c r="AV631" s="320" t="s">
        <v>2372</v>
      </c>
      <c r="AW631" s="403" t="s">
        <v>3193</v>
      </c>
      <c r="AY631" s="414"/>
    </row>
    <row r="632" spans="1:51" ht="15" customHeight="1" x14ac:dyDescent="0.25">
      <c r="A632" s="301" t="s">
        <v>1843</v>
      </c>
      <c r="B632" s="38">
        <v>46125</v>
      </c>
      <c r="C632" s="38">
        <v>46125</v>
      </c>
      <c r="D632" s="150">
        <v>1</v>
      </c>
      <c r="E632" s="159" t="s">
        <v>247</v>
      </c>
      <c r="F632" s="168" t="s">
        <v>55</v>
      </c>
      <c r="G632" s="257">
        <v>0</v>
      </c>
      <c r="H632" s="164"/>
      <c r="I632" s="257" t="s">
        <v>55</v>
      </c>
      <c r="J632" s="257" t="s">
        <v>55</v>
      </c>
      <c r="K632" s="257">
        <v>0</v>
      </c>
      <c r="L632" s="257" t="s">
        <v>55</v>
      </c>
      <c r="M632" s="257" t="s">
        <v>55</v>
      </c>
      <c r="N632" s="257" t="s">
        <v>55</v>
      </c>
      <c r="O632" s="257" t="s">
        <v>55</v>
      </c>
      <c r="P632" s="257" t="s">
        <v>55</v>
      </c>
      <c r="Q632" s="257" t="s">
        <v>55</v>
      </c>
      <c r="R632" s="257" t="s">
        <v>55</v>
      </c>
      <c r="S632" s="257">
        <v>1</v>
      </c>
      <c r="T632" s="257">
        <v>1</v>
      </c>
      <c r="U632" s="168">
        <v>0</v>
      </c>
      <c r="V632" s="258">
        <v>46139</v>
      </c>
      <c r="W632" s="258">
        <v>46139</v>
      </c>
      <c r="X632" s="196" t="s">
        <v>55</v>
      </c>
      <c r="Y632" s="258">
        <v>46139</v>
      </c>
      <c r="Z632" s="258">
        <v>46139</v>
      </c>
      <c r="AA632" s="168">
        <v>4</v>
      </c>
      <c r="AB632" s="254" t="s">
        <v>1874</v>
      </c>
      <c r="AC632" s="150" t="s">
        <v>1864</v>
      </c>
      <c r="AD632" s="19" t="str">
        <f t="shared" si="64"/>
        <v>N/A</v>
      </c>
      <c r="AE632" s="67" t="str">
        <f>IFERROR(NETWORKDAYS(B632,I632,Hoja1!$A$1:$A$29),"N/A")</f>
        <v>N/A</v>
      </c>
      <c r="AF632" s="21">
        <f>IFERROR(NETWORKDAYS(B632,W632,Hoja1!$A$1:$A$29),"N/A")</f>
        <v>11</v>
      </c>
      <c r="AG632" s="78">
        <v>0</v>
      </c>
      <c r="AH632" s="21">
        <f t="shared" si="62"/>
        <v>11</v>
      </c>
      <c r="AI632" s="21" t="str">
        <f>IFERROR(NETWORKDAYS(X632,Y632,Hoja1!$A$1:$A$29),"N/A")</f>
        <v>N/A</v>
      </c>
      <c r="AJ632" s="78">
        <v>0</v>
      </c>
      <c r="AK632" s="21" t="s">
        <v>82</v>
      </c>
      <c r="AL632" s="21">
        <f>IFERROR(NETWORKDAYS(B632,Y632,Hoja1!$A$1:$A$29),"N/A")</f>
        <v>11</v>
      </c>
      <c r="AM632" s="21">
        <f t="shared" si="65"/>
        <v>11</v>
      </c>
      <c r="AN632" s="156"/>
      <c r="AO632" s="156"/>
      <c r="AP632" s="156"/>
      <c r="AQ632" s="156"/>
      <c r="AR632" s="87"/>
      <c r="AS632" s="87" t="s">
        <v>1894</v>
      </c>
      <c r="AT632" s="87" t="s">
        <v>2206</v>
      </c>
      <c r="AU632" s="87" t="s">
        <v>2216</v>
      </c>
      <c r="AV632" s="320" t="s">
        <v>2372</v>
      </c>
      <c r="AW632" s="403" t="s">
        <v>3193</v>
      </c>
      <c r="AY632" s="415"/>
    </row>
    <row r="633" spans="1:51" ht="15" customHeight="1" x14ac:dyDescent="0.25">
      <c r="A633" s="301" t="s">
        <v>1843</v>
      </c>
      <c r="B633" s="38">
        <v>46125</v>
      </c>
      <c r="C633" s="38">
        <v>46125</v>
      </c>
      <c r="D633" s="150">
        <v>1</v>
      </c>
      <c r="E633" s="159" t="s">
        <v>247</v>
      </c>
      <c r="F633" s="168" t="s">
        <v>55</v>
      </c>
      <c r="G633" s="257">
        <v>0</v>
      </c>
      <c r="H633" s="164"/>
      <c r="I633" s="257" t="s">
        <v>55</v>
      </c>
      <c r="J633" s="257" t="s">
        <v>55</v>
      </c>
      <c r="K633" s="257">
        <v>0</v>
      </c>
      <c r="L633" s="257" t="s">
        <v>55</v>
      </c>
      <c r="M633" s="257" t="s">
        <v>55</v>
      </c>
      <c r="N633" s="257" t="s">
        <v>55</v>
      </c>
      <c r="O633" s="257" t="s">
        <v>55</v>
      </c>
      <c r="P633" s="257" t="s">
        <v>55</v>
      </c>
      <c r="Q633" s="257" t="s">
        <v>55</v>
      </c>
      <c r="R633" s="257" t="s">
        <v>55</v>
      </c>
      <c r="S633" s="257">
        <v>1</v>
      </c>
      <c r="T633" s="257">
        <v>1</v>
      </c>
      <c r="U633" s="168">
        <v>0</v>
      </c>
      <c r="V633" s="258">
        <v>46139</v>
      </c>
      <c r="W633" s="258">
        <v>46139</v>
      </c>
      <c r="X633" s="196" t="s">
        <v>55</v>
      </c>
      <c r="Y633" s="258">
        <v>46139</v>
      </c>
      <c r="Z633" s="258">
        <v>46139</v>
      </c>
      <c r="AA633" s="168">
        <v>4</v>
      </c>
      <c r="AB633" s="254" t="s">
        <v>1875</v>
      </c>
      <c r="AC633" s="150" t="s">
        <v>1864</v>
      </c>
      <c r="AD633" s="19" t="str">
        <f t="shared" si="64"/>
        <v>N/A</v>
      </c>
      <c r="AE633" s="67" t="str">
        <f>IFERROR(NETWORKDAYS(B633,I633,Hoja1!$A$1:$A$29),"N/A")</f>
        <v>N/A</v>
      </c>
      <c r="AF633" s="21">
        <f>IFERROR(NETWORKDAYS(B633,W633,Hoja1!$A$1:$A$29),"N/A")</f>
        <v>11</v>
      </c>
      <c r="AG633" s="78">
        <v>0</v>
      </c>
      <c r="AH633" s="21">
        <f t="shared" si="62"/>
        <v>11</v>
      </c>
      <c r="AI633" s="21" t="str">
        <f>IFERROR(NETWORKDAYS(X633,Y633,Hoja1!$A$1:$A$29),"N/A")</f>
        <v>N/A</v>
      </c>
      <c r="AJ633" s="78">
        <v>0</v>
      </c>
      <c r="AK633" s="21" t="s">
        <v>82</v>
      </c>
      <c r="AL633" s="21">
        <f>IFERROR(NETWORKDAYS(B633,Y633,Hoja1!$A$1:$A$29),"N/A")</f>
        <v>11</v>
      </c>
      <c r="AM633" s="21">
        <f t="shared" si="65"/>
        <v>11</v>
      </c>
      <c r="AN633" s="156"/>
      <c r="AO633" s="156"/>
      <c r="AP633" s="156"/>
      <c r="AQ633" s="156"/>
      <c r="AR633" s="87"/>
      <c r="AS633" s="87" t="s">
        <v>1894</v>
      </c>
      <c r="AT633" s="87" t="s">
        <v>2206</v>
      </c>
      <c r="AU633" s="87" t="s">
        <v>2216</v>
      </c>
      <c r="AV633" s="320" t="s">
        <v>2372</v>
      </c>
      <c r="AW633" s="403" t="s">
        <v>3193</v>
      </c>
      <c r="AY633" s="414"/>
    </row>
    <row r="634" spans="1:51" ht="15" customHeight="1" x14ac:dyDescent="0.25">
      <c r="A634" s="301" t="s">
        <v>1843</v>
      </c>
      <c r="B634" s="38">
        <v>46125</v>
      </c>
      <c r="C634" s="38">
        <v>46125</v>
      </c>
      <c r="D634" s="150">
        <v>1</v>
      </c>
      <c r="E634" s="159" t="s">
        <v>247</v>
      </c>
      <c r="F634" s="168" t="s">
        <v>55</v>
      </c>
      <c r="G634" s="257">
        <v>0</v>
      </c>
      <c r="H634" s="164"/>
      <c r="I634" s="257" t="s">
        <v>55</v>
      </c>
      <c r="J634" s="257" t="s">
        <v>55</v>
      </c>
      <c r="K634" s="257">
        <v>0</v>
      </c>
      <c r="L634" s="257" t="s">
        <v>55</v>
      </c>
      <c r="M634" s="257" t="s">
        <v>55</v>
      </c>
      <c r="N634" s="257" t="s">
        <v>55</v>
      </c>
      <c r="O634" s="257" t="s">
        <v>55</v>
      </c>
      <c r="P634" s="257" t="s">
        <v>55</v>
      </c>
      <c r="Q634" s="257" t="s">
        <v>55</v>
      </c>
      <c r="R634" s="257" t="s">
        <v>55</v>
      </c>
      <c r="S634" s="257">
        <v>1</v>
      </c>
      <c r="T634" s="257">
        <v>1</v>
      </c>
      <c r="U634" s="168">
        <v>0</v>
      </c>
      <c r="V634" s="258">
        <v>46139</v>
      </c>
      <c r="W634" s="258">
        <v>46139</v>
      </c>
      <c r="X634" s="196" t="s">
        <v>55</v>
      </c>
      <c r="Y634" s="258">
        <v>46139</v>
      </c>
      <c r="Z634" s="258">
        <v>46139</v>
      </c>
      <c r="AA634" s="168">
        <v>4</v>
      </c>
      <c r="AB634" s="254" t="s">
        <v>1876</v>
      </c>
      <c r="AC634" s="150" t="s">
        <v>1864</v>
      </c>
      <c r="AD634" s="19" t="str">
        <f t="shared" si="64"/>
        <v>N/A</v>
      </c>
      <c r="AE634" s="67" t="str">
        <f>IFERROR(NETWORKDAYS(B634,I634,Hoja1!$A$1:$A$29),"N/A")</f>
        <v>N/A</v>
      </c>
      <c r="AF634" s="21">
        <f>IFERROR(NETWORKDAYS(B634,W634,Hoja1!$A$1:$A$29),"N/A")</f>
        <v>11</v>
      </c>
      <c r="AG634" s="78">
        <v>0</v>
      </c>
      <c r="AH634" s="21">
        <f t="shared" si="62"/>
        <v>11</v>
      </c>
      <c r="AI634" s="21" t="str">
        <f>IFERROR(NETWORKDAYS(X634,Y634,Hoja1!$A$1:$A$29),"N/A")</f>
        <v>N/A</v>
      </c>
      <c r="AJ634" s="78">
        <v>0</v>
      </c>
      <c r="AK634" s="21" t="s">
        <v>82</v>
      </c>
      <c r="AL634" s="21">
        <f>IFERROR(NETWORKDAYS(B634,Y634,Hoja1!$A$1:$A$29),"N/A")</f>
        <v>11</v>
      </c>
      <c r="AM634" s="21">
        <f t="shared" si="65"/>
        <v>11</v>
      </c>
      <c r="AN634" s="156"/>
      <c r="AO634" s="156"/>
      <c r="AP634" s="156"/>
      <c r="AQ634" s="156"/>
      <c r="AR634" s="87"/>
      <c r="AS634" s="87" t="s">
        <v>1894</v>
      </c>
      <c r="AT634" s="87" t="s">
        <v>2206</v>
      </c>
      <c r="AU634" s="87" t="s">
        <v>2216</v>
      </c>
      <c r="AV634" s="320" t="s">
        <v>2372</v>
      </c>
      <c r="AW634" s="403" t="s">
        <v>3193</v>
      </c>
      <c r="AY634" s="415"/>
    </row>
    <row r="635" spans="1:51" ht="15" customHeight="1" x14ac:dyDescent="0.25">
      <c r="A635" s="301" t="s">
        <v>1843</v>
      </c>
      <c r="B635" s="38">
        <v>46125</v>
      </c>
      <c r="C635" s="38">
        <v>46125</v>
      </c>
      <c r="D635" s="150">
        <v>1</v>
      </c>
      <c r="E635" s="159" t="s">
        <v>247</v>
      </c>
      <c r="F635" s="168" t="s">
        <v>55</v>
      </c>
      <c r="G635" s="257">
        <v>0</v>
      </c>
      <c r="H635" s="164"/>
      <c r="I635" s="257" t="s">
        <v>55</v>
      </c>
      <c r="J635" s="257" t="s">
        <v>55</v>
      </c>
      <c r="K635" s="257">
        <v>0</v>
      </c>
      <c r="L635" s="257" t="s">
        <v>55</v>
      </c>
      <c r="M635" s="257" t="s">
        <v>55</v>
      </c>
      <c r="N635" s="257" t="s">
        <v>55</v>
      </c>
      <c r="O635" s="257" t="s">
        <v>55</v>
      </c>
      <c r="P635" s="257" t="s">
        <v>55</v>
      </c>
      <c r="Q635" s="257" t="s">
        <v>55</v>
      </c>
      <c r="R635" s="257" t="s">
        <v>55</v>
      </c>
      <c r="S635" s="257">
        <v>1</v>
      </c>
      <c r="T635" s="257">
        <v>1</v>
      </c>
      <c r="U635" s="168">
        <v>0</v>
      </c>
      <c r="V635" s="258">
        <v>46139</v>
      </c>
      <c r="W635" s="258">
        <v>46139</v>
      </c>
      <c r="X635" s="196" t="s">
        <v>55</v>
      </c>
      <c r="Y635" s="258">
        <v>46139</v>
      </c>
      <c r="Z635" s="258">
        <v>46139</v>
      </c>
      <c r="AA635" s="168">
        <v>4</v>
      </c>
      <c r="AB635" s="254" t="s">
        <v>1877</v>
      </c>
      <c r="AC635" s="150" t="s">
        <v>1864</v>
      </c>
      <c r="AD635" s="19" t="str">
        <f t="shared" si="64"/>
        <v>N/A</v>
      </c>
      <c r="AE635" s="67" t="str">
        <f>IFERROR(NETWORKDAYS(B635,I635,Hoja1!$A$1:$A$29),"N/A")</f>
        <v>N/A</v>
      </c>
      <c r="AF635" s="21">
        <f>IFERROR(NETWORKDAYS(B635,W635,Hoja1!$A$1:$A$29),"N/A")</f>
        <v>11</v>
      </c>
      <c r="AG635" s="78">
        <v>0</v>
      </c>
      <c r="AH635" s="21">
        <f t="shared" si="62"/>
        <v>11</v>
      </c>
      <c r="AI635" s="21" t="str">
        <f>IFERROR(NETWORKDAYS(X635,Y635,Hoja1!$A$1:$A$29),"N/A")</f>
        <v>N/A</v>
      </c>
      <c r="AJ635" s="78">
        <v>0</v>
      </c>
      <c r="AK635" s="21" t="s">
        <v>82</v>
      </c>
      <c r="AL635" s="21">
        <f>IFERROR(NETWORKDAYS(B635,Y635,Hoja1!$A$1:$A$29),"N/A")</f>
        <v>11</v>
      </c>
      <c r="AM635" s="21">
        <f t="shared" si="65"/>
        <v>11</v>
      </c>
      <c r="AN635" s="156"/>
      <c r="AO635" s="156"/>
      <c r="AP635" s="156"/>
      <c r="AQ635" s="156"/>
      <c r="AR635" s="87"/>
      <c r="AS635" s="87" t="s">
        <v>1894</v>
      </c>
      <c r="AT635" s="87" t="s">
        <v>2206</v>
      </c>
      <c r="AU635" s="87" t="s">
        <v>2216</v>
      </c>
      <c r="AV635" s="320" t="s">
        <v>2372</v>
      </c>
      <c r="AW635" s="403" t="s">
        <v>3193</v>
      </c>
      <c r="AY635" s="414"/>
    </row>
    <row r="636" spans="1:51" ht="15" customHeight="1" x14ac:dyDescent="0.25">
      <c r="A636" s="301" t="s">
        <v>1843</v>
      </c>
      <c r="B636" s="38">
        <v>46125</v>
      </c>
      <c r="C636" s="38">
        <v>46125</v>
      </c>
      <c r="D636" s="150">
        <v>1</v>
      </c>
      <c r="E636" s="159" t="s">
        <v>247</v>
      </c>
      <c r="F636" s="168" t="s">
        <v>55</v>
      </c>
      <c r="G636" s="257">
        <v>0</v>
      </c>
      <c r="H636" s="164"/>
      <c r="I636" s="257" t="s">
        <v>55</v>
      </c>
      <c r="J636" s="257" t="s">
        <v>55</v>
      </c>
      <c r="K636" s="257">
        <v>0</v>
      </c>
      <c r="L636" s="257" t="s">
        <v>55</v>
      </c>
      <c r="M636" s="257" t="s">
        <v>55</v>
      </c>
      <c r="N636" s="257" t="s">
        <v>55</v>
      </c>
      <c r="O636" s="257" t="s">
        <v>55</v>
      </c>
      <c r="P636" s="257" t="s">
        <v>55</v>
      </c>
      <c r="Q636" s="257" t="s">
        <v>55</v>
      </c>
      <c r="R636" s="257" t="s">
        <v>55</v>
      </c>
      <c r="S636" s="257">
        <v>1</v>
      </c>
      <c r="T636" s="257">
        <v>1</v>
      </c>
      <c r="U636" s="168">
        <v>0</v>
      </c>
      <c r="V636" s="258">
        <v>46139</v>
      </c>
      <c r="W636" s="258">
        <v>46139</v>
      </c>
      <c r="X636" s="196" t="s">
        <v>55</v>
      </c>
      <c r="Y636" s="258">
        <v>46139</v>
      </c>
      <c r="Z636" s="258">
        <v>46139</v>
      </c>
      <c r="AA636" s="168">
        <v>4</v>
      </c>
      <c r="AB636" s="254" t="s">
        <v>1878</v>
      </c>
      <c r="AC636" s="150" t="s">
        <v>1864</v>
      </c>
      <c r="AD636" s="19" t="str">
        <f t="shared" si="64"/>
        <v>N/A</v>
      </c>
      <c r="AE636" s="67" t="str">
        <f>IFERROR(NETWORKDAYS(B636,I636,Hoja1!$A$1:$A$29),"N/A")</f>
        <v>N/A</v>
      </c>
      <c r="AF636" s="21">
        <f>IFERROR(NETWORKDAYS(B636,W636,Hoja1!$A$1:$A$29),"N/A")</f>
        <v>11</v>
      </c>
      <c r="AG636" s="78">
        <v>0</v>
      </c>
      <c r="AH636" s="21">
        <f t="shared" si="62"/>
        <v>11</v>
      </c>
      <c r="AI636" s="21" t="str">
        <f>IFERROR(NETWORKDAYS(X636,Y636,Hoja1!$A$1:$A$29),"N/A")</f>
        <v>N/A</v>
      </c>
      <c r="AJ636" s="78">
        <v>0</v>
      </c>
      <c r="AK636" s="21" t="s">
        <v>82</v>
      </c>
      <c r="AL636" s="21">
        <f>IFERROR(NETWORKDAYS(B636,Y636,Hoja1!$A$1:$A$29),"N/A")</f>
        <v>11</v>
      </c>
      <c r="AM636" s="21">
        <f t="shared" si="65"/>
        <v>11</v>
      </c>
      <c r="AN636" s="156"/>
      <c r="AO636" s="156"/>
      <c r="AP636" s="156"/>
      <c r="AQ636" s="156"/>
      <c r="AR636" s="87"/>
      <c r="AS636" s="87" t="s">
        <v>1894</v>
      </c>
      <c r="AT636" s="87" t="s">
        <v>2206</v>
      </c>
      <c r="AU636" s="87" t="s">
        <v>2216</v>
      </c>
      <c r="AV636" s="320" t="s">
        <v>2372</v>
      </c>
      <c r="AW636" s="403" t="s">
        <v>3193</v>
      </c>
      <c r="AY636" s="415"/>
    </row>
    <row r="637" spans="1:51" ht="15" customHeight="1" x14ac:dyDescent="0.25">
      <c r="A637" s="301" t="s">
        <v>1843</v>
      </c>
      <c r="B637" s="38">
        <v>46125</v>
      </c>
      <c r="C637" s="38">
        <v>46125</v>
      </c>
      <c r="D637" s="150">
        <v>1</v>
      </c>
      <c r="E637" s="159" t="s">
        <v>247</v>
      </c>
      <c r="F637" s="168" t="s">
        <v>55</v>
      </c>
      <c r="G637" s="257">
        <v>0</v>
      </c>
      <c r="H637" s="164"/>
      <c r="I637" s="257" t="s">
        <v>55</v>
      </c>
      <c r="J637" s="257" t="s">
        <v>55</v>
      </c>
      <c r="K637" s="257">
        <v>0</v>
      </c>
      <c r="L637" s="257" t="s">
        <v>55</v>
      </c>
      <c r="M637" s="257" t="s">
        <v>55</v>
      </c>
      <c r="N637" s="257" t="s">
        <v>55</v>
      </c>
      <c r="O637" s="257" t="s">
        <v>55</v>
      </c>
      <c r="P637" s="257" t="s">
        <v>55</v>
      </c>
      <c r="Q637" s="257" t="s">
        <v>55</v>
      </c>
      <c r="R637" s="257" t="s">
        <v>55</v>
      </c>
      <c r="S637" s="257">
        <v>1</v>
      </c>
      <c r="T637" s="257">
        <v>1</v>
      </c>
      <c r="U637" s="168">
        <v>0</v>
      </c>
      <c r="V637" s="258">
        <v>46139</v>
      </c>
      <c r="W637" s="258">
        <v>46139</v>
      </c>
      <c r="X637" s="196" t="s">
        <v>55</v>
      </c>
      <c r="Y637" s="258">
        <v>46139</v>
      </c>
      <c r="Z637" s="258">
        <v>46139</v>
      </c>
      <c r="AA637" s="168">
        <v>4</v>
      </c>
      <c r="AB637" s="254" t="s">
        <v>1879</v>
      </c>
      <c r="AC637" s="150" t="s">
        <v>1864</v>
      </c>
      <c r="AD637" s="19" t="str">
        <f t="shared" si="64"/>
        <v>N/A</v>
      </c>
      <c r="AE637" s="67" t="str">
        <f>IFERROR(NETWORKDAYS(B637,I637,Hoja1!$A$1:$A$29),"N/A")</f>
        <v>N/A</v>
      </c>
      <c r="AF637" s="21">
        <f>IFERROR(NETWORKDAYS(B637,W637,Hoja1!$A$1:$A$29),"N/A")</f>
        <v>11</v>
      </c>
      <c r="AG637" s="78">
        <v>0</v>
      </c>
      <c r="AH637" s="21">
        <f t="shared" ref="AH637:AH641" si="67">AF637-AG637</f>
        <v>11</v>
      </c>
      <c r="AI637" s="21" t="str">
        <f>IFERROR(NETWORKDAYS(X637,Y637,Hoja1!$A$1:$A$29),"N/A")</f>
        <v>N/A</v>
      </c>
      <c r="AJ637" s="78">
        <v>0</v>
      </c>
      <c r="AK637" s="21" t="s">
        <v>82</v>
      </c>
      <c r="AL637" s="21">
        <f>IFERROR(NETWORKDAYS(B637,Y637,Hoja1!$A$1:$A$29),"N/A")</f>
        <v>11</v>
      </c>
      <c r="AM637" s="21">
        <f t="shared" si="65"/>
        <v>11</v>
      </c>
      <c r="AN637" s="156"/>
      <c r="AO637" s="156"/>
      <c r="AP637" s="156"/>
      <c r="AQ637" s="156"/>
      <c r="AR637" s="87"/>
      <c r="AS637" s="87" t="s">
        <v>1894</v>
      </c>
      <c r="AT637" s="87" t="s">
        <v>2206</v>
      </c>
      <c r="AU637" s="87" t="s">
        <v>2216</v>
      </c>
      <c r="AV637" s="320" t="s">
        <v>2372</v>
      </c>
      <c r="AW637" s="403" t="s">
        <v>3193</v>
      </c>
      <c r="AY637" s="414"/>
    </row>
    <row r="638" spans="1:51" ht="15" customHeight="1" x14ac:dyDescent="0.25">
      <c r="A638" s="301" t="s">
        <v>1843</v>
      </c>
      <c r="B638" s="38">
        <v>46125</v>
      </c>
      <c r="C638" s="38">
        <v>46125</v>
      </c>
      <c r="D638" s="150">
        <v>1</v>
      </c>
      <c r="E638" s="159" t="s">
        <v>247</v>
      </c>
      <c r="F638" s="168" t="s">
        <v>55</v>
      </c>
      <c r="G638" s="257">
        <v>0</v>
      </c>
      <c r="H638" s="164"/>
      <c r="I638" s="257" t="s">
        <v>55</v>
      </c>
      <c r="J638" s="257" t="s">
        <v>55</v>
      </c>
      <c r="K638" s="257">
        <v>0</v>
      </c>
      <c r="L638" s="257" t="s">
        <v>55</v>
      </c>
      <c r="M638" s="257" t="s">
        <v>55</v>
      </c>
      <c r="N638" s="257" t="s">
        <v>55</v>
      </c>
      <c r="O638" s="257" t="s">
        <v>55</v>
      </c>
      <c r="P638" s="257" t="s">
        <v>55</v>
      </c>
      <c r="Q638" s="257" t="s">
        <v>55</v>
      </c>
      <c r="R638" s="257" t="s">
        <v>55</v>
      </c>
      <c r="S638" s="257">
        <v>1</v>
      </c>
      <c r="T638" s="257">
        <v>1</v>
      </c>
      <c r="U638" s="168">
        <v>0</v>
      </c>
      <c r="V638" s="258">
        <v>46139</v>
      </c>
      <c r="W638" s="258">
        <v>46139</v>
      </c>
      <c r="X638" s="196" t="s">
        <v>55</v>
      </c>
      <c r="Y638" s="258">
        <v>46139</v>
      </c>
      <c r="Z638" s="258">
        <v>46139</v>
      </c>
      <c r="AA638" s="168">
        <v>4</v>
      </c>
      <c r="AB638" s="254" t="s">
        <v>1880</v>
      </c>
      <c r="AC638" s="150" t="s">
        <v>1864</v>
      </c>
      <c r="AD638" s="19" t="str">
        <f t="shared" si="64"/>
        <v>N/A</v>
      </c>
      <c r="AE638" s="67" t="str">
        <f>IFERROR(NETWORKDAYS(B638,I638,Hoja1!$A$1:$A$29),"N/A")</f>
        <v>N/A</v>
      </c>
      <c r="AF638" s="21">
        <f>IFERROR(NETWORKDAYS(B638,W638,Hoja1!$A$1:$A$29),"N/A")</f>
        <v>11</v>
      </c>
      <c r="AG638" s="78">
        <v>0</v>
      </c>
      <c r="AH638" s="21">
        <f t="shared" si="67"/>
        <v>11</v>
      </c>
      <c r="AI638" s="21" t="str">
        <f>IFERROR(NETWORKDAYS(X638,Y638,Hoja1!$A$1:$A$29),"N/A")</f>
        <v>N/A</v>
      </c>
      <c r="AJ638" s="78">
        <v>0</v>
      </c>
      <c r="AK638" s="21" t="s">
        <v>82</v>
      </c>
      <c r="AL638" s="21">
        <f>IFERROR(NETWORKDAYS(B638,Y638,Hoja1!$A$1:$A$29),"N/A")</f>
        <v>11</v>
      </c>
      <c r="AM638" s="21">
        <f t="shared" si="65"/>
        <v>11</v>
      </c>
      <c r="AN638" s="156"/>
      <c r="AO638" s="156"/>
      <c r="AP638" s="156"/>
      <c r="AQ638" s="156"/>
      <c r="AR638" s="87"/>
      <c r="AS638" s="87" t="s">
        <v>1894</v>
      </c>
      <c r="AT638" s="87" t="s">
        <v>2206</v>
      </c>
      <c r="AU638" s="87" t="s">
        <v>2216</v>
      </c>
      <c r="AV638" s="320" t="s">
        <v>2372</v>
      </c>
      <c r="AW638" s="403" t="s">
        <v>3193</v>
      </c>
      <c r="AY638" s="415"/>
    </row>
    <row r="639" spans="1:51" ht="15" customHeight="1" x14ac:dyDescent="0.25">
      <c r="A639" s="301" t="s">
        <v>1843</v>
      </c>
      <c r="B639" s="38">
        <v>46125</v>
      </c>
      <c r="C639" s="38">
        <v>46125</v>
      </c>
      <c r="D639" s="150">
        <v>1</v>
      </c>
      <c r="E639" s="159" t="s">
        <v>247</v>
      </c>
      <c r="F639" s="168" t="s">
        <v>55</v>
      </c>
      <c r="G639" s="257">
        <v>0</v>
      </c>
      <c r="H639" s="164"/>
      <c r="I639" s="257" t="s">
        <v>55</v>
      </c>
      <c r="J639" s="257" t="s">
        <v>55</v>
      </c>
      <c r="K639" s="257">
        <v>0</v>
      </c>
      <c r="L639" s="257" t="s">
        <v>55</v>
      </c>
      <c r="M639" s="257" t="s">
        <v>55</v>
      </c>
      <c r="N639" s="257" t="s">
        <v>55</v>
      </c>
      <c r="O639" s="257" t="s">
        <v>55</v>
      </c>
      <c r="P639" s="257" t="s">
        <v>55</v>
      </c>
      <c r="Q639" s="257" t="s">
        <v>55</v>
      </c>
      <c r="R639" s="257" t="s">
        <v>55</v>
      </c>
      <c r="S639" s="257">
        <v>1</v>
      </c>
      <c r="T639" s="257">
        <v>1</v>
      </c>
      <c r="U639" s="168">
        <v>0</v>
      </c>
      <c r="V639" s="258">
        <v>46139</v>
      </c>
      <c r="W639" s="258">
        <v>46139</v>
      </c>
      <c r="X639" s="196" t="s">
        <v>55</v>
      </c>
      <c r="Y639" s="258">
        <v>46139</v>
      </c>
      <c r="Z639" s="258">
        <v>46139</v>
      </c>
      <c r="AA639" s="168">
        <v>4</v>
      </c>
      <c r="AB639" s="254" t="s">
        <v>1881</v>
      </c>
      <c r="AC639" s="150" t="s">
        <v>1864</v>
      </c>
      <c r="AD639" s="19" t="str">
        <f t="shared" si="64"/>
        <v>N/A</v>
      </c>
      <c r="AE639" s="67" t="str">
        <f>IFERROR(NETWORKDAYS(B639,I639,Hoja1!$A$1:$A$29),"N/A")</f>
        <v>N/A</v>
      </c>
      <c r="AF639" s="21">
        <f>IFERROR(NETWORKDAYS(B639,W639,Hoja1!$A$1:$A$29),"N/A")</f>
        <v>11</v>
      </c>
      <c r="AG639" s="78">
        <v>0</v>
      </c>
      <c r="AH639" s="21">
        <f t="shared" si="67"/>
        <v>11</v>
      </c>
      <c r="AI639" s="21" t="str">
        <f>IFERROR(NETWORKDAYS(X639,Y639,Hoja1!$A$1:$A$29),"N/A")</f>
        <v>N/A</v>
      </c>
      <c r="AJ639" s="78">
        <v>0</v>
      </c>
      <c r="AK639" s="21" t="s">
        <v>82</v>
      </c>
      <c r="AL639" s="21">
        <f>IFERROR(NETWORKDAYS(B639,Y639,Hoja1!$A$1:$A$29),"N/A")</f>
        <v>11</v>
      </c>
      <c r="AM639" s="21">
        <f t="shared" si="65"/>
        <v>11</v>
      </c>
      <c r="AN639" s="156"/>
      <c r="AO639" s="156"/>
      <c r="AP639" s="156"/>
      <c r="AQ639" s="156"/>
      <c r="AR639" s="87"/>
      <c r="AS639" s="87" t="s">
        <v>1894</v>
      </c>
      <c r="AT639" s="87" t="s">
        <v>2206</v>
      </c>
      <c r="AU639" s="87" t="s">
        <v>2216</v>
      </c>
      <c r="AV639" s="320" t="s">
        <v>2372</v>
      </c>
      <c r="AW639" s="403" t="s">
        <v>3193</v>
      </c>
      <c r="AY639" s="414"/>
    </row>
    <row r="640" spans="1:51" ht="15" customHeight="1" x14ac:dyDescent="0.25">
      <c r="A640" s="305" t="s">
        <v>1843</v>
      </c>
      <c r="B640" s="229">
        <v>46125</v>
      </c>
      <c r="C640" s="229">
        <v>46125</v>
      </c>
      <c r="D640" s="283">
        <v>1</v>
      </c>
      <c r="E640" s="200" t="s">
        <v>247</v>
      </c>
      <c r="F640" s="213" t="s">
        <v>55</v>
      </c>
      <c r="G640" s="284">
        <v>0</v>
      </c>
      <c r="H640" s="214"/>
      <c r="I640" s="284" t="s">
        <v>55</v>
      </c>
      <c r="J640" s="284" t="s">
        <v>55</v>
      </c>
      <c r="K640" s="284">
        <v>0</v>
      </c>
      <c r="L640" s="284" t="s">
        <v>55</v>
      </c>
      <c r="M640" s="284" t="s">
        <v>55</v>
      </c>
      <c r="N640" s="284" t="s">
        <v>55</v>
      </c>
      <c r="O640" s="284" t="s">
        <v>55</v>
      </c>
      <c r="P640" s="284" t="s">
        <v>55</v>
      </c>
      <c r="Q640" s="284" t="s">
        <v>55</v>
      </c>
      <c r="R640" s="284" t="s">
        <v>55</v>
      </c>
      <c r="S640" s="284">
        <v>1</v>
      </c>
      <c r="T640" s="284">
        <v>1</v>
      </c>
      <c r="U640" s="213">
        <v>0</v>
      </c>
      <c r="V640" s="285">
        <v>46139</v>
      </c>
      <c r="W640" s="285">
        <v>46139</v>
      </c>
      <c r="X640" s="211" t="s">
        <v>55</v>
      </c>
      <c r="Y640" s="285">
        <v>46139</v>
      </c>
      <c r="Z640" s="285">
        <v>46139</v>
      </c>
      <c r="AA640" s="213">
        <v>4</v>
      </c>
      <c r="AB640" s="280" t="s">
        <v>1882</v>
      </c>
      <c r="AC640" s="283" t="s">
        <v>1864</v>
      </c>
      <c r="AD640" s="19" t="str">
        <f t="shared" si="64"/>
        <v>N/A</v>
      </c>
      <c r="AE640" s="67" t="str">
        <f>IFERROR(NETWORKDAYS(B640,I640,Hoja1!$A$1:$A$29),"N/A")</f>
        <v>N/A</v>
      </c>
      <c r="AF640" s="21">
        <f>IFERROR(NETWORKDAYS(B640,W640,Hoja1!$A$1:$A$29),"N/A")</f>
        <v>11</v>
      </c>
      <c r="AG640" s="273">
        <v>0</v>
      </c>
      <c r="AH640" s="66">
        <f t="shared" si="67"/>
        <v>11</v>
      </c>
      <c r="AI640" s="21" t="str">
        <f>IFERROR(NETWORKDAYS(X640,Y640,Hoja1!$A$1:$A$29),"N/A")</f>
        <v>N/A</v>
      </c>
      <c r="AJ640" s="65">
        <v>0</v>
      </c>
      <c r="AK640" s="66" t="s">
        <v>82</v>
      </c>
      <c r="AL640" s="21">
        <f>IFERROR(NETWORKDAYS(B640,Y640,Hoja1!$A$1:$A$29),"N/A")</f>
        <v>11</v>
      </c>
      <c r="AM640" s="66">
        <f t="shared" si="65"/>
        <v>11</v>
      </c>
      <c r="AN640" s="259"/>
      <c r="AO640" s="259"/>
      <c r="AP640" s="259"/>
      <c r="AQ640" s="259"/>
      <c r="AR640" s="184"/>
      <c r="AS640" s="184" t="s">
        <v>1894</v>
      </c>
      <c r="AT640" s="184" t="s">
        <v>2206</v>
      </c>
      <c r="AU640" s="184" t="s">
        <v>2216</v>
      </c>
      <c r="AV640" s="330" t="s">
        <v>2372</v>
      </c>
      <c r="AW640" s="403" t="s">
        <v>3193</v>
      </c>
      <c r="AY640" s="415"/>
    </row>
    <row r="641" spans="1:51" ht="15" customHeight="1" x14ac:dyDescent="0.25">
      <c r="A641" s="346" t="s">
        <v>1843</v>
      </c>
      <c r="B641" s="438">
        <v>46125</v>
      </c>
      <c r="C641" s="38">
        <v>46125</v>
      </c>
      <c r="D641" s="347">
        <v>1</v>
      </c>
      <c r="E641" s="206" t="s">
        <v>247</v>
      </c>
      <c r="F641" s="168" t="s">
        <v>55</v>
      </c>
      <c r="G641" s="349">
        <v>0</v>
      </c>
      <c r="H641" s="350"/>
      <c r="I641" s="257" t="s">
        <v>55</v>
      </c>
      <c r="J641" s="257" t="s">
        <v>55</v>
      </c>
      <c r="K641" s="349">
        <v>0</v>
      </c>
      <c r="L641" s="257" t="s">
        <v>55</v>
      </c>
      <c r="M641" s="257" t="s">
        <v>55</v>
      </c>
      <c r="N641" s="257" t="s">
        <v>55</v>
      </c>
      <c r="O641" s="257" t="s">
        <v>55</v>
      </c>
      <c r="P641" s="257" t="s">
        <v>55</v>
      </c>
      <c r="Q641" s="257" t="s">
        <v>55</v>
      </c>
      <c r="R641" s="257" t="s">
        <v>55</v>
      </c>
      <c r="S641" s="349">
        <v>1</v>
      </c>
      <c r="T641" s="349">
        <v>1</v>
      </c>
      <c r="U641" s="348">
        <v>0</v>
      </c>
      <c r="V641" s="258">
        <v>46139</v>
      </c>
      <c r="W641" s="258">
        <v>46139</v>
      </c>
      <c r="X641" s="196" t="s">
        <v>55</v>
      </c>
      <c r="Y641" s="258">
        <v>46139</v>
      </c>
      <c r="Z641" s="258">
        <v>46139</v>
      </c>
      <c r="AA641" s="168">
        <v>4</v>
      </c>
      <c r="AB641" s="351" t="s">
        <v>1883</v>
      </c>
      <c r="AC641" s="347" t="s">
        <v>1864</v>
      </c>
      <c r="AD641" s="352" t="str">
        <f t="shared" si="64"/>
        <v>N/A</v>
      </c>
      <c r="AE641" s="67" t="str">
        <f>IFERROR(NETWORKDAYS(B641,I641,Hoja1!$A$1:$A$29),"N/A")</f>
        <v>N/A</v>
      </c>
      <c r="AF641" s="21">
        <f>IFERROR(NETWORKDAYS(B641,W641,Hoja1!$A$1:$A$29),"N/A")</f>
        <v>11</v>
      </c>
      <c r="AG641" s="271">
        <v>0</v>
      </c>
      <c r="AH641" s="100">
        <f t="shared" si="67"/>
        <v>11</v>
      </c>
      <c r="AI641" s="21" t="str">
        <f>IFERROR(NETWORKDAYS(X641,Y641,Hoja1!$A$1:$A$29),"N/A")</f>
        <v>N/A</v>
      </c>
      <c r="AJ641" s="353">
        <v>0</v>
      </c>
      <c r="AK641" s="100" t="s">
        <v>82</v>
      </c>
      <c r="AL641" s="21">
        <f>IFERROR(NETWORKDAYS(B641,Y641,Hoja1!$A$1:$A$29),"N/A")</f>
        <v>11</v>
      </c>
      <c r="AM641" s="100">
        <f t="shared" si="65"/>
        <v>11</v>
      </c>
      <c r="AN641" s="354"/>
      <c r="AO641" s="354"/>
      <c r="AP641" s="354"/>
      <c r="AQ641" s="354"/>
      <c r="AR641" s="290"/>
      <c r="AS641" s="290" t="s">
        <v>1966</v>
      </c>
      <c r="AT641" s="290" t="s">
        <v>2206</v>
      </c>
      <c r="AU641" s="290" t="s">
        <v>2216</v>
      </c>
      <c r="AV641" s="355" t="s">
        <v>2372</v>
      </c>
      <c r="AW641" s="440" t="s">
        <v>3193</v>
      </c>
      <c r="AY641" s="441"/>
    </row>
    <row r="642" spans="1:51" ht="15" customHeight="1" x14ac:dyDescent="0.25">
      <c r="B642" s="5"/>
      <c r="C642" s="5"/>
    </row>
  </sheetData>
  <phoneticPr fontId="2" type="noConversion"/>
  <conditionalFormatting sqref="A2">
    <cfRule type="duplicateValues" dxfId="16" priority="138"/>
  </conditionalFormatting>
  <conditionalFormatting sqref="A44 A71:A74">
    <cfRule type="duplicateValues" dxfId="15" priority="116"/>
  </conditionalFormatting>
  <conditionalFormatting sqref="A44">
    <cfRule type="duplicateValues" dxfId="14" priority="118"/>
  </conditionalFormatting>
  <conditionalFormatting sqref="A202:A233 A175:A183 A109:A133">
    <cfRule type="duplicateValues" dxfId="13" priority="119"/>
  </conditionalFormatting>
  <conditionalFormatting sqref="A343:A380 A259:A325">
    <cfRule type="duplicateValues" dxfId="12" priority="122"/>
  </conditionalFormatting>
  <conditionalFormatting sqref="A343:A409 A259:A326 A443:A444">
    <cfRule type="duplicateValues" dxfId="11" priority="124"/>
  </conditionalFormatting>
  <conditionalFormatting sqref="A346:A354 A304:A310 A259:A274 A443:A444">
    <cfRule type="duplicateValues" dxfId="10" priority="127"/>
  </conditionalFormatting>
  <conditionalFormatting sqref="A381:A382">
    <cfRule type="duplicateValues" dxfId="9" priority="131"/>
  </conditionalFormatting>
  <conditionalFormatting sqref="A409">
    <cfRule type="duplicateValues" dxfId="8" priority="132"/>
  </conditionalFormatting>
  <conditionalFormatting sqref="A443:A444">
    <cfRule type="duplicateValues" dxfId="7" priority="133"/>
  </conditionalFormatting>
  <conditionalFormatting sqref="A445:A474">
    <cfRule type="duplicateValues" dxfId="6" priority="134"/>
  </conditionalFormatting>
  <conditionalFormatting sqref="A445:A580">
    <cfRule type="duplicateValues" dxfId="5" priority="135"/>
  </conditionalFormatting>
  <conditionalFormatting sqref="A475:A507">
    <cfRule type="duplicateValues" dxfId="4" priority="136"/>
  </conditionalFormatting>
  <conditionalFormatting sqref="AN114:AN117">
    <cfRule type="duplicateValues" dxfId="3" priority="13"/>
  </conditionalFormatting>
  <conditionalFormatting sqref="AN266 AN260:AN262">
    <cfRule type="duplicateValues" dxfId="2" priority="8"/>
  </conditionalFormatting>
  <conditionalFormatting sqref="AN531">
    <cfRule type="duplicateValues" dxfId="1" priority="4"/>
  </conditionalFormatting>
  <conditionalFormatting sqref="AP112">
    <cfRule type="duplicateValues" dxfId="0" priority="12"/>
  </conditionalFormatting>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73E7-F602-49ED-8882-D30827231201}">
  <dimension ref="A1:E641"/>
  <sheetViews>
    <sheetView workbookViewId="0">
      <pane xSplit="1" ySplit="1" topLeftCell="B78" activePane="bottomRight" state="frozen"/>
      <selection pane="topRight" activeCell="B1" sqref="B1"/>
      <selection pane="bottomLeft" activeCell="A2" sqref="A2"/>
      <selection pane="bottomRight" activeCell="A78" sqref="A78"/>
    </sheetView>
  </sheetViews>
  <sheetFormatPr baseColWidth="10" defaultRowHeight="15" x14ac:dyDescent="0.25"/>
  <cols>
    <col min="1" max="1" width="60.140625" style="9" bestFit="1" customWidth="1"/>
    <col min="2" max="2" width="28.140625" style="9" customWidth="1"/>
    <col min="3" max="3" width="13.42578125" style="9" customWidth="1"/>
    <col min="4" max="4" width="24.85546875" style="238" bestFit="1" customWidth="1"/>
    <col min="5" max="5" width="30" style="9" bestFit="1" customWidth="1"/>
  </cols>
  <sheetData>
    <row r="1" spans="1:5" x14ac:dyDescent="0.25">
      <c r="A1" s="366" t="s">
        <v>2224</v>
      </c>
      <c r="B1" s="367" t="s">
        <v>1</v>
      </c>
      <c r="C1" s="336" t="s">
        <v>5</v>
      </c>
      <c r="D1" s="336" t="s">
        <v>6</v>
      </c>
      <c r="E1" s="368" t="s">
        <v>2</v>
      </c>
    </row>
    <row r="2" spans="1:5" x14ac:dyDescent="0.25">
      <c r="A2" s="356" t="str">
        <f t="shared" ref="A2:A33" si="0">+B2&amp;C2&amp;D2&amp;E2</f>
        <v>FUNDACION COOMEVAMedellinMEDELLINFUNDACION COOMEVA</v>
      </c>
      <c r="B2" s="48" t="s">
        <v>49</v>
      </c>
      <c r="C2" s="48" t="s">
        <v>879</v>
      </c>
      <c r="D2" s="48" t="s">
        <v>50</v>
      </c>
      <c r="E2" s="357" t="s">
        <v>49</v>
      </c>
    </row>
    <row r="3" spans="1:5" x14ac:dyDescent="0.25">
      <c r="A3" s="356" t="str">
        <f t="shared" si="0"/>
        <v>CLUB LOS ANDESCaliSANTANDER DE QUILICHAOCLUB LOS ANDES</v>
      </c>
      <c r="B3" s="14" t="s">
        <v>61</v>
      </c>
      <c r="C3" s="14" t="s">
        <v>62</v>
      </c>
      <c r="D3" s="23" t="s">
        <v>63</v>
      </c>
      <c r="E3" s="358" t="s">
        <v>61</v>
      </c>
    </row>
    <row r="4" spans="1:5" x14ac:dyDescent="0.25">
      <c r="A4" s="356" t="str">
        <f t="shared" si="0"/>
        <v>COOMEVACaliDIRECCION NACIONALEYD</v>
      </c>
      <c r="B4" s="40" t="s">
        <v>69</v>
      </c>
      <c r="C4" s="87" t="s">
        <v>62</v>
      </c>
      <c r="D4" s="207" t="s">
        <v>71</v>
      </c>
      <c r="E4" s="359" t="s">
        <v>70</v>
      </c>
    </row>
    <row r="5" spans="1:5" x14ac:dyDescent="0.25">
      <c r="A5" s="356" t="str">
        <f t="shared" si="0"/>
        <v>MPCaliCALIMP</v>
      </c>
      <c r="B5" s="20" t="s">
        <v>79</v>
      </c>
      <c r="C5" s="234" t="s">
        <v>62</v>
      </c>
      <c r="D5" s="23" t="s">
        <v>80</v>
      </c>
      <c r="E5" s="360" t="s">
        <v>79</v>
      </c>
    </row>
    <row r="6" spans="1:5" x14ac:dyDescent="0.25">
      <c r="A6" s="356" t="str">
        <f t="shared" si="0"/>
        <v>BANCOOMEVACaliDIRECCION NACIONALBANCOOMEVA</v>
      </c>
      <c r="B6" s="29" t="s">
        <v>85</v>
      </c>
      <c r="C6" s="48" t="s">
        <v>62</v>
      </c>
      <c r="D6" s="207" t="s">
        <v>71</v>
      </c>
      <c r="E6" s="361" t="s">
        <v>85</v>
      </c>
    </row>
    <row r="7" spans="1:5" x14ac:dyDescent="0.25">
      <c r="A7" s="356" t="str">
        <f t="shared" si="0"/>
        <v>MPBogotaBOGOTAMP</v>
      </c>
      <c r="B7" s="20" t="s">
        <v>79</v>
      </c>
      <c r="C7" s="87" t="s">
        <v>90</v>
      </c>
      <c r="D7" s="111" t="s">
        <v>91</v>
      </c>
      <c r="E7" s="360" t="s">
        <v>79</v>
      </c>
    </row>
    <row r="8" spans="1:5" x14ac:dyDescent="0.25">
      <c r="A8" s="356" t="str">
        <f t="shared" si="0"/>
        <v>MPCaliDIRECCION NACIONALMP</v>
      </c>
      <c r="B8" s="20" t="s">
        <v>79</v>
      </c>
      <c r="C8" s="87" t="s">
        <v>62</v>
      </c>
      <c r="D8" s="207" t="s">
        <v>71</v>
      </c>
      <c r="E8" s="360" t="s">
        <v>79</v>
      </c>
    </row>
    <row r="9" spans="1:5" x14ac:dyDescent="0.25">
      <c r="A9" s="356" t="str">
        <f t="shared" si="0"/>
        <v>COOMEVACaribeBARRANQUILLAGCGIA</v>
      </c>
      <c r="B9" s="43" t="s">
        <v>69</v>
      </c>
      <c r="C9" s="111" t="s">
        <v>99</v>
      </c>
      <c r="D9" s="111" t="s">
        <v>100</v>
      </c>
      <c r="E9" s="317" t="s">
        <v>98</v>
      </c>
    </row>
    <row r="10" spans="1:5" x14ac:dyDescent="0.25">
      <c r="A10" s="356" t="str">
        <f t="shared" si="0"/>
        <v>MPMedellinMEDELLINMP</v>
      </c>
      <c r="B10" s="20" t="s">
        <v>79</v>
      </c>
      <c r="C10" s="202" t="s">
        <v>879</v>
      </c>
      <c r="D10" s="48" t="s">
        <v>50</v>
      </c>
      <c r="E10" s="360" t="s">
        <v>79</v>
      </c>
    </row>
    <row r="11" spans="1:5" x14ac:dyDescent="0.25">
      <c r="A11" s="356" t="str">
        <f t="shared" si="0"/>
        <v>BANCOOMEVABogotaBOGOTABANCOOMEVA</v>
      </c>
      <c r="B11" s="29" t="s">
        <v>85</v>
      </c>
      <c r="C11" s="84" t="s">
        <v>90</v>
      </c>
      <c r="D11" s="111" t="s">
        <v>91</v>
      </c>
      <c r="E11" s="361" t="s">
        <v>85</v>
      </c>
    </row>
    <row r="12" spans="1:5" x14ac:dyDescent="0.25">
      <c r="A12" s="356" t="str">
        <f t="shared" si="0"/>
        <v>COOMEVABogotaBOGOTAGCGIA</v>
      </c>
      <c r="B12" s="43" t="s">
        <v>69</v>
      </c>
      <c r="C12" s="84" t="s">
        <v>90</v>
      </c>
      <c r="D12" s="111" t="s">
        <v>91</v>
      </c>
      <c r="E12" s="317" t="s">
        <v>98</v>
      </c>
    </row>
    <row r="13" spans="1:5" x14ac:dyDescent="0.25">
      <c r="A13" s="356" t="str">
        <f t="shared" si="0"/>
        <v>COOMEVACaliDIRECCION NACIONALBANCOOMEVA USC</v>
      </c>
      <c r="B13" s="14" t="s">
        <v>69</v>
      </c>
      <c r="C13" s="179" t="s">
        <v>62</v>
      </c>
      <c r="D13" s="23" t="s">
        <v>71</v>
      </c>
      <c r="E13" s="358" t="s">
        <v>115</v>
      </c>
    </row>
    <row r="14" spans="1:5" x14ac:dyDescent="0.25">
      <c r="A14" s="356" t="str">
        <f t="shared" si="0"/>
        <v>COOMEVACaliDIRECCION NACIONALUSC</v>
      </c>
      <c r="B14" s="14" t="s">
        <v>69</v>
      </c>
      <c r="C14" s="179" t="s">
        <v>62</v>
      </c>
      <c r="D14" s="23" t="s">
        <v>71</v>
      </c>
      <c r="E14" s="358" t="s">
        <v>122</v>
      </c>
    </row>
    <row r="15" spans="1:5" x14ac:dyDescent="0.25">
      <c r="A15" s="356" t="str">
        <f t="shared" si="0"/>
        <v>COOMEVACaribeRIOHACHAGCGIA</v>
      </c>
      <c r="B15" s="43" t="s">
        <v>69</v>
      </c>
      <c r="C15" s="143" t="s">
        <v>99</v>
      </c>
      <c r="D15" s="111" t="s">
        <v>124</v>
      </c>
      <c r="E15" s="317" t="s">
        <v>98</v>
      </c>
    </row>
    <row r="16" spans="1:5" x14ac:dyDescent="0.25">
      <c r="A16" s="356" t="str">
        <f t="shared" si="0"/>
        <v>MPCaribeSANTA MARTAMP</v>
      </c>
      <c r="B16" s="20" t="s">
        <v>79</v>
      </c>
      <c r="C16" s="143" t="s">
        <v>99</v>
      </c>
      <c r="D16" s="111" t="s">
        <v>128</v>
      </c>
      <c r="E16" s="360" t="s">
        <v>79</v>
      </c>
    </row>
    <row r="17" spans="1:5" x14ac:dyDescent="0.25">
      <c r="A17" s="356" t="str">
        <f t="shared" si="0"/>
        <v>MPCaribeCARTAGENAMP</v>
      </c>
      <c r="B17" s="20" t="s">
        <v>79</v>
      </c>
      <c r="C17" s="143" t="s">
        <v>99</v>
      </c>
      <c r="D17" s="111" t="s">
        <v>135</v>
      </c>
      <c r="E17" s="360" t="s">
        <v>79</v>
      </c>
    </row>
    <row r="18" spans="1:5" x14ac:dyDescent="0.25">
      <c r="A18" s="356" t="str">
        <f t="shared" si="0"/>
        <v>MPCaribeBARRANQUILLAMP</v>
      </c>
      <c r="B18" s="20" t="s">
        <v>79</v>
      </c>
      <c r="C18" s="143" t="s">
        <v>99</v>
      </c>
      <c r="D18" s="111" t="s">
        <v>100</v>
      </c>
      <c r="E18" s="360" t="s">
        <v>79</v>
      </c>
    </row>
    <row r="19" spans="1:5" x14ac:dyDescent="0.25">
      <c r="A19" s="356" t="str">
        <f t="shared" si="0"/>
        <v>COOMEVACaliDIRECCION NACIONALUTTD</v>
      </c>
      <c r="B19" s="14" t="s">
        <v>69</v>
      </c>
      <c r="C19" s="84" t="s">
        <v>62</v>
      </c>
      <c r="D19" s="207" t="s">
        <v>71</v>
      </c>
      <c r="E19" s="359" t="s">
        <v>151</v>
      </c>
    </row>
    <row r="20" spans="1:5" x14ac:dyDescent="0.25">
      <c r="A20" s="356" t="str">
        <f t="shared" si="0"/>
        <v>COOMEVACaliCALIUSC</v>
      </c>
      <c r="B20" s="14" t="s">
        <v>69</v>
      </c>
      <c r="C20" s="179" t="s">
        <v>62</v>
      </c>
      <c r="D20" s="23" t="s">
        <v>80</v>
      </c>
      <c r="E20" s="358" t="s">
        <v>122</v>
      </c>
    </row>
    <row r="21" spans="1:5" x14ac:dyDescent="0.25">
      <c r="A21" s="356" t="str">
        <f t="shared" si="0"/>
        <v>MPEje CafeteroARMENIAMP</v>
      </c>
      <c r="B21" s="20" t="s">
        <v>79</v>
      </c>
      <c r="C21" s="179" t="s">
        <v>163</v>
      </c>
      <c r="D21" s="14" t="s">
        <v>164</v>
      </c>
      <c r="E21" s="360" t="s">
        <v>79</v>
      </c>
    </row>
    <row r="22" spans="1:5" ht="30" x14ac:dyDescent="0.25">
      <c r="A22" s="356" t="str">
        <f t="shared" si="0"/>
        <v>COOMEVA EXPERIENCIA MEDICABogotaBOGOTACOOMEVA EXPERIENCIA MEDICA</v>
      </c>
      <c r="B22" s="40" t="s">
        <v>169</v>
      </c>
      <c r="C22" s="84" t="s">
        <v>90</v>
      </c>
      <c r="D22" s="111" t="s">
        <v>91</v>
      </c>
      <c r="E22" s="359" t="s">
        <v>169</v>
      </c>
    </row>
    <row r="23" spans="1:5" ht="30" x14ac:dyDescent="0.25">
      <c r="A23" s="356" t="str">
        <f t="shared" si="0"/>
        <v>COOMEVA EXPERIENCIA MEDICACaliDIRECCION NACIONALCOOMEVA EXPERIENCIA MEDICA</v>
      </c>
      <c r="B23" s="40" t="s">
        <v>169</v>
      </c>
      <c r="C23" s="202" t="s">
        <v>62</v>
      </c>
      <c r="D23" s="207" t="s">
        <v>71</v>
      </c>
      <c r="E23" s="359" t="s">
        <v>169</v>
      </c>
    </row>
    <row r="24" spans="1:5" ht="30" x14ac:dyDescent="0.25">
      <c r="A24" s="356" t="str">
        <f t="shared" si="0"/>
        <v>COOMEVA EXPERIENCIA MEDICACaliCALICOOMEVA EXPERIENCIA MEDICA</v>
      </c>
      <c r="B24" s="40" t="s">
        <v>169</v>
      </c>
      <c r="C24" s="202" t="s">
        <v>62</v>
      </c>
      <c r="D24" s="207" t="s">
        <v>80</v>
      </c>
      <c r="E24" s="359" t="s">
        <v>169</v>
      </c>
    </row>
    <row r="25" spans="1:5" x14ac:dyDescent="0.25">
      <c r="A25" s="356" t="str">
        <f t="shared" si="0"/>
        <v>COOMEVACaliDIRECCION NACIONALUCO</v>
      </c>
      <c r="B25" s="14" t="s">
        <v>69</v>
      </c>
      <c r="C25" s="84" t="s">
        <v>62</v>
      </c>
      <c r="D25" s="207" t="s">
        <v>71</v>
      </c>
      <c r="E25" s="359" t="s">
        <v>202</v>
      </c>
    </row>
    <row r="26" spans="1:5" x14ac:dyDescent="0.25">
      <c r="A26" s="356" t="str">
        <f t="shared" si="0"/>
        <v>COOMEVAEje CafeteroARMENIAGCGIA</v>
      </c>
      <c r="B26" s="14" t="s">
        <v>69</v>
      </c>
      <c r="C26" s="179" t="s">
        <v>163</v>
      </c>
      <c r="D26" s="235" t="s">
        <v>164</v>
      </c>
      <c r="E26" s="317" t="s">
        <v>98</v>
      </c>
    </row>
    <row r="27" spans="1:5" x14ac:dyDescent="0.25">
      <c r="A27" s="356" t="str">
        <f t="shared" si="0"/>
        <v>COOMEVACaribeVALLEDUPARGCGIA</v>
      </c>
      <c r="B27" s="43" t="s">
        <v>69</v>
      </c>
      <c r="C27" s="143" t="s">
        <v>99</v>
      </c>
      <c r="D27" s="111" t="s">
        <v>221</v>
      </c>
      <c r="E27" s="317" t="s">
        <v>98</v>
      </c>
    </row>
    <row r="28" spans="1:5" x14ac:dyDescent="0.25">
      <c r="A28" s="356" t="str">
        <f t="shared" si="0"/>
        <v>COOMEVACaliCALIGCGIA</v>
      </c>
      <c r="B28" s="43" t="s">
        <v>69</v>
      </c>
      <c r="C28" s="179" t="s">
        <v>62</v>
      </c>
      <c r="D28" s="23" t="s">
        <v>80</v>
      </c>
      <c r="E28" s="317" t="s">
        <v>98</v>
      </c>
    </row>
    <row r="29" spans="1:5" x14ac:dyDescent="0.25">
      <c r="A29" s="356" t="str">
        <f t="shared" si="0"/>
        <v>FUNDACION COOMEVACaliCALIFUNDACION COOMEVA</v>
      </c>
      <c r="B29" s="29" t="s">
        <v>49</v>
      </c>
      <c r="C29" s="202" t="s">
        <v>62</v>
      </c>
      <c r="D29" s="23" t="s">
        <v>80</v>
      </c>
      <c r="E29" s="361" t="s">
        <v>49</v>
      </c>
    </row>
    <row r="30" spans="1:5" x14ac:dyDescent="0.25">
      <c r="A30" s="356" t="str">
        <f t="shared" si="0"/>
        <v>COOMEVAMedellinMEDELLINGCGIA</v>
      </c>
      <c r="B30" s="43" t="s">
        <v>69</v>
      </c>
      <c r="C30" s="202" t="s">
        <v>879</v>
      </c>
      <c r="D30" s="48" t="s">
        <v>50</v>
      </c>
      <c r="E30" s="317" t="s">
        <v>98</v>
      </c>
    </row>
    <row r="31" spans="1:5" x14ac:dyDescent="0.25">
      <c r="A31" s="356" t="str">
        <f t="shared" si="0"/>
        <v>MPEje CafeteroMANIZALESMP</v>
      </c>
      <c r="B31" s="20" t="s">
        <v>79</v>
      </c>
      <c r="C31" s="179" t="s">
        <v>163</v>
      </c>
      <c r="D31" s="235" t="s">
        <v>262</v>
      </c>
      <c r="E31" s="360" t="s">
        <v>79</v>
      </c>
    </row>
    <row r="32" spans="1:5" x14ac:dyDescent="0.25">
      <c r="A32" s="356" t="str">
        <f t="shared" si="0"/>
        <v>BANCOOMEVACaliBUGABANCOOMEVA</v>
      </c>
      <c r="B32" s="29" t="s">
        <v>85</v>
      </c>
      <c r="C32" s="202" t="s">
        <v>62</v>
      </c>
      <c r="D32" s="48" t="s">
        <v>275</v>
      </c>
      <c r="E32" s="361" t="s">
        <v>85</v>
      </c>
    </row>
    <row r="33" spans="1:5" x14ac:dyDescent="0.25">
      <c r="A33" s="356" t="str">
        <f t="shared" si="0"/>
        <v>COOMEVACaliIBAGUEGCGIA</v>
      </c>
      <c r="B33" s="43" t="s">
        <v>69</v>
      </c>
      <c r="C33" s="179" t="s">
        <v>62</v>
      </c>
      <c r="D33" s="179" t="s">
        <v>314</v>
      </c>
      <c r="E33" s="317" t="s">
        <v>98</v>
      </c>
    </row>
    <row r="34" spans="1:5" x14ac:dyDescent="0.25">
      <c r="A34" s="356" t="str">
        <f t="shared" ref="A34:A65" si="1">+B34&amp;C34&amp;D34&amp;E34</f>
        <v>MPMedellinBUCARAMANGAMP</v>
      </c>
      <c r="B34" s="20" t="s">
        <v>79</v>
      </c>
      <c r="C34" s="202" t="s">
        <v>879</v>
      </c>
      <c r="D34" s="48" t="s">
        <v>321</v>
      </c>
      <c r="E34" s="360" t="s">
        <v>79</v>
      </c>
    </row>
    <row r="35" spans="1:5" x14ac:dyDescent="0.25">
      <c r="A35" s="356" t="str">
        <f t="shared" si="1"/>
        <v>BANCOOMEVACaliPOPAYANBANCOOMEVA</v>
      </c>
      <c r="B35" s="29" t="s">
        <v>85</v>
      </c>
      <c r="C35" s="202" t="s">
        <v>62</v>
      </c>
      <c r="D35" s="159" t="s">
        <v>375</v>
      </c>
      <c r="E35" s="361" t="s">
        <v>85</v>
      </c>
    </row>
    <row r="36" spans="1:5" x14ac:dyDescent="0.25">
      <c r="A36" s="356" t="str">
        <f t="shared" si="1"/>
        <v>FUNDACION COOMEVACaliPALMIRAFUNDACION COOMEVA</v>
      </c>
      <c r="B36" s="29" t="s">
        <v>49</v>
      </c>
      <c r="C36" s="202" t="s">
        <v>62</v>
      </c>
      <c r="D36" s="207" t="s">
        <v>382</v>
      </c>
      <c r="E36" s="361" t="s">
        <v>49</v>
      </c>
    </row>
    <row r="37" spans="1:5" ht="30" x14ac:dyDescent="0.25">
      <c r="A37" s="356" t="str">
        <f t="shared" si="1"/>
        <v>CONECTAMOS FINANCIERACaliDIRECCION NACIONALCONECTAMOS FINANCIERA</v>
      </c>
      <c r="B37" s="29" t="s">
        <v>387</v>
      </c>
      <c r="C37" s="202" t="s">
        <v>62</v>
      </c>
      <c r="D37" s="207" t="s">
        <v>71</v>
      </c>
      <c r="E37" s="361" t="s">
        <v>387</v>
      </c>
    </row>
    <row r="38" spans="1:5" x14ac:dyDescent="0.25">
      <c r="A38" s="356" t="str">
        <f t="shared" si="1"/>
        <v>MPMedellinRIONEGROMP</v>
      </c>
      <c r="B38" s="40" t="s">
        <v>79</v>
      </c>
      <c r="C38" s="202" t="s">
        <v>879</v>
      </c>
      <c r="D38" s="48" t="s">
        <v>396</v>
      </c>
      <c r="E38" s="359" t="s">
        <v>79</v>
      </c>
    </row>
    <row r="39" spans="1:5" x14ac:dyDescent="0.25">
      <c r="A39" s="356" t="str">
        <f t="shared" si="1"/>
        <v>FECOOMEVACaliDIRECCION NACIONALFECOOMEVA</v>
      </c>
      <c r="B39" s="40" t="s">
        <v>401</v>
      </c>
      <c r="C39" s="202" t="s">
        <v>62</v>
      </c>
      <c r="D39" s="207" t="s">
        <v>71</v>
      </c>
      <c r="E39" s="359" t="s">
        <v>401</v>
      </c>
    </row>
    <row r="40" spans="1:5" ht="30" x14ac:dyDescent="0.25">
      <c r="A40" s="356" t="str">
        <f t="shared" si="1"/>
        <v>COOMEVA EXPERIENCIA MEDICAMedellinMEDELLINCOOMEVA EXPERIENCIA MEDICA</v>
      </c>
      <c r="B40" s="84" t="s">
        <v>169</v>
      </c>
      <c r="C40" s="202" t="s">
        <v>879</v>
      </c>
      <c r="D40" s="48" t="s">
        <v>50</v>
      </c>
      <c r="E40" s="324" t="s">
        <v>169</v>
      </c>
    </row>
    <row r="41" spans="1:5" x14ac:dyDescent="0.25">
      <c r="A41" s="356" t="str">
        <f t="shared" si="1"/>
        <v>COOMEVACaribeSINCELEJOGCGIA</v>
      </c>
      <c r="B41" s="27" t="s">
        <v>69</v>
      </c>
      <c r="C41" s="143" t="s">
        <v>99</v>
      </c>
      <c r="D41" s="111" t="s">
        <v>455</v>
      </c>
      <c r="E41" s="317" t="s">
        <v>98</v>
      </c>
    </row>
    <row r="42" spans="1:5" ht="30" x14ac:dyDescent="0.25">
      <c r="A42" s="356" t="str">
        <f t="shared" si="1"/>
        <v>COOMEVA EXPERIENCIA MEDICACaribeBARRANQUILLACOOMEVA EXPERIENCIA MEDICA</v>
      </c>
      <c r="B42" s="84" t="s">
        <v>169</v>
      </c>
      <c r="C42" s="143" t="s">
        <v>99</v>
      </c>
      <c r="D42" s="111" t="s">
        <v>100</v>
      </c>
      <c r="E42" s="324" t="s">
        <v>169</v>
      </c>
    </row>
    <row r="43" spans="1:5" x14ac:dyDescent="0.25">
      <c r="A43" s="356" t="str">
        <f t="shared" si="1"/>
        <v>FECOOMEVACaliCALIFECOOMEVA</v>
      </c>
      <c r="B43" s="84" t="s">
        <v>401</v>
      </c>
      <c r="C43" s="84" t="s">
        <v>62</v>
      </c>
      <c r="D43" s="84" t="s">
        <v>80</v>
      </c>
      <c r="E43" s="324" t="s">
        <v>401</v>
      </c>
    </row>
    <row r="44" spans="1:5" x14ac:dyDescent="0.25">
      <c r="A44" s="356" t="str">
        <f t="shared" si="1"/>
        <v>COOMEVACaribeCARTAGENAGCGIA</v>
      </c>
      <c r="B44" s="27" t="s">
        <v>69</v>
      </c>
      <c r="C44" s="143" t="s">
        <v>99</v>
      </c>
      <c r="D44" s="111" t="s">
        <v>135</v>
      </c>
      <c r="E44" s="317" t="s">
        <v>98</v>
      </c>
    </row>
    <row r="45" spans="1:5" x14ac:dyDescent="0.25">
      <c r="A45" s="356" t="str">
        <f t="shared" si="1"/>
        <v>BANCOOMEVACaliPALMIRABANCOOMEVA</v>
      </c>
      <c r="B45" s="84" t="s">
        <v>85</v>
      </c>
      <c r="C45" s="84" t="s">
        <v>62</v>
      </c>
      <c r="D45" s="84" t="s">
        <v>382</v>
      </c>
      <c r="E45" s="324" t="s">
        <v>85</v>
      </c>
    </row>
    <row r="46" spans="1:5" x14ac:dyDescent="0.25">
      <c r="A46" s="356" t="str">
        <f t="shared" si="1"/>
        <v>COOMEVACaliPASTOGCGIA</v>
      </c>
      <c r="B46" s="27" t="s">
        <v>69</v>
      </c>
      <c r="C46" s="114" t="s">
        <v>62</v>
      </c>
      <c r="D46" s="114" t="s">
        <v>519</v>
      </c>
      <c r="E46" s="317" t="s">
        <v>98</v>
      </c>
    </row>
    <row r="47" spans="1:5" x14ac:dyDescent="0.25">
      <c r="A47" s="356" t="str">
        <f t="shared" si="1"/>
        <v>BANCOOMEVAMedellinMEDELLINBANCOOMEVA</v>
      </c>
      <c r="B47" s="87" t="s">
        <v>85</v>
      </c>
      <c r="C47" s="202" t="s">
        <v>879</v>
      </c>
      <c r="D47" s="87" t="s">
        <v>50</v>
      </c>
      <c r="E47" s="320" t="s">
        <v>85</v>
      </c>
    </row>
    <row r="48" spans="1:5" ht="30" x14ac:dyDescent="0.25">
      <c r="A48" s="356" t="str">
        <f t="shared" si="1"/>
        <v>FUNDACION COOMEVACaliDIRECCION NACIONALFUNDACION COOMEVA</v>
      </c>
      <c r="B48" s="48" t="s">
        <v>49</v>
      </c>
      <c r="C48" s="84" t="s">
        <v>62</v>
      </c>
      <c r="D48" s="23" t="s">
        <v>71</v>
      </c>
      <c r="E48" s="357" t="s">
        <v>49</v>
      </c>
    </row>
    <row r="49" spans="1:5" x14ac:dyDescent="0.25">
      <c r="A49" s="356" t="str">
        <f t="shared" si="1"/>
        <v>FIDUCOOMEVACaliDIRECCION NACIONALFIDUCOOMEVA</v>
      </c>
      <c r="B49" s="287" t="s">
        <v>597</v>
      </c>
      <c r="C49" s="287" t="s">
        <v>62</v>
      </c>
      <c r="D49" s="287" t="s">
        <v>71</v>
      </c>
      <c r="E49" s="362" t="s">
        <v>597</v>
      </c>
    </row>
    <row r="50" spans="1:5" x14ac:dyDescent="0.25">
      <c r="A50" s="356" t="str">
        <f t="shared" si="1"/>
        <v>COOMEVAEje CafeteroMANIZALESGCGIA</v>
      </c>
      <c r="B50" s="27" t="s">
        <v>69</v>
      </c>
      <c r="C50" s="114" t="s">
        <v>163</v>
      </c>
      <c r="D50" s="114" t="s">
        <v>262</v>
      </c>
      <c r="E50" s="317" t="s">
        <v>98</v>
      </c>
    </row>
    <row r="51" spans="1:5" x14ac:dyDescent="0.25">
      <c r="A51" s="356" t="str">
        <f t="shared" si="1"/>
        <v>MPMedellinMONTERIAMP</v>
      </c>
      <c r="B51" s="87" t="s">
        <v>79</v>
      </c>
      <c r="C51" s="202" t="s">
        <v>879</v>
      </c>
      <c r="D51" s="48" t="s">
        <v>632</v>
      </c>
      <c r="E51" s="320" t="s">
        <v>79</v>
      </c>
    </row>
    <row r="52" spans="1:5" x14ac:dyDescent="0.25">
      <c r="A52" s="356" t="str">
        <f t="shared" si="1"/>
        <v>COOMEVACaribeBARRANQUILLAUSC</v>
      </c>
      <c r="B52" s="27" t="s">
        <v>69</v>
      </c>
      <c r="C52" s="143" t="s">
        <v>99</v>
      </c>
      <c r="D52" s="111" t="s">
        <v>100</v>
      </c>
      <c r="E52" s="321" t="s">
        <v>122</v>
      </c>
    </row>
    <row r="53" spans="1:5" x14ac:dyDescent="0.25">
      <c r="A53" s="356" t="str">
        <f t="shared" si="1"/>
        <v>COOMEVABogotaVILLAVICENCIOGCGIA</v>
      </c>
      <c r="B53" s="27" t="s">
        <v>69</v>
      </c>
      <c r="C53" s="232" t="s">
        <v>90</v>
      </c>
      <c r="D53" s="87" t="s">
        <v>647</v>
      </c>
      <c r="E53" s="317" t="s">
        <v>98</v>
      </c>
    </row>
    <row r="54" spans="1:5" x14ac:dyDescent="0.25">
      <c r="A54" s="356" t="str">
        <f t="shared" si="1"/>
        <v>COOMEVACaliBUGAGCGIA</v>
      </c>
      <c r="B54" s="27" t="s">
        <v>69</v>
      </c>
      <c r="C54" s="114" t="s">
        <v>62</v>
      </c>
      <c r="D54" s="114" t="s">
        <v>275</v>
      </c>
      <c r="E54" s="317" t="s">
        <v>98</v>
      </c>
    </row>
    <row r="55" spans="1:5" x14ac:dyDescent="0.25">
      <c r="A55" s="356" t="str">
        <f t="shared" si="1"/>
        <v>BANCOOMEVACaliCALIBANCOOMEVA</v>
      </c>
      <c r="B55" s="84" t="s">
        <v>85</v>
      </c>
      <c r="C55" s="84" t="s">
        <v>62</v>
      </c>
      <c r="D55" s="84" t="s">
        <v>80</v>
      </c>
      <c r="E55" s="324" t="s">
        <v>85</v>
      </c>
    </row>
    <row r="56" spans="1:5" x14ac:dyDescent="0.25">
      <c r="A56" s="356" t="str">
        <f t="shared" si="1"/>
        <v>MPCaribeSINCELEJOMP</v>
      </c>
      <c r="B56" s="87" t="s">
        <v>79</v>
      </c>
      <c r="C56" s="143" t="s">
        <v>99</v>
      </c>
      <c r="D56" s="111" t="s">
        <v>455</v>
      </c>
      <c r="E56" s="320" t="s">
        <v>79</v>
      </c>
    </row>
    <row r="57" spans="1:5" x14ac:dyDescent="0.25">
      <c r="A57" s="356" t="str">
        <f t="shared" si="1"/>
        <v>COOMEVAEje CafeteroPEREIRAUCO</v>
      </c>
      <c r="B57" s="27" t="s">
        <v>69</v>
      </c>
      <c r="C57" s="114" t="s">
        <v>163</v>
      </c>
      <c r="D57" s="114" t="s">
        <v>688</v>
      </c>
      <c r="E57" s="310" t="s">
        <v>202</v>
      </c>
    </row>
    <row r="58" spans="1:5" x14ac:dyDescent="0.25">
      <c r="A58" s="356" t="str">
        <f t="shared" si="1"/>
        <v>MPEje CafeteroPEREIRAMP</v>
      </c>
      <c r="B58" s="87" t="s">
        <v>79</v>
      </c>
      <c r="C58" s="114" t="s">
        <v>163</v>
      </c>
      <c r="D58" s="114" t="s">
        <v>688</v>
      </c>
      <c r="E58" s="320" t="s">
        <v>79</v>
      </c>
    </row>
    <row r="59" spans="1:5" x14ac:dyDescent="0.25">
      <c r="A59" s="356" t="str">
        <f t="shared" si="1"/>
        <v>MPCaliBUGAMP</v>
      </c>
      <c r="B59" s="87" t="s">
        <v>79</v>
      </c>
      <c r="C59" s="84" t="s">
        <v>62</v>
      </c>
      <c r="D59" s="23" t="s">
        <v>275</v>
      </c>
      <c r="E59" s="320" t="s">
        <v>79</v>
      </c>
    </row>
    <row r="60" spans="1:5" x14ac:dyDescent="0.25">
      <c r="A60" s="356" t="str">
        <f t="shared" si="1"/>
        <v>COOMEVACaliDIRECCION NACIONALGCGIA</v>
      </c>
      <c r="B60" s="27" t="s">
        <v>69</v>
      </c>
      <c r="C60" s="114" t="s">
        <v>62</v>
      </c>
      <c r="D60" s="114" t="s">
        <v>71</v>
      </c>
      <c r="E60" s="317" t="s">
        <v>98</v>
      </c>
    </row>
    <row r="61" spans="1:5" x14ac:dyDescent="0.25">
      <c r="A61" s="356" t="str">
        <f t="shared" si="1"/>
        <v>BANCOOMEVAMedellinAPARTADOBANCOOMEVA</v>
      </c>
      <c r="B61" s="87" t="s">
        <v>85</v>
      </c>
      <c r="C61" s="202" t="s">
        <v>879</v>
      </c>
      <c r="D61" s="87" t="s">
        <v>787</v>
      </c>
      <c r="E61" s="320" t="s">
        <v>85</v>
      </c>
    </row>
    <row r="62" spans="1:5" x14ac:dyDescent="0.25">
      <c r="A62" s="356" t="str">
        <f t="shared" si="1"/>
        <v>COOMEVAMedellinMONTERIAGCGIA</v>
      </c>
      <c r="B62" s="27" t="s">
        <v>69</v>
      </c>
      <c r="C62" s="202" t="s">
        <v>879</v>
      </c>
      <c r="D62" s="87" t="s">
        <v>632</v>
      </c>
      <c r="E62" s="317" t="s">
        <v>98</v>
      </c>
    </row>
    <row r="63" spans="1:5" x14ac:dyDescent="0.25">
      <c r="A63" s="356" t="str">
        <f t="shared" si="1"/>
        <v>MPCaribeVALLEDUPARMP</v>
      </c>
      <c r="B63" s="87" t="s">
        <v>79</v>
      </c>
      <c r="C63" s="143" t="s">
        <v>99</v>
      </c>
      <c r="D63" s="111" t="s">
        <v>221</v>
      </c>
      <c r="E63" s="320" t="s">
        <v>79</v>
      </c>
    </row>
    <row r="64" spans="1:5" x14ac:dyDescent="0.25">
      <c r="A64" s="356" t="str">
        <f t="shared" si="1"/>
        <v>BANCOOMEVAEje CafeteroMANIZALESBANCOOMEVA</v>
      </c>
      <c r="B64" s="27" t="s">
        <v>85</v>
      </c>
      <c r="C64" s="114" t="s">
        <v>163</v>
      </c>
      <c r="D64" s="114" t="s">
        <v>262</v>
      </c>
      <c r="E64" s="310" t="s">
        <v>85</v>
      </c>
    </row>
    <row r="65" spans="1:5" x14ac:dyDescent="0.25">
      <c r="A65" s="356" t="str">
        <f t="shared" si="1"/>
        <v>BANCOOMEVAEje CafeteroPEREIRABANCOOMEVA</v>
      </c>
      <c r="B65" s="27" t="s">
        <v>85</v>
      </c>
      <c r="C65" s="114" t="s">
        <v>163</v>
      </c>
      <c r="D65" s="114" t="s">
        <v>688</v>
      </c>
      <c r="E65" s="310" t="s">
        <v>85</v>
      </c>
    </row>
    <row r="66" spans="1:5" x14ac:dyDescent="0.25">
      <c r="A66" s="356" t="str">
        <f t="shared" ref="A66:A97" si="2">+B66&amp;C66&amp;D66&amp;E66</f>
        <v>BANCOOMEVAEje CafeteroARMENIABANCOOMEVA</v>
      </c>
      <c r="B66" s="27" t="s">
        <v>85</v>
      </c>
      <c r="C66" s="114" t="s">
        <v>163</v>
      </c>
      <c r="D66" s="114" t="s">
        <v>164</v>
      </c>
      <c r="E66" s="310" t="s">
        <v>85</v>
      </c>
    </row>
    <row r="67" spans="1:5" x14ac:dyDescent="0.25">
      <c r="A67" s="356" t="str">
        <f t="shared" si="2"/>
        <v>COOMEVAMedellinBUCARAMANGAGCGIA</v>
      </c>
      <c r="B67" s="27" t="s">
        <v>69</v>
      </c>
      <c r="C67" s="202" t="s">
        <v>879</v>
      </c>
      <c r="D67" s="87" t="s">
        <v>321</v>
      </c>
      <c r="E67" s="317" t="s">
        <v>98</v>
      </c>
    </row>
    <row r="68" spans="1:5" ht="30" x14ac:dyDescent="0.25">
      <c r="A68" s="356" t="str">
        <f t="shared" si="2"/>
        <v>CORREDORES DE SEGUROSCaliDIRECCION NACIONALCORREDORES DE SEGUROS</v>
      </c>
      <c r="B68" s="84" t="s">
        <v>876</v>
      </c>
      <c r="C68" s="143" t="s">
        <v>62</v>
      </c>
      <c r="D68" s="84" t="s">
        <v>71</v>
      </c>
      <c r="E68" s="324" t="s">
        <v>876</v>
      </c>
    </row>
    <row r="69" spans="1:5" x14ac:dyDescent="0.25">
      <c r="A69" s="356" t="str">
        <f t="shared" si="2"/>
        <v>FUNDACION COOMEVABogotaBOGOTAFUNDACION COOMEVA</v>
      </c>
      <c r="B69" s="48" t="s">
        <v>49</v>
      </c>
      <c r="C69" s="232" t="s">
        <v>90</v>
      </c>
      <c r="D69" s="48" t="s">
        <v>91</v>
      </c>
      <c r="E69" s="357" t="s">
        <v>49</v>
      </c>
    </row>
    <row r="70" spans="1:5" x14ac:dyDescent="0.25">
      <c r="A70" s="356" t="str">
        <f t="shared" si="2"/>
        <v>COOMEVAMedellinENVIGADOGCGIA</v>
      </c>
      <c r="B70" s="87" t="s">
        <v>69</v>
      </c>
      <c r="C70" s="202" t="s">
        <v>879</v>
      </c>
      <c r="D70" s="48" t="s">
        <v>884</v>
      </c>
      <c r="E70" s="317" t="s">
        <v>98</v>
      </c>
    </row>
    <row r="71" spans="1:5" x14ac:dyDescent="0.25">
      <c r="A71" s="356" t="str">
        <f t="shared" si="2"/>
        <v>COOMEVABogotaTUNJAGCGIA</v>
      </c>
      <c r="B71" s="87" t="s">
        <v>69</v>
      </c>
      <c r="C71" s="232" t="s">
        <v>90</v>
      </c>
      <c r="D71" s="48" t="s">
        <v>896</v>
      </c>
      <c r="E71" s="317" t="s">
        <v>98</v>
      </c>
    </row>
    <row r="72" spans="1:5" x14ac:dyDescent="0.25">
      <c r="A72" s="356" t="str">
        <f t="shared" si="2"/>
        <v>BANCOOMEVACaribeRIOHACHABANCOOMEVA</v>
      </c>
      <c r="B72" s="152" t="s">
        <v>85</v>
      </c>
      <c r="C72" s="143" t="s">
        <v>99</v>
      </c>
      <c r="D72" s="152" t="s">
        <v>124</v>
      </c>
      <c r="E72" s="323" t="s">
        <v>85</v>
      </c>
    </row>
    <row r="73" spans="1:5" x14ac:dyDescent="0.25">
      <c r="A73" s="356" t="str">
        <f t="shared" si="2"/>
        <v>BANCOOMEVAMedellinCUCUTABANCOOMEVA</v>
      </c>
      <c r="B73" s="152" t="s">
        <v>85</v>
      </c>
      <c r="C73" s="202" t="s">
        <v>879</v>
      </c>
      <c r="D73" s="87" t="s">
        <v>919</v>
      </c>
      <c r="E73" s="323" t="s">
        <v>85</v>
      </c>
    </row>
    <row r="74" spans="1:5" x14ac:dyDescent="0.25">
      <c r="A74" s="356" t="str">
        <f t="shared" si="2"/>
        <v>MPCaliPALMIRAMP</v>
      </c>
      <c r="B74" s="87" t="s">
        <v>79</v>
      </c>
      <c r="C74" s="84" t="s">
        <v>62</v>
      </c>
      <c r="D74" s="87" t="s">
        <v>382</v>
      </c>
      <c r="E74" s="320" t="s">
        <v>79</v>
      </c>
    </row>
    <row r="75" spans="1:5" x14ac:dyDescent="0.25">
      <c r="A75" s="356" t="str">
        <f t="shared" si="2"/>
        <v>COOMEVAEje CafeteroPEREIRAGCGIA</v>
      </c>
      <c r="B75" s="87" t="s">
        <v>69</v>
      </c>
      <c r="C75" s="114" t="s">
        <v>163</v>
      </c>
      <c r="D75" s="48" t="s">
        <v>688</v>
      </c>
      <c r="E75" s="317" t="s">
        <v>98</v>
      </c>
    </row>
    <row r="76" spans="1:5" x14ac:dyDescent="0.25">
      <c r="A76" s="356" t="str">
        <f t="shared" si="2"/>
        <v>BANCOOMEVACaribeBARRANQUILLABANCOOMEVA</v>
      </c>
      <c r="B76" s="152" t="s">
        <v>85</v>
      </c>
      <c r="C76" s="143" t="s">
        <v>99</v>
      </c>
      <c r="D76" s="152" t="s">
        <v>100</v>
      </c>
      <c r="E76" s="323" t="s">
        <v>85</v>
      </c>
    </row>
    <row r="77" spans="1:5" x14ac:dyDescent="0.25">
      <c r="A77" s="356" t="str">
        <f t="shared" si="2"/>
        <v>BANCOOMEVACaribeSINCELEJOBANCOOMEVA</v>
      </c>
      <c r="B77" s="288" t="s">
        <v>85</v>
      </c>
      <c r="C77" s="289" t="s">
        <v>99</v>
      </c>
      <c r="D77" s="288" t="s">
        <v>455</v>
      </c>
      <c r="E77" s="363" t="s">
        <v>85</v>
      </c>
    </row>
    <row r="78" spans="1:5" x14ac:dyDescent="0.25">
      <c r="A78" s="356" t="str">
        <f t="shared" si="2"/>
        <v>MPCaliTULUAMP</v>
      </c>
      <c r="B78" s="87" t="s">
        <v>79</v>
      </c>
      <c r="C78" s="84" t="s">
        <v>62</v>
      </c>
      <c r="D78" s="87" t="s">
        <v>984</v>
      </c>
      <c r="E78" s="320" t="s">
        <v>79</v>
      </c>
    </row>
    <row r="79" spans="1:5" x14ac:dyDescent="0.25">
      <c r="A79" s="356" t="str">
        <f t="shared" si="2"/>
        <v>BANCOOMEVABogotaYOPALBANCOOMEVA</v>
      </c>
      <c r="B79" s="152" t="s">
        <v>85</v>
      </c>
      <c r="C79" s="232" t="s">
        <v>90</v>
      </c>
      <c r="D79" s="48" t="s">
        <v>1027</v>
      </c>
      <c r="E79" s="323" t="s">
        <v>85</v>
      </c>
    </row>
    <row r="80" spans="1:5" x14ac:dyDescent="0.25">
      <c r="A80" s="356" t="str">
        <f t="shared" si="2"/>
        <v>COOMEVAEje CafeteroCARTAGOUCO</v>
      </c>
      <c r="B80" s="87" t="s">
        <v>69</v>
      </c>
      <c r="C80" s="114" t="s">
        <v>163</v>
      </c>
      <c r="D80" s="111" t="s">
        <v>1047</v>
      </c>
      <c r="E80" s="320" t="s">
        <v>202</v>
      </c>
    </row>
    <row r="81" spans="1:5" x14ac:dyDescent="0.25">
      <c r="A81" s="356" t="str">
        <f t="shared" si="2"/>
        <v>COOMEVACaribeBARRANQUILLAUCO</v>
      </c>
      <c r="B81" s="87" t="s">
        <v>69</v>
      </c>
      <c r="C81" s="202" t="s">
        <v>99</v>
      </c>
      <c r="D81" s="202" t="s">
        <v>100</v>
      </c>
      <c r="E81" s="364" t="s">
        <v>202</v>
      </c>
    </row>
    <row r="82" spans="1:5" x14ac:dyDescent="0.25">
      <c r="A82" s="356" t="str">
        <f t="shared" si="2"/>
        <v>COOMEVACaribeSANTA MARTAGCGIA</v>
      </c>
      <c r="B82" s="87" t="s">
        <v>69</v>
      </c>
      <c r="C82" s="202" t="s">
        <v>99</v>
      </c>
      <c r="D82" s="84" t="s">
        <v>128</v>
      </c>
      <c r="E82" s="317" t="s">
        <v>98</v>
      </c>
    </row>
    <row r="83" spans="1:5" x14ac:dyDescent="0.25">
      <c r="A83" s="356" t="str">
        <f t="shared" si="2"/>
        <v>BANCOOMEVABogotaVILLAVICENCIOBANCOOMEVA</v>
      </c>
      <c r="B83" s="152" t="s">
        <v>85</v>
      </c>
      <c r="C83" s="232" t="s">
        <v>90</v>
      </c>
      <c r="D83" s="48" t="s">
        <v>647</v>
      </c>
      <c r="E83" s="323" t="s">
        <v>85</v>
      </c>
    </row>
    <row r="84" spans="1:5" x14ac:dyDescent="0.25">
      <c r="A84" s="356" t="str">
        <f t="shared" si="2"/>
        <v>BANCOOMEVACaribeSANTA MARTABANCOOMEVA</v>
      </c>
      <c r="B84" s="152" t="s">
        <v>85</v>
      </c>
      <c r="C84" s="143" t="s">
        <v>99</v>
      </c>
      <c r="D84" s="152" t="s">
        <v>128</v>
      </c>
      <c r="E84" s="323" t="s">
        <v>85</v>
      </c>
    </row>
    <row r="85" spans="1:5" x14ac:dyDescent="0.25">
      <c r="A85" s="356" t="str">
        <f t="shared" si="2"/>
        <v>COOMEVACaliPALMIRAGCGIA</v>
      </c>
      <c r="B85" s="87" t="s">
        <v>69</v>
      </c>
      <c r="C85" s="143" t="s">
        <v>62</v>
      </c>
      <c r="D85" s="84" t="s">
        <v>382</v>
      </c>
      <c r="E85" s="317" t="s">
        <v>98</v>
      </c>
    </row>
    <row r="86" spans="1:5" x14ac:dyDescent="0.25">
      <c r="A86" s="356" t="str">
        <f t="shared" si="2"/>
        <v>COOMEVABogotaBOGOTAUCO</v>
      </c>
      <c r="B86" s="87" t="s">
        <v>69</v>
      </c>
      <c r="C86" s="232" t="s">
        <v>90</v>
      </c>
      <c r="D86" s="48" t="s">
        <v>91</v>
      </c>
      <c r="E86" s="320" t="s">
        <v>202</v>
      </c>
    </row>
    <row r="87" spans="1:5" ht="30" x14ac:dyDescent="0.25">
      <c r="A87" s="356" t="str">
        <f t="shared" si="2"/>
        <v>COOMEVA EXPERIENCIA MEDICAEje CafeteroPEREIRACOOMEVA EXPERIENCIA MEDICA</v>
      </c>
      <c r="B87" s="145" t="s">
        <v>169</v>
      </c>
      <c r="C87" s="114" t="s">
        <v>163</v>
      </c>
      <c r="D87" s="111" t="s">
        <v>688</v>
      </c>
      <c r="E87" s="365" t="s">
        <v>169</v>
      </c>
    </row>
    <row r="88" spans="1:5" x14ac:dyDescent="0.25">
      <c r="A88" s="356" t="str">
        <f t="shared" si="2"/>
        <v>FIDUCOOMEVACaliCALIFIDUCOOMEVA</v>
      </c>
      <c r="B88" s="84" t="s">
        <v>597</v>
      </c>
      <c r="C88" s="232" t="s">
        <v>62</v>
      </c>
      <c r="D88" s="111" t="s">
        <v>80</v>
      </c>
      <c r="E88" s="324" t="s">
        <v>597</v>
      </c>
    </row>
    <row r="89" spans="1:5" ht="30" x14ac:dyDescent="0.25">
      <c r="A89" s="356" t="str">
        <f t="shared" si="2"/>
        <v>FUNDACION COOMEVACaribeCARTAGENAFUNDACION COOMEVA</v>
      </c>
      <c r="B89" s="159" t="s">
        <v>49</v>
      </c>
      <c r="C89" s="143" t="s">
        <v>99</v>
      </c>
      <c r="D89" s="159" t="s">
        <v>135</v>
      </c>
      <c r="E89" s="364" t="s">
        <v>49</v>
      </c>
    </row>
    <row r="90" spans="1:5" x14ac:dyDescent="0.25">
      <c r="A90" s="356" t="str">
        <f t="shared" si="2"/>
        <v>FECOOMEVACaribeBARRANQUILLAFECOOMEVA</v>
      </c>
      <c r="B90" s="159" t="s">
        <v>401</v>
      </c>
      <c r="C90" s="143" t="s">
        <v>99</v>
      </c>
      <c r="D90" s="159" t="s">
        <v>100</v>
      </c>
      <c r="E90" s="364" t="s">
        <v>401</v>
      </c>
    </row>
    <row r="91" spans="1:5" x14ac:dyDescent="0.25">
      <c r="A91" s="356" t="str">
        <f t="shared" si="2"/>
        <v>COOMEVAMedellinCUCUTAGCGIA</v>
      </c>
      <c r="B91" s="159" t="s">
        <v>69</v>
      </c>
      <c r="C91" s="202" t="s">
        <v>879</v>
      </c>
      <c r="D91" s="48" t="s">
        <v>919</v>
      </c>
      <c r="E91" s="317" t="s">
        <v>98</v>
      </c>
    </row>
    <row r="92" spans="1:5" x14ac:dyDescent="0.25">
      <c r="A92" s="356" t="str">
        <f t="shared" si="2"/>
        <v>COOMEVACaliFLORENCIAGCGIA</v>
      </c>
      <c r="B92" s="159" t="s">
        <v>69</v>
      </c>
      <c r="C92" s="232" t="s">
        <v>62</v>
      </c>
      <c r="D92" s="87" t="s">
        <v>1413</v>
      </c>
      <c r="E92" s="317" t="s">
        <v>98</v>
      </c>
    </row>
    <row r="93" spans="1:5" x14ac:dyDescent="0.25">
      <c r="A93" s="356" t="str">
        <f t="shared" si="2"/>
        <v>MPMedellinCUCUTAMP</v>
      </c>
      <c r="B93" s="27" t="s">
        <v>79</v>
      </c>
      <c r="C93" s="202" t="s">
        <v>879</v>
      </c>
      <c r="D93" s="48" t="s">
        <v>919</v>
      </c>
      <c r="E93" s="310" t="s">
        <v>79</v>
      </c>
    </row>
    <row r="94" spans="1:5" x14ac:dyDescent="0.25">
      <c r="A94" s="356" t="str">
        <f t="shared" si="2"/>
        <v>BANCOOMEVABogotaTUNJABANCOOMEVA</v>
      </c>
      <c r="B94" s="84" t="s">
        <v>85</v>
      </c>
      <c r="C94" s="143" t="s">
        <v>90</v>
      </c>
      <c r="D94" s="159" t="s">
        <v>896</v>
      </c>
      <c r="E94" s="324" t="s">
        <v>85</v>
      </c>
    </row>
    <row r="95" spans="1:5" x14ac:dyDescent="0.25">
      <c r="A95" s="356" t="str">
        <f t="shared" si="2"/>
        <v>CLUB LOS ANDESCaliCALICLUB LOS ANDES</v>
      </c>
      <c r="B95" s="84" t="s">
        <v>61</v>
      </c>
      <c r="C95" s="84" t="s">
        <v>62</v>
      </c>
      <c r="D95" s="84" t="s">
        <v>80</v>
      </c>
      <c r="E95" s="324" t="s">
        <v>61</v>
      </c>
    </row>
    <row r="96" spans="1:5" x14ac:dyDescent="0.25">
      <c r="A96" s="356" t="str">
        <f t="shared" si="2"/>
        <v>COOMEVABogotaBOGOTAUSC</v>
      </c>
      <c r="B96" s="159" t="s">
        <v>69</v>
      </c>
      <c r="C96" s="143" t="s">
        <v>90</v>
      </c>
      <c r="D96" s="159" t="s">
        <v>91</v>
      </c>
      <c r="E96" s="364" t="s">
        <v>122</v>
      </c>
    </row>
    <row r="97" spans="1:5" x14ac:dyDescent="0.25">
      <c r="A97" s="356" t="str">
        <f t="shared" si="2"/>
        <v>BANCOOMEVAMedellinBARRANCABERMEJABANCOOMEVA</v>
      </c>
      <c r="B97" s="84" t="s">
        <v>85</v>
      </c>
      <c r="C97" s="202" t="s">
        <v>879</v>
      </c>
      <c r="D97" s="87" t="s">
        <v>1539</v>
      </c>
      <c r="E97" s="324" t="s">
        <v>85</v>
      </c>
    </row>
    <row r="98" spans="1:5" x14ac:dyDescent="0.25">
      <c r="A98" s="356" t="str">
        <f t="shared" ref="A98:A107" si="3">+B98&amp;C98&amp;D98&amp;E98</f>
        <v>BANCOOMEVACaliIBAGUEBANCOOMEVA</v>
      </c>
      <c r="B98" s="84" t="s">
        <v>85</v>
      </c>
      <c r="C98" s="143" t="s">
        <v>62</v>
      </c>
      <c r="D98" s="179" t="s">
        <v>314</v>
      </c>
      <c r="E98" s="324" t="s">
        <v>85</v>
      </c>
    </row>
    <row r="99" spans="1:5" x14ac:dyDescent="0.25">
      <c r="A99" s="356" t="str">
        <f t="shared" si="3"/>
        <v>BANCOOMEVAMedellinMONTERIABANCOOMEVA</v>
      </c>
      <c r="B99" s="84" t="s">
        <v>85</v>
      </c>
      <c r="C99" s="202" t="s">
        <v>879</v>
      </c>
      <c r="D99" s="87" t="s">
        <v>632</v>
      </c>
      <c r="E99" s="324" t="s">
        <v>85</v>
      </c>
    </row>
    <row r="100" spans="1:5" x14ac:dyDescent="0.25">
      <c r="A100" s="356" t="str">
        <f t="shared" si="3"/>
        <v>COOMEVAMedellinITAGUIGCGIA</v>
      </c>
      <c r="B100" s="159" t="s">
        <v>69</v>
      </c>
      <c r="C100" s="202" t="s">
        <v>879</v>
      </c>
      <c r="D100" s="87" t="s">
        <v>1646</v>
      </c>
      <c r="E100" s="317" t="s">
        <v>98</v>
      </c>
    </row>
    <row r="101" spans="1:5" x14ac:dyDescent="0.25">
      <c r="A101" s="356" t="str">
        <f t="shared" si="3"/>
        <v>COOMEVAEje CafeteroCARTAGOGCGIA</v>
      </c>
      <c r="B101" s="159" t="s">
        <v>69</v>
      </c>
      <c r="C101" s="84" t="s">
        <v>163</v>
      </c>
      <c r="D101" s="84" t="s">
        <v>1047</v>
      </c>
      <c r="E101" s="317" t="s">
        <v>98</v>
      </c>
    </row>
    <row r="102" spans="1:5" x14ac:dyDescent="0.25">
      <c r="A102" s="356" t="str">
        <f t="shared" si="3"/>
        <v>BANCOOMEVAMedellinRIONEGROBANCOOMEVA</v>
      </c>
      <c r="B102" s="84" t="s">
        <v>85</v>
      </c>
      <c r="C102" s="202" t="s">
        <v>879</v>
      </c>
      <c r="D102" s="87" t="s">
        <v>396</v>
      </c>
      <c r="E102" s="324" t="s">
        <v>85</v>
      </c>
    </row>
    <row r="103" spans="1:5" x14ac:dyDescent="0.25">
      <c r="A103" s="356" t="str">
        <f t="shared" si="3"/>
        <v>COOMEVABogotaYOPALGCGIA</v>
      </c>
      <c r="B103" s="159" t="s">
        <v>69</v>
      </c>
      <c r="C103" s="143" t="s">
        <v>90</v>
      </c>
      <c r="D103" s="159" t="s">
        <v>1027</v>
      </c>
      <c r="E103" s="317" t="s">
        <v>98</v>
      </c>
    </row>
    <row r="104" spans="1:5" x14ac:dyDescent="0.25">
      <c r="A104" s="356" t="str">
        <f t="shared" si="3"/>
        <v>COOMEVAMedellinMEDELLINUSC</v>
      </c>
      <c r="B104" s="159" t="s">
        <v>69</v>
      </c>
      <c r="C104" s="202" t="s">
        <v>879</v>
      </c>
      <c r="D104" s="48" t="s">
        <v>50</v>
      </c>
      <c r="E104" s="357" t="s">
        <v>122</v>
      </c>
    </row>
    <row r="105" spans="1:5" x14ac:dyDescent="0.25">
      <c r="A105" s="356" t="str">
        <f t="shared" si="3"/>
        <v>BANCOOMEVABogotaDUITAMABANCOOMEVA</v>
      </c>
      <c r="B105" s="84" t="s">
        <v>85</v>
      </c>
      <c r="C105" s="143" t="s">
        <v>90</v>
      </c>
      <c r="D105" s="159" t="s">
        <v>1790</v>
      </c>
      <c r="E105" s="324" t="s">
        <v>85</v>
      </c>
    </row>
    <row r="106" spans="1:5" x14ac:dyDescent="0.25">
      <c r="A106" s="356" t="str">
        <f t="shared" si="3"/>
        <v>BANCOOMEVAMedellinQUIBDOBANCOOMEVA</v>
      </c>
      <c r="B106" s="84" t="s">
        <v>85</v>
      </c>
      <c r="C106" s="202" t="s">
        <v>879</v>
      </c>
      <c r="D106" s="87" t="s">
        <v>1804</v>
      </c>
      <c r="E106" s="324" t="s">
        <v>85</v>
      </c>
    </row>
    <row r="107" spans="1:5" x14ac:dyDescent="0.25">
      <c r="A107" s="369" t="str">
        <f t="shared" si="3"/>
        <v>BANCOOMEVACaribeCARTAGENABANCOOMEVA</v>
      </c>
      <c r="B107" s="370" t="s">
        <v>85</v>
      </c>
      <c r="C107" s="371" t="s">
        <v>99</v>
      </c>
      <c r="D107" s="372" t="s">
        <v>135</v>
      </c>
      <c r="E107" s="373" t="s">
        <v>85</v>
      </c>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59A6-1E90-48B9-A3A0-3415356428D5}">
  <dimension ref="A1:D641"/>
  <sheetViews>
    <sheetView workbookViewId="0">
      <pane xSplit="1" ySplit="1" topLeftCell="B187" activePane="bottomRight" state="frozen"/>
      <selection pane="topRight" activeCell="B1" sqref="B1"/>
      <selection pane="bottomLeft" activeCell="A2" sqref="A2"/>
      <selection pane="bottomRight" activeCell="A187" sqref="A187"/>
    </sheetView>
  </sheetViews>
  <sheetFormatPr baseColWidth="10" defaultRowHeight="15" x14ac:dyDescent="0.25"/>
  <cols>
    <col min="1" max="1" width="68" style="9" bestFit="1" customWidth="1"/>
    <col min="2" max="2" width="41" style="9" customWidth="1"/>
    <col min="3" max="3" width="28.5703125" style="9" customWidth="1"/>
    <col min="4" max="4" width="33.140625" style="238" customWidth="1"/>
  </cols>
  <sheetData>
    <row r="1" spans="1:4" x14ac:dyDescent="0.25">
      <c r="A1" s="379" t="s">
        <v>2225</v>
      </c>
      <c r="B1" s="334" t="s">
        <v>8</v>
      </c>
      <c r="C1" s="334" t="s">
        <v>9</v>
      </c>
      <c r="D1" s="380" t="s">
        <v>7</v>
      </c>
    </row>
    <row r="2" spans="1:4" x14ac:dyDescent="0.25">
      <c r="A2" s="374" t="str">
        <f t="shared" ref="A2:A65" si="0">+B2&amp;C2&amp;D2</f>
        <v>SUPERNUMERARIO/ACARGO COMERCIALVACANTE DESDE RECLUTAMIENTO</v>
      </c>
      <c r="B2" s="87" t="s">
        <v>1406</v>
      </c>
      <c r="C2" s="87" t="s">
        <v>52</v>
      </c>
      <c r="D2" s="320" t="s">
        <v>51</v>
      </c>
    </row>
    <row r="3" spans="1:4" x14ac:dyDescent="0.25">
      <c r="A3" s="374" t="str">
        <f t="shared" si="0"/>
        <v>JEFE COMERCIALJEFE/DIRECTOR/GERENTEVACANTE DESDE RECLUTAMIENTO</v>
      </c>
      <c r="B3" s="27" t="s">
        <v>64</v>
      </c>
      <c r="C3" s="87" t="s">
        <v>65</v>
      </c>
      <c r="D3" s="314" t="s">
        <v>51</v>
      </c>
    </row>
    <row r="4" spans="1:4" x14ac:dyDescent="0.25">
      <c r="A4" s="374" t="str">
        <f t="shared" si="0"/>
        <v>APRENDIZ SENAESTUDIANTE/APRENDIZVACANTE DESDE RECLUTAMIENTO</v>
      </c>
      <c r="B4" s="27" t="s">
        <v>72</v>
      </c>
      <c r="C4" s="22" t="s">
        <v>73</v>
      </c>
      <c r="D4" s="321" t="s">
        <v>51</v>
      </c>
    </row>
    <row r="5" spans="1:4" x14ac:dyDescent="0.25">
      <c r="A5" s="374" t="str">
        <f t="shared" si="0"/>
        <v>EJECUTIVO/A AFILIACIONCARGO COMERCIALVACANTE DESDE RECLUTAMIENTO</v>
      </c>
      <c r="B5" s="87" t="s">
        <v>92</v>
      </c>
      <c r="C5" s="87" t="s">
        <v>52</v>
      </c>
      <c r="D5" s="321" t="s">
        <v>51</v>
      </c>
    </row>
    <row r="6" spans="1:4" x14ac:dyDescent="0.25">
      <c r="A6" s="374" t="str">
        <f t="shared" si="0"/>
        <v>ESTUDIANTE EN PRACTICAESTUDIANTE/APRENDIZVACANTE DESDE RECLUTAMIENTO</v>
      </c>
      <c r="B6" s="87" t="s">
        <v>96</v>
      </c>
      <c r="C6" s="22" t="s">
        <v>73</v>
      </c>
      <c r="D6" s="321" t="s">
        <v>51</v>
      </c>
    </row>
    <row r="7" spans="1:4" x14ac:dyDescent="0.25">
      <c r="A7" s="374" t="str">
        <f t="shared" si="0"/>
        <v>GESTOR/A COOPERATIVO ESPECIALIZADOCARGO COMERCIALEMPRESA ENVIA EL CANDIDATO</v>
      </c>
      <c r="B7" s="111" t="s">
        <v>102</v>
      </c>
      <c r="C7" s="111" t="s">
        <v>52</v>
      </c>
      <c r="D7" s="321" t="s">
        <v>101</v>
      </c>
    </row>
    <row r="8" spans="1:4" x14ac:dyDescent="0.25">
      <c r="A8" s="374" t="str">
        <f t="shared" si="0"/>
        <v>AUXILIAR ENFERMERIASALUD/ASISTENCIALVACANTE DESDE RECLUTAMIENTO</v>
      </c>
      <c r="B8" s="87" t="s">
        <v>350</v>
      </c>
      <c r="C8" s="159" t="s">
        <v>105</v>
      </c>
      <c r="D8" s="320" t="s">
        <v>51</v>
      </c>
    </row>
    <row r="9" spans="1:4" x14ac:dyDescent="0.25">
      <c r="A9" s="374" t="str">
        <f t="shared" si="0"/>
        <v>AUXILIAR DIGITALIZACIÓNAUXILIAR/OPERATIVOCONCURSO MIXTO</v>
      </c>
      <c r="B9" s="27" t="s">
        <v>117</v>
      </c>
      <c r="C9" s="159" t="s">
        <v>118</v>
      </c>
      <c r="D9" s="320" t="s">
        <v>116</v>
      </c>
    </row>
    <row r="10" spans="1:4" x14ac:dyDescent="0.25">
      <c r="A10" s="374" t="str">
        <f t="shared" si="0"/>
        <v>INGENIERO/A GESTIÓN DE LA INFORMACIÓNANALISTA/PROFESIONAL/COORDINADORCONCURSO INTERNO</v>
      </c>
      <c r="B10" s="27" t="s">
        <v>141</v>
      </c>
      <c r="C10" s="87" t="s">
        <v>142</v>
      </c>
      <c r="D10" s="314" t="s">
        <v>140</v>
      </c>
    </row>
    <row r="11" spans="1:4" x14ac:dyDescent="0.25">
      <c r="A11" s="374" t="str">
        <f t="shared" si="0"/>
        <v>ANALISTA SERVICIOS GESTION HUMANAANALISTA/PROFESIONAL/COORDINADORCONCURSO INTERNO</v>
      </c>
      <c r="B11" s="87" t="s">
        <v>147</v>
      </c>
      <c r="C11" s="87" t="s">
        <v>142</v>
      </c>
      <c r="D11" s="320" t="s">
        <v>140</v>
      </c>
    </row>
    <row r="12" spans="1:4" x14ac:dyDescent="0.25">
      <c r="A12" s="374" t="str">
        <f t="shared" si="0"/>
        <v>INGENIERO/A RPAANALISTA/PROFESIONAL/COORDINADORVACANTE DESDE RECLUTAMIENTO</v>
      </c>
      <c r="B12" s="87" t="s">
        <v>152</v>
      </c>
      <c r="C12" s="87" t="s">
        <v>142</v>
      </c>
      <c r="D12" s="321" t="s">
        <v>51</v>
      </c>
    </row>
    <row r="13" spans="1:4" x14ac:dyDescent="0.25">
      <c r="A13" s="374" t="str">
        <f t="shared" si="0"/>
        <v>AUXILIAR DIGITALIZACIÓNAUXILIAR/OPERATIVOVACANTE DESDE RECLUTAMIENTO</v>
      </c>
      <c r="B13" s="22" t="s">
        <v>117</v>
      </c>
      <c r="C13" s="159" t="s">
        <v>118</v>
      </c>
      <c r="D13" s="375" t="s">
        <v>51</v>
      </c>
    </row>
    <row r="14" spans="1:4" x14ac:dyDescent="0.25">
      <c r="A14" s="374" t="str">
        <f t="shared" si="0"/>
        <v>ESTUDIANTE EN PRACTICAESTUDIANTE/APRENDIZEMPRESA ENVIA EL CANDIDATO</v>
      </c>
      <c r="B14" s="159" t="s">
        <v>96</v>
      </c>
      <c r="C14" s="22" t="s">
        <v>73</v>
      </c>
      <c r="D14" s="364" t="s">
        <v>101</v>
      </c>
    </row>
    <row r="15" spans="1:4" x14ac:dyDescent="0.25">
      <c r="A15" s="374" t="str">
        <f t="shared" si="0"/>
        <v>NUTRICIONISTA CENTRAL CEMSALUD/ASISTENCIALVACANTE DESDE RECLUTAMIENTO</v>
      </c>
      <c r="B15" s="87" t="s">
        <v>170</v>
      </c>
      <c r="C15" s="87" t="s">
        <v>105</v>
      </c>
      <c r="D15" s="321" t="s">
        <v>51</v>
      </c>
    </row>
    <row r="16" spans="1:4" x14ac:dyDescent="0.25">
      <c r="A16" s="374" t="str">
        <f t="shared" si="0"/>
        <v>ANALISTA NAL MERCADEOANALISTA/PROFESIONAL/COORDINADORCONCURSO MIXTO</v>
      </c>
      <c r="B16" s="87" t="s">
        <v>174</v>
      </c>
      <c r="C16" s="87" t="s">
        <v>142</v>
      </c>
      <c r="D16" s="321" t="s">
        <v>116</v>
      </c>
    </row>
    <row r="17" spans="1:4" x14ac:dyDescent="0.25">
      <c r="A17" s="374" t="str">
        <f t="shared" si="0"/>
        <v>ANALISTA NAL MERCADEOANALISTA/PROFESIONAL/COORDINADORCONCURSO INTERNO</v>
      </c>
      <c r="B17" s="87" t="s">
        <v>174</v>
      </c>
      <c r="C17" s="87" t="s">
        <v>142</v>
      </c>
      <c r="D17" s="321" t="s">
        <v>140</v>
      </c>
    </row>
    <row r="18" spans="1:4" x14ac:dyDescent="0.25">
      <c r="A18" s="374" t="str">
        <f t="shared" si="0"/>
        <v>ENFERMERO(A) CMSALUD/ASISTENCIALVACANTE DESDE RECLUTAMIENTO</v>
      </c>
      <c r="B18" s="159" t="s">
        <v>1624</v>
      </c>
      <c r="C18" s="87" t="s">
        <v>105</v>
      </c>
      <c r="D18" s="321" t="s">
        <v>51</v>
      </c>
    </row>
    <row r="19" spans="1:4" x14ac:dyDescent="0.25">
      <c r="A19" s="374" t="str">
        <f t="shared" si="0"/>
        <v>ANALISTA OPERACIONES CREDITO Y CARTERAANALISTA/PROFESIONAL/COORDINADORVACANTE DESDE RECLUTAMIENTO</v>
      </c>
      <c r="B19" s="87" t="s">
        <v>184</v>
      </c>
      <c r="C19" s="87" t="s">
        <v>142</v>
      </c>
      <c r="D19" s="320" t="s">
        <v>51</v>
      </c>
    </row>
    <row r="20" spans="1:4" x14ac:dyDescent="0.25">
      <c r="A20" s="374" t="str">
        <f t="shared" si="0"/>
        <v>EJECUTIVO(A) AFILIACION SAOCARGO COMERCIALVACANTE DESDE RECLUTAMIENTO</v>
      </c>
      <c r="B20" s="22" t="s">
        <v>188</v>
      </c>
      <c r="C20" s="27" t="s">
        <v>52</v>
      </c>
      <c r="D20" s="375" t="s">
        <v>51</v>
      </c>
    </row>
    <row r="21" spans="1:4" x14ac:dyDescent="0.25">
      <c r="A21" s="374" t="str">
        <f t="shared" si="0"/>
        <v>AUXILIAR COMPRASAUXILIAR/OPERATIVOEMPRESA ENVIA EL CANDIDATO</v>
      </c>
      <c r="B21" s="239" t="s">
        <v>193</v>
      </c>
      <c r="C21" s="159" t="s">
        <v>118</v>
      </c>
      <c r="D21" s="314" t="s">
        <v>101</v>
      </c>
    </row>
    <row r="22" spans="1:4" x14ac:dyDescent="0.25">
      <c r="A22" s="374" t="str">
        <f t="shared" si="0"/>
        <v>AUXILIAR NAL CENTRAL ASISTENCIALSALUD/ASISTENCIALVACANTE DESDE RECLUTAMIENTO</v>
      </c>
      <c r="B22" s="87" t="s">
        <v>205</v>
      </c>
      <c r="C22" s="87" t="s">
        <v>105</v>
      </c>
      <c r="D22" s="320" t="s">
        <v>51</v>
      </c>
    </row>
    <row r="23" spans="1:4" x14ac:dyDescent="0.25">
      <c r="A23" s="374" t="str">
        <f t="shared" si="0"/>
        <v>AUXILIAR ADMISIONESAUXILIAR/OPERATIVOVACANTE DESDE RECLUTAMIENTO</v>
      </c>
      <c r="B23" s="87" t="s">
        <v>210</v>
      </c>
      <c r="C23" s="159" t="s">
        <v>118</v>
      </c>
      <c r="D23" s="321" t="s">
        <v>51</v>
      </c>
    </row>
    <row r="24" spans="1:4" x14ac:dyDescent="0.25">
      <c r="A24" s="374" t="str">
        <f t="shared" si="0"/>
        <v>EJECUTIVO(A) SERVICIO AL CLIENTEAUXILIAR/OPERATIVOCONCURSO MIXTO</v>
      </c>
      <c r="B24" s="87" t="s">
        <v>214</v>
      </c>
      <c r="C24" s="159" t="s">
        <v>118</v>
      </c>
      <c r="D24" s="321" t="s">
        <v>116</v>
      </c>
    </row>
    <row r="25" spans="1:4" x14ac:dyDescent="0.25">
      <c r="A25" s="374" t="str">
        <f t="shared" si="0"/>
        <v>AUXILIAR TALENTO y LIDERAZGOAUXILIAR/OPERATIVOCONCURSO INTERNO</v>
      </c>
      <c r="B25" s="87" t="s">
        <v>218</v>
      </c>
      <c r="C25" s="159" t="s">
        <v>118</v>
      </c>
      <c r="D25" s="320" t="s">
        <v>140</v>
      </c>
    </row>
    <row r="26" spans="1:4" x14ac:dyDescent="0.25">
      <c r="A26" s="374" t="str">
        <f t="shared" si="0"/>
        <v>ANALISTA NAL MERCADEOANALISTA/PROFESIONAL/COORDINADOREMPRESA ENVIA EL CANDIDATO</v>
      </c>
      <c r="B26" s="87" t="s">
        <v>174</v>
      </c>
      <c r="C26" s="87" t="s">
        <v>142</v>
      </c>
      <c r="D26" s="321" t="s">
        <v>101</v>
      </c>
    </row>
    <row r="27" spans="1:4" x14ac:dyDescent="0.25">
      <c r="A27" s="374" t="str">
        <f t="shared" si="0"/>
        <v>ASESOR/A INTEGRALCARGO COMERCIALVACANTE DESDE RECLUTAMIENTO</v>
      </c>
      <c r="B27" s="27" t="s">
        <v>227</v>
      </c>
      <c r="C27" s="22" t="s">
        <v>52</v>
      </c>
      <c r="D27" s="376" t="s">
        <v>51</v>
      </c>
    </row>
    <row r="28" spans="1:4" x14ac:dyDescent="0.25">
      <c r="A28" s="374" t="str">
        <f t="shared" si="0"/>
        <v>AUXILIAR REG SERV DESARROLLO EMPAUXILIAR/OPERATIVOCONCURSO INTERNO</v>
      </c>
      <c r="B28" s="87" t="s">
        <v>232</v>
      </c>
      <c r="C28" s="159" t="s">
        <v>118</v>
      </c>
      <c r="D28" s="320" t="s">
        <v>140</v>
      </c>
    </row>
    <row r="29" spans="1:4" x14ac:dyDescent="0.25">
      <c r="A29" s="374" t="str">
        <f t="shared" si="0"/>
        <v>EJECUTIVO/A ATENCION INTEGRALAUXILIAR/OPERATIVOVACANTE DESDE RECLUTAMIENTO</v>
      </c>
      <c r="B29" s="87" t="s">
        <v>976</v>
      </c>
      <c r="C29" s="159" t="s">
        <v>118</v>
      </c>
      <c r="D29" s="321" t="s">
        <v>51</v>
      </c>
    </row>
    <row r="30" spans="1:4" x14ac:dyDescent="0.25">
      <c r="A30" s="374" t="str">
        <f t="shared" si="0"/>
        <v>EJECUTIVO/A AFILIACION CEM MPCARGO COMERCIALVACANTE DESDE RECLUTAMIENTO</v>
      </c>
      <c r="B30" s="111" t="s">
        <v>239</v>
      </c>
      <c r="C30" s="87" t="s">
        <v>52</v>
      </c>
      <c r="D30" s="320" t="s">
        <v>51</v>
      </c>
    </row>
    <row r="31" spans="1:4" x14ac:dyDescent="0.25">
      <c r="A31" s="374" t="str">
        <f t="shared" si="0"/>
        <v>AUXILIAR NAL CENTRAL ASISTENCIALSALUD/ASISTENCIALEMPRESA ENVIA EL CANDIDATO</v>
      </c>
      <c r="B31" s="87" t="s">
        <v>205</v>
      </c>
      <c r="C31" s="87" t="s">
        <v>105</v>
      </c>
      <c r="D31" s="364" t="s">
        <v>101</v>
      </c>
    </row>
    <row r="32" spans="1:4" x14ac:dyDescent="0.25">
      <c r="A32" s="374" t="str">
        <f t="shared" si="0"/>
        <v>COORDINADOR REG. CANAL DE GESTORESCARGO COMERCIALCONCURSO MIXTO</v>
      </c>
      <c r="B32" s="27" t="s">
        <v>246</v>
      </c>
      <c r="C32" s="87" t="s">
        <v>52</v>
      </c>
      <c r="D32" s="320" t="s">
        <v>116</v>
      </c>
    </row>
    <row r="33" spans="1:4" x14ac:dyDescent="0.25">
      <c r="A33" s="374" t="str">
        <f t="shared" si="0"/>
        <v>GESTOR/A OPERACIONESANALISTA/PROFESIONAL/COORDINADORCONCURSO MIXTO</v>
      </c>
      <c r="B33" s="27" t="s">
        <v>250</v>
      </c>
      <c r="C33" s="87" t="s">
        <v>142</v>
      </c>
      <c r="D33" s="314" t="s">
        <v>116</v>
      </c>
    </row>
    <row r="34" spans="1:4" x14ac:dyDescent="0.25">
      <c r="A34" s="374" t="str">
        <f t="shared" si="0"/>
        <v>NEGOCIADOR/AANALISTA/PROFESIONAL/COORDINADOREMPRESA ENVIA EL CANDIDATO</v>
      </c>
      <c r="B34" s="22" t="s">
        <v>259</v>
      </c>
      <c r="C34" s="87" t="s">
        <v>142</v>
      </c>
      <c r="D34" s="314" t="s">
        <v>101</v>
      </c>
    </row>
    <row r="35" spans="1:4" x14ac:dyDescent="0.25">
      <c r="A35" s="374" t="str">
        <f t="shared" si="0"/>
        <v>TÉCNICO/A SEGURIDAD Y SALUD EN EL TRABAJOAUXILIAR/OPERATIVOVACANTE DESDE RECLUTAMIENTO</v>
      </c>
      <c r="B35" s="27" t="s">
        <v>268</v>
      </c>
      <c r="C35" s="159" t="s">
        <v>118</v>
      </c>
      <c r="D35" s="314" t="s">
        <v>51</v>
      </c>
    </row>
    <row r="36" spans="1:4" x14ac:dyDescent="0.25">
      <c r="A36" s="374" t="str">
        <f t="shared" si="0"/>
        <v>AUDITOR/AANALISTA/PROFESIONAL/COORDINADORSOLO CONTRATACION</v>
      </c>
      <c r="B36" s="87" t="s">
        <v>272</v>
      </c>
      <c r="C36" s="87" t="s">
        <v>142</v>
      </c>
      <c r="D36" s="320" t="s">
        <v>271</v>
      </c>
    </row>
    <row r="37" spans="1:4" x14ac:dyDescent="0.25">
      <c r="A37" s="374" t="str">
        <f t="shared" si="0"/>
        <v>ASESOR/A VENTASCARGO COMERCIALEMPRESA ENVIA EL CANDIDATO</v>
      </c>
      <c r="B37" s="159" t="s">
        <v>276</v>
      </c>
      <c r="C37" s="22" t="s">
        <v>52</v>
      </c>
      <c r="D37" s="364" t="s">
        <v>101</v>
      </c>
    </row>
    <row r="38" spans="1:4" x14ac:dyDescent="0.25">
      <c r="A38" s="374" t="str">
        <f t="shared" si="0"/>
        <v>ASESOR/A EN LOGISTICAAUXILIAR/OPERATIVOVACANTE DESDE RECLUTAMIENTO</v>
      </c>
      <c r="B38" s="87" t="s">
        <v>289</v>
      </c>
      <c r="C38" s="159" t="s">
        <v>118</v>
      </c>
      <c r="D38" s="321" t="s">
        <v>51</v>
      </c>
    </row>
    <row r="39" spans="1:4" x14ac:dyDescent="0.25">
      <c r="A39" s="374" t="str">
        <f t="shared" si="0"/>
        <v>ANALISTA MTTO CUENTASANALISTA/PROFESIONAL/COORDINADOREMPRESA ENVIA EL CANDIDATO</v>
      </c>
      <c r="B39" s="87" t="s">
        <v>306</v>
      </c>
      <c r="C39" s="87" t="s">
        <v>142</v>
      </c>
      <c r="D39" s="364" t="s">
        <v>101</v>
      </c>
    </row>
    <row r="40" spans="1:4" x14ac:dyDescent="0.25">
      <c r="A40" s="374" t="str">
        <f t="shared" si="0"/>
        <v>ASESOR/A INTEGRALCARGO COMERCIALEMPRESA ENVIA EL CANDIDATO</v>
      </c>
      <c r="B40" s="27" t="s">
        <v>227</v>
      </c>
      <c r="C40" s="22" t="s">
        <v>52</v>
      </c>
      <c r="D40" s="364" t="s">
        <v>101</v>
      </c>
    </row>
    <row r="41" spans="1:4" x14ac:dyDescent="0.25">
      <c r="A41" s="374" t="str">
        <f t="shared" si="0"/>
        <v>INGENIERO/A TREN SOLUCIONES IANALISTA/PROFESIONAL/COORDINADOREMPRESA ENVIA EL CANDIDATO</v>
      </c>
      <c r="B41" s="87" t="s">
        <v>317</v>
      </c>
      <c r="C41" s="87" t="s">
        <v>142</v>
      </c>
      <c r="D41" s="364" t="s">
        <v>101</v>
      </c>
    </row>
    <row r="42" spans="1:4" x14ac:dyDescent="0.25">
      <c r="A42" s="374" t="str">
        <f t="shared" si="0"/>
        <v>EJECUTIVO/A ATENCION INTEGRALAUXILIAR/OPERATIVOEMPRESA ENVIA EL CANDIDATO</v>
      </c>
      <c r="B42" s="87" t="s">
        <v>976</v>
      </c>
      <c r="C42" s="159" t="s">
        <v>118</v>
      </c>
      <c r="D42" s="320" t="s">
        <v>101</v>
      </c>
    </row>
    <row r="43" spans="1:4" x14ac:dyDescent="0.25">
      <c r="A43" s="374" t="str">
        <f t="shared" si="0"/>
        <v>AUXILIAR ADMISIONESAUXILIAR/OPERATIVOEMPRESA ENVIA EL CANDIDATO</v>
      </c>
      <c r="B43" s="87" t="s">
        <v>210</v>
      </c>
      <c r="C43" s="159" t="s">
        <v>118</v>
      </c>
      <c r="D43" s="321" t="s">
        <v>101</v>
      </c>
    </row>
    <row r="44" spans="1:4" x14ac:dyDescent="0.25">
      <c r="A44" s="374" t="str">
        <f t="shared" si="0"/>
        <v>AUXILIAR IMAGENES DIAGNOSTICASSALUD/ASISTENCIALEMPRESA ENVIA EL CANDIDATO</v>
      </c>
      <c r="B44" s="87" t="s">
        <v>346</v>
      </c>
      <c r="C44" s="87" t="s">
        <v>105</v>
      </c>
      <c r="D44" s="320" t="s">
        <v>101</v>
      </c>
    </row>
    <row r="45" spans="1:4" x14ac:dyDescent="0.25">
      <c r="A45" s="374" t="str">
        <f t="shared" si="0"/>
        <v>AUXILIAR ENFERMERIASALUD/ASISTENCIALEMPRESA ENVIA EL CANDIDATO</v>
      </c>
      <c r="B45" s="87" t="s">
        <v>350</v>
      </c>
      <c r="C45" s="87" t="s">
        <v>105</v>
      </c>
      <c r="D45" s="321" t="s">
        <v>101</v>
      </c>
    </row>
    <row r="46" spans="1:4" x14ac:dyDescent="0.25">
      <c r="A46" s="374" t="str">
        <f t="shared" si="0"/>
        <v>AUXILIAR MAESTRASAUXILIAR/OPERATIVOEMPRESA ENVIA EL CANDIDATO</v>
      </c>
      <c r="B46" s="27" t="s">
        <v>379</v>
      </c>
      <c r="C46" s="159" t="s">
        <v>118</v>
      </c>
      <c r="D46" s="314" t="s">
        <v>101</v>
      </c>
    </row>
    <row r="47" spans="1:4" x14ac:dyDescent="0.25">
      <c r="A47" s="374" t="str">
        <f t="shared" si="0"/>
        <v>ANALISTA REG MICROCREDITO ADMINISTRATIVOANALISTA/PROFESIONAL/COORDINADOREMPRESA ENVIA EL CANDIDATO</v>
      </c>
      <c r="B47" s="87" t="s">
        <v>383</v>
      </c>
      <c r="C47" s="87" t="s">
        <v>142</v>
      </c>
      <c r="D47" s="364" t="s">
        <v>101</v>
      </c>
    </row>
    <row r="48" spans="1:4" x14ac:dyDescent="0.25">
      <c r="A48" s="374" t="str">
        <f t="shared" si="0"/>
        <v>DIRECTOR/A COMERCIAL Y MERCADEOJEFE/DIRECTOR/GERENTEEMPRESA ENVIA EL CANDIDATO</v>
      </c>
      <c r="B48" s="159" t="s">
        <v>388</v>
      </c>
      <c r="C48" s="87" t="s">
        <v>65</v>
      </c>
      <c r="D48" s="364" t="s">
        <v>101</v>
      </c>
    </row>
    <row r="49" spans="1:4" x14ac:dyDescent="0.25">
      <c r="A49" s="374" t="str">
        <f t="shared" si="0"/>
        <v>COORDINADOR/A MERCADEOANALISTA/PROFESIONAL/COORDINADOREMPRESA ENVIA EL CANDIDATO</v>
      </c>
      <c r="B49" s="290" t="s">
        <v>391</v>
      </c>
      <c r="C49" s="290" t="s">
        <v>142</v>
      </c>
      <c r="D49" s="377" t="s">
        <v>101</v>
      </c>
    </row>
    <row r="50" spans="1:4" x14ac:dyDescent="0.25">
      <c r="A50" s="374" t="str">
        <f t="shared" si="0"/>
        <v>JEFE/A TECNOLOGIAJEFE/DIRECTOR/GERENTEEMPRESA ENVIA EL CANDIDATO</v>
      </c>
      <c r="B50" s="87" t="s">
        <v>393</v>
      </c>
      <c r="C50" s="87" t="s">
        <v>65</v>
      </c>
      <c r="D50" s="364" t="s">
        <v>101</v>
      </c>
    </row>
    <row r="51" spans="1:4" x14ac:dyDescent="0.25">
      <c r="A51" s="374" t="str">
        <f t="shared" si="0"/>
        <v>GESTOR/A OPERACIONESANALISTA/PROFESIONAL/COORDINADOREMPRESA ENVIA EL CANDIDATO</v>
      </c>
      <c r="B51" s="87" t="s">
        <v>250</v>
      </c>
      <c r="C51" s="87" t="s">
        <v>142</v>
      </c>
      <c r="D51" s="364" t="s">
        <v>101</v>
      </c>
    </row>
    <row r="52" spans="1:4" x14ac:dyDescent="0.25">
      <c r="A52" s="374" t="str">
        <f t="shared" si="0"/>
        <v>COORDINADOR DE VENTAS MPCARGO COMERCIALVACANTE DESDE RECLUTAMIENTO</v>
      </c>
      <c r="B52" s="45" t="s">
        <v>397</v>
      </c>
      <c r="C52" s="87" t="s">
        <v>52</v>
      </c>
      <c r="D52" s="321" t="s">
        <v>51</v>
      </c>
    </row>
    <row r="53" spans="1:4" x14ac:dyDescent="0.25">
      <c r="A53" s="374" t="str">
        <f t="shared" si="0"/>
        <v>ANALISTA SERVICIO Y EXPERIENCIAANALISTA/PROFESIONAL/COORDINADOREMPRESA ENVIA EL CANDIDATO</v>
      </c>
      <c r="B53" s="87" t="s">
        <v>402</v>
      </c>
      <c r="C53" s="87" t="s">
        <v>142</v>
      </c>
      <c r="D53" s="364" t="s">
        <v>101</v>
      </c>
    </row>
    <row r="54" spans="1:4" x14ac:dyDescent="0.25">
      <c r="A54" s="374" t="str">
        <f t="shared" si="0"/>
        <v>AUXILIAR SALUDAUXILIAR/OPERATIVOEMPRESA ENVIA EL CANDIDATO</v>
      </c>
      <c r="B54" s="87" t="s">
        <v>406</v>
      </c>
      <c r="C54" s="159" t="s">
        <v>118</v>
      </c>
      <c r="D54" s="364" t="s">
        <v>101</v>
      </c>
    </row>
    <row r="55" spans="1:4" x14ac:dyDescent="0.25">
      <c r="A55" s="374" t="str">
        <f t="shared" si="0"/>
        <v>ADMINISTRADOR/A CONDOMINIOANALISTA/PROFESIONAL/COORDINADOREMPRESA ENVIA EL CANDIDATO</v>
      </c>
      <c r="B55" s="27" t="s">
        <v>409</v>
      </c>
      <c r="C55" s="87" t="s">
        <v>142</v>
      </c>
      <c r="D55" s="314" t="s">
        <v>101</v>
      </c>
    </row>
    <row r="56" spans="1:4" x14ac:dyDescent="0.25">
      <c r="A56" s="374" t="str">
        <f t="shared" si="0"/>
        <v>OPERADOR/A CEMSALUD/ASISTENCIALVACANTE DESDE RECLUTAMIENTO</v>
      </c>
      <c r="B56" s="111" t="s">
        <v>872</v>
      </c>
      <c r="C56" s="87" t="s">
        <v>105</v>
      </c>
      <c r="D56" s="321" t="s">
        <v>51</v>
      </c>
    </row>
    <row r="57" spans="1:4" x14ac:dyDescent="0.25">
      <c r="A57" s="374" t="str">
        <f t="shared" si="0"/>
        <v>GESTOR/A COOPERATIVOCARGO COMERCIALVACANTE DESDE RECLUTAMIENTO</v>
      </c>
      <c r="B57" s="111" t="s">
        <v>456</v>
      </c>
      <c r="C57" s="111" t="s">
        <v>52</v>
      </c>
      <c r="D57" s="321" t="s">
        <v>51</v>
      </c>
    </row>
    <row r="58" spans="1:4" x14ac:dyDescent="0.25">
      <c r="A58" s="374" t="str">
        <f t="shared" si="0"/>
        <v>AUXILIAR TRANSPORTE ASISTENCIALSALUD/ASISTENCIALVACANTE DESDE RECLUTAMIENTO</v>
      </c>
      <c r="B58" s="145" t="s">
        <v>487</v>
      </c>
      <c r="C58" s="87" t="s">
        <v>105</v>
      </c>
      <c r="D58" s="321" t="s">
        <v>51</v>
      </c>
    </row>
    <row r="59" spans="1:4" x14ac:dyDescent="0.25">
      <c r="A59" s="374" t="str">
        <f t="shared" si="0"/>
        <v>ANALISTA RIESGO CREDITOANALISTA/PROFESIONAL/COORDINADORCONCURSO MIXTO</v>
      </c>
      <c r="B59" s="84" t="s">
        <v>461</v>
      </c>
      <c r="C59" s="84" t="s">
        <v>142</v>
      </c>
      <c r="D59" s="324" t="s">
        <v>116</v>
      </c>
    </row>
    <row r="60" spans="1:4" x14ac:dyDescent="0.25">
      <c r="A60" s="374" t="str">
        <f t="shared" si="0"/>
        <v>EJECUTIVO/A NEGOCIOSCARGO COMERCIALVACANTE DESDE RECLUTAMIENTO</v>
      </c>
      <c r="B60" s="111" t="s">
        <v>467</v>
      </c>
      <c r="C60" s="111" t="s">
        <v>52</v>
      </c>
      <c r="D60" s="321" t="s">
        <v>51</v>
      </c>
    </row>
    <row r="61" spans="1:4" x14ac:dyDescent="0.25">
      <c r="A61" s="374" t="str">
        <f t="shared" si="0"/>
        <v>EJECUTIVO DE NEGOCIOSCARGO COMERCIALVACANTE DESDE RECLUTAMIENTO</v>
      </c>
      <c r="B61" s="87" t="s">
        <v>473</v>
      </c>
      <c r="C61" s="87" t="s">
        <v>52</v>
      </c>
      <c r="D61" s="321" t="s">
        <v>51</v>
      </c>
    </row>
    <row r="62" spans="1:4" x14ac:dyDescent="0.25">
      <c r="A62" s="374" t="str">
        <f t="shared" si="0"/>
        <v>ANALISTA GESTION INFORMACIONANALISTA/PROFESIONAL/COORDINADOREMPRESA ENVIA EL CANDIDATO</v>
      </c>
      <c r="B62" s="84" t="s">
        <v>477</v>
      </c>
      <c r="C62" s="84" t="s">
        <v>142</v>
      </c>
      <c r="D62" s="320" t="s">
        <v>101</v>
      </c>
    </row>
    <row r="63" spans="1:4" x14ac:dyDescent="0.25">
      <c r="A63" s="374" t="str">
        <f t="shared" si="0"/>
        <v>GESTOR/A COOPERATIVO ESPECIALIZADOCARGO COMERCIALVACANTE DESDE RECLUTAMIENTO</v>
      </c>
      <c r="B63" s="111" t="s">
        <v>102</v>
      </c>
      <c r="C63" s="87" t="s">
        <v>52</v>
      </c>
      <c r="D63" s="321" t="s">
        <v>51</v>
      </c>
    </row>
    <row r="64" spans="1:4" x14ac:dyDescent="0.25">
      <c r="A64" s="374" t="str">
        <f t="shared" si="0"/>
        <v>ANALISTA ARQUITECTURA EMPRESARIALANALISTA/PROFESIONAL/COORDINADORVACANTE DESDE RECLUTAMIENTO</v>
      </c>
      <c r="B64" s="84" t="s">
        <v>501</v>
      </c>
      <c r="C64" s="84" t="s">
        <v>142</v>
      </c>
      <c r="D64" s="321" t="s">
        <v>51</v>
      </c>
    </row>
    <row r="65" spans="1:4" x14ac:dyDescent="0.25">
      <c r="A65" s="374" t="str">
        <f t="shared" si="0"/>
        <v>AUXILIAR REGIONAL COMERCIAL GCGIAAUXILIAR/OPERATIVOVACANTE DESDE RECLUTAMIENTO</v>
      </c>
      <c r="B65" s="159" t="s">
        <v>507</v>
      </c>
      <c r="C65" s="27" t="s">
        <v>118</v>
      </c>
      <c r="D65" s="321" t="s">
        <v>51</v>
      </c>
    </row>
    <row r="66" spans="1:4" x14ac:dyDescent="0.25">
      <c r="A66" s="374" t="str">
        <f t="shared" ref="A66:A129" si="1">+B66&amp;C66&amp;D66</f>
        <v>ASESOR/A SERVICIOSCARGO COMERCIALEMPRESA ENVIA EL CANDIDATO</v>
      </c>
      <c r="B66" s="84" t="s">
        <v>516</v>
      </c>
      <c r="C66" s="84" t="s">
        <v>52</v>
      </c>
      <c r="D66" s="320" t="s">
        <v>101</v>
      </c>
    </row>
    <row r="67" spans="1:4" x14ac:dyDescent="0.25">
      <c r="A67" s="374" t="str">
        <f t="shared" si="1"/>
        <v>EJECUTIVO/A AFILIACION B2B CEM MPCARGO COMERCIALVACANTE DESDE RECLUTAMIENTO</v>
      </c>
      <c r="B67" s="111" t="s">
        <v>547</v>
      </c>
      <c r="C67" s="87" t="s">
        <v>52</v>
      </c>
      <c r="D67" s="321" t="s">
        <v>51</v>
      </c>
    </row>
    <row r="68" spans="1:4" x14ac:dyDescent="0.25">
      <c r="A68" s="374" t="str">
        <f t="shared" si="1"/>
        <v>ANALISTA MERCADEOANALISTA/PROFESIONAL/COORDINADORVACANTE DESDE RECLUTAMIENTO</v>
      </c>
      <c r="B68" s="84" t="s">
        <v>562</v>
      </c>
      <c r="C68" s="84" t="s">
        <v>142</v>
      </c>
      <c r="D68" s="321" t="s">
        <v>51</v>
      </c>
    </row>
    <row r="69" spans="1:4" x14ac:dyDescent="0.25">
      <c r="A69" s="374" t="str">
        <f t="shared" si="1"/>
        <v>AUXILIAR CREDITOAUXILIAR/OPERATIVOEMPRESA ENVIA EL CANDIDATO</v>
      </c>
      <c r="B69" s="27" t="s">
        <v>574</v>
      </c>
      <c r="C69" s="27" t="s">
        <v>118</v>
      </c>
      <c r="D69" s="320" t="s">
        <v>101</v>
      </c>
    </row>
    <row r="70" spans="1:4" x14ac:dyDescent="0.25">
      <c r="A70" s="374" t="str">
        <f t="shared" si="1"/>
        <v>AUDITOR/A FINANCIEROANALISTA/PROFESIONAL/COORDINADOREMPRESA ENVIA EL CANDIDATO</v>
      </c>
      <c r="B70" s="84" t="s">
        <v>578</v>
      </c>
      <c r="C70" s="84" t="s">
        <v>142</v>
      </c>
      <c r="D70" s="320" t="s">
        <v>101</v>
      </c>
    </row>
    <row r="71" spans="1:4" x14ac:dyDescent="0.25">
      <c r="A71" s="374" t="str">
        <f t="shared" si="1"/>
        <v>EJECUTIVO/A COMERCIAL SECTORIALCARGO COMERCIALVACANTE DESDE RECLUTAMIENTO</v>
      </c>
      <c r="B71" s="27" t="s">
        <v>582</v>
      </c>
      <c r="C71" s="27" t="s">
        <v>52</v>
      </c>
      <c r="D71" s="321" t="s">
        <v>51</v>
      </c>
    </row>
    <row r="72" spans="1:4" x14ac:dyDescent="0.25">
      <c r="A72" s="374" t="str">
        <f t="shared" si="1"/>
        <v>EJECUTIVO/A AFILIACIONCARGO COMERCIALEMPRESA ENVIA EL CANDIDATO</v>
      </c>
      <c r="B72" s="87" t="s">
        <v>92</v>
      </c>
      <c r="C72" s="87" t="s">
        <v>52</v>
      </c>
      <c r="D72" s="320" t="s">
        <v>101</v>
      </c>
    </row>
    <row r="73" spans="1:4" x14ac:dyDescent="0.25">
      <c r="A73" s="374" t="str">
        <f t="shared" si="1"/>
        <v>AUXILIAR DE ENFERMERIA DOMICILIARIOSALUD/ASISTENCIALVACANTE DESDE RECLUTAMIENTO</v>
      </c>
      <c r="B73" s="152" t="s">
        <v>1837</v>
      </c>
      <c r="C73" s="27" t="s">
        <v>105</v>
      </c>
      <c r="D73" s="321" t="s">
        <v>51</v>
      </c>
    </row>
    <row r="74" spans="1:4" x14ac:dyDescent="0.25">
      <c r="A74" s="374" t="str">
        <f t="shared" si="1"/>
        <v>AUXILIAR OPERACIONES FPVAUXILIAR/OPERATIVOCONCURSO MIXTO</v>
      </c>
      <c r="B74" s="84" t="s">
        <v>607</v>
      </c>
      <c r="C74" s="84" t="s">
        <v>118</v>
      </c>
      <c r="D74" s="324" t="s">
        <v>116</v>
      </c>
    </row>
    <row r="75" spans="1:4" x14ac:dyDescent="0.25">
      <c r="A75" s="374" t="str">
        <f t="shared" si="1"/>
        <v>TRADER JUNIORANALISTA/PROFESIONAL/COORDINADORVACANTE DESDE RECLUTAMIENTO</v>
      </c>
      <c r="B75" s="84" t="s">
        <v>613</v>
      </c>
      <c r="C75" s="84" t="s">
        <v>142</v>
      </c>
      <c r="D75" s="321" t="s">
        <v>51</v>
      </c>
    </row>
    <row r="76" spans="1:4" x14ac:dyDescent="0.25">
      <c r="A76" s="374" t="str">
        <f t="shared" si="1"/>
        <v>MEDICO/A GENERALCARGO MEDICOVACANTE DESDE RECLUTAMIENTO</v>
      </c>
      <c r="B76" s="111" t="s">
        <v>624</v>
      </c>
      <c r="C76" s="87" t="s">
        <v>625</v>
      </c>
      <c r="D76" s="321" t="s">
        <v>51</v>
      </c>
    </row>
    <row r="77" spans="1:4" x14ac:dyDescent="0.25">
      <c r="A77" s="374" t="str">
        <f t="shared" si="1"/>
        <v>EJECUTIVO/A COMERCIALCARGO COMERCIALVACANTE DESDE RECLUTAMIENTO</v>
      </c>
      <c r="B77" s="76" t="s">
        <v>640</v>
      </c>
      <c r="C77" s="290" t="s">
        <v>52</v>
      </c>
      <c r="D77" s="378" t="s">
        <v>51</v>
      </c>
    </row>
    <row r="78" spans="1:4" x14ac:dyDescent="0.25">
      <c r="A78" s="374" t="str">
        <f t="shared" si="1"/>
        <v>AUXILIAR ZONAL DE SOPORTE COMERCIAL GCCAUXILIAR/OPERATIVOVACANTE DESDE RECLUTAMIENTO</v>
      </c>
      <c r="B78" s="159" t="s">
        <v>648</v>
      </c>
      <c r="C78" s="27" t="s">
        <v>118</v>
      </c>
      <c r="D78" s="321" t="s">
        <v>51</v>
      </c>
    </row>
    <row r="79" spans="1:4" x14ac:dyDescent="0.25">
      <c r="A79" s="374" t="str">
        <f t="shared" si="1"/>
        <v>EJECUTIVO/A COMERCIALCARGO COMERCIALEMPRESA ENVIA EL CANDIDATO</v>
      </c>
      <c r="B79" s="27" t="s">
        <v>640</v>
      </c>
      <c r="C79" s="27" t="s">
        <v>52</v>
      </c>
      <c r="D79" s="320" t="s">
        <v>101</v>
      </c>
    </row>
    <row r="80" spans="1:4" x14ac:dyDescent="0.25">
      <c r="A80" s="374" t="str">
        <f t="shared" si="1"/>
        <v>EJECUTIVO/A BANCA PYMECARGO COMERCIALEMPRESA ENVIA EL CANDIDATO</v>
      </c>
      <c r="B80" s="84" t="s">
        <v>658</v>
      </c>
      <c r="C80" s="84" t="s">
        <v>52</v>
      </c>
      <c r="D80" s="320" t="s">
        <v>101</v>
      </c>
    </row>
    <row r="81" spans="1:4" x14ac:dyDescent="0.25">
      <c r="A81" s="374" t="str">
        <f t="shared" si="1"/>
        <v>ANALISTA NAL SERVICIO Y EXPERIENCIAANALISTA/PROFESIONAL/COORDINADOREMPRESA ENVIA EL CANDIDATO</v>
      </c>
      <c r="B81" s="84" t="s">
        <v>675</v>
      </c>
      <c r="C81" s="84" t="s">
        <v>142</v>
      </c>
      <c r="D81" s="320" t="s">
        <v>101</v>
      </c>
    </row>
    <row r="82" spans="1:4" x14ac:dyDescent="0.25">
      <c r="A82" s="374" t="str">
        <f t="shared" si="1"/>
        <v>SUPERNUMERARIO/ACARGO COMERCIALEMPRESA ENVIA EL CANDIDATO</v>
      </c>
      <c r="B82" s="87" t="s">
        <v>1406</v>
      </c>
      <c r="C82" s="114" t="s">
        <v>52</v>
      </c>
      <c r="D82" s="320" t="s">
        <v>101</v>
      </c>
    </row>
    <row r="83" spans="1:4" x14ac:dyDescent="0.25">
      <c r="A83" s="374" t="str">
        <f t="shared" si="1"/>
        <v>ANALISTA GESTION CONTABLEANALISTA/PROFESIONAL/COORDINADOREMPRESA ENVIA EL CANDIDATO</v>
      </c>
      <c r="B83" s="84" t="s">
        <v>699</v>
      </c>
      <c r="C83" s="84" t="s">
        <v>142</v>
      </c>
      <c r="D83" s="320" t="s">
        <v>101</v>
      </c>
    </row>
    <row r="84" spans="1:4" x14ac:dyDescent="0.25">
      <c r="A84" s="374" t="str">
        <f t="shared" si="1"/>
        <v>AUXILIAR CONTABILIDADAUXILIAR/OPERATIVOEMPRESA ENVIA EL CANDIDATO</v>
      </c>
      <c r="B84" s="27" t="s">
        <v>712</v>
      </c>
      <c r="C84" s="27" t="s">
        <v>118</v>
      </c>
      <c r="D84" s="320" t="s">
        <v>101</v>
      </c>
    </row>
    <row r="85" spans="1:4" x14ac:dyDescent="0.25">
      <c r="A85" s="374" t="str">
        <f t="shared" si="1"/>
        <v>APRENDIZ SENAESTUDIANTE/APRENDIZEMPRESA ENVIA EL CANDIDATO</v>
      </c>
      <c r="B85" s="27" t="s">
        <v>72</v>
      </c>
      <c r="C85" s="27" t="s">
        <v>73</v>
      </c>
      <c r="D85" s="320" t="s">
        <v>101</v>
      </c>
    </row>
    <row r="86" spans="1:4" x14ac:dyDescent="0.25">
      <c r="A86" s="374" t="str">
        <f t="shared" si="1"/>
        <v>JEFE/A VENTAS MPJEFE/DIRECTOR/GERENTEEMPRESA ENVIA EL CANDIDATO</v>
      </c>
      <c r="B86" s="111" t="s">
        <v>724</v>
      </c>
      <c r="C86" s="111" t="s">
        <v>65</v>
      </c>
      <c r="D86" s="320" t="s">
        <v>101</v>
      </c>
    </row>
    <row r="87" spans="1:4" x14ac:dyDescent="0.25">
      <c r="A87" s="374" t="str">
        <f t="shared" si="1"/>
        <v>EJECUTIVO/A AFILIACION CEM MPCARGO COMERCIALEMPRESA ENVIA EL CANDIDATO</v>
      </c>
      <c r="B87" s="111" t="s">
        <v>239</v>
      </c>
      <c r="C87" s="111" t="s">
        <v>52</v>
      </c>
      <c r="D87" s="320" t="s">
        <v>101</v>
      </c>
    </row>
    <row r="88" spans="1:4" x14ac:dyDescent="0.25">
      <c r="A88" s="374" t="str">
        <f t="shared" si="1"/>
        <v>ASESOR/A VENTASCARGO COMERCIALVACANTE DESDE RECLUTAMIENTO</v>
      </c>
      <c r="B88" s="84" t="s">
        <v>276</v>
      </c>
      <c r="C88" s="87" t="s">
        <v>52</v>
      </c>
      <c r="D88" s="321" t="s">
        <v>51</v>
      </c>
    </row>
    <row r="89" spans="1:4" x14ac:dyDescent="0.25">
      <c r="A89" s="374" t="str">
        <f t="shared" si="1"/>
        <v>EJECUTIVO/A FUERZA MOVIL BCOCARGO COMERCIALVACANTE DESDE RECLUTAMIENTO</v>
      </c>
      <c r="B89" s="159" t="s">
        <v>744</v>
      </c>
      <c r="C89" s="87" t="s">
        <v>52</v>
      </c>
      <c r="D89" s="321" t="s">
        <v>51</v>
      </c>
    </row>
    <row r="90" spans="1:4" x14ac:dyDescent="0.25">
      <c r="A90" s="374" t="str">
        <f t="shared" si="1"/>
        <v>TERAPEUTA DOMICILARIO CEMSALUD/ASISTENCIALEMPRESA ENVIA EL CANDIDATO</v>
      </c>
      <c r="B90" s="87" t="s">
        <v>753</v>
      </c>
      <c r="C90" s="87" t="s">
        <v>105</v>
      </c>
      <c r="D90" s="321" t="s">
        <v>101</v>
      </c>
    </row>
    <row r="91" spans="1:4" x14ac:dyDescent="0.25">
      <c r="A91" s="374" t="str">
        <f t="shared" si="1"/>
        <v>EJECUTIVO/A COMERCIALCARGO COMERCIALPROMOCION INTERNA</v>
      </c>
      <c r="B91" s="27" t="s">
        <v>640</v>
      </c>
      <c r="C91" s="87" t="s">
        <v>52</v>
      </c>
      <c r="D91" s="322" t="s">
        <v>1465</v>
      </c>
    </row>
    <row r="92" spans="1:4" x14ac:dyDescent="0.25">
      <c r="A92" s="374" t="str">
        <f t="shared" si="1"/>
        <v>AUXILIAR NAL OTORGAMIENTO AMPAROSAUXILIAR/OPERATIVOEMPRESA ENVIA EL CANDIDATO</v>
      </c>
      <c r="B92" s="27" t="s">
        <v>769</v>
      </c>
      <c r="C92" s="27" t="s">
        <v>118</v>
      </c>
      <c r="D92" s="320" t="s">
        <v>101</v>
      </c>
    </row>
    <row r="93" spans="1:4" x14ac:dyDescent="0.25">
      <c r="A93" s="374" t="str">
        <f t="shared" si="1"/>
        <v>TERAPEUTA DOMICILARIO CEMSALUD/ASISTENCIALVACANTE DESDE RECLUTAMIENTO</v>
      </c>
      <c r="B93" s="87" t="s">
        <v>753</v>
      </c>
      <c r="C93" s="87" t="s">
        <v>105</v>
      </c>
      <c r="D93" s="321" t="s">
        <v>51</v>
      </c>
    </row>
    <row r="94" spans="1:4" x14ac:dyDescent="0.25">
      <c r="A94" s="374" t="str">
        <f t="shared" si="1"/>
        <v>JEFE/A REG. BIENESTARJEFE/DIRECTOR/GERENTECONCURSO MIXTO</v>
      </c>
      <c r="B94" s="111" t="s">
        <v>792</v>
      </c>
      <c r="C94" s="111" t="s">
        <v>65</v>
      </c>
      <c r="D94" s="321" t="s">
        <v>116</v>
      </c>
    </row>
    <row r="95" spans="1:4" x14ac:dyDescent="0.25">
      <c r="A95" s="374" t="str">
        <f t="shared" si="1"/>
        <v>COORDINADOR/A NAL SERVICIO Y EXPERIENCIAANALISTA/PROFESIONAL/COORDINADOREMPRESA ENVIA EL CANDIDATO</v>
      </c>
      <c r="B95" s="84" t="s">
        <v>796</v>
      </c>
      <c r="C95" s="84" t="s">
        <v>142</v>
      </c>
      <c r="D95" s="320" t="s">
        <v>101</v>
      </c>
    </row>
    <row r="96" spans="1:4" x14ac:dyDescent="0.25">
      <c r="A96" s="374" t="str">
        <f t="shared" si="1"/>
        <v>GERENTE OFICINA BCOCARGO COMERCIALVACANTE DESDE RECLUTAMIENTO</v>
      </c>
      <c r="B96" s="240" t="s">
        <v>814</v>
      </c>
      <c r="C96" s="87" t="s">
        <v>52</v>
      </c>
      <c r="D96" s="321" t="s">
        <v>51</v>
      </c>
    </row>
    <row r="97" spans="1:4" x14ac:dyDescent="0.25">
      <c r="A97" s="374" t="str">
        <f t="shared" si="1"/>
        <v>AUXILIAR ADMINISTRATIVAAUXILIAR/OPERATIVOEMPRESA ENVIA EL CANDIDATO</v>
      </c>
      <c r="B97" s="27" t="s">
        <v>821</v>
      </c>
      <c r="C97" s="27" t="s">
        <v>118</v>
      </c>
      <c r="D97" s="320" t="s">
        <v>101</v>
      </c>
    </row>
    <row r="98" spans="1:4" x14ac:dyDescent="0.25">
      <c r="A98" s="374" t="str">
        <f t="shared" si="1"/>
        <v>EJECUTIVO/A AFILIACION B2B CEM MPCARGO COMERCIALEMPRESA ENVIA EL CANDIDATO</v>
      </c>
      <c r="B98" s="111" t="s">
        <v>547</v>
      </c>
      <c r="C98" s="111" t="s">
        <v>52</v>
      </c>
      <c r="D98" s="320" t="s">
        <v>101</v>
      </c>
    </row>
    <row r="99" spans="1:4" x14ac:dyDescent="0.25">
      <c r="A99" s="374" t="str">
        <f t="shared" si="1"/>
        <v>ABOGADO/AANALISTA/PROFESIONAL/COORDINADOREMPRESA ENVIA EL CANDIDATO</v>
      </c>
      <c r="B99" s="84" t="s">
        <v>840</v>
      </c>
      <c r="C99" s="84" t="s">
        <v>142</v>
      </c>
      <c r="D99" s="320" t="s">
        <v>101</v>
      </c>
    </row>
    <row r="100" spans="1:4" x14ac:dyDescent="0.25">
      <c r="A100" s="374" t="str">
        <f t="shared" si="1"/>
        <v>AUXILIAR SARLAFTAUXILIAR/OPERATIVOEMPRESA ENVIA EL CANDIDATO</v>
      </c>
      <c r="B100" s="84" t="s">
        <v>844</v>
      </c>
      <c r="C100" s="84" t="s">
        <v>118</v>
      </c>
      <c r="D100" s="320" t="s">
        <v>101</v>
      </c>
    </row>
    <row r="101" spans="1:4" x14ac:dyDescent="0.25">
      <c r="A101" s="374" t="str">
        <f t="shared" si="1"/>
        <v>GESTOR/A COLABORADORESANALISTA/PROFESIONAL/COORDINADORSOLO CONTRATACION</v>
      </c>
      <c r="B101" s="84" t="s">
        <v>847</v>
      </c>
      <c r="C101" s="84" t="s">
        <v>142</v>
      </c>
      <c r="D101" s="320" t="s">
        <v>271</v>
      </c>
    </row>
    <row r="102" spans="1:4" x14ac:dyDescent="0.25">
      <c r="A102" s="374" t="str">
        <f t="shared" si="1"/>
        <v>EJECUTIVO(A) SERVICIO AL PRESTADOR MPANALISTA/PROFESIONAL/COORDINADOREMPRESA ENVIA EL CANDIDATO</v>
      </c>
      <c r="B102" s="87" t="s">
        <v>852</v>
      </c>
      <c r="C102" s="159" t="s">
        <v>142</v>
      </c>
      <c r="D102" s="320" t="s">
        <v>101</v>
      </c>
    </row>
    <row r="103" spans="1:4" x14ac:dyDescent="0.25">
      <c r="A103" s="374" t="str">
        <f t="shared" si="1"/>
        <v>DIRECTOR(A) NAL ABASTECIMIENTOJEFE/DIRECTOR/GERENTESOLO CONTRATACION</v>
      </c>
      <c r="B103" s="84" t="s">
        <v>856</v>
      </c>
      <c r="C103" s="84" t="s">
        <v>65</v>
      </c>
      <c r="D103" s="324" t="s">
        <v>271</v>
      </c>
    </row>
    <row r="104" spans="1:4" x14ac:dyDescent="0.25">
      <c r="A104" s="374" t="str">
        <f t="shared" si="1"/>
        <v>ANALISTA REG MICROCREDITOCARGO COMERCIALVACANTE DESDE RECLUTAMIENTO</v>
      </c>
      <c r="B104" s="111" t="s">
        <v>882</v>
      </c>
      <c r="C104" s="84" t="s">
        <v>52</v>
      </c>
      <c r="D104" s="376" t="s">
        <v>51</v>
      </c>
    </row>
    <row r="105" spans="1:4" x14ac:dyDescent="0.25">
      <c r="A105" s="374" t="str">
        <f t="shared" si="1"/>
        <v>EJECUTIVO/A COMERCIAL VINCULACIONCARGO COMERCIALVACANTE DESDE RECLUTAMIENTO</v>
      </c>
      <c r="B105" s="87" t="s">
        <v>885</v>
      </c>
      <c r="C105" s="84" t="s">
        <v>52</v>
      </c>
      <c r="D105" s="376" t="s">
        <v>51</v>
      </c>
    </row>
    <row r="106" spans="1:4" x14ac:dyDescent="0.25">
      <c r="A106" s="374" t="str">
        <f t="shared" si="1"/>
        <v>GERENTE ZONALCARGO COMERCIALSOLO CONTRATACION</v>
      </c>
      <c r="B106" s="111" t="s">
        <v>897</v>
      </c>
      <c r="C106" s="84" t="s">
        <v>52</v>
      </c>
      <c r="D106" s="376" t="s">
        <v>271</v>
      </c>
    </row>
    <row r="107" spans="1:4" x14ac:dyDescent="0.25">
      <c r="A107" s="374" t="str">
        <f t="shared" si="1"/>
        <v>EJECUTIVO/A PROFUNDIZACIONCARGO COMERCIALVACANTE DESDE RECLUTAMIENTO</v>
      </c>
      <c r="B107" s="152" t="s">
        <v>899</v>
      </c>
      <c r="C107" s="84" t="s">
        <v>52</v>
      </c>
      <c r="D107" s="376" t="s">
        <v>51</v>
      </c>
    </row>
    <row r="108" spans="1:4" x14ac:dyDescent="0.25">
      <c r="A108" s="374" t="str">
        <f t="shared" si="1"/>
        <v>OPERADOR/A CEMSALUD/ASISTENCIALEMPRESA ENVIA EL CANDIDATO</v>
      </c>
      <c r="B108" s="111" t="s">
        <v>872</v>
      </c>
      <c r="C108" s="87" t="s">
        <v>105</v>
      </c>
      <c r="D108" s="376" t="s">
        <v>101</v>
      </c>
    </row>
    <row r="109" spans="1:4" x14ac:dyDescent="0.25">
      <c r="A109" s="374" t="str">
        <f t="shared" si="1"/>
        <v>ANALISTA NAL COMERCIALANALISTA/PROFESIONAL/COORDINADORCONCURSO MIXTO</v>
      </c>
      <c r="B109" s="87" t="s">
        <v>904</v>
      </c>
      <c r="C109" s="87" t="s">
        <v>142</v>
      </c>
      <c r="D109" s="320" t="s">
        <v>116</v>
      </c>
    </row>
    <row r="110" spans="1:4" x14ac:dyDescent="0.25">
      <c r="A110" s="374" t="str">
        <f t="shared" si="1"/>
        <v>EJECUTIVO/A FIDELIZACIÓNCARGO COMERCIALVACANTE DESDE RECLUTAMIENTO</v>
      </c>
      <c r="B110" s="27" t="s">
        <v>915</v>
      </c>
      <c r="C110" s="84" t="s">
        <v>52</v>
      </c>
      <c r="D110" s="376" t="s">
        <v>51</v>
      </c>
    </row>
    <row r="111" spans="1:4" x14ac:dyDescent="0.25">
      <c r="A111" s="374" t="str">
        <f t="shared" si="1"/>
        <v>ANALISTA NAL RETENCIONANALISTA/PROFESIONAL/COORDINADORCONCURSO INTERNO</v>
      </c>
      <c r="B111" s="143" t="s">
        <v>924</v>
      </c>
      <c r="C111" s="87" t="s">
        <v>142</v>
      </c>
      <c r="D111" s="376" t="s">
        <v>140</v>
      </c>
    </row>
    <row r="112" spans="1:4" x14ac:dyDescent="0.25">
      <c r="A112" s="374" t="str">
        <f t="shared" si="1"/>
        <v>GESTOR/A COOPERATIVOCARGO COMERCIALPROMOCION INTERNA</v>
      </c>
      <c r="B112" s="84" t="s">
        <v>456</v>
      </c>
      <c r="C112" s="84" t="s">
        <v>52</v>
      </c>
      <c r="D112" s="322" t="s">
        <v>1465</v>
      </c>
    </row>
    <row r="113" spans="1:4" x14ac:dyDescent="0.25">
      <c r="A113" s="374" t="str">
        <f t="shared" si="1"/>
        <v>ANALISTA NAL COMERCIAL/ASESOR/A INTEGRALANALISTA/PROFESIONAL/COORDINADORPROMOCION INTERNA</v>
      </c>
      <c r="B113" s="84" t="s">
        <v>944</v>
      </c>
      <c r="C113" s="87" t="s">
        <v>142</v>
      </c>
      <c r="D113" s="322" t="s">
        <v>1465</v>
      </c>
    </row>
    <row r="114" spans="1:4" x14ac:dyDescent="0.25">
      <c r="A114" s="374" t="str">
        <f t="shared" si="1"/>
        <v>GESTOR(A) EXCELENCIA CLINICA CM MPANALISTA/PROFESIONAL/COORDINADORVACANTE DESDE RECLUTAMIENTO</v>
      </c>
      <c r="B114" s="111" t="s">
        <v>946</v>
      </c>
      <c r="C114" s="87" t="s">
        <v>142</v>
      </c>
      <c r="D114" s="376" t="s">
        <v>51</v>
      </c>
    </row>
    <row r="115" spans="1:4" x14ac:dyDescent="0.25">
      <c r="A115" s="374" t="str">
        <f t="shared" si="1"/>
        <v>SUPERNUMERARIO/ACARGO COMERCIALPROMOCION INTERNA</v>
      </c>
      <c r="B115" s="87" t="s">
        <v>1406</v>
      </c>
      <c r="C115" s="84" t="s">
        <v>52</v>
      </c>
      <c r="D115" s="322" t="s">
        <v>1465</v>
      </c>
    </row>
    <row r="116" spans="1:4" x14ac:dyDescent="0.25">
      <c r="A116" s="374" t="str">
        <f t="shared" si="1"/>
        <v>EJECUTIVO/A COMERCIAL SECTORIALCARGO COMERCIALSOLO CONTRATACION</v>
      </c>
      <c r="B116" s="240" t="s">
        <v>582</v>
      </c>
      <c r="C116" s="84" t="s">
        <v>52</v>
      </c>
      <c r="D116" s="321" t="s">
        <v>271</v>
      </c>
    </row>
    <row r="117" spans="1:4" x14ac:dyDescent="0.25">
      <c r="A117" s="374" t="str">
        <f t="shared" si="1"/>
        <v>TECNOLOGO(A) RADIOLOGIASALUD/ASISTENCIALEMPRESA ENVIA EL CANDIDATO</v>
      </c>
      <c r="B117" s="87" t="s">
        <v>957</v>
      </c>
      <c r="C117" s="87" t="s">
        <v>105</v>
      </c>
      <c r="D117" s="376" t="s">
        <v>101</v>
      </c>
    </row>
    <row r="118" spans="1:4" x14ac:dyDescent="0.25">
      <c r="A118" s="374" t="str">
        <f t="shared" si="1"/>
        <v>GERENTE OFICINA BCOCARGO COMERCIALEMPRESA ENVIA EL CANDIDATO</v>
      </c>
      <c r="B118" s="152" t="s">
        <v>814</v>
      </c>
      <c r="C118" s="152" t="s">
        <v>52</v>
      </c>
      <c r="D118" s="376" t="s">
        <v>101</v>
      </c>
    </row>
    <row r="119" spans="1:4" x14ac:dyDescent="0.25">
      <c r="A119" s="374" t="str">
        <f t="shared" si="1"/>
        <v>AUXILIAR TRANSPORTE ASISTENCIALSALUD/ASISTENCIALEMPRESA ENVIA EL CANDIDATO</v>
      </c>
      <c r="B119" s="145" t="s">
        <v>487</v>
      </c>
      <c r="C119" s="87" t="s">
        <v>105</v>
      </c>
      <c r="D119" s="376" t="s">
        <v>101</v>
      </c>
    </row>
    <row r="120" spans="1:4" x14ac:dyDescent="0.25">
      <c r="A120" s="374" t="str">
        <f t="shared" si="1"/>
        <v>TECNICO/A MANTENIMIENTOAUXILIAR/OPERATIVOVACANTE DESDE RECLUTAMIENTO</v>
      </c>
      <c r="B120" s="143" t="s">
        <v>971</v>
      </c>
      <c r="C120" s="27" t="s">
        <v>118</v>
      </c>
      <c r="D120" s="376" t="s">
        <v>51</v>
      </c>
    </row>
    <row r="121" spans="1:4" x14ac:dyDescent="0.25">
      <c r="A121" s="374" t="str">
        <f t="shared" si="1"/>
        <v>MEDICO(A) FONOSALUDCARGO MEDICOVACANTE DESDE RECLUTAMIENTO</v>
      </c>
      <c r="B121" s="87" t="s">
        <v>980</v>
      </c>
      <c r="C121" s="87" t="s">
        <v>625</v>
      </c>
      <c r="D121" s="376" t="s">
        <v>51</v>
      </c>
    </row>
    <row r="122" spans="1:4" x14ac:dyDescent="0.25">
      <c r="A122" s="374" t="str">
        <f t="shared" si="1"/>
        <v>ANALISTA CONTABLEANALISTA/PROFESIONAL/COORDINADOREMPRESA ENVIA EL CANDIDATO</v>
      </c>
      <c r="B122" s="240" t="s">
        <v>1006</v>
      </c>
      <c r="C122" s="87" t="s">
        <v>142</v>
      </c>
      <c r="D122" s="376" t="s">
        <v>101</v>
      </c>
    </row>
    <row r="123" spans="1:4" x14ac:dyDescent="0.25">
      <c r="A123" s="374" t="str">
        <f t="shared" si="1"/>
        <v>ASESOR/A SERVICIOSCARGO COMERCIALVACANTE DESDE RECLUTAMIENTO</v>
      </c>
      <c r="B123" s="145" t="s">
        <v>516</v>
      </c>
      <c r="C123" s="84" t="s">
        <v>52</v>
      </c>
      <c r="D123" s="376" t="s">
        <v>51</v>
      </c>
    </row>
    <row r="124" spans="1:4" x14ac:dyDescent="0.25">
      <c r="A124" s="374" t="str">
        <f t="shared" si="1"/>
        <v>COORDINADOR/A PROYECTOS INFRAESTRUCTURAANALISTA/PROFESIONAL/COORDINADORVACANTE DESDE RECLUTAMIENTO</v>
      </c>
      <c r="B124" s="143" t="s">
        <v>1016</v>
      </c>
      <c r="C124" s="87" t="s">
        <v>142</v>
      </c>
      <c r="D124" s="376" t="s">
        <v>51</v>
      </c>
    </row>
    <row r="125" spans="1:4" x14ac:dyDescent="0.25">
      <c r="A125" s="374" t="str">
        <f t="shared" si="1"/>
        <v>NUTRICIONISTA DOMICILARIO CEMSALUD/ASISTENCIALVACANTE DESDE RECLUTAMIENTO</v>
      </c>
      <c r="B125" s="87" t="s">
        <v>1293</v>
      </c>
      <c r="C125" s="87" t="s">
        <v>105</v>
      </c>
      <c r="D125" s="376" t="s">
        <v>51</v>
      </c>
    </row>
    <row r="126" spans="1:4" x14ac:dyDescent="0.25">
      <c r="A126" s="374" t="str">
        <f t="shared" si="1"/>
        <v>ASESOR/A INTEGRALCARGO COMERCIALSOLO CONTRATACION</v>
      </c>
      <c r="B126" s="84" t="s">
        <v>227</v>
      </c>
      <c r="C126" s="84" t="s">
        <v>52</v>
      </c>
      <c r="D126" s="324" t="s">
        <v>271</v>
      </c>
    </row>
    <row r="127" spans="1:4" x14ac:dyDescent="0.25">
      <c r="A127" s="374" t="str">
        <f t="shared" si="1"/>
        <v>OFICIAL CUMPLIMIENTO SUPLENTEANALISTA/PROFESIONAL/COORDINADORCONCURSO MIXTO</v>
      </c>
      <c r="B127" s="87" t="s">
        <v>1031</v>
      </c>
      <c r="C127" s="87" t="s">
        <v>142</v>
      </c>
      <c r="D127" s="376" t="s">
        <v>116</v>
      </c>
    </row>
    <row r="128" spans="1:4" x14ac:dyDescent="0.25">
      <c r="A128" s="374" t="str">
        <f t="shared" si="1"/>
        <v>EJECUTIVO/A ATENCION INTEGRALCARGO COMERCIALEMPRESA ENVIA EL CANDIDATO</v>
      </c>
      <c r="B128" s="152" t="s">
        <v>976</v>
      </c>
      <c r="C128" s="84" t="s">
        <v>52</v>
      </c>
      <c r="D128" s="376" t="s">
        <v>101</v>
      </c>
    </row>
    <row r="129" spans="1:4" x14ac:dyDescent="0.25">
      <c r="A129" s="374" t="str">
        <f t="shared" si="1"/>
        <v>ANALISTA NACIONAL ADMINISTRATIVO Y FINANCIEROANALISTA/PROFESIONAL/COORDINADORCONCURSO MIXTO</v>
      </c>
      <c r="B129" s="87" t="s">
        <v>1053</v>
      </c>
      <c r="C129" s="87" t="s">
        <v>142</v>
      </c>
      <c r="D129" s="376" t="s">
        <v>116</v>
      </c>
    </row>
    <row r="130" spans="1:4" x14ac:dyDescent="0.25">
      <c r="A130" s="374" t="str">
        <f t="shared" ref="A130:A193" si="2">+B130&amp;C130&amp;D130</f>
        <v>ANALISTA CONTROL CONTABLEANALISTA/PROFESIONAL/COORDINADOREMPRESA ENVIA EL CANDIDATO</v>
      </c>
      <c r="B130" s="145" t="s">
        <v>1067</v>
      </c>
      <c r="C130" s="87" t="s">
        <v>142</v>
      </c>
      <c r="D130" s="376" t="s">
        <v>101</v>
      </c>
    </row>
    <row r="131" spans="1:4" x14ac:dyDescent="0.25">
      <c r="A131" s="374" t="str">
        <f t="shared" si="2"/>
        <v>INGENIERO/A OPERACIONES TIANALISTA/PROFESIONAL/COORDINADOREMPRESA ENVIA EL CANDIDATO</v>
      </c>
      <c r="B131" s="145" t="s">
        <v>1070</v>
      </c>
      <c r="C131" s="87" t="s">
        <v>142</v>
      </c>
      <c r="D131" s="376" t="s">
        <v>101</v>
      </c>
    </row>
    <row r="132" spans="1:4" x14ac:dyDescent="0.25">
      <c r="A132" s="374" t="str">
        <f t="shared" si="2"/>
        <v>EJECUTIVO/A COMERCIAL VINCULACIONCARGO COMERCIALEMPRESA ENVIA EL CANDIDATO</v>
      </c>
      <c r="B132" s="87" t="s">
        <v>885</v>
      </c>
      <c r="C132" s="84" t="s">
        <v>52</v>
      </c>
      <c r="D132" s="376" t="s">
        <v>101</v>
      </c>
    </row>
    <row r="133" spans="1:4" x14ac:dyDescent="0.25">
      <c r="A133" s="374" t="str">
        <f t="shared" si="2"/>
        <v>ASISTENTE NAL GESTION Y SEGUIMIENTOANALISTA/PROFESIONAL/COORDINADORCONCURSO MIXTO</v>
      </c>
      <c r="B133" s="87" t="s">
        <v>1109</v>
      </c>
      <c r="C133" s="87" t="s">
        <v>142</v>
      </c>
      <c r="D133" s="320" t="s">
        <v>116</v>
      </c>
    </row>
    <row r="134" spans="1:4" x14ac:dyDescent="0.25">
      <c r="A134" s="374" t="str">
        <f t="shared" si="2"/>
        <v>EJECUTIVO/A COMERCIAL SECTORIALCARGO COMERCIALPROMOCION INTERNA</v>
      </c>
      <c r="B134" s="240" t="s">
        <v>582</v>
      </c>
      <c r="C134" s="84" t="s">
        <v>52</v>
      </c>
      <c r="D134" s="322" t="s">
        <v>1465</v>
      </c>
    </row>
    <row r="135" spans="1:4" x14ac:dyDescent="0.25">
      <c r="A135" s="374" t="str">
        <f t="shared" si="2"/>
        <v>EJECUTIVO/A PROFUNDIZACIONCARGO COMERCIALEMPRESA ENVIA EL CANDIDATO</v>
      </c>
      <c r="B135" s="152" t="s">
        <v>899</v>
      </c>
      <c r="C135" s="84" t="s">
        <v>52</v>
      </c>
      <c r="D135" s="376" t="s">
        <v>101</v>
      </c>
    </row>
    <row r="136" spans="1:4" x14ac:dyDescent="0.25">
      <c r="A136" s="374" t="str">
        <f t="shared" si="2"/>
        <v>GESTOR/A COOPERATIVO ESPECIALIZADOCARGO COMERCIALCONCURSO MIXTO</v>
      </c>
      <c r="B136" s="111" t="s">
        <v>102</v>
      </c>
      <c r="C136" s="84" t="s">
        <v>52</v>
      </c>
      <c r="D136" s="321" t="s">
        <v>116</v>
      </c>
    </row>
    <row r="137" spans="1:4" x14ac:dyDescent="0.25">
      <c r="A137" s="374" t="str">
        <f t="shared" si="2"/>
        <v>ANALISTA FORMALIZADOR CASH MANAGEMENTANALISTA/PROFESIONAL/COORDINADORPROMOCION INTERNA</v>
      </c>
      <c r="B137" s="159" t="s">
        <v>1122</v>
      </c>
      <c r="C137" s="87" t="s">
        <v>142</v>
      </c>
      <c r="D137" s="322" t="s">
        <v>1465</v>
      </c>
    </row>
    <row r="138" spans="1:4" x14ac:dyDescent="0.25">
      <c r="A138" s="374" t="str">
        <f t="shared" si="2"/>
        <v>ANALISTA CUMPLIMIENTO CASH MANAGEMENTANALISTA/PROFESIONAL/COORDINADORPROMOCION INTERNA</v>
      </c>
      <c r="B138" s="111" t="s">
        <v>1124</v>
      </c>
      <c r="C138" s="87" t="s">
        <v>142</v>
      </c>
      <c r="D138" s="322" t="s">
        <v>1465</v>
      </c>
    </row>
    <row r="139" spans="1:4" x14ac:dyDescent="0.25">
      <c r="A139" s="374" t="str">
        <f t="shared" si="2"/>
        <v>ANALISTA FORMALIZADOR ACTIVOANALISTA/PROFESIONAL/COORDINADOREMPRESA ENVIA EL CANDIDATO</v>
      </c>
      <c r="B139" s="145" t="s">
        <v>1135</v>
      </c>
      <c r="C139" s="87" t="s">
        <v>142</v>
      </c>
      <c r="D139" s="376" t="s">
        <v>101</v>
      </c>
    </row>
    <row r="140" spans="1:4" x14ac:dyDescent="0.25">
      <c r="A140" s="374" t="str">
        <f t="shared" si="2"/>
        <v>ANALISTA EXPERIENCIA CASH MANAGEMENTANALISTA/PROFESIONAL/COORDINADOREMPRESA ENVIA EL CANDIDATO</v>
      </c>
      <c r="B140" s="145" t="s">
        <v>1142</v>
      </c>
      <c r="C140" s="87" t="s">
        <v>142</v>
      </c>
      <c r="D140" s="376" t="s">
        <v>101</v>
      </c>
    </row>
    <row r="141" spans="1:4" x14ac:dyDescent="0.25">
      <c r="A141" s="374" t="str">
        <f t="shared" si="2"/>
        <v>ANALISTA FORMALIZADOR REDES Y COMPENSACIONANALISTA/PROFESIONAL/COORDINADOREMPRESA ENVIA EL CANDIDATO</v>
      </c>
      <c r="B141" s="145" t="s">
        <v>1146</v>
      </c>
      <c r="C141" s="87" t="s">
        <v>142</v>
      </c>
      <c r="D141" s="376" t="s">
        <v>101</v>
      </c>
    </row>
    <row r="142" spans="1:4" x14ac:dyDescent="0.25">
      <c r="A142" s="374" t="str">
        <f t="shared" si="2"/>
        <v>ANALISTA FORMALIZADOR ADMINISTRACION ACTIVOANALISTA/PROFESIONAL/COORDINADOREMPRESA ENVIA EL CANDIDATO</v>
      </c>
      <c r="B142" s="145" t="s">
        <v>1149</v>
      </c>
      <c r="C142" s="87" t="s">
        <v>142</v>
      </c>
      <c r="D142" s="376" t="s">
        <v>101</v>
      </c>
    </row>
    <row r="143" spans="1:4" x14ac:dyDescent="0.25">
      <c r="A143" s="374" t="str">
        <f t="shared" si="2"/>
        <v>ANALISTA CUMPLIMIENTO VINCULACION CLIENTES Y PASIVOSANALISTA/PROFESIONAL/COORDINADORPROMOCION INTERNA</v>
      </c>
      <c r="B143" s="111" t="s">
        <v>1152</v>
      </c>
      <c r="C143" s="87" t="s">
        <v>142</v>
      </c>
      <c r="D143" s="322" t="s">
        <v>1465</v>
      </c>
    </row>
    <row r="144" spans="1:4" x14ac:dyDescent="0.25">
      <c r="A144" s="374" t="str">
        <f t="shared" si="2"/>
        <v>ANALISTA CUMPLIMIENTO TRANSACCIONAL E INVERSIONESANALISTA/PROFESIONAL/COORDINADOREMPRESA ENVIA EL CANDIDATO</v>
      </c>
      <c r="B144" s="145" t="s">
        <v>1155</v>
      </c>
      <c r="C144" s="87" t="s">
        <v>142</v>
      </c>
      <c r="D144" s="376" t="s">
        <v>101</v>
      </c>
    </row>
    <row r="145" spans="1:4" x14ac:dyDescent="0.25">
      <c r="A145" s="374" t="str">
        <f t="shared" si="2"/>
        <v>ANALISTA REG PRODUCTOCARGO COMERCIALPROMOCION INTERNA</v>
      </c>
      <c r="B145" s="87" t="s">
        <v>1170</v>
      </c>
      <c r="C145" s="84" t="s">
        <v>52</v>
      </c>
      <c r="D145" s="322" t="s">
        <v>1465</v>
      </c>
    </row>
    <row r="146" spans="1:4" x14ac:dyDescent="0.25">
      <c r="A146" s="374" t="str">
        <f t="shared" si="2"/>
        <v>ANALISTA REG MICROCREDITOCARGO COMERCIALEMPRESA ENVIA EL CANDIDATO</v>
      </c>
      <c r="B146" s="111" t="s">
        <v>882</v>
      </c>
      <c r="C146" s="84" t="s">
        <v>52</v>
      </c>
      <c r="D146" s="376" t="s">
        <v>101</v>
      </c>
    </row>
    <row r="147" spans="1:4" x14ac:dyDescent="0.25">
      <c r="A147" s="374" t="str">
        <f t="shared" si="2"/>
        <v>MEDICO GESTION CLINICA NEG INTER MPCARGO MEDICOVACANTE DESDE RECLUTAMIENTO</v>
      </c>
      <c r="B147" s="87" t="s">
        <v>1188</v>
      </c>
      <c r="C147" s="87" t="s">
        <v>625</v>
      </c>
      <c r="D147" s="376" t="s">
        <v>51</v>
      </c>
    </row>
    <row r="148" spans="1:4" x14ac:dyDescent="0.25">
      <c r="A148" s="374" t="str">
        <f t="shared" si="2"/>
        <v>AUXILIAR COMERCIALAUXILIAR/OPERATIVOSOLO CONTRATACION</v>
      </c>
      <c r="B148" s="159" t="s">
        <v>1203</v>
      </c>
      <c r="C148" s="84" t="s">
        <v>118</v>
      </c>
      <c r="D148" s="376" t="s">
        <v>271</v>
      </c>
    </row>
    <row r="149" spans="1:4" x14ac:dyDescent="0.25">
      <c r="A149" s="374" t="str">
        <f t="shared" si="2"/>
        <v>AUDITOR(A) MEDICO MPANALISTA/PROFESIONAL/COORDINADORVACANTE DESDE RECLUTAMIENTO</v>
      </c>
      <c r="B149" s="111" t="s">
        <v>1213</v>
      </c>
      <c r="C149" s="87" t="s">
        <v>142</v>
      </c>
      <c r="D149" s="376" t="s">
        <v>51</v>
      </c>
    </row>
    <row r="150" spans="1:4" x14ac:dyDescent="0.25">
      <c r="A150" s="374" t="str">
        <f t="shared" si="2"/>
        <v>MEDICO/A TELEASISTENCIACARGO MEDICOEMPRESA ENVIA EL CANDIDATO</v>
      </c>
      <c r="B150" s="84" t="s">
        <v>1220</v>
      </c>
      <c r="C150" s="84" t="s">
        <v>625</v>
      </c>
      <c r="D150" s="376" t="s">
        <v>101</v>
      </c>
    </row>
    <row r="151" spans="1:4" x14ac:dyDescent="0.25">
      <c r="A151" s="374" t="str">
        <f t="shared" si="2"/>
        <v>AUXILIAR ADMINISTRATIVO/AAUXILIAR/OPERATIVOEMPRESA ENVIA EL CANDIDATO</v>
      </c>
      <c r="B151" s="159" t="s">
        <v>1230</v>
      </c>
      <c r="C151" s="84" t="s">
        <v>118</v>
      </c>
      <c r="D151" s="376" t="s">
        <v>101</v>
      </c>
    </row>
    <row r="152" spans="1:4" x14ac:dyDescent="0.25">
      <c r="A152" s="374" t="str">
        <f t="shared" si="2"/>
        <v>LIDER GESTIÓN INFORMACIÓNANALISTA/PROFESIONAL/COORDINADOREMPRESA ENVIA EL CANDIDATO</v>
      </c>
      <c r="B152" s="240" t="s">
        <v>1232</v>
      </c>
      <c r="C152" s="87" t="s">
        <v>142</v>
      </c>
      <c r="D152" s="376" t="s">
        <v>101</v>
      </c>
    </row>
    <row r="153" spans="1:4" x14ac:dyDescent="0.25">
      <c r="A153" s="374" t="str">
        <f t="shared" si="2"/>
        <v>LIDER DE OPERACIONES ASOCIATIVIDADANALISTA/PROFESIONAL/COORDINADOREMPRESA ENVIA EL CANDIDATO</v>
      </c>
      <c r="B153" s="84" t="s">
        <v>1235</v>
      </c>
      <c r="C153" s="87" t="s">
        <v>142</v>
      </c>
      <c r="D153" s="376" t="s">
        <v>101</v>
      </c>
    </row>
    <row r="154" spans="1:4" x14ac:dyDescent="0.25">
      <c r="A154" s="374" t="str">
        <f t="shared" si="2"/>
        <v>AUXILIAR REG PRODUCTO GCCAUXILIAR/OPERATIVOEMPRESA ENVIA EL CANDIDATO</v>
      </c>
      <c r="B154" s="111" t="s">
        <v>1240</v>
      </c>
      <c r="C154" s="87" t="s">
        <v>118</v>
      </c>
      <c r="D154" s="376" t="s">
        <v>101</v>
      </c>
    </row>
    <row r="155" spans="1:4" x14ac:dyDescent="0.25">
      <c r="A155" s="374" t="str">
        <f t="shared" si="2"/>
        <v>AUXILIAR COMPRASAUXILIAR/OPERATIVOVACANTE DESDE RECLUTAMIENTO</v>
      </c>
      <c r="B155" s="27" t="s">
        <v>193</v>
      </c>
      <c r="C155" s="111" t="s">
        <v>118</v>
      </c>
      <c r="D155" s="322" t="s">
        <v>51</v>
      </c>
    </row>
    <row r="156" spans="1:4" x14ac:dyDescent="0.25">
      <c r="A156" s="374" t="str">
        <f t="shared" si="2"/>
        <v>AUXILIAR DE ADMISIONES CM MPAUXILIAR/OPERATIVOVACANTE DESDE RECLUTAMIENTO</v>
      </c>
      <c r="B156" s="87" t="s">
        <v>1251</v>
      </c>
      <c r="C156" s="159" t="s">
        <v>118</v>
      </c>
      <c r="D156" s="376" t="s">
        <v>51</v>
      </c>
    </row>
    <row r="157" spans="1:4" x14ac:dyDescent="0.25">
      <c r="A157" s="374" t="str">
        <f t="shared" si="2"/>
        <v>AUXILIAR SELECCION Y CONTRATACIONAUXILIAR/OPERATIVOVACANTE DESDE RECLUTAMIENTO</v>
      </c>
      <c r="B157" s="84" t="s">
        <v>1253</v>
      </c>
      <c r="C157" s="84" t="s">
        <v>118</v>
      </c>
      <c r="D157" s="376" t="s">
        <v>51</v>
      </c>
    </row>
    <row r="158" spans="1:4" x14ac:dyDescent="0.25">
      <c r="A158" s="374" t="str">
        <f t="shared" si="2"/>
        <v>ANALISTA SELECCIÓNANALISTA/PROFESIONAL/COORDINADORVACANTE DESDE RECLUTAMIENTO</v>
      </c>
      <c r="B158" s="240" t="s">
        <v>1256</v>
      </c>
      <c r="C158" s="87" t="s">
        <v>142</v>
      </c>
      <c r="D158" s="376" t="s">
        <v>51</v>
      </c>
    </row>
    <row r="159" spans="1:4" x14ac:dyDescent="0.25">
      <c r="A159" s="374" t="str">
        <f t="shared" si="2"/>
        <v>REGENTE DIRECTOR/A TECNICO/A SERVICIOAUXILIAR/OPERATIVOEMPRESA ENVIA EL CANDIDATO</v>
      </c>
      <c r="B159" s="240" t="s">
        <v>1263</v>
      </c>
      <c r="C159" s="111" t="s">
        <v>118</v>
      </c>
      <c r="D159" s="376" t="s">
        <v>101</v>
      </c>
    </row>
    <row r="160" spans="1:4" x14ac:dyDescent="0.25">
      <c r="A160" s="374" t="str">
        <f t="shared" si="2"/>
        <v>GESTOR/A COMERCIALCARGO COMERCIALPROMOCION INTERNA</v>
      </c>
      <c r="B160" s="111" t="s">
        <v>1275</v>
      </c>
      <c r="C160" s="84" t="s">
        <v>52</v>
      </c>
      <c r="D160" s="322" t="s">
        <v>1465</v>
      </c>
    </row>
    <row r="161" spans="1:4" x14ac:dyDescent="0.25">
      <c r="A161" s="374" t="str">
        <f t="shared" si="2"/>
        <v>DIRECTOR/A CORPORATIVO DE ABASTECIMIENTO Y SERVICIOS INTEREMPRJEFE/DIRECTOR/GERENTESOLO CONTRATACION</v>
      </c>
      <c r="B161" s="240" t="s">
        <v>1278</v>
      </c>
      <c r="C161" s="27" t="s">
        <v>65</v>
      </c>
      <c r="D161" s="376" t="s">
        <v>271</v>
      </c>
    </row>
    <row r="162" spans="1:4" x14ac:dyDescent="0.25">
      <c r="A162" s="374" t="str">
        <f t="shared" si="2"/>
        <v>ENTRENADOR/A DESARROLLO COMERCIALANALISTA/PROFESIONAL/COORDINADORSOLO CONTRATACION</v>
      </c>
      <c r="B162" s="111" t="s">
        <v>1282</v>
      </c>
      <c r="C162" s="84" t="s">
        <v>142</v>
      </c>
      <c r="D162" s="376" t="s">
        <v>271</v>
      </c>
    </row>
    <row r="163" spans="1:4" x14ac:dyDescent="0.25">
      <c r="A163" s="374" t="str">
        <f t="shared" si="2"/>
        <v>COORDINADOR/A COMERCIAL MEDIOS DE PAGOCARGO COMERCIALEMPRESA ENVIA EL CANDIDATO</v>
      </c>
      <c r="B163" s="27" t="s">
        <v>1284</v>
      </c>
      <c r="C163" s="87" t="s">
        <v>52</v>
      </c>
      <c r="D163" s="376" t="s">
        <v>101</v>
      </c>
    </row>
    <row r="164" spans="1:4" x14ac:dyDescent="0.25">
      <c r="A164" s="374" t="str">
        <f t="shared" si="2"/>
        <v>COORDINADOR/A COMERCIAL CANALESCARGO COMERCIALEMPRESA ENVIA EL CANDIDATO</v>
      </c>
      <c r="B164" s="84" t="s">
        <v>1287</v>
      </c>
      <c r="C164" s="87" t="s">
        <v>52</v>
      </c>
      <c r="D164" s="376" t="s">
        <v>101</v>
      </c>
    </row>
    <row r="165" spans="1:4" x14ac:dyDescent="0.25">
      <c r="A165" s="374" t="str">
        <f t="shared" si="2"/>
        <v>ANFITRIONAUXILIAR/OPERATIVOVACANTE DESDE RECLUTAMIENTO</v>
      </c>
      <c r="B165" s="87" t="s">
        <v>1290</v>
      </c>
      <c r="C165" s="84" t="s">
        <v>118</v>
      </c>
      <c r="D165" s="376" t="s">
        <v>51</v>
      </c>
    </row>
    <row r="166" spans="1:4" x14ac:dyDescent="0.25">
      <c r="A166" s="374" t="str">
        <f t="shared" si="2"/>
        <v>EJECUTIVO/A INTEGRAL FECCARGO COMERCIALVACANTE DESDE RECLUTAMIENTO</v>
      </c>
      <c r="B166" s="159" t="s">
        <v>1388</v>
      </c>
      <c r="C166" s="111" t="s">
        <v>52</v>
      </c>
      <c r="D166" s="321" t="s">
        <v>51</v>
      </c>
    </row>
    <row r="167" spans="1:4" x14ac:dyDescent="0.25">
      <c r="A167" s="374" t="str">
        <f t="shared" si="2"/>
        <v>ENFERMERO(A) AUDITOR MPANALISTA/PROFESIONAL/COORDINADORVACANTE DESDE RECLUTAMIENTO</v>
      </c>
      <c r="B167" s="159" t="s">
        <v>1417</v>
      </c>
      <c r="C167" s="111" t="s">
        <v>142</v>
      </c>
      <c r="D167" s="322" t="s">
        <v>51</v>
      </c>
    </row>
    <row r="168" spans="1:4" x14ac:dyDescent="0.25">
      <c r="A168" s="374" t="str">
        <f t="shared" si="2"/>
        <v>ANALISTA NAL MICROCREDITOCARGO COMERCIALEMPRESA ENVIA EL CANDIDATO</v>
      </c>
      <c r="B168" s="84" t="s">
        <v>1421</v>
      </c>
      <c r="C168" s="111" t="s">
        <v>52</v>
      </c>
      <c r="D168" s="322" t="s">
        <v>101</v>
      </c>
    </row>
    <row r="169" spans="1:4" x14ac:dyDescent="0.25">
      <c r="A169" s="374" t="str">
        <f t="shared" si="2"/>
        <v>COORDINADOR(A) NAL DE MARCA Y PUBLICIDADANALISTA/PROFESIONAL/COORDINADORCONCURSO INTERNO</v>
      </c>
      <c r="B169" s="84" t="s">
        <v>1428</v>
      </c>
      <c r="C169" s="84" t="s">
        <v>142</v>
      </c>
      <c r="D169" s="322" t="s">
        <v>140</v>
      </c>
    </row>
    <row r="170" spans="1:4" x14ac:dyDescent="0.25">
      <c r="A170" s="374" t="str">
        <f t="shared" si="2"/>
        <v>ENTRENADOR/A REG. ASOCIATIVIDADANALISTA/PROFESIONAL/COORDINADORCONCURSO MIXTO</v>
      </c>
      <c r="B170" s="159" t="s">
        <v>1432</v>
      </c>
      <c r="C170" s="111" t="s">
        <v>142</v>
      </c>
      <c r="D170" s="322" t="s">
        <v>116</v>
      </c>
    </row>
    <row r="171" spans="1:4" x14ac:dyDescent="0.25">
      <c r="A171" s="374" t="str">
        <f t="shared" si="2"/>
        <v>JEFE/A ADMINISTRATIVO Y FINANCIEROJEFE/DIRECTOR/GERENTEEMPRESA ENVIA EL CANDIDATO</v>
      </c>
      <c r="B171" s="84" t="s">
        <v>1443</v>
      </c>
      <c r="C171" s="87" t="s">
        <v>65</v>
      </c>
      <c r="D171" s="322" t="s">
        <v>101</v>
      </c>
    </row>
    <row r="172" spans="1:4" x14ac:dyDescent="0.25">
      <c r="A172" s="374" t="str">
        <f t="shared" si="2"/>
        <v>ANALISTA DESARROLLO TALENTO Y LIDERAZGOANALISTA/PROFESIONAL/COORDINADORCONCURSO MIXTO</v>
      </c>
      <c r="B172" s="143" t="s">
        <v>1447</v>
      </c>
      <c r="C172" s="27" t="s">
        <v>142</v>
      </c>
      <c r="D172" s="322" t="s">
        <v>116</v>
      </c>
    </row>
    <row r="173" spans="1:4" x14ac:dyDescent="0.25">
      <c r="A173" s="374" t="str">
        <f t="shared" si="2"/>
        <v>ANALISTA GESTION DEL CAMBIOANALISTA/PROFESIONAL/COORDINADOREMPRESA ENVIA EL CANDIDATO</v>
      </c>
      <c r="B173" s="143" t="s">
        <v>1451</v>
      </c>
      <c r="C173" s="27" t="s">
        <v>142</v>
      </c>
      <c r="D173" s="322" t="s">
        <v>101</v>
      </c>
    </row>
    <row r="174" spans="1:4" x14ac:dyDescent="0.25">
      <c r="A174" s="374" t="str">
        <f t="shared" si="2"/>
        <v>AUXILIAR ADMISIONESAUXILIAR/OPERATIVOPROMOCION INTERNA</v>
      </c>
      <c r="B174" s="84" t="s">
        <v>210</v>
      </c>
      <c r="C174" s="84" t="s">
        <v>118</v>
      </c>
      <c r="D174" s="322" t="s">
        <v>1465</v>
      </c>
    </row>
    <row r="175" spans="1:4" x14ac:dyDescent="0.25">
      <c r="A175" s="374" t="str">
        <f t="shared" si="2"/>
        <v>ANALISTA SELECCION Y CONTRATACION USCANALISTA/PROFESIONAL/COORDINADORVACANTE DESDE RECLUTAMIENTO</v>
      </c>
      <c r="B175" s="159" t="s">
        <v>1470</v>
      </c>
      <c r="C175" s="111" t="s">
        <v>142</v>
      </c>
      <c r="D175" s="322" t="s">
        <v>51</v>
      </c>
    </row>
    <row r="176" spans="1:4" x14ac:dyDescent="0.25">
      <c r="A176" s="374" t="str">
        <f t="shared" si="2"/>
        <v>AUXILIAR DE FARMACIASALUD/ASISTENCIALVACANTE DESDE RECLUTAMIENTO</v>
      </c>
      <c r="B176" s="191" t="s">
        <v>1476</v>
      </c>
      <c r="C176" s="111" t="s">
        <v>105</v>
      </c>
      <c r="D176" s="322" t="s">
        <v>51</v>
      </c>
    </row>
    <row r="177" spans="1:4" x14ac:dyDescent="0.25">
      <c r="A177" s="374" t="str">
        <f t="shared" si="2"/>
        <v>ANALISTA CUMPLIMIENTO ADMINISTRACION GARANTIASANALISTA/PROFESIONAL/COORDINADOREMPRESA ENVIA EL CANDIDATO</v>
      </c>
      <c r="B177" s="159" t="s">
        <v>1485</v>
      </c>
      <c r="C177" s="87" t="s">
        <v>142</v>
      </c>
      <c r="D177" s="322" t="s">
        <v>101</v>
      </c>
    </row>
    <row r="178" spans="1:4" x14ac:dyDescent="0.25">
      <c r="A178" s="374" t="str">
        <f t="shared" si="2"/>
        <v>ANALISTA CUMPLIMIENTO ADMINISTRACION GARANTIASANALISTA/PROFESIONAL/COORDINADORCONCURSO MIXTO</v>
      </c>
      <c r="B178" s="84" t="s">
        <v>1485</v>
      </c>
      <c r="C178" s="27" t="s">
        <v>142</v>
      </c>
      <c r="D178" s="322" t="s">
        <v>116</v>
      </c>
    </row>
    <row r="179" spans="1:4" x14ac:dyDescent="0.25">
      <c r="A179" s="374" t="str">
        <f t="shared" si="2"/>
        <v>ANALISTA EXPERIENCIA VINCULACION CLIENTES Y PASIVOSANALISTA/PROFESIONAL/COORDINADORCONCURSO MIXTO</v>
      </c>
      <c r="B179" s="143" t="s">
        <v>1493</v>
      </c>
      <c r="C179" s="27" t="s">
        <v>142</v>
      </c>
      <c r="D179" s="322" t="s">
        <v>116</v>
      </c>
    </row>
    <row r="180" spans="1:4" x14ac:dyDescent="0.25">
      <c r="A180" s="374" t="str">
        <f t="shared" si="2"/>
        <v>ANALISTA FORMALIZADOR VINCULACION CLIENTES Y PASIVOSANALISTA/PROFESIONAL/COORDINADORCONCURSO MIXTO</v>
      </c>
      <c r="B180" s="143" t="s">
        <v>1496</v>
      </c>
      <c r="C180" s="27" t="s">
        <v>142</v>
      </c>
      <c r="D180" s="322" t="s">
        <v>116</v>
      </c>
    </row>
    <row r="181" spans="1:4" x14ac:dyDescent="0.25">
      <c r="A181" s="374" t="str">
        <f t="shared" si="2"/>
        <v>JEFE/A MORA TEMPRANAJEFE/DIRECTOR/GERENTECONCURSO MIXTO</v>
      </c>
      <c r="B181" s="143" t="s">
        <v>1503</v>
      </c>
      <c r="C181" s="27" t="s">
        <v>65</v>
      </c>
      <c r="D181" s="322" t="s">
        <v>116</v>
      </c>
    </row>
    <row r="182" spans="1:4" x14ac:dyDescent="0.25">
      <c r="A182" s="374" t="str">
        <f t="shared" si="2"/>
        <v>ABOGADO/A REGIONAL GESTION CARTERA JURIDICAANALISTA/PROFESIONAL/COORDINADORCONCURSO MIXTO</v>
      </c>
      <c r="B182" s="143" t="s">
        <v>1507</v>
      </c>
      <c r="C182" s="27" t="s">
        <v>142</v>
      </c>
      <c r="D182" s="322" t="s">
        <v>116</v>
      </c>
    </row>
    <row r="183" spans="1:4" x14ac:dyDescent="0.25">
      <c r="A183" s="374" t="str">
        <f t="shared" si="2"/>
        <v>AUXILIAR SOLUCIONES PAGOAUXILIAR/OPERATIVOCONCURSO INTERNO</v>
      </c>
      <c r="B183" s="159" t="s">
        <v>1510</v>
      </c>
      <c r="C183" s="27" t="s">
        <v>118</v>
      </c>
      <c r="D183" s="322" t="s">
        <v>140</v>
      </c>
    </row>
    <row r="184" spans="1:4" x14ac:dyDescent="0.25">
      <c r="A184" s="374" t="str">
        <f t="shared" si="2"/>
        <v>JEFE/A REG MEDICO CEMJEFE/DIRECTOR/GERENTEVACANTE DESDE RECLUTAMIENTO</v>
      </c>
      <c r="B184" s="159" t="s">
        <v>1514</v>
      </c>
      <c r="C184" s="111" t="s">
        <v>65</v>
      </c>
      <c r="D184" s="322" t="s">
        <v>51</v>
      </c>
    </row>
    <row r="185" spans="1:4" x14ac:dyDescent="0.25">
      <c r="A185" s="374" t="str">
        <f t="shared" si="2"/>
        <v>INGENIERO/A PROCESOS LEAN IANALISTA/PROFESIONAL/COORDINADOREMPRESA ENVIA EL CANDIDATO</v>
      </c>
      <c r="B185" s="240" t="s">
        <v>1518</v>
      </c>
      <c r="C185" s="87" t="s">
        <v>142</v>
      </c>
      <c r="D185" s="322" t="s">
        <v>101</v>
      </c>
    </row>
    <row r="186" spans="1:4" x14ac:dyDescent="0.25">
      <c r="A186" s="374" t="str">
        <f t="shared" si="2"/>
        <v>ANALISTA FINANCIERO/AANALISTA/PROFESIONAL/COORDINADORCONCURSO MIXTO</v>
      </c>
      <c r="B186" s="240" t="s">
        <v>1522</v>
      </c>
      <c r="C186" s="87" t="s">
        <v>142</v>
      </c>
      <c r="D186" s="322" t="s">
        <v>116</v>
      </c>
    </row>
    <row r="187" spans="1:4" x14ac:dyDescent="0.25">
      <c r="A187" s="374" t="str">
        <f t="shared" si="2"/>
        <v>ANALISTA FORMALIZADOR ADMINISTRACION GARANTIASANALISTA/PROFESIONAL/COORDINADOREMPRESA ENVIA EL CANDIDATO</v>
      </c>
      <c r="B187" s="27" t="s">
        <v>1529</v>
      </c>
      <c r="C187" s="27" t="s">
        <v>142</v>
      </c>
      <c r="D187" s="322" t="s">
        <v>101</v>
      </c>
    </row>
    <row r="188" spans="1:4" x14ac:dyDescent="0.25">
      <c r="A188" s="374" t="str">
        <f t="shared" si="2"/>
        <v>AUXILIAR ASEGURAMIENTO Y MEJORAAUXILIAR/OPERATIVOCONCURSO MIXTO</v>
      </c>
      <c r="B188" s="143" t="s">
        <v>1557</v>
      </c>
      <c r="C188" s="111" t="s">
        <v>118</v>
      </c>
      <c r="D188" s="322" t="s">
        <v>116</v>
      </c>
    </row>
    <row r="189" spans="1:4" x14ac:dyDescent="0.25">
      <c r="A189" s="374" t="str">
        <f t="shared" si="2"/>
        <v>ANALISTA RIESGOANALISTA/PROFESIONAL/COORDINADOREMPRESA ENVIA EL CANDIDATO</v>
      </c>
      <c r="B189" s="143" t="s">
        <v>1564</v>
      </c>
      <c r="C189" s="27" t="s">
        <v>142</v>
      </c>
      <c r="D189" s="322" t="s">
        <v>101</v>
      </c>
    </row>
    <row r="190" spans="1:4" x14ac:dyDescent="0.25">
      <c r="A190" s="374" t="str">
        <f t="shared" si="2"/>
        <v>ANFITRION DE SERVICIO CM MPAUXILIAR/OPERATIVOVACANTE DESDE RECLUTAMIENTO</v>
      </c>
      <c r="B190" s="159" t="s">
        <v>1570</v>
      </c>
      <c r="C190" s="111" t="s">
        <v>118</v>
      </c>
      <c r="D190" s="322" t="s">
        <v>51</v>
      </c>
    </row>
    <row r="191" spans="1:4" x14ac:dyDescent="0.25">
      <c r="A191" s="374" t="str">
        <f t="shared" si="2"/>
        <v>AUXILIAR CREDITO COMERCIALAUXILIAR/OPERATIVOCONCURSO MIXTO</v>
      </c>
      <c r="B191" s="240" t="s">
        <v>1586</v>
      </c>
      <c r="C191" s="27" t="s">
        <v>118</v>
      </c>
      <c r="D191" s="322" t="s">
        <v>116</v>
      </c>
    </row>
    <row r="192" spans="1:4" x14ac:dyDescent="0.25">
      <c r="A192" s="374" t="str">
        <f t="shared" si="2"/>
        <v>COORDINADOR/A REG. CANAL GESTORES GCGIACARGO COMERCIALVACANTE DESDE RECLUTAMIENTO</v>
      </c>
      <c r="B192" s="159" t="s">
        <v>1598</v>
      </c>
      <c r="C192" s="111" t="s">
        <v>52</v>
      </c>
      <c r="D192" s="322" t="s">
        <v>51</v>
      </c>
    </row>
    <row r="193" spans="1:4" x14ac:dyDescent="0.25">
      <c r="A193" s="374" t="str">
        <f t="shared" si="2"/>
        <v>AUXILIAR RECLUTAMIENTOAUXILIAR/OPERATIVOVACANTE DESDE RECLUTAMIENTO</v>
      </c>
      <c r="B193" s="143" t="s">
        <v>1604</v>
      </c>
      <c r="C193" s="111" t="s">
        <v>118</v>
      </c>
      <c r="D193" s="322" t="s">
        <v>51</v>
      </c>
    </row>
    <row r="194" spans="1:4" x14ac:dyDescent="0.25">
      <c r="A194" s="374" t="str">
        <f t="shared" ref="A194:A218" si="3">+B194&amp;C194&amp;D194</f>
        <v>TECNOLOGO(A) RADIOLOGIASALUD/ASISTENCIALVACANTE DESDE RECLUTAMIENTO</v>
      </c>
      <c r="B194" s="159" t="s">
        <v>957</v>
      </c>
      <c r="C194" s="111" t="s">
        <v>105</v>
      </c>
      <c r="D194" s="322" t="s">
        <v>51</v>
      </c>
    </row>
    <row r="195" spans="1:4" x14ac:dyDescent="0.25">
      <c r="A195" s="374" t="str">
        <f t="shared" si="3"/>
        <v>ANALISTA CARTERAANALISTA/PROFESIONAL/COORDINADOREMPRESA ENVIA EL CANDIDATO</v>
      </c>
      <c r="B195" s="111" t="s">
        <v>1639</v>
      </c>
      <c r="C195" s="111" t="s">
        <v>142</v>
      </c>
      <c r="D195" s="322" t="s">
        <v>101</v>
      </c>
    </row>
    <row r="196" spans="1:4" x14ac:dyDescent="0.25">
      <c r="A196" s="374" t="str">
        <f t="shared" si="3"/>
        <v>EJECUTIVO/A COMERCIAL CSSCARGO COMERCIALVACANTE DESDE RECLUTAMIENTO</v>
      </c>
      <c r="B196" s="159" t="s">
        <v>1647</v>
      </c>
      <c r="C196" s="111" t="s">
        <v>52</v>
      </c>
      <c r="D196" s="322" t="s">
        <v>51</v>
      </c>
    </row>
    <row r="197" spans="1:4" x14ac:dyDescent="0.25">
      <c r="A197" s="374" t="str">
        <f t="shared" si="3"/>
        <v>ASESOR/A INTEGRALCARGO COMERCIALCONCURSO MIXTO</v>
      </c>
      <c r="B197" s="84" t="s">
        <v>227</v>
      </c>
      <c r="C197" s="111" t="s">
        <v>52</v>
      </c>
      <c r="D197" s="322" t="s">
        <v>116</v>
      </c>
    </row>
    <row r="198" spans="1:4" x14ac:dyDescent="0.25">
      <c r="A198" s="374" t="str">
        <f t="shared" si="3"/>
        <v>EJECUTIVO FUERZA MOVILCARGO COMERCIALVACANTE DESDE RECLUTAMIENTO</v>
      </c>
      <c r="B198" s="152" t="s">
        <v>1668</v>
      </c>
      <c r="C198" s="111" t="s">
        <v>52</v>
      </c>
      <c r="D198" s="322" t="s">
        <v>51</v>
      </c>
    </row>
    <row r="199" spans="1:4" x14ac:dyDescent="0.25">
      <c r="A199" s="374" t="str">
        <f t="shared" si="3"/>
        <v>GESTOR/A COOPERATIVOCARGO COMERCIALCONCURSO MIXTO</v>
      </c>
      <c r="B199" s="240" t="s">
        <v>456</v>
      </c>
      <c r="C199" s="111" t="s">
        <v>52</v>
      </c>
      <c r="D199" s="322" t="s">
        <v>116</v>
      </c>
    </row>
    <row r="200" spans="1:4" x14ac:dyDescent="0.25">
      <c r="A200" s="374" t="str">
        <f t="shared" si="3"/>
        <v>AUXILIAR NEGOCIOS FIDUCIARIOSAUXILIAR/OPERATIVOPROMOCION INTERNA</v>
      </c>
      <c r="B200" s="143" t="s">
        <v>1683</v>
      </c>
      <c r="C200" s="111" t="s">
        <v>118</v>
      </c>
      <c r="D200" s="322" t="s">
        <v>1465</v>
      </c>
    </row>
    <row r="201" spans="1:4" x14ac:dyDescent="0.25">
      <c r="A201" s="374" t="str">
        <f t="shared" si="3"/>
        <v>GESTOR(A) COMERCIO INTERNACIONALANALISTA/PROFESIONAL/COORDINADOREMPRESA ENVIA EL CANDIDATO</v>
      </c>
      <c r="B201" s="143" t="s">
        <v>1687</v>
      </c>
      <c r="C201" s="27" t="s">
        <v>142</v>
      </c>
      <c r="D201" s="322" t="s">
        <v>101</v>
      </c>
    </row>
    <row r="202" spans="1:4" x14ac:dyDescent="0.25">
      <c r="A202" s="374" t="str">
        <f t="shared" si="3"/>
        <v>AUXILIAR ADMISIONES CM MPSALUD/ASISTENCIALVACANTE DESDE RECLUTAMIENTO</v>
      </c>
      <c r="B202" s="159" t="s">
        <v>1691</v>
      </c>
      <c r="C202" s="111" t="s">
        <v>105</v>
      </c>
      <c r="D202" s="322" t="s">
        <v>51</v>
      </c>
    </row>
    <row r="203" spans="1:4" x14ac:dyDescent="0.25">
      <c r="A203" s="374" t="str">
        <f t="shared" si="3"/>
        <v>AUXILIAR EQUIPOS BIOMEDICOSAUXILIAR/OPERATIVOVACANTE DESDE RECLUTAMIENTO</v>
      </c>
      <c r="B203" s="240" t="s">
        <v>1697</v>
      </c>
      <c r="C203" s="27" t="s">
        <v>118</v>
      </c>
      <c r="D203" s="322" t="s">
        <v>51</v>
      </c>
    </row>
    <row r="204" spans="1:4" x14ac:dyDescent="0.25">
      <c r="A204" s="374" t="str">
        <f t="shared" si="3"/>
        <v>ASESOR/A EN LOGISTICAAUXILIAR/OPERATIVOCONCURSO INTERNO</v>
      </c>
      <c r="B204" s="240" t="s">
        <v>289</v>
      </c>
      <c r="C204" s="27" t="s">
        <v>118</v>
      </c>
      <c r="D204" s="322" t="s">
        <v>140</v>
      </c>
    </row>
    <row r="205" spans="1:4" x14ac:dyDescent="0.25">
      <c r="A205" s="374" t="str">
        <f t="shared" si="3"/>
        <v>ANALISTA FORMALIZADOR OPERACION CANALESANALISTA/PROFESIONAL/COORDINADOREMPRESA ENVIA EL CANDIDATO</v>
      </c>
      <c r="B205" s="143" t="s">
        <v>1713</v>
      </c>
      <c r="C205" s="27" t="s">
        <v>142</v>
      </c>
      <c r="D205" s="322" t="s">
        <v>101</v>
      </c>
    </row>
    <row r="206" spans="1:4" x14ac:dyDescent="0.25">
      <c r="A206" s="374" t="str">
        <f t="shared" si="3"/>
        <v>ANALISTA BANCA SEGUROSANALISTA/PROFESIONAL/COORDINADORVACANTE DESDE RECLUTAMIENTO</v>
      </c>
      <c r="B206" s="143" t="s">
        <v>1716</v>
      </c>
      <c r="C206" s="27" t="s">
        <v>142</v>
      </c>
      <c r="D206" s="321" t="s">
        <v>51</v>
      </c>
    </row>
    <row r="207" spans="1:4" x14ac:dyDescent="0.25">
      <c r="A207" s="374" t="str">
        <f t="shared" si="3"/>
        <v>ASESOR/A COMERCIALCARGO COMERCIALPROMOCION INTERNA</v>
      </c>
      <c r="B207" s="143" t="s">
        <v>1722</v>
      </c>
      <c r="C207" s="111" t="s">
        <v>52</v>
      </c>
      <c r="D207" s="322" t="s">
        <v>1465</v>
      </c>
    </row>
    <row r="208" spans="1:4" x14ac:dyDescent="0.25">
      <c r="A208" s="374" t="str">
        <f t="shared" si="3"/>
        <v>VICEPRESIDENTE/A COMERCIAL Y MERCADEOJEFE/DIRECTOR/GERENTESOLO CONTRATACION</v>
      </c>
      <c r="B208" s="143" t="s">
        <v>1740</v>
      </c>
      <c r="C208" s="27" t="s">
        <v>65</v>
      </c>
      <c r="D208" s="322" t="s">
        <v>271</v>
      </c>
    </row>
    <row r="209" spans="1:4" x14ac:dyDescent="0.25">
      <c r="A209" s="374" t="str">
        <f t="shared" si="3"/>
        <v>COORDINADOR/A PROYECTOS INFRAESTRUCTURAANALISTA/PROFESIONAL/COORDINADOREMPRESA ENVIA EL CANDIDATO</v>
      </c>
      <c r="B209" s="87" t="s">
        <v>1016</v>
      </c>
      <c r="C209" s="87" t="s">
        <v>142</v>
      </c>
      <c r="D209" s="322" t="s">
        <v>101</v>
      </c>
    </row>
    <row r="210" spans="1:4" x14ac:dyDescent="0.25">
      <c r="A210" s="374" t="str">
        <f t="shared" si="3"/>
        <v>ANALISTA COMUNICACIONESANALISTA/PROFESIONAL/COORDINADORPROMOCION INTERNA</v>
      </c>
      <c r="B210" s="240" t="s">
        <v>1770</v>
      </c>
      <c r="C210" s="87" t="s">
        <v>142</v>
      </c>
      <c r="D210" s="322" t="s">
        <v>1465</v>
      </c>
    </row>
    <row r="211" spans="1:4" x14ac:dyDescent="0.25">
      <c r="A211" s="374" t="str">
        <f t="shared" si="3"/>
        <v>EJECUTIVO/A AFILIACIONCARGO COMERCIALPROMOCION INTERNA</v>
      </c>
      <c r="B211" s="87" t="s">
        <v>92</v>
      </c>
      <c r="C211" s="111" t="s">
        <v>52</v>
      </c>
      <c r="D211" s="322" t="s">
        <v>1465</v>
      </c>
    </row>
    <row r="212" spans="1:4" x14ac:dyDescent="0.25">
      <c r="A212" s="374" t="str">
        <f t="shared" si="3"/>
        <v>GESTOR/A NEGOCIOS FIDUCIARIOSANALISTA/PROFESIONAL/COORDINADORCONCURSO INTERNO</v>
      </c>
      <c r="B212" s="143" t="s">
        <v>1801</v>
      </c>
      <c r="C212" s="27" t="s">
        <v>142</v>
      </c>
      <c r="D212" s="322" t="s">
        <v>140</v>
      </c>
    </row>
    <row r="213" spans="1:4" x14ac:dyDescent="0.25">
      <c r="A213" s="374" t="str">
        <f t="shared" si="3"/>
        <v>ESTUDIANTE EN PRACTICAESTUDIANTE/APRENDIZSOLO CONTRATACION</v>
      </c>
      <c r="B213" s="27" t="s">
        <v>96</v>
      </c>
      <c r="C213" s="87" t="s">
        <v>73</v>
      </c>
      <c r="D213" s="322" t="s">
        <v>271</v>
      </c>
    </row>
    <row r="214" spans="1:4" x14ac:dyDescent="0.25">
      <c r="A214" s="374" t="str">
        <f t="shared" si="3"/>
        <v>ANALISTA NAL JURIDICOANALISTA/PROFESIONAL/COORDINADOREMPRESA ENVIA EL CANDIDATO</v>
      </c>
      <c r="B214" s="240" t="s">
        <v>1828</v>
      </c>
      <c r="C214" s="87" t="s">
        <v>142</v>
      </c>
      <c r="D214" s="322" t="s">
        <v>101</v>
      </c>
    </row>
    <row r="215" spans="1:4" x14ac:dyDescent="0.25">
      <c r="A215" s="374" t="str">
        <f t="shared" si="3"/>
        <v>AUXILIAR DE ENFERMERIA DOMICILIARIOSALUD/ASISTENCIALEMPRESA ENVIA EL CANDIDATO</v>
      </c>
      <c r="B215" s="152" t="s">
        <v>1837</v>
      </c>
      <c r="C215" s="111" t="s">
        <v>105</v>
      </c>
      <c r="D215" s="322" t="s">
        <v>101</v>
      </c>
    </row>
    <row r="216" spans="1:4" x14ac:dyDescent="0.25">
      <c r="A216" s="374" t="str">
        <f t="shared" si="3"/>
        <v>GERENTE BANCA EMPRESARIALCARGO COMERCIALPROMOCION INTERNA</v>
      </c>
      <c r="B216" s="233" t="s">
        <v>1844</v>
      </c>
      <c r="C216" s="111" t="s">
        <v>52</v>
      </c>
      <c r="D216" s="322" t="s">
        <v>1465</v>
      </c>
    </row>
    <row r="217" spans="1:4" x14ac:dyDescent="0.25">
      <c r="A217" s="374" t="str">
        <f t="shared" si="3"/>
        <v>GERENTE BANCA EMPRESARIAL SENIORCARGO COMERCIALPROMOCION INTERNA</v>
      </c>
      <c r="B217" s="233" t="s">
        <v>1855</v>
      </c>
      <c r="C217" s="111" t="s">
        <v>52</v>
      </c>
      <c r="D217" s="322" t="s">
        <v>1465</v>
      </c>
    </row>
    <row r="218" spans="1:4" x14ac:dyDescent="0.25">
      <c r="A218" s="381" t="str">
        <f t="shared" si="3"/>
        <v>EJECUTIVO CASH MANAGAMENTCARGO COMERCIALPROMOCION INTERNA</v>
      </c>
      <c r="B218" s="76" t="s">
        <v>1860</v>
      </c>
      <c r="C218" s="291" t="s">
        <v>52</v>
      </c>
      <c r="D218" s="382" t="s">
        <v>1465</v>
      </c>
    </row>
    <row r="219" spans="1:4" x14ac:dyDescent="0.25">
      <c r="A219"/>
      <c r="B219"/>
      <c r="C219"/>
      <c r="D219"/>
    </row>
    <row r="220" spans="1:4" x14ac:dyDescent="0.25">
      <c r="A220"/>
      <c r="B220"/>
      <c r="C220"/>
      <c r="D220"/>
    </row>
    <row r="221" spans="1:4" x14ac:dyDescent="0.25">
      <c r="A221"/>
      <c r="B221"/>
      <c r="C221"/>
      <c r="D221"/>
    </row>
    <row r="222" spans="1:4" x14ac:dyDescent="0.25">
      <c r="A222"/>
      <c r="B222"/>
      <c r="C222"/>
      <c r="D222"/>
    </row>
    <row r="223" spans="1:4" x14ac:dyDescent="0.25">
      <c r="A223"/>
      <c r="B223"/>
      <c r="C223"/>
      <c r="D223"/>
    </row>
    <row r="224" spans="1:4" x14ac:dyDescent="0.25">
      <c r="A224"/>
      <c r="B224"/>
      <c r="C224"/>
      <c r="D224"/>
    </row>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FC9-41D8-4144-8842-2D5EDA839E2D}">
  <dimension ref="A1:B641"/>
  <sheetViews>
    <sheetView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RowHeight="15" x14ac:dyDescent="0.25"/>
  <cols>
    <col min="1" max="1" width="14.85546875" style="9" customWidth="1"/>
    <col min="2" max="2" width="30.42578125" style="9" bestFit="1" customWidth="1"/>
  </cols>
  <sheetData>
    <row r="1" spans="1:2" x14ac:dyDescent="0.25">
      <c r="A1" s="366" t="s">
        <v>2226</v>
      </c>
      <c r="B1" s="345" t="s">
        <v>10</v>
      </c>
    </row>
    <row r="2" spans="1:2" x14ac:dyDescent="0.25">
      <c r="A2" s="356" t="str">
        <f t="shared" ref="A2:A15" si="0">+MID(B2,1,10)</f>
        <v>Fredy Alej</v>
      </c>
      <c r="B2" s="357" t="s">
        <v>53</v>
      </c>
    </row>
    <row r="3" spans="1:2" x14ac:dyDescent="0.25">
      <c r="A3" s="356" t="str">
        <f t="shared" si="0"/>
        <v>Susan Berm</v>
      </c>
      <c r="B3" s="375" t="s">
        <v>66</v>
      </c>
    </row>
    <row r="4" spans="1:2" x14ac:dyDescent="0.25">
      <c r="A4" s="356" t="str">
        <f t="shared" si="0"/>
        <v xml:space="preserve">Alba Lucy </v>
      </c>
      <c r="B4" s="320" t="s">
        <v>74</v>
      </c>
    </row>
    <row r="5" spans="1:2" x14ac:dyDescent="0.25">
      <c r="A5" s="356" t="str">
        <f t="shared" si="0"/>
        <v>Carolina C</v>
      </c>
      <c r="B5" s="320" t="s">
        <v>86</v>
      </c>
    </row>
    <row r="6" spans="1:2" x14ac:dyDescent="0.25">
      <c r="A6" s="356" t="str">
        <f t="shared" si="0"/>
        <v>Andrea Kat</v>
      </c>
      <c r="B6" s="320" t="s">
        <v>93</v>
      </c>
    </row>
    <row r="7" spans="1:2" x14ac:dyDescent="0.25">
      <c r="A7" s="356" t="str">
        <f t="shared" si="0"/>
        <v>Sheylin Fl</v>
      </c>
      <c r="B7" s="383" t="s">
        <v>1081</v>
      </c>
    </row>
    <row r="8" spans="1:2" x14ac:dyDescent="0.25">
      <c r="A8" s="356" t="str">
        <f t="shared" si="0"/>
        <v>Francy Gir</v>
      </c>
      <c r="B8" s="357" t="s">
        <v>106</v>
      </c>
    </row>
    <row r="9" spans="1:2" x14ac:dyDescent="0.25">
      <c r="A9" s="356" t="str">
        <f t="shared" si="0"/>
        <v>Paola Andr</v>
      </c>
      <c r="B9" s="320" t="s">
        <v>111</v>
      </c>
    </row>
    <row r="10" spans="1:2" x14ac:dyDescent="0.25">
      <c r="A10" s="356" t="str">
        <f t="shared" si="0"/>
        <v>Norma Elen</v>
      </c>
      <c r="B10" s="321" t="s">
        <v>129</v>
      </c>
    </row>
    <row r="11" spans="1:2" x14ac:dyDescent="0.25">
      <c r="A11" s="356" t="str">
        <f t="shared" si="0"/>
        <v>Natalia Ar</v>
      </c>
      <c r="B11" s="375" t="s">
        <v>165</v>
      </c>
    </row>
    <row r="12" spans="1:2" x14ac:dyDescent="0.25">
      <c r="A12" s="356" t="str">
        <f t="shared" si="0"/>
        <v xml:space="preserve">Francisco </v>
      </c>
      <c r="B12" s="320" t="s">
        <v>171</v>
      </c>
    </row>
    <row r="13" spans="1:2" x14ac:dyDescent="0.25">
      <c r="A13" s="356" t="str">
        <f t="shared" si="0"/>
        <v>Johana Fue</v>
      </c>
      <c r="B13" s="320" t="s">
        <v>351</v>
      </c>
    </row>
    <row r="14" spans="1:2" x14ac:dyDescent="0.25">
      <c r="A14" s="356" t="str">
        <f t="shared" si="0"/>
        <v xml:space="preserve">Katherine </v>
      </c>
      <c r="B14" s="320" t="s">
        <v>1385</v>
      </c>
    </row>
    <row r="15" spans="1:2" x14ac:dyDescent="0.25">
      <c r="A15" s="369" t="str">
        <f t="shared" si="0"/>
        <v>María José</v>
      </c>
      <c r="B15" s="313" t="s">
        <v>1401</v>
      </c>
    </row>
    <row r="16" spans="1:2" x14ac:dyDescent="0.25">
      <c r="A16"/>
      <c r="B16"/>
    </row>
    <row r="17" spans="1:2" x14ac:dyDescent="0.25">
      <c r="A17"/>
      <c r="B17"/>
    </row>
    <row r="18" spans="1:2" x14ac:dyDescent="0.25">
      <c r="A18"/>
      <c r="B18"/>
    </row>
    <row r="19" spans="1:2" x14ac:dyDescent="0.25">
      <c r="A19"/>
      <c r="B19"/>
    </row>
    <row r="20" spans="1:2" x14ac:dyDescent="0.25">
      <c r="A20"/>
      <c r="B20"/>
    </row>
    <row r="21" spans="1:2" x14ac:dyDescent="0.25">
      <c r="A21"/>
      <c r="B21"/>
    </row>
    <row r="22" spans="1:2" x14ac:dyDescent="0.25">
      <c r="A22"/>
      <c r="B22"/>
    </row>
    <row r="23" spans="1:2" x14ac:dyDescent="0.25">
      <c r="A23"/>
      <c r="B23"/>
    </row>
    <row r="24" spans="1:2" x14ac:dyDescent="0.25">
      <c r="A24"/>
      <c r="B24"/>
    </row>
    <row r="25" spans="1:2" x14ac:dyDescent="0.25">
      <c r="A25"/>
      <c r="B25"/>
    </row>
    <row r="26" spans="1:2" x14ac:dyDescent="0.25">
      <c r="A26"/>
      <c r="B26"/>
    </row>
    <row r="27" spans="1:2" x14ac:dyDescent="0.25">
      <c r="A27"/>
      <c r="B27"/>
    </row>
    <row r="28" spans="1:2" x14ac:dyDescent="0.25">
      <c r="A28"/>
      <c r="B28"/>
    </row>
    <row r="29" spans="1:2" x14ac:dyDescent="0.25">
      <c r="A29"/>
      <c r="B29"/>
    </row>
    <row r="30" spans="1:2" x14ac:dyDescent="0.25">
      <c r="A30"/>
      <c r="B30"/>
    </row>
    <row r="31" spans="1:2" x14ac:dyDescent="0.25">
      <c r="A31"/>
      <c r="B31"/>
    </row>
    <row r="32" spans="1:2" x14ac:dyDescent="0.25">
      <c r="A32"/>
      <c r="B32"/>
    </row>
    <row r="33" spans="1:2" x14ac:dyDescent="0.25">
      <c r="A33"/>
      <c r="B33"/>
    </row>
    <row r="34" spans="1:2" x14ac:dyDescent="0.25">
      <c r="A34"/>
      <c r="B34"/>
    </row>
    <row r="35" spans="1:2" x14ac:dyDescent="0.25">
      <c r="A35"/>
      <c r="B35"/>
    </row>
    <row r="36" spans="1:2" x14ac:dyDescent="0.25">
      <c r="A36"/>
      <c r="B36"/>
    </row>
    <row r="37" spans="1:2" x14ac:dyDescent="0.25">
      <c r="A37"/>
      <c r="B37"/>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681E-4A02-43AE-9B00-B90254720416}">
  <dimension ref="A1:C641"/>
  <sheetViews>
    <sheetView workbookViewId="0">
      <selection activeCell="A2" sqref="A2"/>
    </sheetView>
  </sheetViews>
  <sheetFormatPr baseColWidth="10" defaultRowHeight="15" x14ac:dyDescent="0.25"/>
  <cols>
    <col min="1" max="1" width="38.5703125" style="9" bestFit="1" customWidth="1"/>
    <col min="2" max="2" width="25.5703125" style="9" customWidth="1"/>
    <col min="3" max="3" width="44.28515625" style="9" bestFit="1" customWidth="1"/>
  </cols>
  <sheetData>
    <row r="1" spans="1:3" x14ac:dyDescent="0.25">
      <c r="A1" s="397" t="s">
        <v>2228</v>
      </c>
      <c r="B1" s="398" t="s">
        <v>47</v>
      </c>
      <c r="C1" s="399" t="s">
        <v>48</v>
      </c>
    </row>
    <row r="2" spans="1:3" x14ac:dyDescent="0.25">
      <c r="A2" s="384" t="str">
        <f t="shared" ref="A2:A65" si="0">+B2&amp;C2</f>
        <v>ComputrabajoCooperativa Afroamericano</v>
      </c>
      <c r="B2" s="169" t="s">
        <v>59</v>
      </c>
      <c r="C2" s="385" t="s">
        <v>60</v>
      </c>
    </row>
    <row r="3" spans="1:3" x14ac:dyDescent="0.25">
      <c r="A3" s="384" t="str">
        <f t="shared" si="0"/>
        <v>ComputrabajoGI Group (INSSA)</v>
      </c>
      <c r="B3" s="169" t="s">
        <v>59</v>
      </c>
      <c r="C3" s="310" t="s">
        <v>68</v>
      </c>
    </row>
    <row r="4" spans="1:3" x14ac:dyDescent="0.25">
      <c r="A4" s="384" t="str">
        <f t="shared" si="0"/>
        <v>Bolsa de empleo Ins. EducativaNA</v>
      </c>
      <c r="B4" s="169" t="s">
        <v>77</v>
      </c>
      <c r="C4" s="310" t="s">
        <v>78</v>
      </c>
    </row>
    <row r="5" spans="1:3" x14ac:dyDescent="0.25">
      <c r="A5" s="384" t="str">
        <f t="shared" si="0"/>
        <v>Bolsa de empleo Ins. EducativaN/A</v>
      </c>
      <c r="B5" s="169" t="s">
        <v>77</v>
      </c>
      <c r="C5" s="310" t="s">
        <v>82</v>
      </c>
    </row>
    <row r="6" spans="1:3" x14ac:dyDescent="0.25">
      <c r="A6" s="384" t="str">
        <f t="shared" si="0"/>
        <v>Bolsa de empleo Ins. EducativaNo aplica</v>
      </c>
      <c r="B6" s="169" t="s">
        <v>77</v>
      </c>
      <c r="C6" s="310" t="s">
        <v>89</v>
      </c>
    </row>
    <row r="7" spans="1:3" x14ac:dyDescent="0.25">
      <c r="A7" s="384" t="str">
        <f t="shared" si="0"/>
        <v>ComputrabajoColmédica</v>
      </c>
      <c r="B7" s="169" t="s">
        <v>59</v>
      </c>
      <c r="C7" s="310" t="s">
        <v>95</v>
      </c>
    </row>
    <row r="8" spans="1:3" x14ac:dyDescent="0.25">
      <c r="A8" s="384" t="str">
        <f t="shared" si="0"/>
        <v>Referido clienteBancoomeva</v>
      </c>
      <c r="B8" s="169" t="s">
        <v>104</v>
      </c>
      <c r="C8" s="310" t="s">
        <v>480</v>
      </c>
    </row>
    <row r="9" spans="1:3" x14ac:dyDescent="0.25">
      <c r="A9" s="384" t="str">
        <f t="shared" si="0"/>
        <v>ComputrabajoMETROSALUD</v>
      </c>
      <c r="B9" s="169" t="s">
        <v>59</v>
      </c>
      <c r="C9" s="310" t="s">
        <v>108</v>
      </c>
    </row>
    <row r="10" spans="1:3" x14ac:dyDescent="0.25">
      <c r="A10" s="384" t="str">
        <f t="shared" si="0"/>
        <v>ComputrabajoSin experiencia</v>
      </c>
      <c r="B10" s="169" t="s">
        <v>59</v>
      </c>
      <c r="C10" s="310" t="s">
        <v>110</v>
      </c>
    </row>
    <row r="11" spans="1:3" x14ac:dyDescent="0.25">
      <c r="A11" s="384" t="str">
        <f t="shared" si="0"/>
        <v>Referido clienteMenzies Aviación Colombia</v>
      </c>
      <c r="B11" s="169" t="s">
        <v>104</v>
      </c>
      <c r="C11" s="310" t="s">
        <v>121</v>
      </c>
    </row>
    <row r="12" spans="1:3" x14ac:dyDescent="0.25">
      <c r="A12" s="384" t="str">
        <f t="shared" si="0"/>
        <v>Busqueda directaN/A</v>
      </c>
      <c r="B12" s="169" t="s">
        <v>127</v>
      </c>
      <c r="C12" s="310" t="s">
        <v>82</v>
      </c>
    </row>
    <row r="13" spans="1:3" x14ac:dyDescent="0.25">
      <c r="A13" s="384" t="str">
        <f t="shared" si="0"/>
        <v>MagnetoCLARO MOVIL</v>
      </c>
      <c r="B13" s="169" t="s">
        <v>131</v>
      </c>
      <c r="C13" s="310" t="s">
        <v>132</v>
      </c>
    </row>
    <row r="14" spans="1:3" x14ac:dyDescent="0.25">
      <c r="A14" s="384" t="str">
        <f t="shared" si="0"/>
        <v>ComputrabajoSeguros Bolivar</v>
      </c>
      <c r="B14" s="169" t="s">
        <v>59</v>
      </c>
      <c r="C14" s="310" t="s">
        <v>139</v>
      </c>
    </row>
    <row r="15" spans="1:3" x14ac:dyDescent="0.25">
      <c r="A15" s="384" t="str">
        <f t="shared" si="0"/>
        <v>Movimiento InternoCoomeva Cooperativa</v>
      </c>
      <c r="B15" s="169" t="s">
        <v>145</v>
      </c>
      <c r="C15" s="310" t="s">
        <v>146</v>
      </c>
    </row>
    <row r="16" spans="1:3" x14ac:dyDescent="0.25">
      <c r="A16" s="384" t="str">
        <f t="shared" si="0"/>
        <v>Movimiento InternoCoomeva UCO</v>
      </c>
      <c r="B16" s="169" t="s">
        <v>145</v>
      </c>
      <c r="C16" s="310" t="s">
        <v>150</v>
      </c>
    </row>
    <row r="17" spans="1:3" x14ac:dyDescent="0.25">
      <c r="A17" s="384" t="str">
        <f t="shared" si="0"/>
        <v>ComputrabajoCONSTRUCTORA BOLIVAR</v>
      </c>
      <c r="B17" s="169" t="s">
        <v>59</v>
      </c>
      <c r="C17" s="310" t="s">
        <v>155</v>
      </c>
    </row>
    <row r="18" spans="1:3" x14ac:dyDescent="0.25">
      <c r="A18" s="384" t="str">
        <f t="shared" si="0"/>
        <v>ComputrabajoCoworking</v>
      </c>
      <c r="B18" s="169" t="s">
        <v>59</v>
      </c>
      <c r="C18" s="310" t="s">
        <v>160</v>
      </c>
    </row>
    <row r="19" spans="1:3" x14ac:dyDescent="0.25">
      <c r="A19" s="384" t="str">
        <f t="shared" si="0"/>
        <v>Referido clienteNo aplica</v>
      </c>
      <c r="B19" s="169" t="s">
        <v>104</v>
      </c>
      <c r="C19" s="310" t="s">
        <v>89</v>
      </c>
    </row>
    <row r="20" spans="1:3" x14ac:dyDescent="0.25">
      <c r="A20" s="384" t="str">
        <f t="shared" si="0"/>
        <v>ComputrabajoAmerican School Way</v>
      </c>
      <c r="B20" s="169" t="s">
        <v>59</v>
      </c>
      <c r="C20" s="310" t="s">
        <v>168</v>
      </c>
    </row>
    <row r="21" spans="1:3" x14ac:dyDescent="0.25">
      <c r="A21" s="384" t="str">
        <f t="shared" si="0"/>
        <v>ComputrabajoCompensar</v>
      </c>
      <c r="B21" s="169" t="s">
        <v>59</v>
      </c>
      <c r="C21" s="310" t="s">
        <v>173</v>
      </c>
    </row>
    <row r="22" spans="1:3" x14ac:dyDescent="0.25">
      <c r="A22" s="384" t="str">
        <f t="shared" si="0"/>
        <v>ComputrabajoCABLES SUPERIORES COLOMBIA S.A.S</v>
      </c>
      <c r="B22" s="169" t="s">
        <v>59</v>
      </c>
      <c r="C22" s="310" t="s">
        <v>177</v>
      </c>
    </row>
    <row r="23" spans="1:3" x14ac:dyDescent="0.25">
      <c r="A23" s="384" t="str">
        <f t="shared" si="0"/>
        <v>Movimiento InternoCoomeva</v>
      </c>
      <c r="B23" s="169" t="s">
        <v>145</v>
      </c>
      <c r="C23" s="310" t="s">
        <v>180</v>
      </c>
    </row>
    <row r="24" spans="1:3" x14ac:dyDescent="0.25">
      <c r="A24" s="384" t="str">
        <f t="shared" si="0"/>
        <v>ComputrabajoHOSPITAL DIVINO NIÑO GUADALAJARA DE BUGA</v>
      </c>
      <c r="B24" s="169" t="s">
        <v>59</v>
      </c>
      <c r="C24" s="310" t="s">
        <v>183</v>
      </c>
    </row>
    <row r="25" spans="1:3" x14ac:dyDescent="0.25">
      <c r="A25" s="384" t="str">
        <f t="shared" si="0"/>
        <v>ComputrabajoCooperativa multisoluciones</v>
      </c>
      <c r="B25" s="169" t="s">
        <v>59</v>
      </c>
      <c r="C25" s="310" t="s">
        <v>187</v>
      </c>
    </row>
    <row r="26" spans="1:3" x14ac:dyDescent="0.25">
      <c r="A26" s="384" t="str">
        <f t="shared" si="0"/>
        <v>ComputrabajoFundación de la Mujer</v>
      </c>
      <c r="B26" s="169" t="s">
        <v>59</v>
      </c>
      <c r="C26" s="310" t="s">
        <v>191</v>
      </c>
    </row>
    <row r="27" spans="1:3" x14ac:dyDescent="0.25">
      <c r="A27" s="384" t="str">
        <f t="shared" si="0"/>
        <v>ComputrabajoCentro comercial Unico</v>
      </c>
      <c r="B27" s="169" t="s">
        <v>59</v>
      </c>
      <c r="C27" s="310" t="s">
        <v>207</v>
      </c>
    </row>
    <row r="28" spans="1:3" x14ac:dyDescent="0.25">
      <c r="A28" s="384" t="str">
        <f t="shared" si="0"/>
        <v>ComputrabajoClinica Occidente</v>
      </c>
      <c r="B28" s="169" t="s">
        <v>59</v>
      </c>
      <c r="C28" s="310" t="s">
        <v>213</v>
      </c>
    </row>
    <row r="29" spans="1:3" x14ac:dyDescent="0.25">
      <c r="A29" s="384" t="str">
        <f t="shared" si="0"/>
        <v>ComputrabajoPLUSPREVENGO</v>
      </c>
      <c r="B29" s="169" t="s">
        <v>59</v>
      </c>
      <c r="C29" s="310" t="s">
        <v>217</v>
      </c>
    </row>
    <row r="30" spans="1:3" x14ac:dyDescent="0.25">
      <c r="A30" s="384" t="str">
        <f t="shared" si="0"/>
        <v>ComputrabajoBanco BBVA</v>
      </c>
      <c r="B30" s="169" t="s">
        <v>59</v>
      </c>
      <c r="C30" s="310" t="s">
        <v>229</v>
      </c>
    </row>
    <row r="31" spans="1:3" x14ac:dyDescent="0.25">
      <c r="A31" s="384" t="str">
        <f t="shared" si="0"/>
        <v>Referido clienteN/A</v>
      </c>
      <c r="B31" s="169" t="s">
        <v>104</v>
      </c>
      <c r="C31" s="310" t="s">
        <v>82</v>
      </c>
    </row>
    <row r="32" spans="1:3" x14ac:dyDescent="0.25">
      <c r="A32" s="384" t="str">
        <f t="shared" si="0"/>
        <v>Movimiento InternoCoomeva GCGIA</v>
      </c>
      <c r="B32" s="169" t="s">
        <v>145</v>
      </c>
      <c r="C32" s="310" t="s">
        <v>235</v>
      </c>
    </row>
    <row r="33" spans="1:3" x14ac:dyDescent="0.25">
      <c r="A33" s="384" t="str">
        <f t="shared" si="0"/>
        <v>ComputrabajoHOMI</v>
      </c>
      <c r="B33" s="169" t="s">
        <v>59</v>
      </c>
      <c r="C33" s="310" t="s">
        <v>238</v>
      </c>
    </row>
    <row r="34" spans="1:3" x14ac:dyDescent="0.25">
      <c r="A34" s="384" t="str">
        <f t="shared" si="0"/>
        <v>ComputrabajoBanco Union</v>
      </c>
      <c r="B34" s="169" t="s">
        <v>59</v>
      </c>
      <c r="C34" s="310" t="s">
        <v>242</v>
      </c>
    </row>
    <row r="35" spans="1:3" x14ac:dyDescent="0.25">
      <c r="A35" s="384" t="str">
        <f t="shared" si="0"/>
        <v>Referido clienteCRUE E.S.E CENTRO</v>
      </c>
      <c r="B35" s="169" t="s">
        <v>104</v>
      </c>
      <c r="C35" s="310" t="s">
        <v>245</v>
      </c>
    </row>
    <row r="36" spans="1:3" x14ac:dyDescent="0.25">
      <c r="A36" s="384" t="str">
        <f t="shared" si="0"/>
        <v>ComputrabajoSeguralia</v>
      </c>
      <c r="B36" s="169" t="s">
        <v>59</v>
      </c>
      <c r="C36" s="310" t="s">
        <v>255</v>
      </c>
    </row>
    <row r="37" spans="1:3" x14ac:dyDescent="0.25">
      <c r="A37" s="384" t="str">
        <f t="shared" si="0"/>
        <v>ComputrabajoMedplus</v>
      </c>
      <c r="B37" s="169" t="s">
        <v>59</v>
      </c>
      <c r="C37" s="310" t="s">
        <v>258</v>
      </c>
    </row>
    <row r="38" spans="1:3" x14ac:dyDescent="0.25">
      <c r="A38" s="384" t="str">
        <f t="shared" si="0"/>
        <v>Otras redesSeguros Bolivar</v>
      </c>
      <c r="B38" s="169" t="s">
        <v>265</v>
      </c>
      <c r="C38" s="310" t="s">
        <v>139</v>
      </c>
    </row>
    <row r="39" spans="1:3" x14ac:dyDescent="0.25">
      <c r="A39" s="384" t="str">
        <f t="shared" si="0"/>
        <v>ComputrabajoProinsa</v>
      </c>
      <c r="B39" s="169" t="s">
        <v>59</v>
      </c>
      <c r="C39" s="310" t="s">
        <v>270</v>
      </c>
    </row>
    <row r="40" spans="1:3" x14ac:dyDescent="0.25">
      <c r="A40" s="384" t="str">
        <f t="shared" si="0"/>
        <v>Referido clienteBancoomeva- Accion Plus</v>
      </c>
      <c r="B40" s="169" t="s">
        <v>104</v>
      </c>
      <c r="C40" s="310" t="s">
        <v>279</v>
      </c>
    </row>
    <row r="41" spans="1:3" x14ac:dyDescent="0.25">
      <c r="A41" s="384" t="str">
        <f t="shared" si="0"/>
        <v>Busqueda directaEMI</v>
      </c>
      <c r="B41" s="169" t="s">
        <v>127</v>
      </c>
      <c r="C41" s="310" t="s">
        <v>500</v>
      </c>
    </row>
    <row r="42" spans="1:3" x14ac:dyDescent="0.25">
      <c r="A42" s="384" t="str">
        <f t="shared" si="0"/>
        <v>ComputrabajoEmermedica</v>
      </c>
      <c r="B42" s="169" t="s">
        <v>59</v>
      </c>
      <c r="C42" s="310" t="s">
        <v>288</v>
      </c>
    </row>
    <row r="43" spans="1:3" x14ac:dyDescent="0.25">
      <c r="A43" s="384" t="str">
        <f t="shared" si="0"/>
        <v>ComputrabajoAdistec Colombia</v>
      </c>
      <c r="B43" s="169" t="s">
        <v>59</v>
      </c>
      <c r="C43" s="310" t="s">
        <v>291</v>
      </c>
    </row>
    <row r="44" spans="1:3" x14ac:dyDescent="0.25">
      <c r="A44" s="384" t="str">
        <f t="shared" si="0"/>
        <v>ComputrabajoSalud Total</v>
      </c>
      <c r="B44" s="169" t="s">
        <v>59</v>
      </c>
      <c r="C44" s="310" t="s">
        <v>294</v>
      </c>
    </row>
    <row r="45" spans="1:3" x14ac:dyDescent="0.25">
      <c r="A45" s="384" t="str">
        <f t="shared" si="0"/>
        <v>ComputrabajoSIES SALUD</v>
      </c>
      <c r="B45" s="169" t="s">
        <v>59</v>
      </c>
      <c r="C45" s="310" t="s">
        <v>296</v>
      </c>
    </row>
    <row r="46" spans="1:3" x14ac:dyDescent="0.25">
      <c r="A46" s="384" t="str">
        <f t="shared" si="0"/>
        <v>ComputrabajoDACA TECNOLOGÍ</v>
      </c>
      <c r="B46" s="169" t="s">
        <v>59</v>
      </c>
      <c r="C46" s="310" t="s">
        <v>299</v>
      </c>
    </row>
    <row r="47" spans="1:3" x14ac:dyDescent="0.25">
      <c r="A47" s="384" t="str">
        <f t="shared" si="0"/>
        <v>ComputrabajoGRUPO RECORDAR</v>
      </c>
      <c r="B47" s="169" t="s">
        <v>59</v>
      </c>
      <c r="C47" s="310" t="s">
        <v>302</v>
      </c>
    </row>
    <row r="48" spans="1:3" x14ac:dyDescent="0.25">
      <c r="A48" s="384" t="str">
        <f t="shared" si="0"/>
        <v>ComputrabajoPROTECCION</v>
      </c>
      <c r="B48" s="169" t="s">
        <v>59</v>
      </c>
      <c r="C48" s="310" t="s">
        <v>305</v>
      </c>
    </row>
    <row r="49" spans="1:3" x14ac:dyDescent="0.25">
      <c r="A49" s="384" t="str">
        <f t="shared" si="0"/>
        <v>Referido clienteCorficolombiana</v>
      </c>
      <c r="B49" s="292" t="s">
        <v>104</v>
      </c>
      <c r="C49" s="313" t="s">
        <v>309</v>
      </c>
    </row>
    <row r="50" spans="1:3" x14ac:dyDescent="0.25">
      <c r="A50" s="384" t="str">
        <f t="shared" si="0"/>
        <v>Referido clienteKATA SOFTWARE</v>
      </c>
      <c r="B50" s="169" t="s">
        <v>104</v>
      </c>
      <c r="C50" s="310" t="s">
        <v>320</v>
      </c>
    </row>
    <row r="51" spans="1:3" x14ac:dyDescent="0.25">
      <c r="A51" s="384" t="str">
        <f t="shared" si="0"/>
        <v>Referido clienteASMET SALUD</v>
      </c>
      <c r="B51" s="169" t="s">
        <v>104</v>
      </c>
      <c r="C51" s="310" t="s">
        <v>326</v>
      </c>
    </row>
    <row r="52" spans="1:3" x14ac:dyDescent="0.25">
      <c r="A52" s="384" t="str">
        <f t="shared" si="0"/>
        <v>ComputrabajoPOSTOBON SA</v>
      </c>
      <c r="B52" s="169" t="s">
        <v>59</v>
      </c>
      <c r="C52" s="310" t="s">
        <v>329</v>
      </c>
    </row>
    <row r="53" spans="1:3" x14ac:dyDescent="0.25">
      <c r="A53" s="384" t="str">
        <f t="shared" si="0"/>
        <v>Referido clienteCOOSEGURIDAD</v>
      </c>
      <c r="B53" s="169" t="s">
        <v>104</v>
      </c>
      <c r="C53" s="310" t="s">
        <v>332</v>
      </c>
    </row>
    <row r="54" spans="1:3" x14ac:dyDescent="0.25">
      <c r="A54" s="384" t="str">
        <f t="shared" si="0"/>
        <v>Referido clienteANGIOGRAFIA DE OCCIDENTE</v>
      </c>
      <c r="B54" s="169" t="s">
        <v>104</v>
      </c>
      <c r="C54" s="310" t="s">
        <v>335</v>
      </c>
    </row>
    <row r="55" spans="1:3" x14ac:dyDescent="0.25">
      <c r="A55" s="384" t="str">
        <f t="shared" si="0"/>
        <v>ComputrabajoIPS HORISOES</v>
      </c>
      <c r="B55" s="169" t="s">
        <v>59</v>
      </c>
      <c r="C55" s="310" t="s">
        <v>342</v>
      </c>
    </row>
    <row r="56" spans="1:3" x14ac:dyDescent="0.25">
      <c r="A56" s="384" t="str">
        <f t="shared" si="0"/>
        <v>ComputrabajoHOSPITAL UNIVERSITARIO DEL VALLE</v>
      </c>
      <c r="B56" s="169" t="s">
        <v>59</v>
      </c>
      <c r="C56" s="310" t="s">
        <v>345</v>
      </c>
    </row>
    <row r="57" spans="1:3" x14ac:dyDescent="0.25">
      <c r="A57" s="384" t="str">
        <f t="shared" si="0"/>
        <v>Referido clienteKAFURY Y ZULUAGA SAS</v>
      </c>
      <c r="B57" s="169" t="s">
        <v>104</v>
      </c>
      <c r="C57" s="310" t="s">
        <v>349</v>
      </c>
    </row>
    <row r="58" spans="1:3" x14ac:dyDescent="0.25">
      <c r="A58" s="384" t="str">
        <f t="shared" si="0"/>
        <v>Referido clienteFundación Valle del Lili</v>
      </c>
      <c r="B58" s="169" t="s">
        <v>104</v>
      </c>
      <c r="C58" s="310" t="s">
        <v>354</v>
      </c>
    </row>
    <row r="59" spans="1:3" x14ac:dyDescent="0.25">
      <c r="A59" s="384" t="str">
        <f t="shared" si="0"/>
        <v>ComputrabajoClínica Imbanaco</v>
      </c>
      <c r="B59" s="169" t="s">
        <v>59</v>
      </c>
      <c r="C59" s="310" t="s">
        <v>357</v>
      </c>
    </row>
    <row r="60" spans="1:3" x14ac:dyDescent="0.25">
      <c r="A60" s="384" t="str">
        <f t="shared" si="0"/>
        <v>Referido clienteIDC Hematoncólogos</v>
      </c>
      <c r="B60" s="169" t="s">
        <v>104</v>
      </c>
      <c r="C60" s="310" t="s">
        <v>360</v>
      </c>
    </row>
    <row r="61" spans="1:3" x14ac:dyDescent="0.25">
      <c r="A61" s="384" t="str">
        <f t="shared" si="0"/>
        <v>Referido clienteHospital San Roque</v>
      </c>
      <c r="B61" s="169" t="s">
        <v>104</v>
      </c>
      <c r="C61" s="310" t="s">
        <v>362</v>
      </c>
    </row>
    <row r="62" spans="1:3" x14ac:dyDescent="0.25">
      <c r="A62" s="384" t="str">
        <f t="shared" si="0"/>
        <v>Referido clienteClínica Colombia</v>
      </c>
      <c r="B62" s="169" t="s">
        <v>104</v>
      </c>
      <c r="C62" s="310" t="s">
        <v>365</v>
      </c>
    </row>
    <row r="63" spans="1:3" x14ac:dyDescent="0.25">
      <c r="A63" s="384" t="str">
        <f t="shared" si="0"/>
        <v>ComputrabajoPLASTIKOS CIRIJANOS</v>
      </c>
      <c r="B63" s="169" t="s">
        <v>59</v>
      </c>
      <c r="C63" s="310" t="s">
        <v>370</v>
      </c>
    </row>
    <row r="64" spans="1:3" x14ac:dyDescent="0.25">
      <c r="A64" s="384" t="str">
        <f t="shared" si="0"/>
        <v>ComputrabajoBanco Finandina</v>
      </c>
      <c r="B64" s="169" t="s">
        <v>59</v>
      </c>
      <c r="C64" s="310" t="s">
        <v>378</v>
      </c>
    </row>
    <row r="65" spans="1:3" x14ac:dyDescent="0.25">
      <c r="A65" s="384" t="str">
        <f t="shared" si="0"/>
        <v>Referido clienteFundación coomeva</v>
      </c>
      <c r="B65" s="169" t="s">
        <v>104</v>
      </c>
      <c r="C65" s="310" t="s">
        <v>386</v>
      </c>
    </row>
    <row r="66" spans="1:3" x14ac:dyDescent="0.25">
      <c r="A66" s="384" t="str">
        <f t="shared" ref="A66:A129" si="1">+B66&amp;C66</f>
        <v>Movimiento InternoUCO</v>
      </c>
      <c r="B66" s="169" t="s">
        <v>145</v>
      </c>
      <c r="C66" s="310" t="s">
        <v>202</v>
      </c>
    </row>
    <row r="67" spans="1:3" x14ac:dyDescent="0.25">
      <c r="A67" s="384" t="str">
        <f t="shared" si="1"/>
        <v>Busqueda directaSura</v>
      </c>
      <c r="B67" s="169" t="s">
        <v>127</v>
      </c>
      <c r="C67" s="310" t="s">
        <v>400</v>
      </c>
    </row>
    <row r="68" spans="1:3" x14ac:dyDescent="0.25">
      <c r="A68" s="384" t="str">
        <f t="shared" si="1"/>
        <v>Movimiento InternoCEM</v>
      </c>
      <c r="B68" s="169" t="s">
        <v>145</v>
      </c>
      <c r="C68" s="310" t="s">
        <v>405</v>
      </c>
    </row>
    <row r="69" spans="1:3" x14ac:dyDescent="0.25">
      <c r="A69" s="384" t="str">
        <f t="shared" si="1"/>
        <v>Referido clienteRPM Nevada</v>
      </c>
      <c r="B69" s="169" t="s">
        <v>104</v>
      </c>
      <c r="C69" s="310" t="s">
        <v>412</v>
      </c>
    </row>
    <row r="70" spans="1:3" x14ac:dyDescent="0.25">
      <c r="A70" s="384" t="str">
        <f t="shared" si="1"/>
        <v>Bolsa de empleo Ins. EducativaSin experiencia</v>
      </c>
      <c r="B70" s="169" t="s">
        <v>77</v>
      </c>
      <c r="C70" s="386" t="s">
        <v>110</v>
      </c>
    </row>
    <row r="71" spans="1:3" x14ac:dyDescent="0.25">
      <c r="A71" s="384" t="str">
        <f t="shared" si="1"/>
        <v>Busqueda directaGrupo EMI</v>
      </c>
      <c r="B71" s="169" t="s">
        <v>127</v>
      </c>
      <c r="C71" s="387" t="s">
        <v>452</v>
      </c>
    </row>
    <row r="72" spans="1:3" x14ac:dyDescent="0.25">
      <c r="A72" s="384" t="str">
        <f t="shared" si="1"/>
        <v>MagnetoSeguros Bolivar</v>
      </c>
      <c r="B72" s="169" t="s">
        <v>131</v>
      </c>
      <c r="C72" s="387" t="s">
        <v>139</v>
      </c>
    </row>
    <row r="73" spans="1:3" x14ac:dyDescent="0.25">
      <c r="A73" s="384" t="str">
        <f t="shared" si="1"/>
        <v>ComputrabajoGrupo EMI</v>
      </c>
      <c r="B73" s="169" t="s">
        <v>59</v>
      </c>
      <c r="C73" s="387" t="s">
        <v>452</v>
      </c>
    </row>
    <row r="74" spans="1:3" x14ac:dyDescent="0.25">
      <c r="A74" s="384" t="str">
        <f t="shared" si="1"/>
        <v>LinkedinSURA EPS</v>
      </c>
      <c r="B74" s="169" t="s">
        <v>419</v>
      </c>
      <c r="C74" s="387" t="s">
        <v>470</v>
      </c>
    </row>
    <row r="75" spans="1:3" x14ac:dyDescent="0.25">
      <c r="A75" s="384" t="str">
        <f t="shared" si="1"/>
        <v>LinkedinMagno Chocolates</v>
      </c>
      <c r="B75" s="169" t="s">
        <v>419</v>
      </c>
      <c r="C75" s="387" t="s">
        <v>476</v>
      </c>
    </row>
    <row r="76" spans="1:3" x14ac:dyDescent="0.25">
      <c r="A76" s="384" t="str">
        <f t="shared" si="1"/>
        <v>Busqueda directaSkandia</v>
      </c>
      <c r="B76" s="169" t="s">
        <v>127</v>
      </c>
      <c r="C76" s="387" t="s">
        <v>483</v>
      </c>
    </row>
    <row r="77" spans="1:3" x14ac:dyDescent="0.25">
      <c r="A77" s="384" t="str">
        <f t="shared" si="1"/>
        <v>MagnetoClinicos IPS</v>
      </c>
      <c r="B77" s="292" t="s">
        <v>131</v>
      </c>
      <c r="C77" s="388" t="s">
        <v>486</v>
      </c>
    </row>
    <row r="78" spans="1:3" x14ac:dyDescent="0.25">
      <c r="A78" s="384" t="str">
        <f t="shared" si="1"/>
        <v>ComputrabajoSanitas</v>
      </c>
      <c r="B78" s="169" t="s">
        <v>59</v>
      </c>
      <c r="C78" s="387" t="s">
        <v>490</v>
      </c>
    </row>
    <row r="79" spans="1:3" x14ac:dyDescent="0.25">
      <c r="A79" s="384" t="str">
        <f t="shared" si="1"/>
        <v>Busqueda directaContrasandia</v>
      </c>
      <c r="B79" s="169" t="s">
        <v>127</v>
      </c>
      <c r="C79" s="387" t="s">
        <v>493</v>
      </c>
    </row>
    <row r="80" spans="1:3" x14ac:dyDescent="0.25">
      <c r="A80" s="384" t="str">
        <f t="shared" si="1"/>
        <v>Ferias UniversitariasN/A</v>
      </c>
      <c r="B80" s="169" t="s">
        <v>417</v>
      </c>
      <c r="C80" s="387" t="s">
        <v>82</v>
      </c>
    </row>
    <row r="81" spans="1:3" x14ac:dyDescent="0.25">
      <c r="A81" s="384" t="str">
        <f t="shared" si="1"/>
        <v>ComputrabajoEMI</v>
      </c>
      <c r="B81" s="169" t="s">
        <v>59</v>
      </c>
      <c r="C81" s="387" t="s">
        <v>500</v>
      </c>
    </row>
    <row r="82" spans="1:3" x14ac:dyDescent="0.25">
      <c r="A82" s="384" t="str">
        <f t="shared" si="1"/>
        <v>ComputrabajoMEDICINA PREPAGADA/TEMPORAL</v>
      </c>
      <c r="B82" s="169" t="s">
        <v>59</v>
      </c>
      <c r="C82" s="387" t="s">
        <v>504</v>
      </c>
    </row>
    <row r="83" spans="1:3" x14ac:dyDescent="0.25">
      <c r="A83" s="384" t="str">
        <f t="shared" si="1"/>
        <v>ComputrabajoCovinoc</v>
      </c>
      <c r="B83" s="169" t="s">
        <v>59</v>
      </c>
      <c r="C83" s="387" t="s">
        <v>510</v>
      </c>
    </row>
    <row r="84" spans="1:3" x14ac:dyDescent="0.25">
      <c r="A84" s="384" t="str">
        <f t="shared" si="1"/>
        <v>MagnetoBANCO ITAU</v>
      </c>
      <c r="B84" s="169" t="s">
        <v>131</v>
      </c>
      <c r="C84" s="387" t="s">
        <v>515</v>
      </c>
    </row>
    <row r="85" spans="1:3" x14ac:dyDescent="0.25">
      <c r="A85" s="384" t="str">
        <f t="shared" si="1"/>
        <v>ComputrabajoBanco Contactar</v>
      </c>
      <c r="B85" s="169" t="s">
        <v>59</v>
      </c>
      <c r="C85" s="387" t="s">
        <v>522</v>
      </c>
    </row>
    <row r="86" spans="1:3" x14ac:dyDescent="0.25">
      <c r="A86" s="384" t="str">
        <f t="shared" si="1"/>
        <v>Ferias UniversitariasCENTRO DE CONTACTO- COOMEVA</v>
      </c>
      <c r="B86" s="169" t="s">
        <v>417</v>
      </c>
      <c r="C86" s="387" t="s">
        <v>530</v>
      </c>
    </row>
    <row r="87" spans="1:3" x14ac:dyDescent="0.25">
      <c r="A87" s="384" t="str">
        <f t="shared" si="1"/>
        <v>ComputrabajoEQUIDAD SEGUROS</v>
      </c>
      <c r="B87" s="169" t="s">
        <v>59</v>
      </c>
      <c r="C87" s="387" t="s">
        <v>535</v>
      </c>
    </row>
    <row r="88" spans="1:3" x14ac:dyDescent="0.25">
      <c r="A88" s="384" t="str">
        <f t="shared" si="1"/>
        <v>ComputrabajoKeralty</v>
      </c>
      <c r="B88" s="169" t="s">
        <v>59</v>
      </c>
      <c r="C88" s="387" t="s">
        <v>546</v>
      </c>
    </row>
    <row r="89" spans="1:3" x14ac:dyDescent="0.25">
      <c r="A89" s="384" t="str">
        <f t="shared" si="1"/>
        <v>Otras redesNovaventa</v>
      </c>
      <c r="B89" s="169" t="s">
        <v>265</v>
      </c>
      <c r="C89" s="387" t="s">
        <v>550</v>
      </c>
    </row>
    <row r="90" spans="1:3" x14ac:dyDescent="0.25">
      <c r="A90" s="384" t="str">
        <f t="shared" si="1"/>
        <v>Busqueda directaCoorserpark s.a.s</v>
      </c>
      <c r="B90" s="169" t="s">
        <v>127</v>
      </c>
      <c r="C90" s="389" t="s">
        <v>554</v>
      </c>
    </row>
    <row r="91" spans="1:3" x14ac:dyDescent="0.25">
      <c r="A91" s="384" t="str">
        <f t="shared" si="1"/>
        <v>ComputrabajoDavivienda</v>
      </c>
      <c r="B91" s="169" t="s">
        <v>59</v>
      </c>
      <c r="C91" s="387" t="s">
        <v>559</v>
      </c>
    </row>
    <row r="92" spans="1:3" x14ac:dyDescent="0.25">
      <c r="A92" s="384" t="str">
        <f t="shared" si="1"/>
        <v>ComputrabajoUNIALQUILERES</v>
      </c>
      <c r="B92" s="169" t="s">
        <v>59</v>
      </c>
      <c r="C92" s="387" t="s">
        <v>565</v>
      </c>
    </row>
    <row r="93" spans="1:3" x14ac:dyDescent="0.25">
      <c r="A93" s="384" t="str">
        <f t="shared" si="1"/>
        <v>Busqueda directaSeguros Bolivar</v>
      </c>
      <c r="B93" s="169" t="s">
        <v>127</v>
      </c>
      <c r="C93" s="387" t="s">
        <v>139</v>
      </c>
    </row>
    <row r="94" spans="1:3" x14ac:dyDescent="0.25">
      <c r="A94" s="384" t="str">
        <f t="shared" si="1"/>
        <v>Referido clienteCoofisan</v>
      </c>
      <c r="B94" s="169" t="s">
        <v>104</v>
      </c>
      <c r="C94" s="387" t="s">
        <v>577</v>
      </c>
    </row>
    <row r="95" spans="1:3" x14ac:dyDescent="0.25">
      <c r="A95" s="384" t="str">
        <f t="shared" si="1"/>
        <v>Referido clienteUSC COOMEVA</v>
      </c>
      <c r="B95" s="169" t="s">
        <v>104</v>
      </c>
      <c r="C95" s="387" t="s">
        <v>581</v>
      </c>
    </row>
    <row r="96" spans="1:3" x14ac:dyDescent="0.25">
      <c r="A96" s="384" t="str">
        <f t="shared" si="1"/>
        <v>ComputrabajoColfondos</v>
      </c>
      <c r="B96" s="169" t="s">
        <v>59</v>
      </c>
      <c r="C96" s="387" t="s">
        <v>585</v>
      </c>
    </row>
    <row r="97" spans="1:3" x14ac:dyDescent="0.25">
      <c r="A97" s="384" t="str">
        <f t="shared" si="1"/>
        <v>ComputrabajoColmedica Medicina Prepagada</v>
      </c>
      <c r="B97" s="169" t="s">
        <v>59</v>
      </c>
      <c r="C97" s="387" t="s">
        <v>588</v>
      </c>
    </row>
    <row r="98" spans="1:3" x14ac:dyDescent="0.25">
      <c r="A98" s="384" t="str">
        <f t="shared" si="1"/>
        <v>Referido clienteGrupo Effi</v>
      </c>
      <c r="B98" s="169" t="s">
        <v>104</v>
      </c>
      <c r="C98" s="387" t="s">
        <v>593</v>
      </c>
    </row>
    <row r="99" spans="1:3" x14ac:dyDescent="0.25">
      <c r="A99" s="384" t="str">
        <f t="shared" si="1"/>
        <v>ComputrabajoEnfermeros de tu mano</v>
      </c>
      <c r="B99" s="169" t="s">
        <v>59</v>
      </c>
      <c r="C99" s="387" t="s">
        <v>596</v>
      </c>
    </row>
    <row r="100" spans="1:3" x14ac:dyDescent="0.25">
      <c r="A100" s="384" t="str">
        <f t="shared" si="1"/>
        <v>ComputrabajoN/A</v>
      </c>
      <c r="B100" s="169" t="s">
        <v>59</v>
      </c>
      <c r="C100" s="387" t="s">
        <v>82</v>
      </c>
    </row>
    <row r="101" spans="1:3" x14ac:dyDescent="0.25">
      <c r="A101" s="384" t="str">
        <f t="shared" si="1"/>
        <v>Referido clienteSYNLAB</v>
      </c>
      <c r="B101" s="169" t="s">
        <v>104</v>
      </c>
      <c r="C101" s="387" t="s">
        <v>604</v>
      </c>
    </row>
    <row r="102" spans="1:3" x14ac:dyDescent="0.25">
      <c r="A102" s="384" t="str">
        <f t="shared" si="1"/>
        <v>Movimiento InternoFiducoomeva</v>
      </c>
      <c r="B102" s="169" t="s">
        <v>145</v>
      </c>
      <c r="C102" s="387" t="s">
        <v>610</v>
      </c>
    </row>
    <row r="103" spans="1:3" x14ac:dyDescent="0.25">
      <c r="A103" s="384" t="str">
        <f t="shared" si="1"/>
        <v>LinkedinCARVAL</v>
      </c>
      <c r="B103" s="169" t="s">
        <v>419</v>
      </c>
      <c r="C103" s="387" t="s">
        <v>616</v>
      </c>
    </row>
    <row r="104" spans="1:3" x14ac:dyDescent="0.25">
      <c r="A104" s="384" t="str">
        <f t="shared" si="1"/>
        <v>Busqueda directaBancamia</v>
      </c>
      <c r="B104" s="169" t="s">
        <v>127</v>
      </c>
      <c r="C104" s="387" t="s">
        <v>619</v>
      </c>
    </row>
    <row r="105" spans="1:3" x14ac:dyDescent="0.25">
      <c r="A105" s="384" t="str">
        <f t="shared" si="1"/>
        <v>LinkedinHospital General del Sur</v>
      </c>
      <c r="B105" s="169" t="s">
        <v>419</v>
      </c>
      <c r="C105" s="387" t="s">
        <v>628</v>
      </c>
    </row>
    <row r="106" spans="1:3" x14ac:dyDescent="0.25">
      <c r="A106" s="384" t="str">
        <f t="shared" si="1"/>
        <v>Otras redesMartidoll S.A.S</v>
      </c>
      <c r="B106" s="169" t="s">
        <v>265</v>
      </c>
      <c r="C106" s="387" t="s">
        <v>631</v>
      </c>
    </row>
    <row r="107" spans="1:3" x14ac:dyDescent="0.25">
      <c r="A107" s="384" t="str">
        <f t="shared" si="1"/>
        <v>ComputrabajoRed de urgencias de la costa pacífica</v>
      </c>
      <c r="B107" s="169" t="s">
        <v>59</v>
      </c>
      <c r="C107" s="387" t="s">
        <v>639</v>
      </c>
    </row>
    <row r="108" spans="1:3" x14ac:dyDescent="0.25">
      <c r="A108" s="384" t="str">
        <f t="shared" si="1"/>
        <v>Movimiento InternoJob &amp; Talent Coomeva</v>
      </c>
      <c r="B108" s="169" t="s">
        <v>145</v>
      </c>
      <c r="C108" s="387" t="s">
        <v>643</v>
      </c>
    </row>
    <row r="109" spans="1:3" x14ac:dyDescent="0.25">
      <c r="A109" s="384" t="str">
        <f t="shared" si="1"/>
        <v>LinkedinHospital San Rafale</v>
      </c>
      <c r="B109" s="169" t="s">
        <v>419</v>
      </c>
      <c r="C109" s="387" t="s">
        <v>646</v>
      </c>
    </row>
    <row r="110" spans="1:3" x14ac:dyDescent="0.25">
      <c r="A110" s="384" t="str">
        <f t="shared" si="1"/>
        <v>ComputrabajoFalabella</v>
      </c>
      <c r="B110" s="169" t="s">
        <v>59</v>
      </c>
      <c r="C110" s="387" t="s">
        <v>651</v>
      </c>
    </row>
    <row r="111" spans="1:3" x14ac:dyDescent="0.25">
      <c r="A111" s="384" t="str">
        <f t="shared" si="1"/>
        <v>Referido clienteNación Runner</v>
      </c>
      <c r="B111" s="169" t="s">
        <v>104</v>
      </c>
      <c r="C111" s="387" t="s">
        <v>654</v>
      </c>
    </row>
    <row r="112" spans="1:3" x14ac:dyDescent="0.25">
      <c r="A112" s="384" t="str">
        <f t="shared" si="1"/>
        <v>Referido clienteMetropolitan Cleaning Services</v>
      </c>
      <c r="B112" s="169" t="s">
        <v>104</v>
      </c>
      <c r="C112" s="387" t="s">
        <v>657</v>
      </c>
    </row>
    <row r="113" spans="1:3" x14ac:dyDescent="0.25">
      <c r="A113" s="384" t="str">
        <f t="shared" si="1"/>
        <v>Referido clienteBancolombia</v>
      </c>
      <c r="B113" s="169" t="s">
        <v>104</v>
      </c>
      <c r="C113" s="387" t="s">
        <v>661</v>
      </c>
    </row>
    <row r="114" spans="1:3" x14ac:dyDescent="0.25">
      <c r="A114" s="384" t="str">
        <f t="shared" si="1"/>
        <v>ComputrabajoMedical Solution</v>
      </c>
      <c r="B114" s="169" t="s">
        <v>59</v>
      </c>
      <c r="C114" s="387" t="s">
        <v>664</v>
      </c>
    </row>
    <row r="115" spans="1:3" x14ac:dyDescent="0.25">
      <c r="A115" s="384" t="str">
        <f t="shared" si="1"/>
        <v>Busqueda directaBold</v>
      </c>
      <c r="B115" s="169" t="s">
        <v>127</v>
      </c>
      <c r="C115" s="387" t="s">
        <v>667</v>
      </c>
    </row>
    <row r="116" spans="1:3" x14ac:dyDescent="0.25">
      <c r="A116" s="384" t="str">
        <f t="shared" si="1"/>
        <v>Busqueda directaAress</v>
      </c>
      <c r="B116" s="169" t="s">
        <v>127</v>
      </c>
      <c r="C116" s="387" t="s">
        <v>670</v>
      </c>
    </row>
    <row r="117" spans="1:3" x14ac:dyDescent="0.25">
      <c r="A117" s="384" t="str">
        <f t="shared" si="1"/>
        <v>Referido clienteCEM</v>
      </c>
      <c r="B117" s="169" t="s">
        <v>104</v>
      </c>
      <c r="C117" s="387" t="s">
        <v>405</v>
      </c>
    </row>
    <row r="118" spans="1:3" x14ac:dyDescent="0.25">
      <c r="A118" s="384" t="str">
        <f t="shared" si="1"/>
        <v>ComputrabajoColmedicos</v>
      </c>
      <c r="B118" s="169" t="s">
        <v>59</v>
      </c>
      <c r="C118" s="387" t="s">
        <v>680</v>
      </c>
    </row>
    <row r="119" spans="1:3" x14ac:dyDescent="0.25">
      <c r="A119" s="384" t="str">
        <f t="shared" si="1"/>
        <v>MagnetoSOLUCIONES COMERCIALES</v>
      </c>
      <c r="B119" s="169" t="s">
        <v>131</v>
      </c>
      <c r="C119" s="387" t="s">
        <v>687</v>
      </c>
    </row>
    <row r="120" spans="1:3" x14ac:dyDescent="0.25">
      <c r="A120" s="384" t="str">
        <f t="shared" si="1"/>
        <v>Busqueda directaBomberos Envigado</v>
      </c>
      <c r="B120" s="169" t="s">
        <v>127</v>
      </c>
      <c r="C120" s="387" t="s">
        <v>693</v>
      </c>
    </row>
    <row r="121" spans="1:3" x14ac:dyDescent="0.25">
      <c r="A121" s="384" t="str">
        <f t="shared" si="1"/>
        <v>Otras redesClinica de la policia</v>
      </c>
      <c r="B121" s="169" t="s">
        <v>265</v>
      </c>
      <c r="C121" s="387" t="s">
        <v>696</v>
      </c>
    </row>
    <row r="122" spans="1:3" x14ac:dyDescent="0.25">
      <c r="A122" s="384" t="str">
        <f t="shared" si="1"/>
        <v>Referido clienteCoomeva</v>
      </c>
      <c r="B122" s="169" t="s">
        <v>104</v>
      </c>
      <c r="C122" s="387" t="s">
        <v>180</v>
      </c>
    </row>
    <row r="123" spans="1:3" x14ac:dyDescent="0.25">
      <c r="A123" s="384" t="str">
        <f t="shared" si="1"/>
        <v>Referido clienteAMCOR RIGID PACKAGING</v>
      </c>
      <c r="B123" s="169" t="s">
        <v>104</v>
      </c>
      <c r="C123" s="387" t="s">
        <v>702</v>
      </c>
    </row>
    <row r="124" spans="1:3" x14ac:dyDescent="0.25">
      <c r="A124" s="384" t="str">
        <f t="shared" si="1"/>
        <v>WhatsappCLINICA TRAUMANORTE S.A.</v>
      </c>
      <c r="B124" s="169" t="s">
        <v>421</v>
      </c>
      <c r="C124" s="387" t="s">
        <v>705</v>
      </c>
    </row>
    <row r="125" spans="1:3" x14ac:dyDescent="0.25">
      <c r="A125" s="384" t="str">
        <f t="shared" si="1"/>
        <v>ComputrabajoHospital San Vicente Fundacion</v>
      </c>
      <c r="B125" s="169" t="s">
        <v>59</v>
      </c>
      <c r="C125" s="387" t="s">
        <v>708</v>
      </c>
    </row>
    <row r="126" spans="1:3" x14ac:dyDescent="0.25">
      <c r="A126" s="384" t="str">
        <f t="shared" si="1"/>
        <v>ComputrabajoEps Sanitas</v>
      </c>
      <c r="B126" s="169" t="s">
        <v>59</v>
      </c>
      <c r="C126" s="387" t="s">
        <v>711</v>
      </c>
    </row>
    <row r="127" spans="1:3" x14ac:dyDescent="0.25">
      <c r="A127" s="384" t="str">
        <f t="shared" si="1"/>
        <v>Referido clienteLicores la Cariñosa</v>
      </c>
      <c r="B127" s="169" t="s">
        <v>104</v>
      </c>
      <c r="C127" s="387" t="s">
        <v>715</v>
      </c>
    </row>
    <row r="128" spans="1:3" x14ac:dyDescent="0.25">
      <c r="A128" s="384" t="str">
        <f t="shared" si="1"/>
        <v>Referido clienteCHUBB SEGUROS COLOMBIA S.A.</v>
      </c>
      <c r="B128" s="169" t="s">
        <v>104</v>
      </c>
      <c r="C128" s="387" t="s">
        <v>727</v>
      </c>
    </row>
    <row r="129" spans="1:3" x14ac:dyDescent="0.25">
      <c r="A129" s="384" t="str">
        <f t="shared" si="1"/>
        <v>Referido clienteSalud Total</v>
      </c>
      <c r="B129" s="169" t="s">
        <v>104</v>
      </c>
      <c r="C129" s="387" t="s">
        <v>294</v>
      </c>
    </row>
    <row r="130" spans="1:3" x14ac:dyDescent="0.25">
      <c r="A130" s="384" t="str">
        <f t="shared" ref="A130:A193" si="2">+B130&amp;C130</f>
        <v>Referido clienteONG CRECER EN FAMILIA</v>
      </c>
      <c r="B130" s="169" t="s">
        <v>104</v>
      </c>
      <c r="C130" s="387" t="s">
        <v>736</v>
      </c>
    </row>
    <row r="131" spans="1:3" x14ac:dyDescent="0.25">
      <c r="A131" s="384" t="str">
        <f t="shared" si="2"/>
        <v>MagnetoBanco BBVA</v>
      </c>
      <c r="B131" s="169" t="s">
        <v>131</v>
      </c>
      <c r="C131" s="387" t="s">
        <v>229</v>
      </c>
    </row>
    <row r="132" spans="1:3" x14ac:dyDescent="0.25">
      <c r="A132" s="384" t="str">
        <f t="shared" si="2"/>
        <v>Referido clienteColmedica Medicina Prepagada</v>
      </c>
      <c r="B132" s="169" t="s">
        <v>104</v>
      </c>
      <c r="C132" s="387" t="s">
        <v>588</v>
      </c>
    </row>
    <row r="133" spans="1:3" x14ac:dyDescent="0.25">
      <c r="A133" s="384" t="str">
        <f t="shared" si="2"/>
        <v>ComputrabajoBanco Av Villas</v>
      </c>
      <c r="B133" s="169" t="s">
        <v>59</v>
      </c>
      <c r="C133" s="387" t="s">
        <v>743</v>
      </c>
    </row>
    <row r="134" spans="1:3" x14ac:dyDescent="0.25">
      <c r="A134" s="384" t="str">
        <f t="shared" si="2"/>
        <v>ComputrabajoMi banco</v>
      </c>
      <c r="B134" s="169" t="s">
        <v>59</v>
      </c>
      <c r="C134" s="387" t="s">
        <v>747</v>
      </c>
    </row>
    <row r="135" spans="1:3" x14ac:dyDescent="0.25">
      <c r="A135" s="384" t="str">
        <f t="shared" si="2"/>
        <v>Movimiento InternoBanco Union</v>
      </c>
      <c r="B135" s="169" t="s">
        <v>145</v>
      </c>
      <c r="C135" s="387" t="s">
        <v>242</v>
      </c>
    </row>
    <row r="136" spans="1:3" x14ac:dyDescent="0.25">
      <c r="A136" s="384" t="str">
        <f t="shared" si="2"/>
        <v>MagnetoClinica Comfamiliar</v>
      </c>
      <c r="B136" s="169" t="s">
        <v>131</v>
      </c>
      <c r="C136" s="387" t="s">
        <v>752</v>
      </c>
    </row>
    <row r="137" spans="1:3" x14ac:dyDescent="0.25">
      <c r="A137" s="384" t="str">
        <f t="shared" si="2"/>
        <v>Referido clienteCoomeva Experiencia Medica</v>
      </c>
      <c r="B137" s="169" t="s">
        <v>104</v>
      </c>
      <c r="C137" s="387" t="s">
        <v>756</v>
      </c>
    </row>
    <row r="138" spans="1:3" x14ac:dyDescent="0.25">
      <c r="A138" s="384" t="str">
        <f t="shared" si="2"/>
        <v>Referido clienteElite Nutrition SAS</v>
      </c>
      <c r="B138" s="169" t="s">
        <v>104</v>
      </c>
      <c r="C138" s="387" t="s">
        <v>761</v>
      </c>
    </row>
    <row r="139" spans="1:3" x14ac:dyDescent="0.25">
      <c r="A139" s="384" t="str">
        <f t="shared" si="2"/>
        <v>ComputrabajoGiros y Finanzas</v>
      </c>
      <c r="B139" s="169" t="s">
        <v>59</v>
      </c>
      <c r="C139" s="387" t="s">
        <v>766</v>
      </c>
    </row>
    <row r="140" spans="1:3" x14ac:dyDescent="0.25">
      <c r="A140" s="384" t="str">
        <f t="shared" si="2"/>
        <v>MagnetoEmermedica</v>
      </c>
      <c r="B140" s="169" t="s">
        <v>131</v>
      </c>
      <c r="C140" s="387" t="s">
        <v>288</v>
      </c>
    </row>
    <row r="141" spans="1:3" x14ac:dyDescent="0.25">
      <c r="A141" s="384" t="str">
        <f t="shared" si="2"/>
        <v>WhatsappEje Paliativos</v>
      </c>
      <c r="B141" s="169" t="s">
        <v>421</v>
      </c>
      <c r="C141" s="387" t="s">
        <v>776</v>
      </c>
    </row>
    <row r="142" spans="1:3" x14ac:dyDescent="0.25">
      <c r="A142" s="384" t="str">
        <f t="shared" si="2"/>
        <v>ComputrabajoEscuela de trabajo San Jose</v>
      </c>
      <c r="B142" s="169" t="s">
        <v>59</v>
      </c>
      <c r="C142" s="387" t="s">
        <v>781</v>
      </c>
    </row>
    <row r="143" spans="1:3" x14ac:dyDescent="0.25">
      <c r="A143" s="384" t="str">
        <f t="shared" si="2"/>
        <v>ComputrabajoBanco Popular</v>
      </c>
      <c r="B143" s="169" t="s">
        <v>59</v>
      </c>
      <c r="C143" s="387" t="s">
        <v>784</v>
      </c>
    </row>
    <row r="144" spans="1:3" x14ac:dyDescent="0.25">
      <c r="A144" s="384" t="str">
        <f t="shared" si="2"/>
        <v>Referido clienteFundación de la Mujer</v>
      </c>
      <c r="B144" s="169" t="s">
        <v>104</v>
      </c>
      <c r="C144" s="387" t="s">
        <v>191</v>
      </c>
    </row>
    <row r="145" spans="1:3" x14ac:dyDescent="0.25">
      <c r="A145" s="384" t="str">
        <f t="shared" si="2"/>
        <v>Movimiento InternoBancoomeva</v>
      </c>
      <c r="B145" s="169" t="s">
        <v>145</v>
      </c>
      <c r="C145" s="387" t="s">
        <v>480</v>
      </c>
    </row>
    <row r="146" spans="1:3" x14ac:dyDescent="0.25">
      <c r="A146" s="384" t="str">
        <f t="shared" si="2"/>
        <v>WhatsappCCF COMFAMILAR DEL ATLANTICO</v>
      </c>
      <c r="B146" s="169" t="s">
        <v>421</v>
      </c>
      <c r="C146" s="387" t="s">
        <v>795</v>
      </c>
    </row>
    <row r="147" spans="1:3" x14ac:dyDescent="0.25">
      <c r="A147" s="384" t="str">
        <f t="shared" si="2"/>
        <v>Referido clienteEFICACIA</v>
      </c>
      <c r="B147" s="169" t="s">
        <v>104</v>
      </c>
      <c r="C147" s="387" t="s">
        <v>799</v>
      </c>
    </row>
    <row r="148" spans="1:3" x14ac:dyDescent="0.25">
      <c r="A148" s="384" t="str">
        <f t="shared" si="2"/>
        <v>Busqueda directaMetlife</v>
      </c>
      <c r="B148" s="169" t="s">
        <v>127</v>
      </c>
      <c r="C148" s="387" t="s">
        <v>804</v>
      </c>
    </row>
    <row r="149" spans="1:3" x14ac:dyDescent="0.25">
      <c r="A149" s="384" t="str">
        <f t="shared" si="2"/>
        <v>Otras redesEmermedica</v>
      </c>
      <c r="B149" s="169" t="s">
        <v>265</v>
      </c>
      <c r="C149" s="387" t="s">
        <v>288</v>
      </c>
    </row>
    <row r="150" spans="1:3" x14ac:dyDescent="0.25">
      <c r="A150" s="384" t="str">
        <f t="shared" si="2"/>
        <v>MagnetoBanco Popular</v>
      </c>
      <c r="B150" s="169" t="s">
        <v>131</v>
      </c>
      <c r="C150" s="387" t="s">
        <v>784</v>
      </c>
    </row>
    <row r="151" spans="1:3" x14ac:dyDescent="0.25">
      <c r="A151" s="384" t="str">
        <f t="shared" si="2"/>
        <v>ComputrabajoSEGUROS SURA</v>
      </c>
      <c r="B151" s="169" t="s">
        <v>59</v>
      </c>
      <c r="C151" s="387" t="s">
        <v>813</v>
      </c>
    </row>
    <row r="152" spans="1:3" x14ac:dyDescent="0.25">
      <c r="A152" s="384" t="str">
        <f t="shared" si="2"/>
        <v>MagnetoBanco Finandina</v>
      </c>
      <c r="B152" s="169" t="s">
        <v>131</v>
      </c>
      <c r="C152" s="387" t="s">
        <v>378</v>
      </c>
    </row>
    <row r="153" spans="1:3" x14ac:dyDescent="0.25">
      <c r="A153" s="384" t="str">
        <f t="shared" si="2"/>
        <v>MagnetoDavivienda</v>
      </c>
      <c r="B153" s="169" t="s">
        <v>131</v>
      </c>
      <c r="C153" s="387" t="s">
        <v>559</v>
      </c>
    </row>
    <row r="154" spans="1:3" x14ac:dyDescent="0.25">
      <c r="A154" s="384" t="str">
        <f t="shared" si="2"/>
        <v>Busqueda directaBanco Popular</v>
      </c>
      <c r="B154" s="169" t="s">
        <v>127</v>
      </c>
      <c r="C154" s="387" t="s">
        <v>784</v>
      </c>
    </row>
    <row r="155" spans="1:3" x14ac:dyDescent="0.25">
      <c r="A155" s="384" t="str">
        <f t="shared" si="2"/>
        <v>Referido clienteCarvajal Tecnólogia</v>
      </c>
      <c r="B155" s="169" t="s">
        <v>104</v>
      </c>
      <c r="C155" s="387" t="s">
        <v>824</v>
      </c>
    </row>
    <row r="156" spans="1:3" x14ac:dyDescent="0.25">
      <c r="A156" s="384" t="str">
        <f t="shared" si="2"/>
        <v>Referido clienteMP</v>
      </c>
      <c r="B156" s="169" t="s">
        <v>104</v>
      </c>
      <c r="C156" s="387" t="s">
        <v>79</v>
      </c>
    </row>
    <row r="157" spans="1:3" x14ac:dyDescent="0.25">
      <c r="A157" s="384" t="str">
        <f t="shared" si="2"/>
        <v>Referido clienteNueva EPS</v>
      </c>
      <c r="B157" s="169" t="s">
        <v>104</v>
      </c>
      <c r="C157" s="387" t="s">
        <v>903</v>
      </c>
    </row>
    <row r="158" spans="1:3" x14ac:dyDescent="0.25">
      <c r="A158" s="384" t="str">
        <f t="shared" si="2"/>
        <v>Referido clienteDYM LIMPIEZA SAS</v>
      </c>
      <c r="B158" s="169" t="s">
        <v>104</v>
      </c>
      <c r="C158" s="387" t="s">
        <v>831</v>
      </c>
    </row>
    <row r="159" spans="1:3" x14ac:dyDescent="0.25">
      <c r="A159" s="384" t="str">
        <f t="shared" si="2"/>
        <v>ComputrabajoMetlife</v>
      </c>
      <c r="B159" s="169" t="s">
        <v>59</v>
      </c>
      <c r="C159" s="387" t="s">
        <v>804</v>
      </c>
    </row>
    <row r="160" spans="1:3" x14ac:dyDescent="0.25">
      <c r="A160" s="384" t="str">
        <f t="shared" si="2"/>
        <v>Referido clienteCELSIA INTERNET S.A.S.</v>
      </c>
      <c r="B160" s="169" t="s">
        <v>104</v>
      </c>
      <c r="C160" s="387" t="s">
        <v>843</v>
      </c>
    </row>
    <row r="161" spans="1:3" x14ac:dyDescent="0.25">
      <c r="A161" s="384" t="str">
        <f t="shared" si="2"/>
        <v>Busqueda directaJob talent</v>
      </c>
      <c r="B161" s="169" t="s">
        <v>127</v>
      </c>
      <c r="C161" s="387" t="s">
        <v>855</v>
      </c>
    </row>
    <row r="162" spans="1:3" x14ac:dyDescent="0.25">
      <c r="A162" s="384" t="str">
        <f t="shared" si="2"/>
        <v>Busqueda directaServicios Funebres San Pedro</v>
      </c>
      <c r="B162" s="169" t="s">
        <v>127</v>
      </c>
      <c r="C162" s="387" t="s">
        <v>863</v>
      </c>
    </row>
    <row r="163" spans="1:3" x14ac:dyDescent="0.25">
      <c r="A163" s="384" t="str">
        <f t="shared" si="2"/>
        <v>Busqueda directaHimed Solutions</v>
      </c>
      <c r="B163" s="169" t="s">
        <v>127</v>
      </c>
      <c r="C163" s="387" t="s">
        <v>866</v>
      </c>
    </row>
    <row r="164" spans="1:3" x14ac:dyDescent="0.25">
      <c r="A164" s="384" t="str">
        <f t="shared" si="2"/>
        <v>ComputrabajoClínica nueva el lago</v>
      </c>
      <c r="B164" s="143" t="s">
        <v>59</v>
      </c>
      <c r="C164" s="376" t="s">
        <v>875</v>
      </c>
    </row>
    <row r="165" spans="1:3" x14ac:dyDescent="0.25">
      <c r="A165" s="384" t="str">
        <f t="shared" si="2"/>
        <v>ComputrabajoBomberos de Envigado</v>
      </c>
      <c r="B165" s="143" t="s">
        <v>59</v>
      </c>
      <c r="C165" s="376" t="s">
        <v>1362</v>
      </c>
    </row>
    <row r="166" spans="1:3" x14ac:dyDescent="0.25">
      <c r="A166" s="384" t="str">
        <f t="shared" si="2"/>
        <v>ComputrabajoBold</v>
      </c>
      <c r="B166" s="143" t="s">
        <v>59</v>
      </c>
      <c r="C166" s="376" t="s">
        <v>667</v>
      </c>
    </row>
    <row r="167" spans="1:3" x14ac:dyDescent="0.25">
      <c r="A167" s="384" t="str">
        <f t="shared" si="2"/>
        <v>MagnetoWTW</v>
      </c>
      <c r="B167" s="143" t="s">
        <v>131</v>
      </c>
      <c r="C167" s="376" t="s">
        <v>888</v>
      </c>
    </row>
    <row r="168" spans="1:3" x14ac:dyDescent="0.25">
      <c r="A168" s="384" t="str">
        <f t="shared" si="2"/>
        <v>ComputrabajoSMIL</v>
      </c>
      <c r="B168" s="143" t="s">
        <v>59</v>
      </c>
      <c r="C168" s="376" t="s">
        <v>1363</v>
      </c>
    </row>
    <row r="169" spans="1:3" x14ac:dyDescent="0.25">
      <c r="A169" s="384" t="str">
        <f t="shared" si="2"/>
        <v>MagnetoNeuromedica</v>
      </c>
      <c r="B169" s="143" t="s">
        <v>131</v>
      </c>
      <c r="C169" s="376" t="s">
        <v>1364</v>
      </c>
    </row>
    <row r="170" spans="1:3" x14ac:dyDescent="0.25">
      <c r="A170" s="384" t="str">
        <f t="shared" si="2"/>
        <v>ComputrabajoKonecta</v>
      </c>
      <c r="B170" s="143" t="s">
        <v>59</v>
      </c>
      <c r="C170" s="376" t="s">
        <v>895</v>
      </c>
    </row>
    <row r="171" spans="1:3" x14ac:dyDescent="0.25">
      <c r="A171" s="384" t="str">
        <f t="shared" si="2"/>
        <v>ComputrabajoBanco de Occidente</v>
      </c>
      <c r="B171" s="143" t="s">
        <v>59</v>
      </c>
      <c r="C171" s="376" t="s">
        <v>901</v>
      </c>
    </row>
    <row r="172" spans="1:3" x14ac:dyDescent="0.25">
      <c r="A172" s="384" t="str">
        <f t="shared" si="2"/>
        <v>Movimiento InternoMP</v>
      </c>
      <c r="B172" s="143" t="s">
        <v>145</v>
      </c>
      <c r="C172" s="376" t="s">
        <v>79</v>
      </c>
    </row>
    <row r="173" spans="1:3" x14ac:dyDescent="0.25">
      <c r="A173" s="384" t="str">
        <f t="shared" si="2"/>
        <v>ComputrabajoBomberos Envigado</v>
      </c>
      <c r="B173" s="143" t="s">
        <v>59</v>
      </c>
      <c r="C173" s="376" t="s">
        <v>693</v>
      </c>
    </row>
    <row r="174" spans="1:3" x14ac:dyDescent="0.25">
      <c r="A174" s="384" t="str">
        <f t="shared" si="2"/>
        <v>ComputrabajoIntegral Proyectos Hidruhituango</v>
      </c>
      <c r="B174" s="143" t="s">
        <v>59</v>
      </c>
      <c r="C174" s="376" t="s">
        <v>1365</v>
      </c>
    </row>
    <row r="175" spans="1:3" x14ac:dyDescent="0.25">
      <c r="A175" s="384" t="str">
        <f t="shared" si="2"/>
        <v>Busqueda directaCooperativa Financiera de Antioquía</v>
      </c>
      <c r="B175" s="143" t="s">
        <v>127</v>
      </c>
      <c r="C175" s="376" t="s">
        <v>909</v>
      </c>
    </row>
    <row r="176" spans="1:3" x14ac:dyDescent="0.25">
      <c r="A176" s="384" t="str">
        <f t="shared" si="2"/>
        <v>Busqueda directaAlianza Valores</v>
      </c>
      <c r="B176" s="143" t="s">
        <v>127</v>
      </c>
      <c r="C176" s="376" t="s">
        <v>911</v>
      </c>
    </row>
    <row r="177" spans="1:3" x14ac:dyDescent="0.25">
      <c r="A177" s="384" t="str">
        <f t="shared" si="2"/>
        <v>ComputrabajoPISOS Y ENCHAPES RYL</v>
      </c>
      <c r="B177" s="143" t="s">
        <v>59</v>
      </c>
      <c r="C177" s="376" t="s">
        <v>914</v>
      </c>
    </row>
    <row r="178" spans="1:3" x14ac:dyDescent="0.25">
      <c r="A178" s="384" t="str">
        <f t="shared" si="2"/>
        <v>Busqueda directaBanco Falabella</v>
      </c>
      <c r="B178" s="143" t="s">
        <v>127</v>
      </c>
      <c r="C178" s="376" t="s">
        <v>918</v>
      </c>
    </row>
    <row r="179" spans="1:3" x14ac:dyDescent="0.25">
      <c r="A179" s="384" t="str">
        <f t="shared" si="2"/>
        <v>ComputrabajoFunerarias y Camposanto Metropolitana</v>
      </c>
      <c r="B179" s="143" t="s">
        <v>59</v>
      </c>
      <c r="C179" s="376" t="s">
        <v>1366</v>
      </c>
    </row>
    <row r="180" spans="1:3" x14ac:dyDescent="0.25">
      <c r="A180" s="384" t="str">
        <f t="shared" si="2"/>
        <v>ComputrabajoComfandi</v>
      </c>
      <c r="B180" s="143" t="s">
        <v>59</v>
      </c>
      <c r="C180" s="376" t="s">
        <v>930</v>
      </c>
    </row>
    <row r="181" spans="1:3" x14ac:dyDescent="0.25">
      <c r="A181" s="384" t="str">
        <f t="shared" si="2"/>
        <v>Referido clienteFortuna exotic</v>
      </c>
      <c r="B181" s="143" t="s">
        <v>104</v>
      </c>
      <c r="C181" s="376" t="s">
        <v>933</v>
      </c>
    </row>
    <row r="182" spans="1:3" x14ac:dyDescent="0.25">
      <c r="A182" s="384" t="str">
        <f t="shared" si="2"/>
        <v>Busqueda directaVincuservi</v>
      </c>
      <c r="B182" s="143" t="s">
        <v>127</v>
      </c>
      <c r="C182" s="376" t="s">
        <v>935</v>
      </c>
    </row>
    <row r="183" spans="1:3" x14ac:dyDescent="0.25">
      <c r="A183" s="384" t="str">
        <f t="shared" si="2"/>
        <v>Otras redesWTW</v>
      </c>
      <c r="B183" s="143" t="s">
        <v>265</v>
      </c>
      <c r="C183" s="376" t="s">
        <v>888</v>
      </c>
    </row>
    <row r="184" spans="1:3" x14ac:dyDescent="0.25">
      <c r="A184" s="384" t="str">
        <f t="shared" si="2"/>
        <v>Referido clienteCedima</v>
      </c>
      <c r="B184" s="143" t="s">
        <v>104</v>
      </c>
      <c r="C184" s="376" t="s">
        <v>960</v>
      </c>
    </row>
    <row r="185" spans="1:3" x14ac:dyDescent="0.25">
      <c r="A185" s="384" t="str">
        <f t="shared" si="2"/>
        <v>Referido clienteBBVA</v>
      </c>
      <c r="B185" s="143" t="s">
        <v>104</v>
      </c>
      <c r="C185" s="376" t="s">
        <v>967</v>
      </c>
    </row>
    <row r="186" spans="1:3" x14ac:dyDescent="0.25">
      <c r="A186" s="384" t="str">
        <f t="shared" si="2"/>
        <v>Referido clienteGRUPO E.M.S</v>
      </c>
      <c r="B186" s="143" t="s">
        <v>104</v>
      </c>
      <c r="C186" s="376" t="s">
        <v>970</v>
      </c>
    </row>
    <row r="187" spans="1:3" x14ac:dyDescent="0.25">
      <c r="A187" s="384" t="str">
        <f t="shared" si="2"/>
        <v>ComputrabajoAgregados y Mezcals Cachibi</v>
      </c>
      <c r="B187" s="143" t="s">
        <v>59</v>
      </c>
      <c r="C187" s="376" t="s">
        <v>974</v>
      </c>
    </row>
    <row r="188" spans="1:3" x14ac:dyDescent="0.25">
      <c r="A188" s="384" t="str">
        <f t="shared" si="2"/>
        <v>ComputrabajoProeendo</v>
      </c>
      <c r="B188" s="143" t="s">
        <v>59</v>
      </c>
      <c r="C188" s="376" t="s">
        <v>1367</v>
      </c>
    </row>
    <row r="189" spans="1:3" x14ac:dyDescent="0.25">
      <c r="A189" s="384" t="str">
        <f t="shared" si="2"/>
        <v>ComputrabajoClínica Colombia</v>
      </c>
      <c r="B189" s="143" t="s">
        <v>59</v>
      </c>
      <c r="C189" s="376" t="s">
        <v>365</v>
      </c>
    </row>
    <row r="190" spans="1:3" x14ac:dyDescent="0.25">
      <c r="A190" s="384" t="str">
        <f t="shared" si="2"/>
        <v>LinkedinFondo para la reparacion de las victimas</v>
      </c>
      <c r="B190" s="143" t="s">
        <v>419</v>
      </c>
      <c r="C190" s="376" t="s">
        <v>1368</v>
      </c>
    </row>
    <row r="191" spans="1:3" x14ac:dyDescent="0.25">
      <c r="A191" s="384" t="str">
        <f t="shared" si="2"/>
        <v>ComputrabajoHospital Departamental Tomas Uribe Uribe</v>
      </c>
      <c r="B191" s="143" t="s">
        <v>59</v>
      </c>
      <c r="C191" s="376" t="s">
        <v>987</v>
      </c>
    </row>
    <row r="192" spans="1:3" x14ac:dyDescent="0.25">
      <c r="A192" s="384" t="str">
        <f t="shared" si="2"/>
        <v>Busqueda directaBanco BBVA</v>
      </c>
      <c r="B192" s="143" t="s">
        <v>127</v>
      </c>
      <c r="C192" s="376" t="s">
        <v>229</v>
      </c>
    </row>
    <row r="193" spans="1:3" x14ac:dyDescent="0.25">
      <c r="A193" s="384" t="str">
        <f t="shared" si="2"/>
        <v>Busqueda directaSalud Total</v>
      </c>
      <c r="B193" s="143" t="s">
        <v>127</v>
      </c>
      <c r="C193" s="376" t="s">
        <v>294</v>
      </c>
    </row>
    <row r="194" spans="1:3" x14ac:dyDescent="0.25">
      <c r="A194" s="384" t="str">
        <f t="shared" ref="A194:A257" si="3">+B194&amp;C194</f>
        <v>MagnetoBBVA</v>
      </c>
      <c r="B194" s="143" t="s">
        <v>131</v>
      </c>
      <c r="C194" s="376" t="s">
        <v>967</v>
      </c>
    </row>
    <row r="195" spans="1:3" x14ac:dyDescent="0.25">
      <c r="A195" s="384" t="str">
        <f t="shared" si="3"/>
        <v>MagnetoCOLSANITAS</v>
      </c>
      <c r="B195" s="143" t="s">
        <v>131</v>
      </c>
      <c r="C195" s="376" t="s">
        <v>1013</v>
      </c>
    </row>
    <row r="196" spans="1:3" x14ac:dyDescent="0.25">
      <c r="A196" s="384" t="str">
        <f t="shared" si="3"/>
        <v>Referido clienteVAG Arquitectura e Ingeniería</v>
      </c>
      <c r="B196" s="143" t="s">
        <v>104</v>
      </c>
      <c r="C196" s="376" t="s">
        <v>1019</v>
      </c>
    </row>
    <row r="197" spans="1:3" x14ac:dyDescent="0.25">
      <c r="A197" s="384" t="str">
        <f t="shared" si="3"/>
        <v>Busqueda directaSanitas</v>
      </c>
      <c r="B197" s="143" t="s">
        <v>127</v>
      </c>
      <c r="C197" s="376" t="s">
        <v>490</v>
      </c>
    </row>
    <row r="198" spans="1:3" x14ac:dyDescent="0.25">
      <c r="A198" s="384" t="str">
        <f t="shared" si="3"/>
        <v>Busqueda directaAxa Colpatria</v>
      </c>
      <c r="B198" s="143" t="s">
        <v>127</v>
      </c>
      <c r="C198" s="376" t="s">
        <v>1022</v>
      </c>
    </row>
    <row r="199" spans="1:3" x14ac:dyDescent="0.25">
      <c r="A199" s="384" t="str">
        <f t="shared" si="3"/>
        <v>LinkedinViva IPS Estadio</v>
      </c>
      <c r="B199" s="143" t="s">
        <v>419</v>
      </c>
      <c r="C199" s="376" t="s">
        <v>1026</v>
      </c>
    </row>
    <row r="200" spans="1:3" x14ac:dyDescent="0.25">
      <c r="A200" s="384" t="str">
        <f t="shared" si="3"/>
        <v>ComputrabajoBanco Falabella</v>
      </c>
      <c r="B200" s="143" t="s">
        <v>59</v>
      </c>
      <c r="C200" s="376" t="s">
        <v>918</v>
      </c>
    </row>
    <row r="201" spans="1:3" x14ac:dyDescent="0.25">
      <c r="A201" s="384" t="str">
        <f t="shared" si="3"/>
        <v>Busqueda directaIndependiente</v>
      </c>
      <c r="B201" s="143" t="s">
        <v>127</v>
      </c>
      <c r="C201" s="376" t="s">
        <v>1033</v>
      </c>
    </row>
    <row r="202" spans="1:3" x14ac:dyDescent="0.25">
      <c r="A202" s="384" t="str">
        <f t="shared" si="3"/>
        <v>Referido clienteCentro Comercial Mónaco Plaza</v>
      </c>
      <c r="B202" s="143" t="s">
        <v>104</v>
      </c>
      <c r="C202" s="376" t="s">
        <v>1038</v>
      </c>
    </row>
    <row r="203" spans="1:3" x14ac:dyDescent="0.25">
      <c r="A203" s="384" t="str">
        <f t="shared" si="3"/>
        <v>Referido clienteCP Brokers</v>
      </c>
      <c r="B203" s="143" t="s">
        <v>104</v>
      </c>
      <c r="C203" s="376" t="s">
        <v>1369</v>
      </c>
    </row>
    <row r="204" spans="1:3" x14ac:dyDescent="0.25">
      <c r="A204" s="384" t="str">
        <f t="shared" si="3"/>
        <v>ComputrabajoTunave</v>
      </c>
      <c r="B204" s="143" t="s">
        <v>59</v>
      </c>
      <c r="C204" s="376" t="s">
        <v>1042</v>
      </c>
    </row>
    <row r="205" spans="1:3" x14ac:dyDescent="0.25">
      <c r="A205" s="384" t="str">
        <f t="shared" si="3"/>
        <v>ComputrabajoProsegur Alarms</v>
      </c>
      <c r="B205" s="143" t="s">
        <v>59</v>
      </c>
      <c r="C205" s="376" t="s">
        <v>1044</v>
      </c>
    </row>
    <row r="206" spans="1:3" x14ac:dyDescent="0.25">
      <c r="A206" s="384" t="str">
        <f t="shared" si="3"/>
        <v>Referido clienteColmédica</v>
      </c>
      <c r="B206" s="143" t="s">
        <v>104</v>
      </c>
      <c r="C206" s="376" t="s">
        <v>95</v>
      </c>
    </row>
    <row r="207" spans="1:3" x14ac:dyDescent="0.25">
      <c r="A207" s="384" t="str">
        <f t="shared" si="3"/>
        <v>Referido clienteASMET SALUD EPS</v>
      </c>
      <c r="B207" s="143" t="s">
        <v>104</v>
      </c>
      <c r="C207" s="376" t="s">
        <v>1051</v>
      </c>
    </row>
    <row r="208" spans="1:3" x14ac:dyDescent="0.25">
      <c r="A208" s="384" t="str">
        <f t="shared" si="3"/>
        <v>Referido clienteMedplus</v>
      </c>
      <c r="B208" s="143" t="s">
        <v>104</v>
      </c>
      <c r="C208" s="376" t="s">
        <v>258</v>
      </c>
    </row>
    <row r="209" spans="1:3" x14ac:dyDescent="0.25">
      <c r="A209" s="384" t="str">
        <f t="shared" si="3"/>
        <v>Referido clienteUniversidad Santiago de Cali</v>
      </c>
      <c r="B209" s="143" t="s">
        <v>104</v>
      </c>
      <c r="C209" s="376" t="s">
        <v>1060</v>
      </c>
    </row>
    <row r="210" spans="1:3" x14ac:dyDescent="0.25">
      <c r="A210" s="384" t="str">
        <f t="shared" si="3"/>
        <v>Movimiento InternoJob&amp;Talent (Bancoomeva)</v>
      </c>
      <c r="B210" s="143" t="s">
        <v>145</v>
      </c>
      <c r="C210" s="376" t="s">
        <v>1063</v>
      </c>
    </row>
    <row r="211" spans="1:3" x14ac:dyDescent="0.25">
      <c r="A211" s="384" t="str">
        <f t="shared" si="3"/>
        <v>Otras redesMegalinea Banco Bogotá</v>
      </c>
      <c r="B211" s="143" t="s">
        <v>265</v>
      </c>
      <c r="C211" s="376" t="s">
        <v>1066</v>
      </c>
    </row>
    <row r="212" spans="1:3" x14ac:dyDescent="0.25">
      <c r="A212" s="384" t="str">
        <f t="shared" si="3"/>
        <v>Referido clienteGTC Corporation</v>
      </c>
      <c r="B212" s="143" t="s">
        <v>104</v>
      </c>
      <c r="C212" s="376" t="s">
        <v>1073</v>
      </c>
    </row>
    <row r="213" spans="1:3" x14ac:dyDescent="0.25">
      <c r="A213" s="384" t="str">
        <f t="shared" si="3"/>
        <v>Referido clienteSura</v>
      </c>
      <c r="B213" s="143" t="s">
        <v>104</v>
      </c>
      <c r="C213" s="376" t="s">
        <v>400</v>
      </c>
    </row>
    <row r="214" spans="1:3" x14ac:dyDescent="0.25">
      <c r="A214" s="384" t="str">
        <f t="shared" si="3"/>
        <v>Busqueda booleanaMetlife</v>
      </c>
      <c r="B214" s="143" t="s">
        <v>413</v>
      </c>
      <c r="C214" s="376" t="s">
        <v>804</v>
      </c>
    </row>
    <row r="215" spans="1:3" x14ac:dyDescent="0.25">
      <c r="A215" s="384" t="str">
        <f t="shared" si="3"/>
        <v>ComputrabajoScotiabank</v>
      </c>
      <c r="B215" s="143" t="s">
        <v>59</v>
      </c>
      <c r="C215" s="376" t="s">
        <v>1080</v>
      </c>
    </row>
    <row r="216" spans="1:3" x14ac:dyDescent="0.25">
      <c r="A216" s="384" t="str">
        <f t="shared" si="3"/>
        <v>MagnetoSura</v>
      </c>
      <c r="B216" s="143" t="s">
        <v>131</v>
      </c>
      <c r="C216" s="376" t="s">
        <v>400</v>
      </c>
    </row>
    <row r="217" spans="1:3" x14ac:dyDescent="0.25">
      <c r="A217" s="384" t="str">
        <f t="shared" si="3"/>
        <v>Referido clienteMOVISTAR</v>
      </c>
      <c r="B217" s="143" t="s">
        <v>104</v>
      </c>
      <c r="C217" s="376" t="s">
        <v>1370</v>
      </c>
    </row>
    <row r="218" spans="1:3" x14ac:dyDescent="0.25">
      <c r="A218" s="384" t="str">
        <f t="shared" si="3"/>
        <v>Referido clienteUnidad de Respuesta en Salud</v>
      </c>
      <c r="B218" s="143" t="s">
        <v>104</v>
      </c>
      <c r="C218" s="376" t="s">
        <v>1092</v>
      </c>
    </row>
    <row r="219" spans="1:3" x14ac:dyDescent="0.25">
      <c r="A219" s="384" t="str">
        <f t="shared" si="3"/>
        <v>Referido clienteAyudas Diagnósticas Sura</v>
      </c>
      <c r="B219" s="143" t="s">
        <v>104</v>
      </c>
      <c r="C219" s="376" t="s">
        <v>1095</v>
      </c>
    </row>
    <row r="220" spans="1:3" x14ac:dyDescent="0.25">
      <c r="A220" s="384" t="str">
        <f t="shared" si="3"/>
        <v>MagnetoViajes Éxito</v>
      </c>
      <c r="B220" s="143" t="s">
        <v>131</v>
      </c>
      <c r="C220" s="376" t="s">
        <v>1100</v>
      </c>
    </row>
    <row r="221" spans="1:3" x14ac:dyDescent="0.25">
      <c r="A221" s="384" t="str">
        <f t="shared" si="3"/>
        <v>Busqueda directaTigo</v>
      </c>
      <c r="B221" s="143" t="s">
        <v>127</v>
      </c>
      <c r="C221" s="376" t="s">
        <v>1108</v>
      </c>
    </row>
    <row r="222" spans="1:3" x14ac:dyDescent="0.25">
      <c r="A222" s="384" t="str">
        <f t="shared" si="3"/>
        <v>ComputrabajoAuren Auditores</v>
      </c>
      <c r="B222" s="143" t="s">
        <v>59</v>
      </c>
      <c r="C222" s="376" t="s">
        <v>1112</v>
      </c>
    </row>
    <row r="223" spans="1:3" x14ac:dyDescent="0.25">
      <c r="A223" s="384" t="str">
        <f t="shared" si="3"/>
        <v>Referido clienteFSCR INGENIERÍA S.A.S</v>
      </c>
      <c r="B223" s="143" t="s">
        <v>104</v>
      </c>
      <c r="C223" s="376" t="s">
        <v>1117</v>
      </c>
    </row>
    <row r="224" spans="1:3" x14ac:dyDescent="0.25">
      <c r="A224" s="384" t="str">
        <f t="shared" si="3"/>
        <v>WhatsappMetlife</v>
      </c>
      <c r="B224" s="143" t="s">
        <v>421</v>
      </c>
      <c r="C224" s="376" t="s">
        <v>804</v>
      </c>
    </row>
    <row r="225" spans="1:3" x14ac:dyDescent="0.25">
      <c r="A225" s="384" t="str">
        <f t="shared" si="3"/>
        <v>Referido clienteCoopserp</v>
      </c>
      <c r="B225" s="143" t="s">
        <v>104</v>
      </c>
      <c r="C225" s="376" t="s">
        <v>1121</v>
      </c>
    </row>
    <row r="226" spans="1:3" x14ac:dyDescent="0.25">
      <c r="A226" s="384" t="str">
        <f t="shared" si="3"/>
        <v>ComputrabajoNexa BPO</v>
      </c>
      <c r="B226" s="143" t="s">
        <v>59</v>
      </c>
      <c r="C226" s="376" t="s">
        <v>1129</v>
      </c>
    </row>
    <row r="227" spans="1:3" x14ac:dyDescent="0.25">
      <c r="A227" s="384" t="str">
        <f t="shared" si="3"/>
        <v>Busqueda directaGESTION Y CONSULTORIA GROUP JY SAS</v>
      </c>
      <c r="B227" s="143" t="s">
        <v>127</v>
      </c>
      <c r="C227" s="390" t="s">
        <v>1134</v>
      </c>
    </row>
    <row r="228" spans="1:3" x14ac:dyDescent="0.25">
      <c r="A228" s="384" t="str">
        <f t="shared" si="3"/>
        <v>Referido clienteBanco Union</v>
      </c>
      <c r="B228" s="143" t="s">
        <v>104</v>
      </c>
      <c r="C228" s="376" t="s">
        <v>242</v>
      </c>
    </row>
    <row r="229" spans="1:3" x14ac:dyDescent="0.25">
      <c r="A229" s="384" t="str">
        <f t="shared" si="3"/>
        <v>Referido clienteFinding</v>
      </c>
      <c r="B229" s="143" t="s">
        <v>104</v>
      </c>
      <c r="C229" s="376" t="s">
        <v>1145</v>
      </c>
    </row>
    <row r="230" spans="1:3" x14ac:dyDescent="0.25">
      <c r="A230" s="384" t="str">
        <f t="shared" si="3"/>
        <v>LinkedinBancolombia</v>
      </c>
      <c r="B230" s="143" t="s">
        <v>419</v>
      </c>
      <c r="C230" s="376" t="s">
        <v>661</v>
      </c>
    </row>
    <row r="231" spans="1:3" x14ac:dyDescent="0.25">
      <c r="A231" s="384" t="str">
        <f t="shared" si="3"/>
        <v>Referido clienteHeinsohn</v>
      </c>
      <c r="B231" s="143" t="s">
        <v>104</v>
      </c>
      <c r="C231" s="376" t="s">
        <v>1175</v>
      </c>
    </row>
    <row r="232" spans="1:3" x14ac:dyDescent="0.25">
      <c r="A232" s="384" t="str">
        <f t="shared" si="3"/>
        <v>Referido clienteConstructora Marval</v>
      </c>
      <c r="B232" s="143" t="s">
        <v>104</v>
      </c>
      <c r="C232" s="376" t="s">
        <v>1178</v>
      </c>
    </row>
    <row r="233" spans="1:3" x14ac:dyDescent="0.25">
      <c r="A233" s="384" t="str">
        <f t="shared" si="3"/>
        <v>Referido clienteWTW</v>
      </c>
      <c r="B233" s="143" t="s">
        <v>104</v>
      </c>
      <c r="C233" s="376" t="s">
        <v>888</v>
      </c>
    </row>
    <row r="234" spans="1:3" x14ac:dyDescent="0.25">
      <c r="A234" s="384" t="str">
        <f t="shared" si="3"/>
        <v>Referido clienteNexa BPO</v>
      </c>
      <c r="B234" s="143" t="s">
        <v>104</v>
      </c>
      <c r="C234" s="376" t="s">
        <v>1129</v>
      </c>
    </row>
    <row r="235" spans="1:3" x14ac:dyDescent="0.25">
      <c r="A235" s="384" t="str">
        <f t="shared" si="3"/>
        <v>Referido clienteGlobal Seguros de Vida</v>
      </c>
      <c r="B235" s="143" t="s">
        <v>104</v>
      </c>
      <c r="C235" s="376" t="s">
        <v>1187</v>
      </c>
    </row>
    <row r="236" spans="1:3" x14ac:dyDescent="0.25">
      <c r="A236" s="384" t="str">
        <f t="shared" si="3"/>
        <v>LinkedinSan Vicentre CES</v>
      </c>
      <c r="B236" s="143" t="s">
        <v>419</v>
      </c>
      <c r="C236" s="376" t="s">
        <v>1191</v>
      </c>
    </row>
    <row r="237" spans="1:3" x14ac:dyDescent="0.25">
      <c r="A237" s="384" t="str">
        <f t="shared" si="3"/>
        <v>MagnetoBancolombia</v>
      </c>
      <c r="B237" s="143" t="s">
        <v>131</v>
      </c>
      <c r="C237" s="376" t="s">
        <v>661</v>
      </c>
    </row>
    <row r="238" spans="1:3" x14ac:dyDescent="0.25">
      <c r="A238" s="384" t="str">
        <f t="shared" si="3"/>
        <v>Busqueda directaBanco Agrario</v>
      </c>
      <c r="B238" s="143" t="s">
        <v>127</v>
      </c>
      <c r="C238" s="376" t="s">
        <v>1197</v>
      </c>
    </row>
    <row r="239" spans="1:3" x14ac:dyDescent="0.25">
      <c r="A239" s="384" t="str">
        <f t="shared" si="3"/>
        <v>Referido clienteAmbulancias Santa Rita</v>
      </c>
      <c r="B239" s="143" t="s">
        <v>104</v>
      </c>
      <c r="C239" s="376" t="s">
        <v>1199</v>
      </c>
    </row>
    <row r="240" spans="1:3" x14ac:dyDescent="0.25">
      <c r="A240" s="384" t="str">
        <f t="shared" si="3"/>
        <v>Referido clienteEMI</v>
      </c>
      <c r="B240" s="143" t="s">
        <v>104</v>
      </c>
      <c r="C240" s="376" t="s">
        <v>500</v>
      </c>
    </row>
    <row r="241" spans="1:3" x14ac:dyDescent="0.25">
      <c r="A241" s="384" t="str">
        <f t="shared" si="3"/>
        <v>Busqueda directaNexa BPO</v>
      </c>
      <c r="B241" s="143" t="s">
        <v>127</v>
      </c>
      <c r="C241" s="376" t="s">
        <v>1129</v>
      </c>
    </row>
    <row r="242" spans="1:3" x14ac:dyDescent="0.25">
      <c r="A242" s="384" t="str">
        <f t="shared" si="3"/>
        <v>Referido clienteCentro Comercial Chipichape</v>
      </c>
      <c r="B242" s="181" t="s">
        <v>104</v>
      </c>
      <c r="C242" s="391" t="s">
        <v>1212</v>
      </c>
    </row>
    <row r="243" spans="1:3" x14ac:dyDescent="0.25">
      <c r="A243" s="384" t="str">
        <f t="shared" si="3"/>
        <v>ComputrabajoAGM salud</v>
      </c>
      <c r="B243" s="143" t="s">
        <v>59</v>
      </c>
      <c r="C243" s="376" t="s">
        <v>1216</v>
      </c>
    </row>
    <row r="244" spans="1:3" x14ac:dyDescent="0.25">
      <c r="A244" s="384" t="str">
        <f t="shared" si="3"/>
        <v>Busqueda directaCAFAM</v>
      </c>
      <c r="B244" s="143" t="s">
        <v>127</v>
      </c>
      <c r="C244" s="376" t="s">
        <v>1219</v>
      </c>
    </row>
    <row r="245" spans="1:3" x14ac:dyDescent="0.25">
      <c r="A245" s="384" t="str">
        <f t="shared" si="3"/>
        <v>Referido clienteClinica Rey David</v>
      </c>
      <c r="B245" s="143" t="s">
        <v>104</v>
      </c>
      <c r="C245" s="376" t="s">
        <v>1223</v>
      </c>
    </row>
    <row r="246" spans="1:3" x14ac:dyDescent="0.25">
      <c r="A246" s="384" t="str">
        <f t="shared" si="3"/>
        <v>Busqueda directaGRUPO RECORDAR</v>
      </c>
      <c r="B246" s="143" t="s">
        <v>127</v>
      </c>
      <c r="C246" s="376" t="s">
        <v>302</v>
      </c>
    </row>
    <row r="247" spans="1:3" x14ac:dyDescent="0.25">
      <c r="A247" s="384" t="str">
        <f t="shared" si="3"/>
        <v>ComputrabajoFamisanar</v>
      </c>
      <c r="B247" s="143" t="s">
        <v>59</v>
      </c>
      <c r="C247" s="376" t="s">
        <v>1229</v>
      </c>
    </row>
    <row r="248" spans="1:3" x14ac:dyDescent="0.25">
      <c r="A248" s="384" t="str">
        <f t="shared" si="3"/>
        <v>Otras bolsas de empleoN/A</v>
      </c>
      <c r="B248" s="143" t="s">
        <v>420</v>
      </c>
      <c r="C248" s="376" t="s">
        <v>82</v>
      </c>
    </row>
    <row r="249" spans="1:3" x14ac:dyDescent="0.25">
      <c r="A249" s="384" t="str">
        <f t="shared" si="3"/>
        <v>Busqueda booleanaNOVUMED SALUD S.A.S.</v>
      </c>
      <c r="B249" s="143" t="s">
        <v>413</v>
      </c>
      <c r="C249" s="376" t="s">
        <v>1244</v>
      </c>
    </row>
    <row r="250" spans="1:3" x14ac:dyDescent="0.25">
      <c r="A250" s="384" t="str">
        <f t="shared" si="3"/>
        <v>Referido clienteSERVIAMBULANCIAS DE PACIFICO</v>
      </c>
      <c r="B250" s="143" t="s">
        <v>104</v>
      </c>
      <c r="C250" s="376" t="s">
        <v>1371</v>
      </c>
    </row>
    <row r="251" spans="1:3" x14ac:dyDescent="0.25">
      <c r="A251" s="384" t="str">
        <f t="shared" si="3"/>
        <v>ComputrabajoDulex Home</v>
      </c>
      <c r="B251" s="143" t="s">
        <v>59</v>
      </c>
      <c r="C251" s="376" t="s">
        <v>1372</v>
      </c>
    </row>
    <row r="252" spans="1:3" x14ac:dyDescent="0.25">
      <c r="A252" s="384" t="str">
        <f t="shared" si="3"/>
        <v>Otras bolsas de empleoSatarem</v>
      </c>
      <c r="B252" s="143" t="s">
        <v>420</v>
      </c>
      <c r="C252" s="376" t="s">
        <v>1255</v>
      </c>
    </row>
    <row r="253" spans="1:3" x14ac:dyDescent="0.25">
      <c r="A253" s="384" t="str">
        <f t="shared" si="3"/>
        <v>Busqueda directaAllers Group</v>
      </c>
      <c r="B253" s="181" t="s">
        <v>127</v>
      </c>
      <c r="C253" s="391" t="s">
        <v>1259</v>
      </c>
    </row>
    <row r="254" spans="1:3" x14ac:dyDescent="0.25">
      <c r="A254" s="384" t="str">
        <f t="shared" si="3"/>
        <v>WhatsappClínica Nuestra Señora de los Remedios</v>
      </c>
      <c r="B254" s="143" t="s">
        <v>421</v>
      </c>
      <c r="C254" s="376" t="s">
        <v>1262</v>
      </c>
    </row>
    <row r="255" spans="1:3" x14ac:dyDescent="0.25">
      <c r="A255" s="384" t="str">
        <f t="shared" si="3"/>
        <v>LinkedinSIGGO</v>
      </c>
      <c r="B255" s="143" t="s">
        <v>419</v>
      </c>
      <c r="C255" s="376" t="s">
        <v>1268</v>
      </c>
    </row>
    <row r="256" spans="1:3" x14ac:dyDescent="0.25">
      <c r="A256" s="384" t="str">
        <f t="shared" si="3"/>
        <v>Referido clienteBanco Mundo Mujer</v>
      </c>
      <c r="B256" s="143" t="s">
        <v>104</v>
      </c>
      <c r="C256" s="376" t="s">
        <v>1271</v>
      </c>
    </row>
    <row r="257" spans="1:3" x14ac:dyDescent="0.25">
      <c r="A257" s="384" t="str">
        <f t="shared" si="3"/>
        <v>Otras bolsas de empleoSuper Carnes</v>
      </c>
      <c r="B257" s="143" t="s">
        <v>420</v>
      </c>
      <c r="C257" s="376" t="s">
        <v>1373</v>
      </c>
    </row>
    <row r="258" spans="1:3" x14ac:dyDescent="0.25">
      <c r="A258" s="384" t="str">
        <f t="shared" ref="A258:A321" si="4">+B258&amp;C258</f>
        <v>Referido clienteBomba Foods</v>
      </c>
      <c r="B258" s="143" t="s">
        <v>104</v>
      </c>
      <c r="C258" s="376" t="s">
        <v>1281</v>
      </c>
    </row>
    <row r="259" spans="1:3" x14ac:dyDescent="0.25">
      <c r="A259" s="384" t="str">
        <f t="shared" si="4"/>
        <v>ComputrabajoMac Center</v>
      </c>
      <c r="B259" s="143" t="s">
        <v>59</v>
      </c>
      <c r="C259" s="376" t="s">
        <v>1292</v>
      </c>
    </row>
    <row r="260" spans="1:3" x14ac:dyDescent="0.25">
      <c r="A260" s="384" t="str">
        <f t="shared" si="4"/>
        <v>ComputrabajoRefax Colombia</v>
      </c>
      <c r="B260" s="143" t="s">
        <v>59</v>
      </c>
      <c r="C260" s="386" t="s">
        <v>1384</v>
      </c>
    </row>
    <row r="261" spans="1:3" x14ac:dyDescent="0.25">
      <c r="A261" s="384" t="str">
        <f t="shared" si="4"/>
        <v>ComputrabajoCooperativa Financiera de Antioquia</v>
      </c>
      <c r="B261" s="143" t="s">
        <v>59</v>
      </c>
      <c r="C261" s="386" t="s">
        <v>1391</v>
      </c>
    </row>
    <row r="262" spans="1:3" x14ac:dyDescent="0.25">
      <c r="A262" s="384" t="str">
        <f t="shared" si="4"/>
        <v>Busqueda directaSKANDIA COLOMBIA</v>
      </c>
      <c r="B262" s="143" t="s">
        <v>127</v>
      </c>
      <c r="C262" s="392" t="s">
        <v>1394</v>
      </c>
    </row>
    <row r="263" spans="1:3" x14ac:dyDescent="0.25">
      <c r="A263" s="384" t="str">
        <f t="shared" si="4"/>
        <v>Referido clienteUniversidad Nacional</v>
      </c>
      <c r="B263" s="143" t="s">
        <v>104</v>
      </c>
      <c r="C263" s="387" t="s">
        <v>1397</v>
      </c>
    </row>
    <row r="264" spans="1:3" x14ac:dyDescent="0.25">
      <c r="A264" s="384" t="str">
        <f t="shared" si="4"/>
        <v>ComputrabajoCotrafa</v>
      </c>
      <c r="B264" s="143" t="s">
        <v>59</v>
      </c>
      <c r="C264" s="387" t="s">
        <v>1400</v>
      </c>
    </row>
    <row r="265" spans="1:3" x14ac:dyDescent="0.25">
      <c r="A265" s="384" t="str">
        <f t="shared" si="4"/>
        <v>Referido clienteGrupo Emi Falk</v>
      </c>
      <c r="B265" s="143" t="s">
        <v>104</v>
      </c>
      <c r="C265" s="387" t="s">
        <v>1404</v>
      </c>
    </row>
    <row r="266" spans="1:3" x14ac:dyDescent="0.25">
      <c r="A266" s="384" t="str">
        <f t="shared" si="4"/>
        <v>Busqueda directaCAJA SOCIAL</v>
      </c>
      <c r="B266" s="143" t="s">
        <v>127</v>
      </c>
      <c r="C266" s="387" t="s">
        <v>1409</v>
      </c>
    </row>
    <row r="267" spans="1:3" x14ac:dyDescent="0.25">
      <c r="A267" s="384" t="str">
        <f t="shared" si="4"/>
        <v>WhatsappKIA</v>
      </c>
      <c r="B267" s="143" t="s">
        <v>421</v>
      </c>
      <c r="C267" s="387" t="s">
        <v>1412</v>
      </c>
    </row>
    <row r="268" spans="1:3" x14ac:dyDescent="0.25">
      <c r="A268" s="384" t="str">
        <f t="shared" si="4"/>
        <v>ComputrabajoBanco Caja Social</v>
      </c>
      <c r="B268" s="143" t="s">
        <v>59</v>
      </c>
      <c r="C268" s="387" t="s">
        <v>1416</v>
      </c>
    </row>
    <row r="269" spans="1:3" x14ac:dyDescent="0.25">
      <c r="A269" s="384" t="str">
        <f t="shared" si="4"/>
        <v>Referido clienteAccenture Ltda</v>
      </c>
      <c r="B269" s="143" t="s">
        <v>104</v>
      </c>
      <c r="C269" s="387" t="s">
        <v>1424</v>
      </c>
    </row>
    <row r="270" spans="1:3" x14ac:dyDescent="0.25">
      <c r="A270" s="384" t="str">
        <f t="shared" si="4"/>
        <v>ComputrabajoPRO- AGRONORTE</v>
      </c>
      <c r="B270" s="143" t="s">
        <v>59</v>
      </c>
      <c r="C270" s="387" t="s">
        <v>1427</v>
      </c>
    </row>
    <row r="271" spans="1:3" x14ac:dyDescent="0.25">
      <c r="A271" s="384" t="str">
        <f t="shared" si="4"/>
        <v>Movimiento InternoCoomeva Medicina Prepagada</v>
      </c>
      <c r="B271" s="143" t="s">
        <v>145</v>
      </c>
      <c r="C271" s="393" t="s">
        <v>1431</v>
      </c>
    </row>
    <row r="272" spans="1:3" x14ac:dyDescent="0.25">
      <c r="A272" s="384" t="str">
        <f t="shared" si="4"/>
        <v>Busqueda directaIMEVI S.A.S</v>
      </c>
      <c r="B272" s="143" t="s">
        <v>127</v>
      </c>
      <c r="C272" s="387" t="s">
        <v>1435</v>
      </c>
    </row>
    <row r="273" spans="1:3" x14ac:dyDescent="0.25">
      <c r="A273" s="384" t="str">
        <f t="shared" si="4"/>
        <v>Busqueda booleanaMB Crusher</v>
      </c>
      <c r="B273" s="143" t="s">
        <v>413</v>
      </c>
      <c r="C273" s="387" t="s">
        <v>1440</v>
      </c>
    </row>
    <row r="274" spans="1:3" x14ac:dyDescent="0.25">
      <c r="A274" s="384" t="str">
        <f t="shared" si="4"/>
        <v>Busqueda directaDavivienda</v>
      </c>
      <c r="B274" s="143" t="s">
        <v>127</v>
      </c>
      <c r="C274" s="387" t="s">
        <v>559</v>
      </c>
    </row>
    <row r="275" spans="1:3" x14ac:dyDescent="0.25">
      <c r="A275" s="384" t="str">
        <f t="shared" si="4"/>
        <v>Referido clienteHoteles MS</v>
      </c>
      <c r="B275" s="143" t="s">
        <v>104</v>
      </c>
      <c r="C275" s="387" t="s">
        <v>1446</v>
      </c>
    </row>
    <row r="276" spans="1:3" x14ac:dyDescent="0.25">
      <c r="A276" s="384" t="str">
        <f t="shared" si="4"/>
        <v>Busqueda directaBanco W</v>
      </c>
      <c r="B276" s="143" t="s">
        <v>127</v>
      </c>
      <c r="C276" s="387" t="s">
        <v>1450</v>
      </c>
    </row>
    <row r="277" spans="1:3" x14ac:dyDescent="0.25">
      <c r="A277" s="384" t="str">
        <f t="shared" si="4"/>
        <v>Referido clienteIngenio Pichici</v>
      </c>
      <c r="B277" s="143" t="s">
        <v>104</v>
      </c>
      <c r="C277" s="387" t="s">
        <v>1454</v>
      </c>
    </row>
    <row r="278" spans="1:3" x14ac:dyDescent="0.25">
      <c r="A278" s="384" t="str">
        <f t="shared" si="4"/>
        <v>ComputrabajoCoexito</v>
      </c>
      <c r="B278" s="143" t="s">
        <v>59</v>
      </c>
      <c r="C278" s="387" t="s">
        <v>1457</v>
      </c>
    </row>
    <row r="279" spans="1:3" x14ac:dyDescent="0.25">
      <c r="A279" s="384" t="str">
        <f t="shared" si="4"/>
        <v>Referido clienteMi Banco</v>
      </c>
      <c r="B279" s="143" t="s">
        <v>104</v>
      </c>
      <c r="C279" s="387" t="s">
        <v>1460</v>
      </c>
    </row>
    <row r="280" spans="1:3" x14ac:dyDescent="0.25">
      <c r="A280" s="384" t="str">
        <f t="shared" si="4"/>
        <v>Ferias laboralesCTIC</v>
      </c>
      <c r="B280" s="143" t="s">
        <v>416</v>
      </c>
      <c r="C280" s="387" t="s">
        <v>1473</v>
      </c>
    </row>
    <row r="281" spans="1:3" x14ac:dyDescent="0.25">
      <c r="A281" s="384" t="str">
        <f t="shared" si="4"/>
        <v>ComputrabajoFarmart IPS</v>
      </c>
      <c r="B281" s="143" t="s">
        <v>59</v>
      </c>
      <c r="C281" s="387" t="s">
        <v>1479</v>
      </c>
    </row>
    <row r="282" spans="1:3" x14ac:dyDescent="0.25">
      <c r="A282" s="384" t="str">
        <f t="shared" si="4"/>
        <v>MagnetoBanco Av Villas</v>
      </c>
      <c r="B282" s="143" t="s">
        <v>131</v>
      </c>
      <c r="C282" s="387" t="s">
        <v>743</v>
      </c>
    </row>
    <row r="283" spans="1:3" x14ac:dyDescent="0.25">
      <c r="A283" s="384" t="str">
        <f t="shared" si="4"/>
        <v>Busqueda directaJFK COOPERATIVA FINANCIERA</v>
      </c>
      <c r="B283" s="143" t="s">
        <v>127</v>
      </c>
      <c r="C283" s="392" t="s">
        <v>1484</v>
      </c>
    </row>
    <row r="284" spans="1:3" x14ac:dyDescent="0.25">
      <c r="A284" s="384" t="str">
        <f t="shared" si="4"/>
        <v>Referido clienteBanco de Occidente</v>
      </c>
      <c r="B284" s="143" t="s">
        <v>104</v>
      </c>
      <c r="C284" s="387" t="s">
        <v>901</v>
      </c>
    </row>
    <row r="285" spans="1:3" x14ac:dyDescent="0.25">
      <c r="A285" s="384" t="str">
        <f t="shared" si="4"/>
        <v>Referido clienteAccion del Cauca S.A.S</v>
      </c>
      <c r="B285" s="143" t="s">
        <v>104</v>
      </c>
      <c r="C285" s="387" t="s">
        <v>1492</v>
      </c>
    </row>
    <row r="286" spans="1:3" x14ac:dyDescent="0.25">
      <c r="A286" s="384" t="str">
        <f t="shared" si="4"/>
        <v>Busqueda directaBancolombia</v>
      </c>
      <c r="B286" s="143" t="s">
        <v>127</v>
      </c>
      <c r="C286" s="387" t="s">
        <v>661</v>
      </c>
    </row>
    <row r="287" spans="1:3" x14ac:dyDescent="0.25">
      <c r="A287" s="384" t="str">
        <f t="shared" si="4"/>
        <v>Busqueda directaBanco de Occidente</v>
      </c>
      <c r="B287" s="143" t="s">
        <v>127</v>
      </c>
      <c r="C287" s="387" t="s">
        <v>901</v>
      </c>
    </row>
    <row r="288" spans="1:3" x14ac:dyDescent="0.25">
      <c r="A288" s="384" t="str">
        <f t="shared" si="4"/>
        <v>ComputrabajoProgreser</v>
      </c>
      <c r="B288" s="143" t="s">
        <v>59</v>
      </c>
      <c r="C288" s="387" t="s">
        <v>1506</v>
      </c>
    </row>
    <row r="289" spans="1:3" x14ac:dyDescent="0.25">
      <c r="A289" s="384" t="str">
        <f t="shared" si="4"/>
        <v>MagnetoBanco W</v>
      </c>
      <c r="B289" s="143" t="s">
        <v>131</v>
      </c>
      <c r="C289" s="387" t="s">
        <v>1450</v>
      </c>
    </row>
    <row r="290" spans="1:3" x14ac:dyDescent="0.25">
      <c r="A290" s="384" t="str">
        <f t="shared" si="4"/>
        <v>Movimiento InternoCoomeva CSS</v>
      </c>
      <c r="B290" s="143" t="s">
        <v>145</v>
      </c>
      <c r="C290" s="387" t="s">
        <v>1513</v>
      </c>
    </row>
    <row r="291" spans="1:3" x14ac:dyDescent="0.25">
      <c r="A291" s="384" t="str">
        <f t="shared" si="4"/>
        <v>Busqueda directaCOMPENSAR</v>
      </c>
      <c r="B291" s="143" t="s">
        <v>127</v>
      </c>
      <c r="C291" s="392" t="s">
        <v>1517</v>
      </c>
    </row>
    <row r="292" spans="1:3" x14ac:dyDescent="0.25">
      <c r="A292" s="384" t="str">
        <f t="shared" si="4"/>
        <v>Referido clienteGlobal Exellence Consulting</v>
      </c>
      <c r="B292" s="143" t="s">
        <v>104</v>
      </c>
      <c r="C292" s="387" t="s">
        <v>1521</v>
      </c>
    </row>
    <row r="293" spans="1:3" x14ac:dyDescent="0.25">
      <c r="A293" s="384" t="str">
        <f t="shared" si="4"/>
        <v>Referido clienteComercializadora Ecom S.A.S</v>
      </c>
      <c r="B293" s="143" t="s">
        <v>104</v>
      </c>
      <c r="C293" s="387" t="s">
        <v>1525</v>
      </c>
    </row>
    <row r="294" spans="1:3" x14ac:dyDescent="0.25">
      <c r="A294" s="384" t="str">
        <f t="shared" si="4"/>
        <v>MagnetoVardi Autos Usados</v>
      </c>
      <c r="B294" s="143" t="s">
        <v>131</v>
      </c>
      <c r="C294" s="387" t="s">
        <v>1528</v>
      </c>
    </row>
    <row r="295" spans="1:3" x14ac:dyDescent="0.25">
      <c r="A295" s="384" t="str">
        <f t="shared" si="4"/>
        <v>Referido clienteTrayectoria</v>
      </c>
      <c r="B295" s="143" t="s">
        <v>104</v>
      </c>
      <c r="C295" s="387" t="s">
        <v>1532</v>
      </c>
    </row>
    <row r="296" spans="1:3" x14ac:dyDescent="0.25">
      <c r="A296" s="384" t="str">
        <f t="shared" si="4"/>
        <v>ComputrabajoBanco Agrario</v>
      </c>
      <c r="B296" s="143" t="s">
        <v>59</v>
      </c>
      <c r="C296" s="387" t="s">
        <v>1197</v>
      </c>
    </row>
    <row r="297" spans="1:3" x14ac:dyDescent="0.25">
      <c r="A297" s="384" t="str">
        <f t="shared" si="4"/>
        <v>Referido clienteColfondos S.A</v>
      </c>
      <c r="B297" s="143" t="s">
        <v>104</v>
      </c>
      <c r="C297" s="387" t="s">
        <v>1546</v>
      </c>
    </row>
    <row r="298" spans="1:3" x14ac:dyDescent="0.25">
      <c r="A298" s="384" t="str">
        <f t="shared" si="4"/>
        <v>Busqueda directaCOLMEDICOS</v>
      </c>
      <c r="B298" s="143" t="s">
        <v>127</v>
      </c>
      <c r="C298" s="387" t="s">
        <v>1551</v>
      </c>
    </row>
    <row r="299" spans="1:3" x14ac:dyDescent="0.25">
      <c r="A299" s="384" t="str">
        <f t="shared" si="4"/>
        <v>LinkedinBanco de Occidente</v>
      </c>
      <c r="B299" s="143" t="s">
        <v>419</v>
      </c>
      <c r="C299" s="387" t="s">
        <v>901</v>
      </c>
    </row>
    <row r="300" spans="1:3" x14ac:dyDescent="0.25">
      <c r="A300" s="384" t="str">
        <f t="shared" si="4"/>
        <v>MagnetoCompañía de Financiamiento Tuya</v>
      </c>
      <c r="B300" s="176" t="s">
        <v>131</v>
      </c>
      <c r="C300" s="394" t="s">
        <v>1556</v>
      </c>
    </row>
    <row r="301" spans="1:3" x14ac:dyDescent="0.25">
      <c r="A301" s="384" t="str">
        <f t="shared" si="4"/>
        <v>Referido clienteFiducoomeva (Prestación Servicios)</v>
      </c>
      <c r="B301" s="143" t="s">
        <v>104</v>
      </c>
      <c r="C301" s="387" t="s">
        <v>1560</v>
      </c>
    </row>
    <row r="302" spans="1:3" x14ac:dyDescent="0.25">
      <c r="A302" s="384" t="str">
        <f t="shared" si="4"/>
        <v>Referido clienteBe To Bee</v>
      </c>
      <c r="B302" s="143" t="s">
        <v>104</v>
      </c>
      <c r="C302" s="387" t="s">
        <v>1563</v>
      </c>
    </row>
    <row r="303" spans="1:3" x14ac:dyDescent="0.25">
      <c r="A303" s="384" t="str">
        <f t="shared" si="4"/>
        <v>Referido clienteKPMG</v>
      </c>
      <c r="B303" s="143" t="s">
        <v>104</v>
      </c>
      <c r="C303" s="387" t="s">
        <v>1567</v>
      </c>
    </row>
    <row r="304" spans="1:3" x14ac:dyDescent="0.25">
      <c r="A304" s="384" t="str">
        <f t="shared" si="4"/>
        <v>Busqueda directaCOLSANITAS</v>
      </c>
      <c r="B304" s="143" t="s">
        <v>127</v>
      </c>
      <c r="C304" s="387" t="s">
        <v>1013</v>
      </c>
    </row>
    <row r="305" spans="1:3" x14ac:dyDescent="0.25">
      <c r="A305" s="384" t="str">
        <f t="shared" si="4"/>
        <v>ComputrabajoSeguros WFE</v>
      </c>
      <c r="B305" s="181" t="s">
        <v>59</v>
      </c>
      <c r="C305" s="395" t="s">
        <v>1581</v>
      </c>
    </row>
    <row r="306" spans="1:3" x14ac:dyDescent="0.25">
      <c r="A306" s="384" t="str">
        <f t="shared" si="4"/>
        <v>Busqueda directaCOOPETROL</v>
      </c>
      <c r="B306" s="143" t="s">
        <v>127</v>
      </c>
      <c r="C306" s="387" t="s">
        <v>1585</v>
      </c>
    </row>
    <row r="307" spans="1:3" x14ac:dyDescent="0.25">
      <c r="A307" s="384" t="str">
        <f t="shared" si="4"/>
        <v>Movimiento InternoCoomeva USC</v>
      </c>
      <c r="B307" s="143" t="s">
        <v>145</v>
      </c>
      <c r="C307" s="387" t="s">
        <v>1589</v>
      </c>
    </row>
    <row r="308" spans="1:3" x14ac:dyDescent="0.25">
      <c r="A308" s="384" t="str">
        <f t="shared" si="4"/>
        <v>Referido clienteUniversidad San Buenaventura</v>
      </c>
      <c r="B308" s="143" t="s">
        <v>104</v>
      </c>
      <c r="C308" s="387" t="s">
        <v>1594</v>
      </c>
    </row>
    <row r="309" spans="1:3" x14ac:dyDescent="0.25">
      <c r="A309" s="384" t="str">
        <f t="shared" si="4"/>
        <v>Busqueda directaITC SOLUCIONES TECNOLOGICAS</v>
      </c>
      <c r="B309" s="143" t="s">
        <v>127</v>
      </c>
      <c r="C309" s="392" t="s">
        <v>1597</v>
      </c>
    </row>
    <row r="310" spans="1:3" x14ac:dyDescent="0.25">
      <c r="A310" s="384" t="str">
        <f t="shared" si="4"/>
        <v>Referido clienteExpertos Consulting</v>
      </c>
      <c r="B310" s="143" t="s">
        <v>104</v>
      </c>
      <c r="C310" s="387" t="s">
        <v>1601</v>
      </c>
    </row>
    <row r="311" spans="1:3" x14ac:dyDescent="0.25">
      <c r="A311" s="384" t="str">
        <f t="shared" si="4"/>
        <v>Busqueda directaSerdan</v>
      </c>
      <c r="B311" s="143" t="s">
        <v>127</v>
      </c>
      <c r="C311" s="387" t="s">
        <v>1607</v>
      </c>
    </row>
    <row r="312" spans="1:3" x14ac:dyDescent="0.25">
      <c r="A312" s="384" t="str">
        <f t="shared" si="4"/>
        <v>ComputrabajoCooperativa Confiar</v>
      </c>
      <c r="B312" s="143" t="s">
        <v>59</v>
      </c>
      <c r="C312" s="387" t="s">
        <v>1612</v>
      </c>
    </row>
    <row r="313" spans="1:3" x14ac:dyDescent="0.25">
      <c r="A313" s="384" t="str">
        <f t="shared" si="4"/>
        <v>LinkedinAgencia Seguros Presente ( Exito)</v>
      </c>
      <c r="B313" s="143" t="s">
        <v>419</v>
      </c>
      <c r="C313" s="387" t="s">
        <v>1615</v>
      </c>
    </row>
    <row r="314" spans="1:3" x14ac:dyDescent="0.25">
      <c r="A314" s="384" t="str">
        <f t="shared" si="4"/>
        <v>Referido clienteBANCO ITAU</v>
      </c>
      <c r="B314" s="143" t="s">
        <v>104</v>
      </c>
      <c r="C314" s="387" t="s">
        <v>515</v>
      </c>
    </row>
    <row r="315" spans="1:3" x14ac:dyDescent="0.25">
      <c r="A315" s="384" t="str">
        <f t="shared" si="4"/>
        <v>Busqueda directaMedplus</v>
      </c>
      <c r="B315" s="143" t="s">
        <v>127</v>
      </c>
      <c r="C315" s="387" t="s">
        <v>258</v>
      </c>
    </row>
    <row r="316" spans="1:3" x14ac:dyDescent="0.25">
      <c r="A316" s="384" t="str">
        <f t="shared" si="4"/>
        <v>Ferias laboralesBanco Agrario</v>
      </c>
      <c r="B316" s="143" t="s">
        <v>416</v>
      </c>
      <c r="C316" s="387" t="s">
        <v>1197</v>
      </c>
    </row>
    <row r="317" spans="1:3" x14ac:dyDescent="0.25">
      <c r="A317" s="384" t="str">
        <f t="shared" si="4"/>
        <v>Busqueda directaClinica Esensa</v>
      </c>
      <c r="B317" s="143" t="s">
        <v>127</v>
      </c>
      <c r="C317" s="387" t="s">
        <v>1627</v>
      </c>
    </row>
    <row r="318" spans="1:3" x14ac:dyDescent="0.25">
      <c r="A318" s="384" t="str">
        <f t="shared" si="4"/>
        <v>Busqueda directaClinica Colombia</v>
      </c>
      <c r="B318" s="143" t="s">
        <v>127</v>
      </c>
      <c r="C318" s="387" t="s">
        <v>1633</v>
      </c>
    </row>
    <row r="319" spans="1:3" x14ac:dyDescent="0.25">
      <c r="A319" s="384" t="str">
        <f t="shared" si="4"/>
        <v>Busqueda directaNexa</v>
      </c>
      <c r="B319" s="143" t="s">
        <v>127</v>
      </c>
      <c r="C319" s="387" t="s">
        <v>1636</v>
      </c>
    </row>
    <row r="320" spans="1:3" x14ac:dyDescent="0.25">
      <c r="A320" s="384" t="str">
        <f t="shared" si="4"/>
        <v>Referido clienteBanco Av Villas</v>
      </c>
      <c r="B320" s="143" t="s">
        <v>104</v>
      </c>
      <c r="C320" s="387" t="s">
        <v>743</v>
      </c>
    </row>
    <row r="321" spans="1:3" x14ac:dyDescent="0.25">
      <c r="A321" s="384" t="str">
        <f t="shared" si="4"/>
        <v>Referido clienteRestaurante Bar Solar</v>
      </c>
      <c r="B321" s="143" t="s">
        <v>104</v>
      </c>
      <c r="C321" s="387" t="s">
        <v>1642</v>
      </c>
    </row>
    <row r="322" spans="1:3" x14ac:dyDescent="0.25">
      <c r="A322" s="384" t="str">
        <f t="shared" ref="A322:A363" si="5">+B322&amp;C322</f>
        <v>ComputrabajoEficacia</v>
      </c>
      <c r="B322" s="143" t="s">
        <v>59</v>
      </c>
      <c r="C322" s="387" t="s">
        <v>1645</v>
      </c>
    </row>
    <row r="323" spans="1:3" x14ac:dyDescent="0.25">
      <c r="A323" s="384" t="str">
        <f t="shared" si="5"/>
        <v>ComputrabajoEmtelco</v>
      </c>
      <c r="B323" s="143" t="s">
        <v>59</v>
      </c>
      <c r="C323" s="387" t="s">
        <v>1650</v>
      </c>
    </row>
    <row r="324" spans="1:3" x14ac:dyDescent="0.25">
      <c r="A324" s="384" t="str">
        <f t="shared" si="5"/>
        <v>Referido clienteRoyal Films</v>
      </c>
      <c r="B324" s="143" t="s">
        <v>104</v>
      </c>
      <c r="C324" s="387" t="s">
        <v>1653</v>
      </c>
    </row>
    <row r="325" spans="1:3" x14ac:dyDescent="0.25">
      <c r="A325" s="384" t="str">
        <f t="shared" si="5"/>
        <v>ComputrabajoDelima Marsh</v>
      </c>
      <c r="B325" s="143" t="s">
        <v>59</v>
      </c>
      <c r="C325" s="387" t="s">
        <v>1660</v>
      </c>
    </row>
    <row r="326" spans="1:3" x14ac:dyDescent="0.25">
      <c r="A326" s="384" t="str">
        <f t="shared" si="5"/>
        <v>Busqueda directaAgencia De Viajes Travel Y Ticket Axm</v>
      </c>
      <c r="B326" s="143" t="s">
        <v>127</v>
      </c>
      <c r="C326" s="387" t="s">
        <v>1663</v>
      </c>
    </row>
    <row r="327" spans="1:3" x14ac:dyDescent="0.25">
      <c r="A327" s="384" t="str">
        <f t="shared" si="5"/>
        <v>ComputrabajoSura</v>
      </c>
      <c r="B327" s="143" t="s">
        <v>59</v>
      </c>
      <c r="C327" s="387" t="s">
        <v>400</v>
      </c>
    </row>
    <row r="328" spans="1:3" x14ac:dyDescent="0.25">
      <c r="A328" s="384" t="str">
        <f t="shared" si="5"/>
        <v>Busqueda directaBancoomeva</v>
      </c>
      <c r="B328" s="143" t="s">
        <v>127</v>
      </c>
      <c r="C328" s="387" t="s">
        <v>480</v>
      </c>
    </row>
    <row r="329" spans="1:3" x14ac:dyDescent="0.25">
      <c r="A329" s="384" t="str">
        <f t="shared" si="5"/>
        <v>Busqueda directaFincomercio</v>
      </c>
      <c r="B329" s="143" t="s">
        <v>127</v>
      </c>
      <c r="C329" s="387" t="s">
        <v>1677</v>
      </c>
    </row>
    <row r="330" spans="1:3" x14ac:dyDescent="0.25">
      <c r="A330" s="384" t="str">
        <f t="shared" si="5"/>
        <v>ComputrabajoUniversidad del Valle</v>
      </c>
      <c r="B330" s="143" t="s">
        <v>59</v>
      </c>
      <c r="C330" s="387" t="s">
        <v>1682</v>
      </c>
    </row>
    <row r="331" spans="1:3" x14ac:dyDescent="0.25">
      <c r="A331" s="384" t="str">
        <f t="shared" si="5"/>
        <v>Movimiento InternoFiducoomeva - Job &amp; Talent</v>
      </c>
      <c r="B331" s="143" t="s">
        <v>145</v>
      </c>
      <c r="C331" s="387" t="s">
        <v>1686</v>
      </c>
    </row>
    <row r="332" spans="1:3" x14ac:dyDescent="0.25">
      <c r="A332" s="384" t="str">
        <f t="shared" si="5"/>
        <v>Referido cliente30X</v>
      </c>
      <c r="B332" s="143" t="s">
        <v>104</v>
      </c>
      <c r="C332" s="387" t="s">
        <v>1690</v>
      </c>
    </row>
    <row r="333" spans="1:3" x14ac:dyDescent="0.25">
      <c r="A333" s="384" t="str">
        <f t="shared" si="5"/>
        <v>Busqueda directaFAMISANAR</v>
      </c>
      <c r="B333" s="143" t="s">
        <v>127</v>
      </c>
      <c r="C333" s="387" t="s">
        <v>1694</v>
      </c>
    </row>
    <row r="334" spans="1:3" x14ac:dyDescent="0.25">
      <c r="A334" s="384" t="str">
        <f t="shared" si="5"/>
        <v>ComputrabajoDrogueria Kripton</v>
      </c>
      <c r="B334" s="143" t="s">
        <v>59</v>
      </c>
      <c r="C334" s="387" t="s">
        <v>1700</v>
      </c>
    </row>
    <row r="335" spans="1:3" x14ac:dyDescent="0.25">
      <c r="A335" s="384" t="str">
        <f t="shared" si="5"/>
        <v>ComputrabajoTuya S.a</v>
      </c>
      <c r="B335" s="143" t="s">
        <v>59</v>
      </c>
      <c r="C335" s="387" t="s">
        <v>1707</v>
      </c>
    </row>
    <row r="336" spans="1:3" x14ac:dyDescent="0.25">
      <c r="A336" s="384" t="str">
        <f t="shared" si="5"/>
        <v>Referido clienteEmermedica</v>
      </c>
      <c r="B336" s="143" t="s">
        <v>104</v>
      </c>
      <c r="C336" s="387" t="s">
        <v>288</v>
      </c>
    </row>
    <row r="337" spans="1:3" x14ac:dyDescent="0.25">
      <c r="A337" s="384" t="str">
        <f t="shared" si="5"/>
        <v>Movimiento InternoCoomeva Job &amp; Talent</v>
      </c>
      <c r="B337" s="143" t="s">
        <v>145</v>
      </c>
      <c r="C337" s="387" t="s">
        <v>1712</v>
      </c>
    </row>
    <row r="338" spans="1:3" x14ac:dyDescent="0.25">
      <c r="A338" s="384" t="str">
        <f t="shared" si="5"/>
        <v>ComputrabajoConstructora Melendez</v>
      </c>
      <c r="B338" s="143" t="s">
        <v>59</v>
      </c>
      <c r="C338" s="387" t="s">
        <v>1719</v>
      </c>
    </row>
    <row r="339" spans="1:3" x14ac:dyDescent="0.25">
      <c r="A339" s="384" t="str">
        <f t="shared" si="5"/>
        <v>Referido clienteClinica Nueva Rafael Uribe Uribe</v>
      </c>
      <c r="B339" s="143" t="s">
        <v>104</v>
      </c>
      <c r="C339" s="387" t="s">
        <v>1727</v>
      </c>
    </row>
    <row r="340" spans="1:3" x14ac:dyDescent="0.25">
      <c r="A340" s="384" t="str">
        <f t="shared" si="5"/>
        <v>ComputrabajoSiigo</v>
      </c>
      <c r="B340" s="143" t="s">
        <v>59</v>
      </c>
      <c r="C340" s="387" t="s">
        <v>1730</v>
      </c>
    </row>
    <row r="341" spans="1:3" x14ac:dyDescent="0.25">
      <c r="A341" s="384" t="str">
        <f t="shared" si="5"/>
        <v>ComputrabajoTemporal Accion</v>
      </c>
      <c r="B341" s="143" t="s">
        <v>59</v>
      </c>
      <c r="C341" s="387" t="s">
        <v>1737</v>
      </c>
    </row>
    <row r="342" spans="1:3" x14ac:dyDescent="0.25">
      <c r="A342" s="384" t="str">
        <f t="shared" si="5"/>
        <v>Movimiento InternoCoomeva MP</v>
      </c>
      <c r="B342" s="143" t="s">
        <v>145</v>
      </c>
      <c r="C342" s="387" t="s">
        <v>1743</v>
      </c>
    </row>
    <row r="343" spans="1:3" x14ac:dyDescent="0.25">
      <c r="A343" s="384" t="str">
        <f t="shared" si="5"/>
        <v>Referido clienteRRM Ingenieria Construcción</v>
      </c>
      <c r="B343" s="143" t="s">
        <v>104</v>
      </c>
      <c r="C343" s="387" t="s">
        <v>1752</v>
      </c>
    </row>
    <row r="344" spans="1:3" x14ac:dyDescent="0.25">
      <c r="A344" s="384" t="str">
        <f t="shared" si="5"/>
        <v>Busqueda directaSODIMAT</v>
      </c>
      <c r="B344" s="176" t="s">
        <v>127</v>
      </c>
      <c r="C344" s="394" t="s">
        <v>1755</v>
      </c>
    </row>
    <row r="345" spans="1:3" x14ac:dyDescent="0.25">
      <c r="A345" s="384" t="str">
        <f t="shared" si="5"/>
        <v>MagnetoNexa Bpo</v>
      </c>
      <c r="B345" s="143" t="s">
        <v>131</v>
      </c>
      <c r="C345" s="387" t="s">
        <v>1758</v>
      </c>
    </row>
    <row r="346" spans="1:3" x14ac:dyDescent="0.25">
      <c r="A346" s="384" t="str">
        <f t="shared" si="5"/>
        <v>Busqueda directaSOLUCIONES INTEGRALES PAG</v>
      </c>
      <c r="B346" s="143" t="s">
        <v>127</v>
      </c>
      <c r="C346" s="387" t="s">
        <v>1764</v>
      </c>
    </row>
    <row r="347" spans="1:3" x14ac:dyDescent="0.25">
      <c r="A347" s="384" t="str">
        <f t="shared" si="5"/>
        <v>Busqueda directaSALUD TOTAL EPS</v>
      </c>
      <c r="B347" s="143" t="s">
        <v>127</v>
      </c>
      <c r="C347" s="387" t="s">
        <v>1767</v>
      </c>
    </row>
    <row r="348" spans="1:3" x14ac:dyDescent="0.25">
      <c r="A348" s="384" t="str">
        <f t="shared" si="5"/>
        <v>Busqueda directaAUTOGERMANA</v>
      </c>
      <c r="B348" s="143" t="s">
        <v>127</v>
      </c>
      <c r="C348" s="387" t="s">
        <v>1775</v>
      </c>
    </row>
    <row r="349" spans="1:3" x14ac:dyDescent="0.25">
      <c r="A349" s="384" t="str">
        <f t="shared" si="5"/>
        <v>Referido clienteSeguros Sura</v>
      </c>
      <c r="B349" s="143" t="s">
        <v>104</v>
      </c>
      <c r="C349" s="387" t="s">
        <v>1778</v>
      </c>
    </row>
    <row r="350" spans="1:3" x14ac:dyDescent="0.25">
      <c r="A350" s="384" t="str">
        <f t="shared" si="5"/>
        <v>Referido clienteCoomeva Cooperativa</v>
      </c>
      <c r="B350" s="143" t="s">
        <v>104</v>
      </c>
      <c r="C350" s="396" t="s">
        <v>146</v>
      </c>
    </row>
    <row r="351" spans="1:3" x14ac:dyDescent="0.25">
      <c r="A351" s="384" t="str">
        <f t="shared" si="5"/>
        <v>Movimiento InternoFeecoomeva</v>
      </c>
      <c r="B351" s="143" t="s">
        <v>145</v>
      </c>
      <c r="C351" s="387" t="s">
        <v>1783</v>
      </c>
    </row>
    <row r="352" spans="1:3" x14ac:dyDescent="0.25">
      <c r="A352" s="384" t="str">
        <f t="shared" si="5"/>
        <v>Referido clienteTigo SYM - Temporal</v>
      </c>
      <c r="B352" s="143" t="s">
        <v>104</v>
      </c>
      <c r="C352" s="387" t="s">
        <v>1786</v>
      </c>
    </row>
    <row r="353" spans="1:3" x14ac:dyDescent="0.25">
      <c r="A353" s="384" t="str">
        <f t="shared" si="5"/>
        <v>Referido clienteTelefónica Movistar</v>
      </c>
      <c r="B353" s="143" t="s">
        <v>104</v>
      </c>
      <c r="C353" s="387" t="s">
        <v>1789</v>
      </c>
    </row>
    <row r="354" spans="1:3" x14ac:dyDescent="0.25">
      <c r="A354" s="384" t="str">
        <f t="shared" si="5"/>
        <v>Busqueda directaBBVA</v>
      </c>
      <c r="B354" s="143" t="s">
        <v>127</v>
      </c>
      <c r="C354" s="387" t="s">
        <v>967</v>
      </c>
    </row>
    <row r="355" spans="1:3" x14ac:dyDescent="0.25">
      <c r="A355" s="384" t="str">
        <f t="shared" si="5"/>
        <v>Referido clienteFanalca</v>
      </c>
      <c r="B355" s="143" t="s">
        <v>104</v>
      </c>
      <c r="C355" s="387" t="s">
        <v>1795</v>
      </c>
    </row>
    <row r="356" spans="1:3" x14ac:dyDescent="0.25">
      <c r="A356" s="384" t="str">
        <f t="shared" si="5"/>
        <v>Busqueda directaCLINICA MEDICAL</v>
      </c>
      <c r="B356" s="143" t="s">
        <v>127</v>
      </c>
      <c r="C356" s="387" t="s">
        <v>1800</v>
      </c>
    </row>
    <row r="357" spans="1:3" x14ac:dyDescent="0.25">
      <c r="A357" s="384" t="str">
        <f t="shared" si="5"/>
        <v>Referido clienteAdeco</v>
      </c>
      <c r="B357" s="143" t="s">
        <v>104</v>
      </c>
      <c r="C357" s="387" t="s">
        <v>1807</v>
      </c>
    </row>
    <row r="358" spans="1:3" x14ac:dyDescent="0.25">
      <c r="A358" s="384" t="str">
        <f t="shared" si="5"/>
        <v>Busqueda directaGALAFE</v>
      </c>
      <c r="B358" s="143" t="s">
        <v>127</v>
      </c>
      <c r="C358" s="387" t="s">
        <v>1812</v>
      </c>
    </row>
    <row r="359" spans="1:3" x14ac:dyDescent="0.25">
      <c r="A359" s="384" t="str">
        <f t="shared" si="5"/>
        <v>Referido clienteBanco Agrario</v>
      </c>
      <c r="B359" s="143" t="s">
        <v>104</v>
      </c>
      <c r="C359" s="387" t="s">
        <v>1197</v>
      </c>
    </row>
    <row r="360" spans="1:3" x14ac:dyDescent="0.25">
      <c r="A360" s="384" t="str">
        <f t="shared" si="5"/>
        <v>Busqueda directaRAPPIPAY</v>
      </c>
      <c r="B360" s="143" t="s">
        <v>127</v>
      </c>
      <c r="C360" s="387" t="s">
        <v>1823</v>
      </c>
    </row>
    <row r="361" spans="1:3" x14ac:dyDescent="0.25">
      <c r="A361" s="384" t="str">
        <f t="shared" si="5"/>
        <v>Busqueda directaCONFIAR</v>
      </c>
      <c r="B361" s="143" t="s">
        <v>127</v>
      </c>
      <c r="C361" s="387" t="s">
        <v>1826</v>
      </c>
    </row>
    <row r="362" spans="1:3" x14ac:dyDescent="0.25">
      <c r="A362" s="384" t="str">
        <f t="shared" si="5"/>
        <v>Referido clienteCOLSANITAS</v>
      </c>
      <c r="B362" s="143" t="s">
        <v>104</v>
      </c>
      <c r="C362" s="387" t="s">
        <v>1013</v>
      </c>
    </row>
    <row r="363" spans="1:3" x14ac:dyDescent="0.25">
      <c r="A363" s="400" t="str">
        <f t="shared" si="5"/>
        <v>Referido clienteCEM - Temporal</v>
      </c>
      <c r="B363" s="289" t="s">
        <v>104</v>
      </c>
      <c r="C363" s="388" t="s">
        <v>1840</v>
      </c>
    </row>
    <row r="364" spans="1:3" x14ac:dyDescent="0.25">
      <c r="A364"/>
      <c r="B364"/>
      <c r="C364"/>
    </row>
    <row r="365" spans="1:3" x14ac:dyDescent="0.25">
      <c r="A365"/>
      <c r="B365"/>
      <c r="C365"/>
    </row>
    <row r="366" spans="1:3" x14ac:dyDescent="0.25">
      <c r="A366"/>
      <c r="B366"/>
      <c r="C366"/>
    </row>
    <row r="367" spans="1:3" x14ac:dyDescent="0.25">
      <c r="A367"/>
      <c r="B367"/>
      <c r="C367"/>
    </row>
    <row r="368" spans="1:3" x14ac:dyDescent="0.25">
      <c r="A368"/>
      <c r="B368"/>
      <c r="C368"/>
    </row>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8023E27-4A4F-49FF-A410-6DAD364E6DC5}">
          <x14:formula1>
            <xm:f>Hoja1!$D$1:$D$16</xm:f>
          </x14:formula1>
          <xm:sqref>B2:B108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D4F4-DA92-485F-9380-B4A0D64117CF}">
  <dimension ref="A1:S641"/>
  <sheetViews>
    <sheetView workbookViewId="0">
      <selection activeCell="A2" sqref="A2"/>
    </sheetView>
  </sheetViews>
  <sheetFormatPr baseColWidth="10" defaultRowHeight="15" x14ac:dyDescent="0.25"/>
  <cols>
    <col min="1" max="2" width="23.42578125" style="5" customWidth="1"/>
    <col min="3" max="3" width="41.42578125" style="6" customWidth="1"/>
    <col min="4" max="4" width="31.28515625" style="8" customWidth="1"/>
    <col min="5" max="5" width="45.28515625" style="6" customWidth="1"/>
    <col min="6" max="6" width="50.140625" style="6" customWidth="1"/>
    <col min="7" max="7" width="31.28515625" style="8" customWidth="1"/>
    <col min="8" max="8" width="39.5703125" style="10" customWidth="1"/>
    <col min="9" max="9" width="41" style="10" customWidth="1"/>
    <col min="10" max="10" width="66.28515625" style="10" customWidth="1"/>
    <col min="11" max="11" width="41" style="10" customWidth="1"/>
    <col min="12" max="12" width="46.28515625" style="10" customWidth="1"/>
    <col min="13" max="13" width="63.85546875" style="10" customWidth="1"/>
    <col min="14" max="14" width="41.7109375" style="8" customWidth="1"/>
    <col min="15" max="15" width="54.7109375" style="6" customWidth="1"/>
    <col min="16" max="16" width="31.140625" style="6" customWidth="1"/>
    <col min="17" max="17" width="43.28515625" style="6" customWidth="1"/>
    <col min="18" max="18" width="26.42578125" style="6" customWidth="1"/>
    <col min="19" max="19" width="11.85546875" style="6" customWidth="1"/>
  </cols>
  <sheetData>
    <row r="1" spans="1:19" x14ac:dyDescent="0.25">
      <c r="A1" s="402" t="s">
        <v>2595</v>
      </c>
      <c r="B1" s="402" t="s">
        <v>3</v>
      </c>
      <c r="C1" s="332" t="s">
        <v>4</v>
      </c>
      <c r="D1" s="333" t="s">
        <v>13</v>
      </c>
      <c r="E1" s="337" t="s">
        <v>16</v>
      </c>
      <c r="F1" s="338" t="s">
        <v>17</v>
      </c>
      <c r="G1" s="333" t="s">
        <v>19</v>
      </c>
      <c r="H1" s="340" t="s">
        <v>20</v>
      </c>
      <c r="I1" s="340" t="s">
        <v>21</v>
      </c>
      <c r="J1" s="340" t="s">
        <v>22</v>
      </c>
      <c r="K1" s="340" t="s">
        <v>23</v>
      </c>
      <c r="L1" s="340" t="s">
        <v>24</v>
      </c>
      <c r="M1" s="340" t="s">
        <v>25</v>
      </c>
      <c r="N1" s="333" t="s">
        <v>29</v>
      </c>
      <c r="O1" s="402" t="s">
        <v>30</v>
      </c>
      <c r="P1" s="401" t="s">
        <v>31</v>
      </c>
      <c r="Q1" s="401" t="s">
        <v>32</v>
      </c>
      <c r="R1" s="332" t="s">
        <v>33</v>
      </c>
      <c r="S1" s="338" t="s">
        <v>34</v>
      </c>
    </row>
    <row r="2" spans="1:19" x14ac:dyDescent="0.25">
      <c r="A2" s="403" t="str">
        <f t="shared" ref="A2:A65" si="0">+B2&amp;C2&amp;D2&amp;E2&amp;F2&amp;G2&amp;H2&amp;I2&amp;J2&amp;K2&amp;L2&amp;M2&amp;N2&amp;O2&amp;P2&amp;Q2&amp;R2&amp;S2</f>
        <v>45909457970000-00-0046027460270000-00-000000-00-000000-00-000000-00-000000-00-000000-00-000000-00-0046031460374603746048460481</v>
      </c>
      <c r="B2" s="37">
        <v>45909</v>
      </c>
      <c r="C2" s="37">
        <v>45797</v>
      </c>
      <c r="D2" s="18" t="s">
        <v>55</v>
      </c>
      <c r="E2" s="37">
        <v>46027</v>
      </c>
      <c r="F2" s="37">
        <v>46027</v>
      </c>
      <c r="G2" s="18" t="s">
        <v>55</v>
      </c>
      <c r="H2" s="18" t="s">
        <v>55</v>
      </c>
      <c r="I2" s="18" t="s">
        <v>55</v>
      </c>
      <c r="J2" s="18" t="s">
        <v>55</v>
      </c>
      <c r="K2" s="18" t="s">
        <v>55</v>
      </c>
      <c r="L2" s="18" t="s">
        <v>55</v>
      </c>
      <c r="M2" s="18" t="s">
        <v>55</v>
      </c>
      <c r="N2" s="38">
        <v>46031</v>
      </c>
      <c r="O2" s="38">
        <v>46037</v>
      </c>
      <c r="P2" s="38">
        <v>46037</v>
      </c>
      <c r="Q2" s="38">
        <v>46048</v>
      </c>
      <c r="R2" s="38">
        <v>46048</v>
      </c>
      <c r="S2" s="3">
        <f t="shared" ref="S2" si="1">MONTH(R2)</f>
        <v>1</v>
      </c>
    </row>
    <row r="3" spans="1:19" x14ac:dyDescent="0.25">
      <c r="A3" s="403" t="str">
        <f t="shared" si="0"/>
        <v>45953458470000-00-0045968459680000-00-000000-00-000000-00-000000-00-000000-00-000000-00-000000-00-0046010460364603646042460441</v>
      </c>
      <c r="B3" s="15">
        <v>45953</v>
      </c>
      <c r="C3" s="16">
        <v>45847</v>
      </c>
      <c r="D3" s="16" t="s">
        <v>55</v>
      </c>
      <c r="E3" s="16">
        <v>45968</v>
      </c>
      <c r="F3" s="16">
        <v>45968</v>
      </c>
      <c r="G3" s="16" t="s">
        <v>55</v>
      </c>
      <c r="H3" s="18" t="s">
        <v>55</v>
      </c>
      <c r="I3" s="18" t="s">
        <v>55</v>
      </c>
      <c r="J3" s="18" t="s">
        <v>55</v>
      </c>
      <c r="K3" s="18" t="s">
        <v>55</v>
      </c>
      <c r="L3" s="18" t="s">
        <v>55</v>
      </c>
      <c r="M3" s="18" t="s">
        <v>55</v>
      </c>
      <c r="N3" s="16">
        <v>46010</v>
      </c>
      <c r="O3" s="16">
        <v>46036</v>
      </c>
      <c r="P3" s="16">
        <v>46036</v>
      </c>
      <c r="Q3" s="16">
        <v>46042</v>
      </c>
      <c r="R3" s="16">
        <v>46044</v>
      </c>
      <c r="S3" s="3">
        <f t="shared" ref="S3:S34" si="2">MONTH(R3)</f>
        <v>1</v>
      </c>
    </row>
    <row r="4" spans="1:19" x14ac:dyDescent="0.25">
      <c r="A4" s="403" t="str">
        <f t="shared" si="0"/>
        <v>45972458730000-00-0045996460060000-00-000000-00-000000-00-000000-00-000000-00-000000-00-000000-00-0046030460304603146043460441</v>
      </c>
      <c r="B4" s="30">
        <v>45972</v>
      </c>
      <c r="C4" s="30">
        <v>45873</v>
      </c>
      <c r="D4" s="30" t="s">
        <v>55</v>
      </c>
      <c r="E4" s="30">
        <v>45996</v>
      </c>
      <c r="F4" s="30">
        <v>46006</v>
      </c>
      <c r="G4" s="37" t="s">
        <v>55</v>
      </c>
      <c r="H4" s="18" t="s">
        <v>55</v>
      </c>
      <c r="I4" s="18" t="s">
        <v>55</v>
      </c>
      <c r="J4" s="18" t="s">
        <v>55</v>
      </c>
      <c r="K4" s="18" t="s">
        <v>55</v>
      </c>
      <c r="L4" s="18" t="s">
        <v>55</v>
      </c>
      <c r="M4" s="18" t="s">
        <v>55</v>
      </c>
      <c r="N4" s="28">
        <v>46030</v>
      </c>
      <c r="O4" s="28">
        <v>46030</v>
      </c>
      <c r="P4" s="28">
        <v>46031</v>
      </c>
      <c r="Q4" s="28">
        <v>46043</v>
      </c>
      <c r="R4" s="28">
        <v>46044</v>
      </c>
      <c r="S4" s="3">
        <f t="shared" si="2"/>
        <v>1</v>
      </c>
    </row>
    <row r="5" spans="1:19" x14ac:dyDescent="0.25">
      <c r="A5" s="403" t="str">
        <f t="shared" si="0"/>
        <v>45986459870000-00-0045987459870000-00-000000-00-000000-00-000000-00-000000-00-000000-00-000000-00-0046009460104601046024460271</v>
      </c>
      <c r="B5" s="15">
        <v>45986</v>
      </c>
      <c r="C5" s="16">
        <v>45987</v>
      </c>
      <c r="D5" s="16" t="s">
        <v>55</v>
      </c>
      <c r="E5" s="16">
        <v>45987</v>
      </c>
      <c r="F5" s="16">
        <v>45987</v>
      </c>
      <c r="G5" s="16" t="s">
        <v>55</v>
      </c>
      <c r="H5" s="18" t="s">
        <v>55</v>
      </c>
      <c r="I5" s="18" t="s">
        <v>55</v>
      </c>
      <c r="J5" s="18" t="s">
        <v>55</v>
      </c>
      <c r="K5" s="18" t="s">
        <v>55</v>
      </c>
      <c r="L5" s="18" t="s">
        <v>55</v>
      </c>
      <c r="M5" s="18" t="s">
        <v>55</v>
      </c>
      <c r="N5" s="16">
        <v>46009</v>
      </c>
      <c r="O5" s="16">
        <v>46010</v>
      </c>
      <c r="P5" s="16">
        <v>46010</v>
      </c>
      <c r="Q5" s="16">
        <v>46024</v>
      </c>
      <c r="R5" s="16">
        <v>46027</v>
      </c>
      <c r="S5" s="3">
        <f t="shared" si="2"/>
        <v>1</v>
      </c>
    </row>
    <row r="6" spans="1:19" x14ac:dyDescent="0.25">
      <c r="A6" s="403" t="str">
        <f t="shared" si="0"/>
        <v>45891458910000-00-0045894459190000-00-000000-00-000000-00-000000-00-000000-00-000000-00-000000-00-0045919460014600146042460441</v>
      </c>
      <c r="B6" s="30">
        <v>45891</v>
      </c>
      <c r="C6" s="42">
        <v>45891</v>
      </c>
      <c r="D6" s="30" t="s">
        <v>55</v>
      </c>
      <c r="E6" s="30">
        <v>45894</v>
      </c>
      <c r="F6" s="30">
        <v>45919</v>
      </c>
      <c r="G6" s="37" t="s">
        <v>55</v>
      </c>
      <c r="H6" s="18" t="s">
        <v>55</v>
      </c>
      <c r="I6" s="18" t="s">
        <v>55</v>
      </c>
      <c r="J6" s="18" t="s">
        <v>55</v>
      </c>
      <c r="K6" s="18" t="s">
        <v>55</v>
      </c>
      <c r="L6" s="18" t="s">
        <v>55</v>
      </c>
      <c r="M6" s="18" t="s">
        <v>55</v>
      </c>
      <c r="N6" s="28">
        <v>45919</v>
      </c>
      <c r="O6" s="28">
        <v>46001</v>
      </c>
      <c r="P6" s="28">
        <v>46001</v>
      </c>
      <c r="Q6" s="28">
        <v>46042</v>
      </c>
      <c r="R6" s="28">
        <v>46044</v>
      </c>
      <c r="S6" s="3">
        <f t="shared" si="2"/>
        <v>1</v>
      </c>
    </row>
    <row r="7" spans="1:19" x14ac:dyDescent="0.25">
      <c r="A7" s="403" t="str">
        <f t="shared" si="0"/>
        <v>45939459110000-00-0046013460130000-00-000000-00-000000-00-000000-00-000000-00-000000-00-000000-00-0046031460354603546043460441</v>
      </c>
      <c r="B7" s="30">
        <v>45939</v>
      </c>
      <c r="C7" s="30">
        <v>45911</v>
      </c>
      <c r="D7" s="28" t="s">
        <v>55</v>
      </c>
      <c r="E7" s="28">
        <v>46013</v>
      </c>
      <c r="F7" s="28">
        <v>46013</v>
      </c>
      <c r="G7" s="28" t="s">
        <v>55</v>
      </c>
      <c r="H7" s="18" t="s">
        <v>55</v>
      </c>
      <c r="I7" s="18" t="s">
        <v>55</v>
      </c>
      <c r="J7" s="18" t="s">
        <v>55</v>
      </c>
      <c r="K7" s="18" t="s">
        <v>55</v>
      </c>
      <c r="L7" s="18" t="s">
        <v>55</v>
      </c>
      <c r="M7" s="18" t="s">
        <v>55</v>
      </c>
      <c r="N7" s="28">
        <v>46031</v>
      </c>
      <c r="O7" s="28">
        <v>46035</v>
      </c>
      <c r="P7" s="28">
        <v>46035</v>
      </c>
      <c r="Q7" s="28">
        <v>46043</v>
      </c>
      <c r="R7" s="28">
        <v>46044</v>
      </c>
      <c r="S7" s="3">
        <f t="shared" si="2"/>
        <v>1</v>
      </c>
    </row>
    <row r="8" spans="1:19" x14ac:dyDescent="0.25">
      <c r="A8" s="403" t="str">
        <f t="shared" si="0"/>
        <v>45986459790000-00-0045994459940000-00-000000-00-000000-00-000000-00-000000-00-000000-00-000000-00-0046009460094600946031460351</v>
      </c>
      <c r="B8" s="30">
        <v>45986</v>
      </c>
      <c r="C8" s="24">
        <v>45979</v>
      </c>
      <c r="D8" s="3" t="s">
        <v>55</v>
      </c>
      <c r="E8" s="30">
        <v>45994</v>
      </c>
      <c r="F8" s="30">
        <v>45994</v>
      </c>
      <c r="G8" s="18" t="s">
        <v>55</v>
      </c>
      <c r="H8" s="18" t="s">
        <v>55</v>
      </c>
      <c r="I8" s="18" t="s">
        <v>55</v>
      </c>
      <c r="J8" s="18" t="s">
        <v>55</v>
      </c>
      <c r="K8" s="18" t="s">
        <v>55</v>
      </c>
      <c r="L8" s="18" t="s">
        <v>55</v>
      </c>
      <c r="M8" s="18" t="s">
        <v>55</v>
      </c>
      <c r="N8" s="28">
        <v>46009</v>
      </c>
      <c r="O8" s="28">
        <v>46009</v>
      </c>
      <c r="P8" s="28">
        <v>46009</v>
      </c>
      <c r="Q8" s="28">
        <v>46031</v>
      </c>
      <c r="R8" s="28">
        <v>46035</v>
      </c>
      <c r="S8" s="3">
        <f t="shared" si="2"/>
        <v>1</v>
      </c>
    </row>
    <row r="9" spans="1:19" x14ac:dyDescent="0.25">
      <c r="A9" s="403" t="str">
        <f t="shared" si="0"/>
        <v>45994459180000-00-0045996460070000-00-000000-00-000000-00-000000-00-000000-00-000000-00-000000-00-0046013460134601346024460271</v>
      </c>
      <c r="B9" s="30">
        <v>45994</v>
      </c>
      <c r="C9" s="30">
        <v>45918</v>
      </c>
      <c r="D9" s="30" t="s">
        <v>55</v>
      </c>
      <c r="E9" s="30">
        <v>45996</v>
      </c>
      <c r="F9" s="30">
        <v>46007</v>
      </c>
      <c r="G9" s="37" t="s">
        <v>55</v>
      </c>
      <c r="H9" s="18" t="s">
        <v>55</v>
      </c>
      <c r="I9" s="18" t="s">
        <v>55</v>
      </c>
      <c r="J9" s="18" t="s">
        <v>55</v>
      </c>
      <c r="K9" s="18" t="s">
        <v>55</v>
      </c>
      <c r="L9" s="18" t="s">
        <v>55</v>
      </c>
      <c r="M9" s="18" t="s">
        <v>55</v>
      </c>
      <c r="N9" s="28">
        <v>46013</v>
      </c>
      <c r="O9" s="28">
        <v>46013</v>
      </c>
      <c r="P9" s="28">
        <v>46013</v>
      </c>
      <c r="Q9" s="28">
        <v>46024</v>
      </c>
      <c r="R9" s="28">
        <v>46027</v>
      </c>
      <c r="S9" s="3">
        <f t="shared" si="2"/>
        <v>1</v>
      </c>
    </row>
    <row r="10" spans="1:19" x14ac:dyDescent="0.25">
      <c r="A10" s="403" t="str">
        <f t="shared" si="0"/>
        <v>45958459790000-00-000000-00-000000-00-000000-00-000000-00-000000-00-000000-00-000000-00-000000-00-000000-00-0045986460034600646024460271</v>
      </c>
      <c r="B10" s="44">
        <v>45958</v>
      </c>
      <c r="C10" s="44">
        <v>45979</v>
      </c>
      <c r="D10" s="2" t="s">
        <v>55</v>
      </c>
      <c r="E10" s="2" t="s">
        <v>55</v>
      </c>
      <c r="F10" s="2" t="s">
        <v>55</v>
      </c>
      <c r="G10" s="2" t="s">
        <v>55</v>
      </c>
      <c r="H10" s="18" t="s">
        <v>55</v>
      </c>
      <c r="I10" s="18" t="s">
        <v>55</v>
      </c>
      <c r="J10" s="18" t="s">
        <v>55</v>
      </c>
      <c r="K10" s="18" t="s">
        <v>55</v>
      </c>
      <c r="L10" s="18" t="s">
        <v>55</v>
      </c>
      <c r="M10" s="18" t="s">
        <v>55</v>
      </c>
      <c r="N10" s="53">
        <v>45986</v>
      </c>
      <c r="O10" s="53">
        <v>46003</v>
      </c>
      <c r="P10" s="53">
        <v>46006</v>
      </c>
      <c r="Q10" s="53">
        <v>46024</v>
      </c>
      <c r="R10" s="53">
        <v>46027</v>
      </c>
      <c r="S10" s="3">
        <f t="shared" si="2"/>
        <v>1</v>
      </c>
    </row>
    <row r="11" spans="1:19" x14ac:dyDescent="0.25">
      <c r="A11" s="403" t="str">
        <f t="shared" si="0"/>
        <v>45957459310000-00-0045959459590000-00-000000-00-000000-00-000000-00-000000-00-000000-00-000000-00-0045995460034600346013460271</v>
      </c>
      <c r="B11" s="37">
        <v>45957</v>
      </c>
      <c r="C11" s="37">
        <v>45931</v>
      </c>
      <c r="D11" s="18" t="s">
        <v>55</v>
      </c>
      <c r="E11" s="37">
        <v>45959</v>
      </c>
      <c r="F11" s="37">
        <v>45959</v>
      </c>
      <c r="G11" s="18" t="s">
        <v>55</v>
      </c>
      <c r="H11" s="18" t="s">
        <v>55</v>
      </c>
      <c r="I11" s="18" t="s">
        <v>55</v>
      </c>
      <c r="J11" s="18" t="s">
        <v>55</v>
      </c>
      <c r="K11" s="18" t="s">
        <v>55</v>
      </c>
      <c r="L11" s="18" t="s">
        <v>55</v>
      </c>
      <c r="M11" s="18" t="s">
        <v>55</v>
      </c>
      <c r="N11" s="38">
        <v>45995</v>
      </c>
      <c r="O11" s="38">
        <v>46003</v>
      </c>
      <c r="P11" s="38">
        <v>46003</v>
      </c>
      <c r="Q11" s="38">
        <v>46013</v>
      </c>
      <c r="R11" s="53">
        <v>46027</v>
      </c>
      <c r="S11" s="3">
        <f t="shared" si="2"/>
        <v>1</v>
      </c>
    </row>
    <row r="12" spans="1:19" x14ac:dyDescent="0.25">
      <c r="A12" s="403" t="str">
        <f t="shared" si="0"/>
        <v>45966459330000-00-0045997459970000-00-000000-00-000000-00-000000-00-000000-00-000000-00-000000-00-0046027460274602746045460481</v>
      </c>
      <c r="B12" s="30">
        <v>45966</v>
      </c>
      <c r="C12" s="24">
        <v>45933</v>
      </c>
      <c r="D12" s="3" t="s">
        <v>55</v>
      </c>
      <c r="E12" s="30">
        <v>45997</v>
      </c>
      <c r="F12" s="30">
        <v>45997</v>
      </c>
      <c r="G12" s="18" t="s">
        <v>55</v>
      </c>
      <c r="H12" s="18" t="s">
        <v>55</v>
      </c>
      <c r="I12" s="18" t="s">
        <v>55</v>
      </c>
      <c r="J12" s="18" t="s">
        <v>55</v>
      </c>
      <c r="K12" s="18" t="s">
        <v>55</v>
      </c>
      <c r="L12" s="18" t="s">
        <v>55</v>
      </c>
      <c r="M12" s="18" t="s">
        <v>55</v>
      </c>
      <c r="N12" s="28">
        <v>46027</v>
      </c>
      <c r="O12" s="28">
        <v>46027</v>
      </c>
      <c r="P12" s="28">
        <v>46027</v>
      </c>
      <c r="Q12" s="28">
        <v>46045</v>
      </c>
      <c r="R12" s="28">
        <v>46048</v>
      </c>
      <c r="S12" s="3">
        <f t="shared" si="2"/>
        <v>1</v>
      </c>
    </row>
    <row r="13" spans="1:19" x14ac:dyDescent="0.25">
      <c r="A13" s="403" t="str">
        <f t="shared" si="0"/>
        <v>45936459360000-00-0045989459890000-00-000000-00-000000-00-000000-00-000000-00-000000-00-000000-00-0045985459854601346024460271</v>
      </c>
      <c r="B13" s="24">
        <v>45936</v>
      </c>
      <c r="C13" s="24">
        <v>45936</v>
      </c>
      <c r="D13" s="3" t="s">
        <v>55</v>
      </c>
      <c r="E13" s="30">
        <v>45989</v>
      </c>
      <c r="F13" s="30">
        <v>45989</v>
      </c>
      <c r="G13" s="18" t="s">
        <v>55</v>
      </c>
      <c r="H13" s="18" t="s">
        <v>55</v>
      </c>
      <c r="I13" s="18" t="s">
        <v>55</v>
      </c>
      <c r="J13" s="18" t="s">
        <v>55</v>
      </c>
      <c r="K13" s="18" t="s">
        <v>55</v>
      </c>
      <c r="L13" s="18" t="s">
        <v>55</v>
      </c>
      <c r="M13" s="18" t="s">
        <v>55</v>
      </c>
      <c r="N13" s="28">
        <v>45985</v>
      </c>
      <c r="O13" s="28">
        <v>45985</v>
      </c>
      <c r="P13" s="28">
        <v>46013</v>
      </c>
      <c r="Q13" s="28">
        <v>46024</v>
      </c>
      <c r="R13" s="28">
        <v>46027</v>
      </c>
      <c r="S13" s="3">
        <f t="shared" si="2"/>
        <v>1</v>
      </c>
    </row>
    <row r="14" spans="1:19" x14ac:dyDescent="0.25">
      <c r="A14" s="403" t="str">
        <f t="shared" si="0"/>
        <v>45966459440000-00-0045968459800000-00-0045968459790000-00-000000-00-000000-00-000000-00-0045994460084600946027460271</v>
      </c>
      <c r="B14" s="15">
        <v>45966</v>
      </c>
      <c r="C14" s="16">
        <v>45944</v>
      </c>
      <c r="D14" s="16" t="s">
        <v>55</v>
      </c>
      <c r="E14" s="16">
        <v>45968</v>
      </c>
      <c r="F14" s="16">
        <v>45980</v>
      </c>
      <c r="G14" s="16" t="s">
        <v>55</v>
      </c>
      <c r="H14" s="16">
        <v>45968</v>
      </c>
      <c r="I14" s="16">
        <v>45979</v>
      </c>
      <c r="J14" s="16" t="s">
        <v>55</v>
      </c>
      <c r="K14" s="16" t="s">
        <v>55</v>
      </c>
      <c r="L14" s="16" t="s">
        <v>55</v>
      </c>
      <c r="M14" s="16" t="s">
        <v>55</v>
      </c>
      <c r="N14" s="16">
        <v>45994</v>
      </c>
      <c r="O14" s="16">
        <v>46008</v>
      </c>
      <c r="P14" s="16">
        <v>46009</v>
      </c>
      <c r="Q14" s="16">
        <v>46027</v>
      </c>
      <c r="R14" s="16">
        <v>46027</v>
      </c>
      <c r="S14" s="3">
        <f t="shared" si="2"/>
        <v>1</v>
      </c>
    </row>
    <row r="15" spans="1:19" x14ac:dyDescent="0.25">
      <c r="A15" s="403" t="str">
        <f t="shared" si="0"/>
        <v>45946459460000-00-0046017459710000-00-000000-00-000000-00-000000-00-000000-00-000000-00-000000-00-0046027460364603646042460441</v>
      </c>
      <c r="B15" s="15">
        <v>45946</v>
      </c>
      <c r="C15" s="16">
        <v>45946</v>
      </c>
      <c r="D15" s="16" t="s">
        <v>55</v>
      </c>
      <c r="E15" s="16">
        <v>46017</v>
      </c>
      <c r="F15" s="16">
        <v>45971</v>
      </c>
      <c r="G15" s="16" t="s">
        <v>55</v>
      </c>
      <c r="H15" s="18" t="s">
        <v>55</v>
      </c>
      <c r="I15" s="18" t="s">
        <v>55</v>
      </c>
      <c r="J15" s="18" t="s">
        <v>55</v>
      </c>
      <c r="K15" s="18" t="s">
        <v>55</v>
      </c>
      <c r="L15" s="18" t="s">
        <v>55</v>
      </c>
      <c r="M15" s="18" t="s">
        <v>55</v>
      </c>
      <c r="N15" s="16">
        <v>46027</v>
      </c>
      <c r="O15" s="16">
        <v>46036</v>
      </c>
      <c r="P15" s="16">
        <v>46036</v>
      </c>
      <c r="Q15" s="16">
        <v>46042</v>
      </c>
      <c r="R15" s="16">
        <v>46044</v>
      </c>
      <c r="S15" s="3">
        <f t="shared" si="2"/>
        <v>1</v>
      </c>
    </row>
    <row r="16" spans="1:19" x14ac:dyDescent="0.25">
      <c r="A16" s="403" t="str">
        <f t="shared" si="0"/>
        <v>45945459450000-00-0045993459930000-00-000000-00-000000-00-000000-00-000000-00-000000-00-000000-00-0046013460134601346038460441</v>
      </c>
      <c r="B16" s="44">
        <v>45945</v>
      </c>
      <c r="C16" s="44">
        <v>45945</v>
      </c>
      <c r="D16" s="2" t="s">
        <v>55</v>
      </c>
      <c r="E16" s="44">
        <v>45993</v>
      </c>
      <c r="F16" s="44">
        <v>45993</v>
      </c>
      <c r="G16" s="2" t="s">
        <v>55</v>
      </c>
      <c r="H16" s="18" t="s">
        <v>55</v>
      </c>
      <c r="I16" s="18" t="s">
        <v>55</v>
      </c>
      <c r="J16" s="18" t="s">
        <v>55</v>
      </c>
      <c r="K16" s="18" t="s">
        <v>55</v>
      </c>
      <c r="L16" s="18" t="s">
        <v>55</v>
      </c>
      <c r="M16" s="18" t="s">
        <v>55</v>
      </c>
      <c r="N16" s="53">
        <v>46013</v>
      </c>
      <c r="O16" s="53">
        <v>46013</v>
      </c>
      <c r="P16" s="53">
        <v>46013</v>
      </c>
      <c r="Q16" s="53">
        <v>46038</v>
      </c>
      <c r="R16" s="53">
        <v>46044</v>
      </c>
      <c r="S16" s="3">
        <f t="shared" si="2"/>
        <v>1</v>
      </c>
    </row>
    <row r="17" spans="1:19" x14ac:dyDescent="0.25">
      <c r="A17" s="403" t="str">
        <f t="shared" si="0"/>
        <v>45946459460000-00-0046007460070000-00-000000-00-000000-00-000000-00-000000-00-000000-00-000000-00-0046027460274602746031460351</v>
      </c>
      <c r="B17" s="44">
        <v>45946</v>
      </c>
      <c r="C17" s="44">
        <v>45946</v>
      </c>
      <c r="D17" s="2" t="s">
        <v>55</v>
      </c>
      <c r="E17" s="44">
        <v>46007</v>
      </c>
      <c r="F17" s="44">
        <v>46007</v>
      </c>
      <c r="G17" s="2" t="s">
        <v>55</v>
      </c>
      <c r="H17" s="18" t="s">
        <v>55</v>
      </c>
      <c r="I17" s="18" t="s">
        <v>55</v>
      </c>
      <c r="J17" s="18" t="s">
        <v>55</v>
      </c>
      <c r="K17" s="18" t="s">
        <v>55</v>
      </c>
      <c r="L17" s="18" t="s">
        <v>55</v>
      </c>
      <c r="M17" s="18" t="s">
        <v>55</v>
      </c>
      <c r="N17" s="53">
        <v>46027</v>
      </c>
      <c r="O17" s="53">
        <v>46027</v>
      </c>
      <c r="P17" s="53">
        <v>46027</v>
      </c>
      <c r="Q17" s="53">
        <v>46031</v>
      </c>
      <c r="R17" s="53">
        <v>46035</v>
      </c>
      <c r="S17" s="3">
        <f t="shared" si="2"/>
        <v>1</v>
      </c>
    </row>
    <row r="18" spans="1:19" x14ac:dyDescent="0.25">
      <c r="A18" s="403" t="str">
        <f t="shared" si="0"/>
        <v>45946459460000-00-0045966459710000-00-000000-00-000000-00-000000-00-000000-00-000000-00-000000-00-0046031460354603546044460451</v>
      </c>
      <c r="B18" s="15">
        <v>45946</v>
      </c>
      <c r="C18" s="16">
        <v>45946</v>
      </c>
      <c r="D18" s="16" t="s">
        <v>55</v>
      </c>
      <c r="E18" s="28">
        <v>45966</v>
      </c>
      <c r="F18" s="28">
        <v>45971</v>
      </c>
      <c r="G18" s="28" t="s">
        <v>55</v>
      </c>
      <c r="H18" s="18" t="s">
        <v>55</v>
      </c>
      <c r="I18" s="18" t="s">
        <v>55</v>
      </c>
      <c r="J18" s="18" t="s">
        <v>55</v>
      </c>
      <c r="K18" s="18" t="s">
        <v>55</v>
      </c>
      <c r="L18" s="18" t="s">
        <v>55</v>
      </c>
      <c r="M18" s="18" t="s">
        <v>55</v>
      </c>
      <c r="N18" s="16">
        <v>46031</v>
      </c>
      <c r="O18" s="16">
        <v>46035</v>
      </c>
      <c r="P18" s="16">
        <v>46035</v>
      </c>
      <c r="Q18" s="16">
        <v>46044</v>
      </c>
      <c r="R18" s="16">
        <v>46045</v>
      </c>
      <c r="S18" s="3">
        <f t="shared" si="2"/>
        <v>1</v>
      </c>
    </row>
    <row r="19" spans="1:19" x14ac:dyDescent="0.25">
      <c r="A19" s="403" t="str">
        <f t="shared" si="0"/>
        <v>45951459510000-00-0046000460000000-00-000000-00-000000-00-000000-00-000000-00-000000-00-000000-00-0046009460094600946022460271</v>
      </c>
      <c r="B19" s="44">
        <v>45951</v>
      </c>
      <c r="C19" s="44">
        <v>45951</v>
      </c>
      <c r="D19" s="2" t="s">
        <v>55</v>
      </c>
      <c r="E19" s="44">
        <v>46000</v>
      </c>
      <c r="F19" s="44">
        <v>46000</v>
      </c>
      <c r="G19" s="2" t="s">
        <v>55</v>
      </c>
      <c r="H19" s="18" t="s">
        <v>55</v>
      </c>
      <c r="I19" s="18" t="s">
        <v>55</v>
      </c>
      <c r="J19" s="18" t="s">
        <v>55</v>
      </c>
      <c r="K19" s="18" t="s">
        <v>55</v>
      </c>
      <c r="L19" s="18" t="s">
        <v>55</v>
      </c>
      <c r="M19" s="18" t="s">
        <v>55</v>
      </c>
      <c r="N19" s="53">
        <v>46009</v>
      </c>
      <c r="O19" s="53">
        <v>46009</v>
      </c>
      <c r="P19" s="53">
        <v>46009</v>
      </c>
      <c r="Q19" s="53">
        <v>46022</v>
      </c>
      <c r="R19" s="53">
        <v>46027</v>
      </c>
      <c r="S19" s="3">
        <f t="shared" si="2"/>
        <v>1</v>
      </c>
    </row>
    <row r="20" spans="1:19" x14ac:dyDescent="0.25">
      <c r="A20" s="403" t="str">
        <f t="shared" si="0"/>
        <v>45973459530000-00-0045986459860000-00-000000-00-000000-00-000000-00-000000-00-000000-00-000000-00-0046003460034600346010460271</v>
      </c>
      <c r="B20" s="44">
        <v>45973</v>
      </c>
      <c r="C20" s="44">
        <v>45953</v>
      </c>
      <c r="D20" s="2" t="s">
        <v>55</v>
      </c>
      <c r="E20" s="44">
        <v>45986</v>
      </c>
      <c r="F20" s="44">
        <v>45986</v>
      </c>
      <c r="G20" s="2" t="s">
        <v>55</v>
      </c>
      <c r="H20" s="18" t="s">
        <v>55</v>
      </c>
      <c r="I20" s="18" t="s">
        <v>55</v>
      </c>
      <c r="J20" s="18" t="s">
        <v>55</v>
      </c>
      <c r="K20" s="18" t="s">
        <v>55</v>
      </c>
      <c r="L20" s="18" t="s">
        <v>55</v>
      </c>
      <c r="M20" s="18" t="s">
        <v>55</v>
      </c>
      <c r="N20" s="53">
        <v>46003</v>
      </c>
      <c r="O20" s="53">
        <v>46003</v>
      </c>
      <c r="P20" s="53">
        <v>46003</v>
      </c>
      <c r="Q20" s="53">
        <v>46010</v>
      </c>
      <c r="R20" s="53">
        <v>46027</v>
      </c>
      <c r="S20" s="3">
        <f t="shared" si="2"/>
        <v>1</v>
      </c>
    </row>
    <row r="21" spans="1:19" x14ac:dyDescent="0.25">
      <c r="A21" s="403" t="str">
        <f t="shared" si="0"/>
        <v>45967459610000-00-000000-00-000000-00-000000-00-0045968459800000-00-000000-00-000000-00-000000-00-0046013460274602846045460451</v>
      </c>
      <c r="B21" s="15">
        <v>45967</v>
      </c>
      <c r="C21" s="16">
        <v>45961</v>
      </c>
      <c r="D21" s="16" t="s">
        <v>55</v>
      </c>
      <c r="E21" s="16" t="s">
        <v>55</v>
      </c>
      <c r="F21" s="16" t="s">
        <v>55</v>
      </c>
      <c r="G21" s="16" t="s">
        <v>55</v>
      </c>
      <c r="H21" s="16">
        <v>45968</v>
      </c>
      <c r="I21" s="16">
        <v>45980</v>
      </c>
      <c r="J21" s="16" t="s">
        <v>55</v>
      </c>
      <c r="K21" s="16" t="s">
        <v>55</v>
      </c>
      <c r="L21" s="16" t="s">
        <v>55</v>
      </c>
      <c r="M21" s="16" t="s">
        <v>55</v>
      </c>
      <c r="N21" s="16">
        <v>46013</v>
      </c>
      <c r="O21" s="16">
        <v>46027</v>
      </c>
      <c r="P21" s="16">
        <v>46028</v>
      </c>
      <c r="Q21" s="16">
        <v>46045</v>
      </c>
      <c r="R21" s="16">
        <v>46045</v>
      </c>
      <c r="S21" s="3">
        <f t="shared" si="2"/>
        <v>1</v>
      </c>
    </row>
    <row r="22" spans="1:19" x14ac:dyDescent="0.25">
      <c r="A22" s="403" t="str">
        <f t="shared" si="0"/>
        <v>45957459570000-00-000000-00-000000-00-000000-00-0045958459680000-00-000000-00-000000-00-004601046017460244602746031460351</v>
      </c>
      <c r="B22" s="30">
        <v>45957</v>
      </c>
      <c r="C22" s="30">
        <v>45957</v>
      </c>
      <c r="D22" s="28" t="s">
        <v>55</v>
      </c>
      <c r="E22" s="28" t="s">
        <v>55</v>
      </c>
      <c r="F22" s="28" t="s">
        <v>55</v>
      </c>
      <c r="G22" s="28" t="s">
        <v>55</v>
      </c>
      <c r="H22" s="28">
        <v>45958</v>
      </c>
      <c r="I22" s="28">
        <v>45968</v>
      </c>
      <c r="J22" s="28" t="s">
        <v>55</v>
      </c>
      <c r="K22" s="28" t="s">
        <v>55</v>
      </c>
      <c r="L22" s="28" t="s">
        <v>55</v>
      </c>
      <c r="M22" s="28">
        <v>46010</v>
      </c>
      <c r="N22" s="28">
        <v>46017</v>
      </c>
      <c r="O22" s="28">
        <v>46024</v>
      </c>
      <c r="P22" s="28">
        <v>46027</v>
      </c>
      <c r="Q22" s="28">
        <v>46031</v>
      </c>
      <c r="R22" s="28">
        <v>46035</v>
      </c>
      <c r="S22" s="3">
        <f t="shared" si="2"/>
        <v>1</v>
      </c>
    </row>
    <row r="23" spans="1:19" x14ac:dyDescent="0.25">
      <c r="A23" s="403" t="str">
        <f t="shared" si="0"/>
        <v>45936460190000-00-0045939459940000-00-000000-00-000000-00-000000-00-000000-00-000000-00-000000-00-0046001460074601346024460271</v>
      </c>
      <c r="B23" s="30">
        <v>45936</v>
      </c>
      <c r="C23" s="30">
        <v>46019</v>
      </c>
      <c r="D23" s="30" t="s">
        <v>55</v>
      </c>
      <c r="E23" s="30">
        <v>45939</v>
      </c>
      <c r="F23" s="30">
        <v>45994</v>
      </c>
      <c r="G23" s="37" t="s">
        <v>55</v>
      </c>
      <c r="H23" s="18" t="s">
        <v>55</v>
      </c>
      <c r="I23" s="18" t="s">
        <v>55</v>
      </c>
      <c r="J23" s="18" t="s">
        <v>55</v>
      </c>
      <c r="K23" s="18" t="s">
        <v>55</v>
      </c>
      <c r="L23" s="18" t="s">
        <v>55</v>
      </c>
      <c r="M23" s="18" t="s">
        <v>55</v>
      </c>
      <c r="N23" s="28">
        <v>46001</v>
      </c>
      <c r="O23" s="28">
        <v>46007</v>
      </c>
      <c r="P23" s="28">
        <v>46013</v>
      </c>
      <c r="Q23" s="28">
        <v>46024</v>
      </c>
      <c r="R23" s="28">
        <v>46027</v>
      </c>
      <c r="S23" s="3">
        <f t="shared" si="2"/>
        <v>1</v>
      </c>
    </row>
    <row r="24" spans="1:19" x14ac:dyDescent="0.25">
      <c r="A24" s="403" t="str">
        <f t="shared" si="0"/>
        <v>45960459600000-00-0045972459810000-00-000000-00-000000-00-000000-00-000000-00-000000-00-000000-00-0045988459924600746041460441</v>
      </c>
      <c r="B24" s="30">
        <v>45960</v>
      </c>
      <c r="C24" s="42">
        <v>45960</v>
      </c>
      <c r="D24" s="30" t="s">
        <v>55</v>
      </c>
      <c r="E24" s="30">
        <v>45972</v>
      </c>
      <c r="F24" s="30">
        <v>45981</v>
      </c>
      <c r="G24" s="37" t="s">
        <v>55</v>
      </c>
      <c r="H24" s="18" t="s">
        <v>55</v>
      </c>
      <c r="I24" s="18" t="s">
        <v>55</v>
      </c>
      <c r="J24" s="18" t="s">
        <v>55</v>
      </c>
      <c r="K24" s="18" t="s">
        <v>55</v>
      </c>
      <c r="L24" s="18" t="s">
        <v>55</v>
      </c>
      <c r="M24" s="18" t="s">
        <v>55</v>
      </c>
      <c r="N24" s="28">
        <v>45988</v>
      </c>
      <c r="O24" s="28">
        <v>45992</v>
      </c>
      <c r="P24" s="28">
        <v>46007</v>
      </c>
      <c r="Q24" s="28">
        <v>46041</v>
      </c>
      <c r="R24" s="28">
        <v>46044</v>
      </c>
      <c r="S24" s="3">
        <f t="shared" si="2"/>
        <v>1</v>
      </c>
    </row>
    <row r="25" spans="1:19" x14ac:dyDescent="0.25">
      <c r="A25" s="403" t="str">
        <f t="shared" si="0"/>
        <v>45965459650000-00-0045968459740000-00-000000-00-000000-00-000000-00-000000-00-000000-00-000000-00-0046007460084600946045460451</v>
      </c>
      <c r="B25" s="15">
        <v>45965</v>
      </c>
      <c r="C25" s="16">
        <v>45965</v>
      </c>
      <c r="D25" s="16" t="s">
        <v>55</v>
      </c>
      <c r="E25" s="16">
        <v>45968</v>
      </c>
      <c r="F25" s="16">
        <v>45974</v>
      </c>
      <c r="G25" s="16" t="s">
        <v>55</v>
      </c>
      <c r="H25" s="18" t="s">
        <v>55</v>
      </c>
      <c r="I25" s="18" t="s">
        <v>55</v>
      </c>
      <c r="J25" s="18" t="s">
        <v>55</v>
      </c>
      <c r="K25" s="18" t="s">
        <v>55</v>
      </c>
      <c r="L25" s="18" t="s">
        <v>55</v>
      </c>
      <c r="M25" s="18" t="s">
        <v>55</v>
      </c>
      <c r="N25" s="16">
        <v>46007</v>
      </c>
      <c r="O25" s="16">
        <v>46008</v>
      </c>
      <c r="P25" s="16">
        <v>46009</v>
      </c>
      <c r="Q25" s="16">
        <v>46045</v>
      </c>
      <c r="R25" s="16">
        <v>46045</v>
      </c>
      <c r="S25" s="3">
        <f t="shared" si="2"/>
        <v>1</v>
      </c>
    </row>
    <row r="26" spans="1:19" x14ac:dyDescent="0.25">
      <c r="A26" s="403" t="str">
        <f t="shared" si="0"/>
        <v>45965459650000-00-000000-00-000000-00-000000-00-000000-00-000000-00-000000-00-000000-00-000000-00-000000-00-0045985459894599246024460271</v>
      </c>
      <c r="B26" s="28">
        <v>45965</v>
      </c>
      <c r="C26" s="28">
        <v>45965</v>
      </c>
      <c r="D26" s="28" t="s">
        <v>55</v>
      </c>
      <c r="E26" s="28" t="s">
        <v>55</v>
      </c>
      <c r="F26" s="28" t="s">
        <v>55</v>
      </c>
      <c r="G26" s="28" t="s">
        <v>55</v>
      </c>
      <c r="H26" s="18" t="s">
        <v>55</v>
      </c>
      <c r="I26" s="18" t="s">
        <v>55</v>
      </c>
      <c r="J26" s="18" t="s">
        <v>55</v>
      </c>
      <c r="K26" s="18" t="s">
        <v>55</v>
      </c>
      <c r="L26" s="18" t="s">
        <v>55</v>
      </c>
      <c r="M26" s="18" t="s">
        <v>55</v>
      </c>
      <c r="N26" s="28">
        <v>45985</v>
      </c>
      <c r="O26" s="28">
        <v>45989</v>
      </c>
      <c r="P26" s="28">
        <v>45992</v>
      </c>
      <c r="Q26" s="28">
        <v>46024</v>
      </c>
      <c r="R26" s="28">
        <v>46027</v>
      </c>
      <c r="S26" s="3">
        <f t="shared" si="2"/>
        <v>1</v>
      </c>
    </row>
    <row r="27" spans="1:19" x14ac:dyDescent="0.25">
      <c r="A27" s="403" t="str">
        <f t="shared" si="0"/>
        <v>45966459660000-00-0045971459740000-00-000000-00-000000-00-000000-00-000000-00-000000-00-000000-00-0045987459894598946002460271</v>
      </c>
      <c r="B27" s="15">
        <v>45966</v>
      </c>
      <c r="C27" s="16">
        <v>45966</v>
      </c>
      <c r="D27" s="1" t="s">
        <v>55</v>
      </c>
      <c r="E27" s="16">
        <v>45971</v>
      </c>
      <c r="F27" s="16">
        <v>45974</v>
      </c>
      <c r="G27" s="1" t="s">
        <v>55</v>
      </c>
      <c r="H27" s="18" t="s">
        <v>55</v>
      </c>
      <c r="I27" s="18" t="s">
        <v>55</v>
      </c>
      <c r="J27" s="18" t="s">
        <v>55</v>
      </c>
      <c r="K27" s="18" t="s">
        <v>55</v>
      </c>
      <c r="L27" s="18" t="s">
        <v>55</v>
      </c>
      <c r="M27" s="18" t="s">
        <v>55</v>
      </c>
      <c r="N27" s="16">
        <v>45987</v>
      </c>
      <c r="O27" s="16">
        <v>45989</v>
      </c>
      <c r="P27" s="16">
        <v>45989</v>
      </c>
      <c r="Q27" s="16">
        <v>46002</v>
      </c>
      <c r="R27" s="16">
        <v>46027</v>
      </c>
      <c r="S27" s="3">
        <f t="shared" si="2"/>
        <v>1</v>
      </c>
    </row>
    <row r="28" spans="1:19" x14ac:dyDescent="0.25">
      <c r="A28" s="403" t="str">
        <f t="shared" si="0"/>
        <v>45968459680000-00-0045987459870000-00-000000-00-000000-00-000000-00-000000-00-000000-00-000000-00-0045992459924599346024460271</v>
      </c>
      <c r="B28" s="24">
        <v>45968</v>
      </c>
      <c r="C28" s="24">
        <v>45968</v>
      </c>
      <c r="D28" s="3" t="s">
        <v>55</v>
      </c>
      <c r="E28" s="30">
        <v>45987</v>
      </c>
      <c r="F28" s="30">
        <v>45987</v>
      </c>
      <c r="G28" s="18" t="s">
        <v>55</v>
      </c>
      <c r="H28" s="18" t="s">
        <v>55</v>
      </c>
      <c r="I28" s="18" t="s">
        <v>55</v>
      </c>
      <c r="J28" s="18" t="s">
        <v>55</v>
      </c>
      <c r="K28" s="18" t="s">
        <v>55</v>
      </c>
      <c r="L28" s="18" t="s">
        <v>55</v>
      </c>
      <c r="M28" s="18" t="s">
        <v>55</v>
      </c>
      <c r="N28" s="28">
        <v>45992</v>
      </c>
      <c r="O28" s="28">
        <v>45992</v>
      </c>
      <c r="P28" s="28">
        <v>45993</v>
      </c>
      <c r="Q28" s="28">
        <v>46024</v>
      </c>
      <c r="R28" s="28">
        <v>46027</v>
      </c>
      <c r="S28" s="3">
        <f t="shared" si="2"/>
        <v>1</v>
      </c>
    </row>
    <row r="29" spans="1:19" x14ac:dyDescent="0.25">
      <c r="A29" s="403" t="str">
        <f t="shared" si="0"/>
        <v>45992459700000-00-0045995460064597346002459790000-00-000000-00-000000-00-000000-00-0046010460104601346024460271</v>
      </c>
      <c r="B29" s="30">
        <v>45992</v>
      </c>
      <c r="C29" s="30">
        <v>45970</v>
      </c>
      <c r="D29" s="30" t="s">
        <v>55</v>
      </c>
      <c r="E29" s="30">
        <v>45995</v>
      </c>
      <c r="F29" s="30">
        <v>46006</v>
      </c>
      <c r="G29" s="37">
        <v>45973</v>
      </c>
      <c r="H29" s="37">
        <v>46002</v>
      </c>
      <c r="I29" s="37">
        <v>45979</v>
      </c>
      <c r="J29" s="37" t="s">
        <v>55</v>
      </c>
      <c r="K29" s="37" t="s">
        <v>55</v>
      </c>
      <c r="L29" s="37" t="s">
        <v>55</v>
      </c>
      <c r="M29" s="37" t="s">
        <v>55</v>
      </c>
      <c r="N29" s="28">
        <v>46010</v>
      </c>
      <c r="O29" s="28">
        <v>46010</v>
      </c>
      <c r="P29" s="28">
        <v>46013</v>
      </c>
      <c r="Q29" s="28">
        <v>46024</v>
      </c>
      <c r="R29" s="28">
        <v>46027</v>
      </c>
      <c r="S29" s="3">
        <f t="shared" si="2"/>
        <v>1</v>
      </c>
    </row>
    <row r="30" spans="1:19" x14ac:dyDescent="0.25">
      <c r="A30" s="403" t="str">
        <f t="shared" si="0"/>
        <v>45986459700000-00-000000-00-000000-00-000000-00-000000-00-000000-00-000000-00-000000-00-000000-00-000000-00-0046000460024600946024460271</v>
      </c>
      <c r="B30" s="30">
        <v>45986</v>
      </c>
      <c r="C30" s="73">
        <v>45970</v>
      </c>
      <c r="D30" s="30" t="s">
        <v>55</v>
      </c>
      <c r="E30" s="30" t="s">
        <v>55</v>
      </c>
      <c r="F30" s="30" t="s">
        <v>55</v>
      </c>
      <c r="G30" s="37" t="s">
        <v>55</v>
      </c>
      <c r="H30" s="37" t="s">
        <v>55</v>
      </c>
      <c r="I30" s="37" t="s">
        <v>55</v>
      </c>
      <c r="J30" s="37" t="s">
        <v>55</v>
      </c>
      <c r="K30" s="37" t="s">
        <v>55</v>
      </c>
      <c r="L30" s="37" t="s">
        <v>55</v>
      </c>
      <c r="M30" s="37" t="s">
        <v>55</v>
      </c>
      <c r="N30" s="28">
        <v>46000</v>
      </c>
      <c r="O30" s="28">
        <v>46002</v>
      </c>
      <c r="P30" s="28">
        <v>46009</v>
      </c>
      <c r="Q30" s="28">
        <v>46024</v>
      </c>
      <c r="R30" s="28">
        <v>46027</v>
      </c>
      <c r="S30" s="3">
        <f t="shared" si="2"/>
        <v>1</v>
      </c>
    </row>
    <row r="31" spans="1:19" x14ac:dyDescent="0.25">
      <c r="A31" s="403" t="str">
        <f t="shared" si="0"/>
        <v>45973459730000-00-0045979459930000-00-000000-00-000000-00-000000-00-000000-00-000000-00-000000-00-0046001460034600746024460271</v>
      </c>
      <c r="B31" s="30">
        <v>45973</v>
      </c>
      <c r="C31" s="30">
        <v>45973</v>
      </c>
      <c r="D31" s="30" t="s">
        <v>55</v>
      </c>
      <c r="E31" s="30">
        <v>45979</v>
      </c>
      <c r="F31" s="30">
        <v>45993</v>
      </c>
      <c r="G31" s="37" t="s">
        <v>55</v>
      </c>
      <c r="H31" s="18" t="s">
        <v>55</v>
      </c>
      <c r="I31" s="18" t="s">
        <v>55</v>
      </c>
      <c r="J31" s="18" t="s">
        <v>55</v>
      </c>
      <c r="K31" s="18" t="s">
        <v>55</v>
      </c>
      <c r="L31" s="18" t="s">
        <v>55</v>
      </c>
      <c r="M31" s="18" t="s">
        <v>55</v>
      </c>
      <c r="N31" s="28">
        <v>46001</v>
      </c>
      <c r="O31" s="28">
        <v>46003</v>
      </c>
      <c r="P31" s="28">
        <v>46007</v>
      </c>
      <c r="Q31" s="28">
        <v>46024</v>
      </c>
      <c r="R31" s="28">
        <v>46027</v>
      </c>
      <c r="S31" s="3">
        <f t="shared" si="2"/>
        <v>1</v>
      </c>
    </row>
    <row r="32" spans="1:19" x14ac:dyDescent="0.25">
      <c r="A32" s="403" t="str">
        <f t="shared" si="0"/>
        <v>45988459750000-00-0045994459940000-00-000000-00-000000-00-000000-00-000000-00-000000-00-000000-00-0046020460214602446044460451</v>
      </c>
      <c r="B32" s="28">
        <v>45988</v>
      </c>
      <c r="C32" s="28">
        <v>45975</v>
      </c>
      <c r="D32" s="28" t="s">
        <v>55</v>
      </c>
      <c r="E32" s="28">
        <v>45994</v>
      </c>
      <c r="F32" s="28">
        <v>45994</v>
      </c>
      <c r="G32" s="28" t="s">
        <v>55</v>
      </c>
      <c r="H32" s="18" t="s">
        <v>55</v>
      </c>
      <c r="I32" s="18" t="s">
        <v>55</v>
      </c>
      <c r="J32" s="18" t="s">
        <v>55</v>
      </c>
      <c r="K32" s="18" t="s">
        <v>55</v>
      </c>
      <c r="L32" s="18" t="s">
        <v>55</v>
      </c>
      <c r="M32" s="18" t="s">
        <v>55</v>
      </c>
      <c r="N32" s="28">
        <v>46020</v>
      </c>
      <c r="O32" s="28">
        <v>46021</v>
      </c>
      <c r="P32" s="28">
        <v>46024</v>
      </c>
      <c r="Q32" s="28">
        <v>46044</v>
      </c>
      <c r="R32" s="28">
        <v>46045</v>
      </c>
      <c r="S32" s="3">
        <f t="shared" si="2"/>
        <v>1</v>
      </c>
    </row>
    <row r="33" spans="1:19" x14ac:dyDescent="0.25">
      <c r="A33" s="403" t="str">
        <f t="shared" si="0"/>
        <v>45975459750000-00-0045980460010000-00-000000-00-000000-00-000000-00-000000-00-000000-00-000000-00-0046009460064600946021460271</v>
      </c>
      <c r="B33" s="15">
        <v>45975</v>
      </c>
      <c r="C33" s="16">
        <v>45975</v>
      </c>
      <c r="D33" s="1" t="s">
        <v>55</v>
      </c>
      <c r="E33" s="16">
        <v>45980</v>
      </c>
      <c r="F33" s="16">
        <v>46001</v>
      </c>
      <c r="G33" s="1" t="s">
        <v>55</v>
      </c>
      <c r="H33" s="18" t="s">
        <v>55</v>
      </c>
      <c r="I33" s="18" t="s">
        <v>55</v>
      </c>
      <c r="J33" s="18" t="s">
        <v>55</v>
      </c>
      <c r="K33" s="18" t="s">
        <v>55</v>
      </c>
      <c r="L33" s="18" t="s">
        <v>55</v>
      </c>
      <c r="M33" s="18" t="s">
        <v>55</v>
      </c>
      <c r="N33" s="16">
        <v>46009</v>
      </c>
      <c r="O33" s="16">
        <v>46006</v>
      </c>
      <c r="P33" s="16">
        <v>46009</v>
      </c>
      <c r="Q33" s="16">
        <v>46021</v>
      </c>
      <c r="R33" s="16">
        <v>46027</v>
      </c>
      <c r="S33" s="3">
        <f t="shared" si="2"/>
        <v>1</v>
      </c>
    </row>
    <row r="34" spans="1:19" x14ac:dyDescent="0.25">
      <c r="A34" s="403" t="str">
        <f t="shared" si="0"/>
        <v>45988459930000-00-0045996459960000-00-000000-00-000000-00-000000-00-000000-00-000000-00-000000-00-0046003460034601346024460271</v>
      </c>
      <c r="B34" s="15">
        <v>45988</v>
      </c>
      <c r="C34" s="16">
        <v>45993</v>
      </c>
      <c r="D34" s="16" t="s">
        <v>55</v>
      </c>
      <c r="E34" s="16">
        <v>45996</v>
      </c>
      <c r="F34" s="16">
        <v>45996</v>
      </c>
      <c r="G34" s="16" t="s">
        <v>55</v>
      </c>
      <c r="H34" s="18" t="s">
        <v>55</v>
      </c>
      <c r="I34" s="18" t="s">
        <v>55</v>
      </c>
      <c r="J34" s="18" t="s">
        <v>55</v>
      </c>
      <c r="K34" s="18" t="s">
        <v>55</v>
      </c>
      <c r="L34" s="18" t="s">
        <v>55</v>
      </c>
      <c r="M34" s="18" t="s">
        <v>55</v>
      </c>
      <c r="N34" s="16">
        <v>46003</v>
      </c>
      <c r="O34" s="16">
        <v>46003</v>
      </c>
      <c r="P34" s="16">
        <v>46013</v>
      </c>
      <c r="Q34" s="16">
        <v>46024</v>
      </c>
      <c r="R34" s="16">
        <v>46027</v>
      </c>
      <c r="S34" s="3">
        <f t="shared" si="2"/>
        <v>1</v>
      </c>
    </row>
    <row r="35" spans="1:19" x14ac:dyDescent="0.25">
      <c r="A35" s="403" t="str">
        <f t="shared" si="0"/>
        <v>45993459940000-00-000000-00-000000-00-000000-00-000000-00-000000-00-000000-00-000000-00-000000-00-000000-00-0046000460024600746024460271</v>
      </c>
      <c r="B35" s="15">
        <v>45993</v>
      </c>
      <c r="C35" s="16">
        <v>45994</v>
      </c>
      <c r="D35" s="16" t="s">
        <v>55</v>
      </c>
      <c r="E35" s="16" t="s">
        <v>55</v>
      </c>
      <c r="F35" s="16" t="s">
        <v>55</v>
      </c>
      <c r="G35" s="16" t="s">
        <v>55</v>
      </c>
      <c r="H35" s="18" t="s">
        <v>55</v>
      </c>
      <c r="I35" s="18" t="s">
        <v>55</v>
      </c>
      <c r="J35" s="18" t="s">
        <v>55</v>
      </c>
      <c r="K35" s="18" t="s">
        <v>55</v>
      </c>
      <c r="L35" s="18" t="s">
        <v>55</v>
      </c>
      <c r="M35" s="18" t="s">
        <v>55</v>
      </c>
      <c r="N35" s="16">
        <v>46000</v>
      </c>
      <c r="O35" s="16">
        <v>46002</v>
      </c>
      <c r="P35" s="16">
        <v>46007</v>
      </c>
      <c r="Q35" s="16">
        <v>46024</v>
      </c>
      <c r="R35" s="16">
        <v>46027</v>
      </c>
      <c r="S35" s="3">
        <f t="shared" ref="S35:S66" si="3">MONTH(R35)</f>
        <v>1</v>
      </c>
    </row>
    <row r="36" spans="1:19" x14ac:dyDescent="0.25">
      <c r="A36" s="403" t="str">
        <f t="shared" si="0"/>
        <v>45979459790000-00-000000-00-000000-00-000000-00-000000-00-000000-00-000000-00-000000-00-000000-00-000000-00-0046001460024600246022460271</v>
      </c>
      <c r="B36" s="28">
        <v>45979</v>
      </c>
      <c r="C36" s="28">
        <v>45979</v>
      </c>
      <c r="D36" s="28" t="s">
        <v>55</v>
      </c>
      <c r="E36" s="28" t="s">
        <v>55</v>
      </c>
      <c r="F36" s="28" t="s">
        <v>55</v>
      </c>
      <c r="G36" s="28" t="s">
        <v>55</v>
      </c>
      <c r="H36" s="18" t="s">
        <v>55</v>
      </c>
      <c r="I36" s="18" t="s">
        <v>55</v>
      </c>
      <c r="J36" s="18" t="s">
        <v>55</v>
      </c>
      <c r="K36" s="18" t="s">
        <v>55</v>
      </c>
      <c r="L36" s="18" t="s">
        <v>55</v>
      </c>
      <c r="M36" s="18" t="s">
        <v>55</v>
      </c>
      <c r="N36" s="28">
        <v>46001</v>
      </c>
      <c r="O36" s="28">
        <v>46002</v>
      </c>
      <c r="P36" s="28">
        <v>46002</v>
      </c>
      <c r="Q36" s="28">
        <v>46022</v>
      </c>
      <c r="R36" s="28">
        <v>46027</v>
      </c>
      <c r="S36" s="3">
        <f t="shared" si="3"/>
        <v>1</v>
      </c>
    </row>
    <row r="37" spans="1:19" x14ac:dyDescent="0.25">
      <c r="A37" s="403" t="str">
        <f t="shared" si="0"/>
        <v>45979459790000-00-0046014460140000-00-000000-00-000000-00-000000-00-000000-00-000000-00-000000-00-0046027460274602746042460441</v>
      </c>
      <c r="B37" s="30">
        <v>45979</v>
      </c>
      <c r="C37" s="28">
        <v>45979</v>
      </c>
      <c r="D37" s="28" t="s">
        <v>55</v>
      </c>
      <c r="E37" s="28">
        <v>46014</v>
      </c>
      <c r="F37" s="28">
        <v>46014</v>
      </c>
      <c r="G37" s="28" t="s">
        <v>55</v>
      </c>
      <c r="H37" s="18" t="s">
        <v>55</v>
      </c>
      <c r="I37" s="18" t="s">
        <v>55</v>
      </c>
      <c r="J37" s="18" t="s">
        <v>55</v>
      </c>
      <c r="K37" s="18" t="s">
        <v>55</v>
      </c>
      <c r="L37" s="18" t="s">
        <v>55</v>
      </c>
      <c r="M37" s="18" t="s">
        <v>55</v>
      </c>
      <c r="N37" s="28">
        <v>46027</v>
      </c>
      <c r="O37" s="28">
        <v>46027</v>
      </c>
      <c r="P37" s="28">
        <v>46027</v>
      </c>
      <c r="Q37" s="28">
        <v>46042</v>
      </c>
      <c r="R37" s="28">
        <v>46044</v>
      </c>
      <c r="S37" s="3">
        <f t="shared" si="3"/>
        <v>1</v>
      </c>
    </row>
    <row r="38" spans="1:19" x14ac:dyDescent="0.25">
      <c r="A38" s="403" t="str">
        <f t="shared" si="0"/>
        <v>46003460030000-00-0046009460090000-00-000000-00-000000-00-000000-00-000000-00-000000-00-000000-00-0046031460314603446043460441</v>
      </c>
      <c r="B38" s="30">
        <v>46003</v>
      </c>
      <c r="C38" s="28">
        <v>46003</v>
      </c>
      <c r="D38" s="28" t="s">
        <v>55</v>
      </c>
      <c r="E38" s="30">
        <v>46009</v>
      </c>
      <c r="F38" s="30">
        <v>46009</v>
      </c>
      <c r="G38" s="28" t="s">
        <v>55</v>
      </c>
      <c r="H38" s="18" t="s">
        <v>55</v>
      </c>
      <c r="I38" s="18" t="s">
        <v>55</v>
      </c>
      <c r="J38" s="18" t="s">
        <v>55</v>
      </c>
      <c r="K38" s="18" t="s">
        <v>55</v>
      </c>
      <c r="L38" s="18" t="s">
        <v>55</v>
      </c>
      <c r="M38" s="18" t="s">
        <v>55</v>
      </c>
      <c r="N38" s="28">
        <v>46031</v>
      </c>
      <c r="O38" s="28">
        <v>46031</v>
      </c>
      <c r="P38" s="28">
        <v>46034</v>
      </c>
      <c r="Q38" s="28">
        <v>46043</v>
      </c>
      <c r="R38" s="28">
        <v>46044</v>
      </c>
      <c r="S38" s="3">
        <f t="shared" si="3"/>
        <v>1</v>
      </c>
    </row>
    <row r="39" spans="1:19" x14ac:dyDescent="0.25">
      <c r="A39" s="403" t="str">
        <f t="shared" si="0"/>
        <v>45980459790000-00-0045985459930000-00-000000-00-000000-00-000000-00-000000-00-000000-00-000000-00-0046000460004600746024460271</v>
      </c>
      <c r="B39" s="30">
        <v>45980</v>
      </c>
      <c r="C39" s="42">
        <v>45979</v>
      </c>
      <c r="D39" s="30" t="s">
        <v>55</v>
      </c>
      <c r="E39" s="30">
        <v>45985</v>
      </c>
      <c r="F39" s="30">
        <v>45993</v>
      </c>
      <c r="G39" s="37" t="s">
        <v>55</v>
      </c>
      <c r="H39" s="18" t="s">
        <v>55</v>
      </c>
      <c r="I39" s="18" t="s">
        <v>55</v>
      </c>
      <c r="J39" s="18" t="s">
        <v>55</v>
      </c>
      <c r="K39" s="18" t="s">
        <v>55</v>
      </c>
      <c r="L39" s="18" t="s">
        <v>55</v>
      </c>
      <c r="M39" s="18" t="s">
        <v>55</v>
      </c>
      <c r="N39" s="28">
        <v>46000</v>
      </c>
      <c r="O39" s="28">
        <v>46000</v>
      </c>
      <c r="P39" s="28">
        <v>46007</v>
      </c>
      <c r="Q39" s="28">
        <v>46024</v>
      </c>
      <c r="R39" s="28">
        <v>46027</v>
      </c>
      <c r="S39" s="3">
        <f t="shared" si="3"/>
        <v>1</v>
      </c>
    </row>
    <row r="40" spans="1:19" x14ac:dyDescent="0.25">
      <c r="A40" s="403" t="str">
        <f t="shared" si="0"/>
        <v>45980459800000-00-0045985459850000-00-000000-00-000000-00-000000-00-000000-00-000000-00-000000-00-0045992459924599346017460271</v>
      </c>
      <c r="B40" s="30">
        <v>45980</v>
      </c>
      <c r="C40" s="30">
        <v>45980</v>
      </c>
      <c r="D40" s="28" t="s">
        <v>55</v>
      </c>
      <c r="E40" s="28">
        <v>45985</v>
      </c>
      <c r="F40" s="28">
        <v>45985</v>
      </c>
      <c r="G40" s="28" t="s">
        <v>55</v>
      </c>
      <c r="H40" s="18" t="s">
        <v>55</v>
      </c>
      <c r="I40" s="18" t="s">
        <v>55</v>
      </c>
      <c r="J40" s="18" t="s">
        <v>55</v>
      </c>
      <c r="K40" s="18" t="s">
        <v>55</v>
      </c>
      <c r="L40" s="18" t="s">
        <v>55</v>
      </c>
      <c r="M40" s="18" t="s">
        <v>55</v>
      </c>
      <c r="N40" s="28">
        <v>45992</v>
      </c>
      <c r="O40" s="28">
        <v>45992</v>
      </c>
      <c r="P40" s="28">
        <v>45993</v>
      </c>
      <c r="Q40" s="28">
        <v>46017</v>
      </c>
      <c r="R40" s="28">
        <v>46027</v>
      </c>
      <c r="S40" s="3">
        <f t="shared" si="3"/>
        <v>1</v>
      </c>
    </row>
    <row r="41" spans="1:19" x14ac:dyDescent="0.25">
      <c r="A41" s="403" t="str">
        <f t="shared" si="0"/>
        <v>45980459800000-00-0045987460000000-00-000000-00-000000-00-000000-00-000000-00-000000-00-000000-00-0046002460004600346017460271</v>
      </c>
      <c r="B41" s="15">
        <v>45980</v>
      </c>
      <c r="C41" s="16">
        <v>45980</v>
      </c>
      <c r="D41" s="1" t="s">
        <v>55</v>
      </c>
      <c r="E41" s="16">
        <v>45987</v>
      </c>
      <c r="F41" s="16">
        <v>46000</v>
      </c>
      <c r="G41" s="1" t="s">
        <v>55</v>
      </c>
      <c r="H41" s="18" t="s">
        <v>55</v>
      </c>
      <c r="I41" s="18" t="s">
        <v>55</v>
      </c>
      <c r="J41" s="18" t="s">
        <v>55</v>
      </c>
      <c r="K41" s="18" t="s">
        <v>55</v>
      </c>
      <c r="L41" s="18" t="s">
        <v>55</v>
      </c>
      <c r="M41" s="18" t="s">
        <v>55</v>
      </c>
      <c r="N41" s="16">
        <v>46002</v>
      </c>
      <c r="O41" s="16">
        <v>46000</v>
      </c>
      <c r="P41" s="16">
        <v>46003</v>
      </c>
      <c r="Q41" s="16">
        <v>46017</v>
      </c>
      <c r="R41" s="16">
        <v>46027</v>
      </c>
      <c r="S41" s="3">
        <f t="shared" si="3"/>
        <v>1</v>
      </c>
    </row>
    <row r="42" spans="1:19" x14ac:dyDescent="0.25">
      <c r="A42" s="403" t="str">
        <f t="shared" si="0"/>
        <v>45985459820000-00-0045994460020000-00-000000-00-000000-00-000000-00-000000-00-000000-00-000000-00-0046009460094601346024460271</v>
      </c>
      <c r="B42" s="30">
        <v>45985</v>
      </c>
      <c r="C42" s="42">
        <v>45982</v>
      </c>
      <c r="D42" s="30" t="s">
        <v>55</v>
      </c>
      <c r="E42" s="30">
        <v>45994</v>
      </c>
      <c r="F42" s="30">
        <v>46002</v>
      </c>
      <c r="G42" s="37" t="s">
        <v>55</v>
      </c>
      <c r="H42" s="18" t="s">
        <v>55</v>
      </c>
      <c r="I42" s="18" t="s">
        <v>55</v>
      </c>
      <c r="J42" s="18" t="s">
        <v>55</v>
      </c>
      <c r="K42" s="18" t="s">
        <v>55</v>
      </c>
      <c r="L42" s="18" t="s">
        <v>55</v>
      </c>
      <c r="M42" s="18" t="s">
        <v>55</v>
      </c>
      <c r="N42" s="28">
        <v>46009</v>
      </c>
      <c r="O42" s="28">
        <v>46009</v>
      </c>
      <c r="P42" s="28">
        <v>46013</v>
      </c>
      <c r="Q42" s="28">
        <v>46024</v>
      </c>
      <c r="R42" s="28">
        <v>46027</v>
      </c>
      <c r="S42" s="3">
        <f t="shared" si="3"/>
        <v>1</v>
      </c>
    </row>
    <row r="43" spans="1:19" x14ac:dyDescent="0.25">
      <c r="A43" s="403" t="str">
        <f t="shared" si="0"/>
        <v>45995459830000-00-0046000460240000-00-0046002459790000-00-000000-00-000000-00-000000-00-0046029460294602946044460451</v>
      </c>
      <c r="B43" s="30">
        <v>45995</v>
      </c>
      <c r="C43" s="30">
        <v>45983</v>
      </c>
      <c r="D43" s="30" t="s">
        <v>55</v>
      </c>
      <c r="E43" s="30">
        <v>46000</v>
      </c>
      <c r="F43" s="30">
        <v>46024</v>
      </c>
      <c r="G43" s="37" t="s">
        <v>55</v>
      </c>
      <c r="H43" s="37">
        <v>46002</v>
      </c>
      <c r="I43" s="37">
        <v>45979</v>
      </c>
      <c r="J43" s="37" t="s">
        <v>55</v>
      </c>
      <c r="K43" s="37" t="s">
        <v>55</v>
      </c>
      <c r="L43" s="37" t="s">
        <v>55</v>
      </c>
      <c r="M43" s="37" t="s">
        <v>55</v>
      </c>
      <c r="N43" s="28">
        <v>46029</v>
      </c>
      <c r="O43" s="28">
        <v>46029</v>
      </c>
      <c r="P43" s="28">
        <v>46029</v>
      </c>
      <c r="Q43" s="28">
        <v>46044</v>
      </c>
      <c r="R43" s="28">
        <v>46045</v>
      </c>
      <c r="S43" s="3">
        <f t="shared" si="3"/>
        <v>1</v>
      </c>
    </row>
    <row r="44" spans="1:19" x14ac:dyDescent="0.25">
      <c r="A44" s="403" t="str">
        <f t="shared" si="0"/>
        <v>45985459850000-00-000000-00-000000-00-000000-00-0045985456690000-00-000000-00-000000-00-004599546010460074601346024460271</v>
      </c>
      <c r="B44" s="30">
        <v>45985</v>
      </c>
      <c r="C44" s="30">
        <v>45985</v>
      </c>
      <c r="D44" s="30" t="s">
        <v>55</v>
      </c>
      <c r="E44" s="30" t="s">
        <v>55</v>
      </c>
      <c r="F44" s="30" t="s">
        <v>55</v>
      </c>
      <c r="G44" s="37" t="s">
        <v>55</v>
      </c>
      <c r="H44" s="37">
        <v>45985</v>
      </c>
      <c r="I44" s="37">
        <v>45669</v>
      </c>
      <c r="J44" s="37" t="s">
        <v>55</v>
      </c>
      <c r="K44" s="37" t="s">
        <v>55</v>
      </c>
      <c r="L44" s="37" t="s">
        <v>55</v>
      </c>
      <c r="M44" s="37">
        <v>45995</v>
      </c>
      <c r="N44" s="28">
        <v>46010</v>
      </c>
      <c r="O44" s="28">
        <v>46007</v>
      </c>
      <c r="P44" s="28">
        <v>46013</v>
      </c>
      <c r="Q44" s="28">
        <v>46024</v>
      </c>
      <c r="R44" s="28">
        <v>46027</v>
      </c>
      <c r="S44" s="3">
        <f t="shared" si="3"/>
        <v>1</v>
      </c>
    </row>
    <row r="45" spans="1:19" x14ac:dyDescent="0.25">
      <c r="A45" s="403" t="str">
        <f t="shared" si="0"/>
        <v>45986459860000-00-0045996459960000-00-000000-00-000000-00-000000-00-000000-00-000000-00-000000-00-0046006460064600646022460271</v>
      </c>
      <c r="B45" s="44">
        <v>45986</v>
      </c>
      <c r="C45" s="44">
        <v>45986</v>
      </c>
      <c r="D45" s="2" t="s">
        <v>55</v>
      </c>
      <c r="E45" s="44">
        <v>45996</v>
      </c>
      <c r="F45" s="44">
        <v>45996</v>
      </c>
      <c r="G45" s="2" t="s">
        <v>55</v>
      </c>
      <c r="H45" s="18" t="s">
        <v>55</v>
      </c>
      <c r="I45" s="18" t="s">
        <v>55</v>
      </c>
      <c r="J45" s="18" t="s">
        <v>55</v>
      </c>
      <c r="K45" s="18" t="s">
        <v>55</v>
      </c>
      <c r="L45" s="18" t="s">
        <v>55</v>
      </c>
      <c r="M45" s="18" t="s">
        <v>55</v>
      </c>
      <c r="N45" s="53">
        <v>46006</v>
      </c>
      <c r="O45" s="53">
        <v>46006</v>
      </c>
      <c r="P45" s="53">
        <v>46006</v>
      </c>
      <c r="Q45" s="53">
        <v>46022</v>
      </c>
      <c r="R45" s="53">
        <v>46027</v>
      </c>
      <c r="S45" s="3">
        <f t="shared" si="3"/>
        <v>1</v>
      </c>
    </row>
    <row r="46" spans="1:19" x14ac:dyDescent="0.25">
      <c r="A46" s="403" t="str">
        <f t="shared" si="0"/>
        <v>45986459860000-00-000000-00-000000-00-000000-00-000000-00-000000-00-000000-00-000000-00-000000-00-000000-00-0046010460104601346024460271</v>
      </c>
      <c r="B46" s="30">
        <v>45986</v>
      </c>
      <c r="C46" s="30">
        <v>45986</v>
      </c>
      <c r="D46" s="30" t="s">
        <v>55</v>
      </c>
      <c r="E46" s="37" t="s">
        <v>55</v>
      </c>
      <c r="F46" s="37" t="s">
        <v>55</v>
      </c>
      <c r="G46" s="37" t="s">
        <v>55</v>
      </c>
      <c r="H46" s="18" t="s">
        <v>55</v>
      </c>
      <c r="I46" s="18" t="s">
        <v>55</v>
      </c>
      <c r="J46" s="18" t="s">
        <v>55</v>
      </c>
      <c r="K46" s="18" t="s">
        <v>55</v>
      </c>
      <c r="L46" s="18" t="s">
        <v>55</v>
      </c>
      <c r="M46" s="18" t="s">
        <v>55</v>
      </c>
      <c r="N46" s="28">
        <v>46010</v>
      </c>
      <c r="O46" s="28">
        <v>46010</v>
      </c>
      <c r="P46" s="28">
        <v>46013</v>
      </c>
      <c r="Q46" s="28">
        <v>46024</v>
      </c>
      <c r="R46" s="28">
        <v>46027</v>
      </c>
      <c r="S46" s="3">
        <f t="shared" si="3"/>
        <v>1</v>
      </c>
    </row>
    <row r="47" spans="1:19" x14ac:dyDescent="0.25">
      <c r="A47" s="403" t="str">
        <f t="shared" si="0"/>
        <v>45988459870000-00-0045994459940000-00-000000-00-000000-00-000000-00-000000-00-000000-00-000000-00-0046034460354603646044460451</v>
      </c>
      <c r="B47" s="30">
        <v>45988</v>
      </c>
      <c r="C47" s="39">
        <v>45987</v>
      </c>
      <c r="D47" s="28" t="s">
        <v>55</v>
      </c>
      <c r="E47" s="28">
        <v>45994</v>
      </c>
      <c r="F47" s="28">
        <v>45994</v>
      </c>
      <c r="G47" s="28" t="s">
        <v>55</v>
      </c>
      <c r="H47" s="18" t="s">
        <v>55</v>
      </c>
      <c r="I47" s="18" t="s">
        <v>55</v>
      </c>
      <c r="J47" s="18" t="s">
        <v>55</v>
      </c>
      <c r="K47" s="18" t="s">
        <v>55</v>
      </c>
      <c r="L47" s="18" t="s">
        <v>55</v>
      </c>
      <c r="M47" s="18" t="s">
        <v>55</v>
      </c>
      <c r="N47" s="28">
        <v>46034</v>
      </c>
      <c r="O47" s="28">
        <v>46035</v>
      </c>
      <c r="P47" s="28">
        <v>46036</v>
      </c>
      <c r="Q47" s="28">
        <v>46044</v>
      </c>
      <c r="R47" s="28">
        <v>46045</v>
      </c>
      <c r="S47" s="3">
        <f t="shared" si="3"/>
        <v>1</v>
      </c>
    </row>
    <row r="48" spans="1:19" x14ac:dyDescent="0.25">
      <c r="A48" s="403" t="str">
        <f t="shared" si="0"/>
        <v>45987459870000-00-0045993459940000-00-000000-00-000000-00-000000-00-000000-00-000000-00-000000-00-0046008460084600946024460271</v>
      </c>
      <c r="B48" s="15">
        <v>45987</v>
      </c>
      <c r="C48" s="16">
        <v>45987</v>
      </c>
      <c r="D48" s="16" t="s">
        <v>55</v>
      </c>
      <c r="E48" s="16">
        <v>45993</v>
      </c>
      <c r="F48" s="16">
        <v>45994</v>
      </c>
      <c r="G48" s="16" t="s">
        <v>55</v>
      </c>
      <c r="H48" s="18" t="s">
        <v>55</v>
      </c>
      <c r="I48" s="18" t="s">
        <v>55</v>
      </c>
      <c r="J48" s="18" t="s">
        <v>55</v>
      </c>
      <c r="K48" s="18" t="s">
        <v>55</v>
      </c>
      <c r="L48" s="18" t="s">
        <v>55</v>
      </c>
      <c r="M48" s="18" t="s">
        <v>55</v>
      </c>
      <c r="N48" s="16">
        <v>46008</v>
      </c>
      <c r="O48" s="16">
        <v>46008</v>
      </c>
      <c r="P48" s="16">
        <v>46009</v>
      </c>
      <c r="Q48" s="16">
        <v>46024</v>
      </c>
      <c r="R48" s="16">
        <v>46027</v>
      </c>
      <c r="S48" s="3">
        <f t="shared" si="3"/>
        <v>1</v>
      </c>
    </row>
    <row r="49" spans="1:19" x14ac:dyDescent="0.25">
      <c r="A49" s="403" t="str">
        <f t="shared" si="0"/>
        <v>46029459880000-00-0045989459890000-00-000000-00-000000-00-000000-00-000000-00-000000-00-000000-00-0046031460314603146043460441</v>
      </c>
      <c r="B49" s="127">
        <v>46029</v>
      </c>
      <c r="C49" s="126">
        <v>45988</v>
      </c>
      <c r="D49" s="126" t="s">
        <v>55</v>
      </c>
      <c r="E49" s="126">
        <v>45989</v>
      </c>
      <c r="F49" s="126">
        <v>45989</v>
      </c>
      <c r="G49" s="126" t="s">
        <v>55</v>
      </c>
      <c r="H49" s="125" t="s">
        <v>55</v>
      </c>
      <c r="I49" s="125" t="s">
        <v>55</v>
      </c>
      <c r="J49" s="125" t="s">
        <v>55</v>
      </c>
      <c r="K49" s="125" t="s">
        <v>55</v>
      </c>
      <c r="L49" s="125" t="s">
        <v>55</v>
      </c>
      <c r="M49" s="125" t="s">
        <v>55</v>
      </c>
      <c r="N49" s="126">
        <v>46031</v>
      </c>
      <c r="O49" s="126">
        <v>46031</v>
      </c>
      <c r="P49" s="126">
        <v>46031</v>
      </c>
      <c r="Q49" s="126">
        <v>46043</v>
      </c>
      <c r="R49" s="126">
        <v>46044</v>
      </c>
      <c r="S49" s="79">
        <f t="shared" si="3"/>
        <v>1</v>
      </c>
    </row>
    <row r="50" spans="1:19" x14ac:dyDescent="0.25">
      <c r="A50" s="403" t="str">
        <f t="shared" si="0"/>
        <v>45989459890000-00-000000-00-000000-00-000000-00-0045993460010000-00-000000-00-000000-00-004601746027460294603046037460441</v>
      </c>
      <c r="B50" s="37">
        <v>45989</v>
      </c>
      <c r="C50" s="41">
        <v>45989</v>
      </c>
      <c r="D50" s="28" t="s">
        <v>55</v>
      </c>
      <c r="E50" s="28" t="s">
        <v>55</v>
      </c>
      <c r="F50" s="28" t="s">
        <v>55</v>
      </c>
      <c r="G50" s="28" t="s">
        <v>55</v>
      </c>
      <c r="H50" s="28">
        <v>45993</v>
      </c>
      <c r="I50" s="28">
        <v>46001</v>
      </c>
      <c r="J50" s="28" t="s">
        <v>55</v>
      </c>
      <c r="K50" s="28" t="s">
        <v>55</v>
      </c>
      <c r="L50" s="28" t="s">
        <v>55</v>
      </c>
      <c r="M50" s="28">
        <v>46017</v>
      </c>
      <c r="N50" s="28">
        <v>46027</v>
      </c>
      <c r="O50" s="28">
        <v>46029</v>
      </c>
      <c r="P50" s="28">
        <v>46030</v>
      </c>
      <c r="Q50" s="28">
        <v>46037</v>
      </c>
      <c r="R50" s="28">
        <v>46044</v>
      </c>
      <c r="S50" s="3">
        <f t="shared" si="3"/>
        <v>1</v>
      </c>
    </row>
    <row r="51" spans="1:19" x14ac:dyDescent="0.25">
      <c r="A51" s="403" t="str">
        <f t="shared" si="0"/>
        <v>45989459890000-00-0046002460020000-00-000000-00-000000-00-000000-00-000000-00-000000-00-000000-00-0046009460094600946031460351</v>
      </c>
      <c r="B51" s="30">
        <v>45989</v>
      </c>
      <c r="C51" s="24">
        <v>45989</v>
      </c>
      <c r="D51" s="3" t="s">
        <v>55</v>
      </c>
      <c r="E51" s="30">
        <v>46002</v>
      </c>
      <c r="F51" s="30">
        <v>46002</v>
      </c>
      <c r="G51" s="18" t="s">
        <v>55</v>
      </c>
      <c r="H51" s="18" t="s">
        <v>55</v>
      </c>
      <c r="I51" s="18" t="s">
        <v>55</v>
      </c>
      <c r="J51" s="18" t="s">
        <v>55</v>
      </c>
      <c r="K51" s="18" t="s">
        <v>55</v>
      </c>
      <c r="L51" s="18" t="s">
        <v>55</v>
      </c>
      <c r="M51" s="18" t="s">
        <v>55</v>
      </c>
      <c r="N51" s="28">
        <v>46009</v>
      </c>
      <c r="O51" s="28">
        <v>46009</v>
      </c>
      <c r="P51" s="28">
        <v>46009</v>
      </c>
      <c r="Q51" s="28">
        <v>46031</v>
      </c>
      <c r="R51" s="28">
        <v>46035</v>
      </c>
      <c r="S51" s="3">
        <f t="shared" si="3"/>
        <v>1</v>
      </c>
    </row>
    <row r="52" spans="1:19" x14ac:dyDescent="0.25">
      <c r="A52" s="403" t="str">
        <f t="shared" si="0"/>
        <v>45989459890000-00-0046001460010000-00-000000-00-000000-00-000000-00-000000-00-000000-00-000000-00-0046006460064600746024460271</v>
      </c>
      <c r="B52" s="37">
        <v>45989</v>
      </c>
      <c r="C52" s="37">
        <v>45989</v>
      </c>
      <c r="D52" s="18" t="s">
        <v>55</v>
      </c>
      <c r="E52" s="37">
        <v>46001</v>
      </c>
      <c r="F52" s="37">
        <v>46001</v>
      </c>
      <c r="G52" s="18" t="s">
        <v>55</v>
      </c>
      <c r="H52" s="18" t="s">
        <v>55</v>
      </c>
      <c r="I52" s="18" t="s">
        <v>55</v>
      </c>
      <c r="J52" s="18" t="s">
        <v>55</v>
      </c>
      <c r="K52" s="18" t="s">
        <v>55</v>
      </c>
      <c r="L52" s="18" t="s">
        <v>55</v>
      </c>
      <c r="M52" s="18" t="s">
        <v>55</v>
      </c>
      <c r="N52" s="38">
        <v>46006</v>
      </c>
      <c r="O52" s="38">
        <v>46006</v>
      </c>
      <c r="P52" s="38">
        <v>46007</v>
      </c>
      <c r="Q52" s="38">
        <v>46024</v>
      </c>
      <c r="R52" s="53">
        <v>46027</v>
      </c>
      <c r="S52" s="3">
        <f t="shared" si="3"/>
        <v>1</v>
      </c>
    </row>
    <row r="53" spans="1:19" x14ac:dyDescent="0.25">
      <c r="A53" s="403" t="str">
        <f t="shared" si="0"/>
        <v>45987459920000-00-000000-00-000000-00-000000-00-000000-00-000000-00-000000-00-000000-00-000000-00-000000-00-0045993459934599346017460271</v>
      </c>
      <c r="B53" s="30">
        <v>45987</v>
      </c>
      <c r="C53" s="28">
        <v>45992</v>
      </c>
      <c r="D53" s="28" t="s">
        <v>55</v>
      </c>
      <c r="E53" s="28" t="s">
        <v>55</v>
      </c>
      <c r="F53" s="28" t="s">
        <v>55</v>
      </c>
      <c r="G53" s="28" t="s">
        <v>55</v>
      </c>
      <c r="H53" s="18" t="s">
        <v>55</v>
      </c>
      <c r="I53" s="18" t="s">
        <v>55</v>
      </c>
      <c r="J53" s="18" t="s">
        <v>55</v>
      </c>
      <c r="K53" s="18" t="s">
        <v>55</v>
      </c>
      <c r="L53" s="18" t="s">
        <v>55</v>
      </c>
      <c r="M53" s="18" t="s">
        <v>55</v>
      </c>
      <c r="N53" s="28">
        <v>45993</v>
      </c>
      <c r="O53" s="28">
        <v>45993</v>
      </c>
      <c r="P53" s="28">
        <v>45993</v>
      </c>
      <c r="Q53" s="28">
        <v>46017</v>
      </c>
      <c r="R53" s="28">
        <v>46027</v>
      </c>
      <c r="S53" s="3">
        <f t="shared" si="3"/>
        <v>1</v>
      </c>
    </row>
    <row r="54" spans="1:19" x14ac:dyDescent="0.25">
      <c r="A54" s="403" t="str">
        <f t="shared" si="0"/>
        <v>45992459920000-00-0046003460030000-00-000000-00-000000-00-000000-00-000000-00-000000-00-000000-00-0046028460310000-00-0046031460311</v>
      </c>
      <c r="B54" s="37">
        <v>45992</v>
      </c>
      <c r="C54" s="37">
        <v>45992</v>
      </c>
      <c r="D54" s="18" t="s">
        <v>55</v>
      </c>
      <c r="E54" s="37">
        <v>46003</v>
      </c>
      <c r="F54" s="37">
        <v>46003</v>
      </c>
      <c r="G54" s="18" t="s">
        <v>55</v>
      </c>
      <c r="H54" s="18" t="s">
        <v>55</v>
      </c>
      <c r="I54" s="18" t="s">
        <v>55</v>
      </c>
      <c r="J54" s="18" t="s">
        <v>55</v>
      </c>
      <c r="K54" s="18" t="s">
        <v>55</v>
      </c>
      <c r="L54" s="18" t="s">
        <v>55</v>
      </c>
      <c r="M54" s="18" t="s">
        <v>55</v>
      </c>
      <c r="N54" s="53">
        <v>46028</v>
      </c>
      <c r="O54" s="38">
        <v>46031</v>
      </c>
      <c r="P54" s="36" t="s">
        <v>55</v>
      </c>
      <c r="Q54" s="38">
        <v>46031</v>
      </c>
      <c r="R54" s="38">
        <v>46031</v>
      </c>
      <c r="S54" s="3">
        <f t="shared" si="3"/>
        <v>1</v>
      </c>
    </row>
    <row r="55" spans="1:19" x14ac:dyDescent="0.25">
      <c r="A55" s="403" t="str">
        <f t="shared" si="0"/>
        <v>45996459930000-00-0046008460150000-00-0046000460070000-00-000000-00-000000-00-000000-00-0046036460424604246045460451</v>
      </c>
      <c r="B55" s="15">
        <v>45996</v>
      </c>
      <c r="C55" s="16">
        <v>45993</v>
      </c>
      <c r="D55" s="16" t="s">
        <v>55</v>
      </c>
      <c r="E55" s="28">
        <v>46008</v>
      </c>
      <c r="F55" s="28">
        <v>46015</v>
      </c>
      <c r="G55" s="28" t="s">
        <v>55</v>
      </c>
      <c r="H55" s="28">
        <v>46000</v>
      </c>
      <c r="I55" s="28">
        <v>46007</v>
      </c>
      <c r="J55" s="28" t="s">
        <v>55</v>
      </c>
      <c r="K55" s="28" t="s">
        <v>55</v>
      </c>
      <c r="L55" s="28" t="s">
        <v>55</v>
      </c>
      <c r="M55" s="28" t="s">
        <v>55</v>
      </c>
      <c r="N55" s="16">
        <v>46036</v>
      </c>
      <c r="O55" s="16">
        <v>46042</v>
      </c>
      <c r="P55" s="16">
        <v>46042</v>
      </c>
      <c r="Q55" s="16">
        <v>46045</v>
      </c>
      <c r="R55" s="16">
        <v>46045</v>
      </c>
      <c r="S55" s="3">
        <f t="shared" si="3"/>
        <v>1</v>
      </c>
    </row>
    <row r="56" spans="1:19" x14ac:dyDescent="0.25">
      <c r="A56" s="403" t="str">
        <f t="shared" si="0"/>
        <v>45993459930000-00-0046009460090000-00-000000-00-000000-00-000000-00-000000-00-000000-00-000000-00-0046009460094602746031460351</v>
      </c>
      <c r="B56" s="30">
        <v>45993</v>
      </c>
      <c r="C56" s="24">
        <v>45993</v>
      </c>
      <c r="D56" s="3" t="s">
        <v>55</v>
      </c>
      <c r="E56" s="30">
        <v>46009</v>
      </c>
      <c r="F56" s="30">
        <v>46009</v>
      </c>
      <c r="G56" s="18" t="s">
        <v>55</v>
      </c>
      <c r="H56" s="18" t="s">
        <v>55</v>
      </c>
      <c r="I56" s="18" t="s">
        <v>55</v>
      </c>
      <c r="J56" s="18" t="s">
        <v>55</v>
      </c>
      <c r="K56" s="18" t="s">
        <v>55</v>
      </c>
      <c r="L56" s="18" t="s">
        <v>55</v>
      </c>
      <c r="M56" s="18" t="s">
        <v>55</v>
      </c>
      <c r="N56" s="28">
        <v>46009</v>
      </c>
      <c r="O56" s="28">
        <v>46009</v>
      </c>
      <c r="P56" s="28">
        <v>46027</v>
      </c>
      <c r="Q56" s="28">
        <v>46031</v>
      </c>
      <c r="R56" s="28">
        <v>46035</v>
      </c>
      <c r="S56" s="3">
        <f t="shared" si="3"/>
        <v>1</v>
      </c>
    </row>
    <row r="57" spans="1:19" x14ac:dyDescent="0.25">
      <c r="A57" s="403" t="str">
        <f t="shared" si="0"/>
        <v>46010459930000-00-0046017460170000-00-000000-00-000000-00-000000-00-000000-00-000000-00-000000-00-0046027460274602746031460351</v>
      </c>
      <c r="B57" s="30">
        <v>46010</v>
      </c>
      <c r="C57" s="24">
        <v>45993</v>
      </c>
      <c r="D57" s="3" t="s">
        <v>55</v>
      </c>
      <c r="E57" s="30">
        <v>46017</v>
      </c>
      <c r="F57" s="30">
        <v>46017</v>
      </c>
      <c r="G57" s="18" t="s">
        <v>55</v>
      </c>
      <c r="H57" s="18" t="s">
        <v>55</v>
      </c>
      <c r="I57" s="18" t="s">
        <v>55</v>
      </c>
      <c r="J57" s="18" t="s">
        <v>55</v>
      </c>
      <c r="K57" s="18" t="s">
        <v>55</v>
      </c>
      <c r="L57" s="18" t="s">
        <v>55</v>
      </c>
      <c r="M57" s="18" t="s">
        <v>55</v>
      </c>
      <c r="N57" s="28">
        <v>46027</v>
      </c>
      <c r="O57" s="28">
        <v>46027</v>
      </c>
      <c r="P57" s="28">
        <v>46027</v>
      </c>
      <c r="Q57" s="28">
        <v>46031</v>
      </c>
      <c r="R57" s="28">
        <v>46035</v>
      </c>
      <c r="S57" s="3">
        <f t="shared" si="3"/>
        <v>1</v>
      </c>
    </row>
    <row r="58" spans="1:19" x14ac:dyDescent="0.25">
      <c r="A58" s="403" t="str">
        <f t="shared" si="0"/>
        <v>45996459960000-00-000000-00-000000-00-000000-00-000000-00-000000-00-000000-00-000000-00-000000-00-000000-00-0046009460104601046022460271</v>
      </c>
      <c r="B58" s="24">
        <v>45996</v>
      </c>
      <c r="C58" s="24">
        <v>45996</v>
      </c>
      <c r="D58" s="16" t="s">
        <v>55</v>
      </c>
      <c r="E58" s="16" t="s">
        <v>55</v>
      </c>
      <c r="F58" s="16" t="s">
        <v>55</v>
      </c>
      <c r="G58" s="16" t="s">
        <v>55</v>
      </c>
      <c r="H58" s="18" t="s">
        <v>55</v>
      </c>
      <c r="I58" s="18" t="s">
        <v>55</v>
      </c>
      <c r="J58" s="18" t="s">
        <v>55</v>
      </c>
      <c r="K58" s="18" t="s">
        <v>55</v>
      </c>
      <c r="L58" s="18" t="s">
        <v>55</v>
      </c>
      <c r="M58" s="18" t="s">
        <v>55</v>
      </c>
      <c r="N58" s="16">
        <v>46009</v>
      </c>
      <c r="O58" s="16">
        <v>46010</v>
      </c>
      <c r="P58" s="16">
        <v>46010</v>
      </c>
      <c r="Q58" s="16">
        <v>46022</v>
      </c>
      <c r="R58" s="16">
        <v>46027</v>
      </c>
      <c r="S58" s="3">
        <f t="shared" si="3"/>
        <v>1</v>
      </c>
    </row>
    <row r="59" spans="1:19" x14ac:dyDescent="0.25">
      <c r="A59" s="403" t="str">
        <f t="shared" si="0"/>
        <v>45994459940000-00-0045996460010000-00-000000-00-000000-00-000000-00-000000-00-000000-00-000000-00-0046009460084600946021460271</v>
      </c>
      <c r="B59" s="15">
        <v>45994</v>
      </c>
      <c r="C59" s="16">
        <v>45994</v>
      </c>
      <c r="D59" s="1" t="s">
        <v>55</v>
      </c>
      <c r="E59" s="16">
        <v>45996</v>
      </c>
      <c r="F59" s="16">
        <v>46001</v>
      </c>
      <c r="G59" s="1" t="s">
        <v>55</v>
      </c>
      <c r="H59" s="18" t="s">
        <v>55</v>
      </c>
      <c r="I59" s="18" t="s">
        <v>55</v>
      </c>
      <c r="J59" s="18" t="s">
        <v>55</v>
      </c>
      <c r="K59" s="18" t="s">
        <v>55</v>
      </c>
      <c r="L59" s="18" t="s">
        <v>55</v>
      </c>
      <c r="M59" s="18" t="s">
        <v>55</v>
      </c>
      <c r="N59" s="16">
        <v>46009</v>
      </c>
      <c r="O59" s="16">
        <v>46008</v>
      </c>
      <c r="P59" s="16">
        <v>46009</v>
      </c>
      <c r="Q59" s="16">
        <v>46021</v>
      </c>
      <c r="R59" s="16">
        <v>46027</v>
      </c>
      <c r="S59" s="3">
        <f t="shared" si="3"/>
        <v>1</v>
      </c>
    </row>
    <row r="60" spans="1:19" x14ac:dyDescent="0.25">
      <c r="A60" s="403" t="str">
        <f t="shared" si="0"/>
        <v>45996459950000-00-0046007460280000-00-000000-00-000000-00-000000-00-000000-00-000000-00-000000-00-0046030460304603146043460441</v>
      </c>
      <c r="B60" s="30">
        <v>45996</v>
      </c>
      <c r="C60" s="30">
        <v>45995</v>
      </c>
      <c r="D60" s="30" t="s">
        <v>55</v>
      </c>
      <c r="E60" s="30">
        <v>46007</v>
      </c>
      <c r="F60" s="30">
        <v>46028</v>
      </c>
      <c r="G60" s="37" t="s">
        <v>55</v>
      </c>
      <c r="H60" s="18" t="s">
        <v>55</v>
      </c>
      <c r="I60" s="18" t="s">
        <v>55</v>
      </c>
      <c r="J60" s="18" t="s">
        <v>55</v>
      </c>
      <c r="K60" s="18" t="s">
        <v>55</v>
      </c>
      <c r="L60" s="18" t="s">
        <v>55</v>
      </c>
      <c r="M60" s="18" t="s">
        <v>55</v>
      </c>
      <c r="N60" s="28">
        <v>46030</v>
      </c>
      <c r="O60" s="28">
        <v>46030</v>
      </c>
      <c r="P60" s="28">
        <v>46031</v>
      </c>
      <c r="Q60" s="28">
        <v>46043</v>
      </c>
      <c r="R60" s="28">
        <v>46044</v>
      </c>
      <c r="S60" s="3">
        <f t="shared" si="3"/>
        <v>1</v>
      </c>
    </row>
    <row r="61" spans="1:19" x14ac:dyDescent="0.25">
      <c r="A61" s="403" t="str">
        <f t="shared" si="0"/>
        <v>46006460000000-00-0046009460130000-00-000000-00-000000-00-000000-00-000000-00-000000-00-000000-00-0046027460294602946044460441</v>
      </c>
      <c r="B61" s="15">
        <v>46006</v>
      </c>
      <c r="C61" s="16">
        <v>46000</v>
      </c>
      <c r="D61" s="16" t="s">
        <v>55</v>
      </c>
      <c r="E61" s="16">
        <v>46009</v>
      </c>
      <c r="F61" s="16">
        <v>46013</v>
      </c>
      <c r="G61" s="16" t="s">
        <v>55</v>
      </c>
      <c r="H61" s="18" t="s">
        <v>55</v>
      </c>
      <c r="I61" s="18" t="s">
        <v>55</v>
      </c>
      <c r="J61" s="18" t="s">
        <v>55</v>
      </c>
      <c r="K61" s="18" t="s">
        <v>55</v>
      </c>
      <c r="L61" s="18" t="s">
        <v>55</v>
      </c>
      <c r="M61" s="18" t="s">
        <v>55</v>
      </c>
      <c r="N61" s="16">
        <v>46027</v>
      </c>
      <c r="O61" s="16">
        <v>46029</v>
      </c>
      <c r="P61" s="16">
        <v>46029</v>
      </c>
      <c r="Q61" s="16">
        <v>46044</v>
      </c>
      <c r="R61" s="16">
        <v>46044</v>
      </c>
      <c r="S61" s="3">
        <f t="shared" si="3"/>
        <v>1</v>
      </c>
    </row>
    <row r="62" spans="1:19" x14ac:dyDescent="0.25">
      <c r="A62" s="403" t="str">
        <f t="shared" si="0"/>
        <v>45996459960000-00-000000-00-000000-00-000000-00-000000-00-000000-00-000000-00-000000-00-000000-00-000000-00-000000-00-000000-00-004600746024460271</v>
      </c>
      <c r="B62" s="30">
        <v>45996</v>
      </c>
      <c r="C62" s="30">
        <v>45996</v>
      </c>
      <c r="D62" s="30" t="s">
        <v>55</v>
      </c>
      <c r="E62" s="37" t="s">
        <v>55</v>
      </c>
      <c r="F62" s="37" t="s">
        <v>55</v>
      </c>
      <c r="G62" s="37" t="s">
        <v>55</v>
      </c>
      <c r="H62" s="18" t="s">
        <v>55</v>
      </c>
      <c r="I62" s="18" t="s">
        <v>55</v>
      </c>
      <c r="J62" s="18" t="s">
        <v>55</v>
      </c>
      <c r="K62" s="18" t="s">
        <v>55</v>
      </c>
      <c r="L62" s="18" t="s">
        <v>55</v>
      </c>
      <c r="M62" s="18" t="s">
        <v>55</v>
      </c>
      <c r="N62" s="38" t="s">
        <v>55</v>
      </c>
      <c r="O62" s="38" t="s">
        <v>55</v>
      </c>
      <c r="P62" s="28">
        <v>46007</v>
      </c>
      <c r="Q62" s="28">
        <v>46024</v>
      </c>
      <c r="R62" s="28">
        <v>46027</v>
      </c>
      <c r="S62" s="3">
        <f t="shared" si="3"/>
        <v>1</v>
      </c>
    </row>
    <row r="63" spans="1:19" x14ac:dyDescent="0.25">
      <c r="A63" s="403" t="str">
        <f t="shared" si="0"/>
        <v>45996459960000-00-000000-00-000000-00-000000-00-000000-00-000000-00-000000-00-000000-00-000000-00-000000-00-0046007460074600846045460481</v>
      </c>
      <c r="B63" s="24">
        <v>45996</v>
      </c>
      <c r="C63" s="39">
        <v>45996</v>
      </c>
      <c r="D63" s="28" t="s">
        <v>55</v>
      </c>
      <c r="E63" s="28" t="s">
        <v>55</v>
      </c>
      <c r="F63" s="28" t="s">
        <v>55</v>
      </c>
      <c r="G63" s="28" t="s">
        <v>55</v>
      </c>
      <c r="H63" s="18" t="s">
        <v>55</v>
      </c>
      <c r="I63" s="18" t="s">
        <v>55</v>
      </c>
      <c r="J63" s="18" t="s">
        <v>55</v>
      </c>
      <c r="K63" s="18" t="s">
        <v>55</v>
      </c>
      <c r="L63" s="18" t="s">
        <v>55</v>
      </c>
      <c r="M63" s="18" t="s">
        <v>55</v>
      </c>
      <c r="N63" s="28">
        <v>46007</v>
      </c>
      <c r="O63" s="28">
        <v>46007</v>
      </c>
      <c r="P63" s="28">
        <v>46008</v>
      </c>
      <c r="Q63" s="28">
        <v>46045</v>
      </c>
      <c r="R63" s="28">
        <v>46048</v>
      </c>
      <c r="S63" s="3">
        <f t="shared" si="3"/>
        <v>1</v>
      </c>
    </row>
    <row r="64" spans="1:19" x14ac:dyDescent="0.25">
      <c r="A64" s="403" t="str">
        <f t="shared" si="0"/>
        <v>45994460000000-00-0045996459990000-00-000000-00-000000-00-000000-00-000000-00-000000-00-000000-00-0046001460134601346024460271</v>
      </c>
      <c r="B64" s="30">
        <v>45994</v>
      </c>
      <c r="C64" s="30">
        <v>46000</v>
      </c>
      <c r="D64" s="30" t="s">
        <v>55</v>
      </c>
      <c r="E64" s="30">
        <v>45996</v>
      </c>
      <c r="F64" s="30">
        <v>45999</v>
      </c>
      <c r="G64" s="37" t="s">
        <v>55</v>
      </c>
      <c r="H64" s="18" t="s">
        <v>55</v>
      </c>
      <c r="I64" s="18" t="s">
        <v>55</v>
      </c>
      <c r="J64" s="18" t="s">
        <v>55</v>
      </c>
      <c r="K64" s="18" t="s">
        <v>55</v>
      </c>
      <c r="L64" s="18" t="s">
        <v>55</v>
      </c>
      <c r="M64" s="18" t="s">
        <v>55</v>
      </c>
      <c r="N64" s="28">
        <v>46001</v>
      </c>
      <c r="O64" s="28">
        <v>46013</v>
      </c>
      <c r="P64" s="28">
        <v>46013</v>
      </c>
      <c r="Q64" s="28">
        <v>46024</v>
      </c>
      <c r="R64" s="28">
        <v>46027</v>
      </c>
      <c r="S64" s="3">
        <f t="shared" si="3"/>
        <v>1</v>
      </c>
    </row>
    <row r="65" spans="1:19" x14ac:dyDescent="0.25">
      <c r="A65" s="403" t="str">
        <f t="shared" si="0"/>
        <v>46000460000000-00-0046002460020000-00-000000-00-000000-00-000000-00-000000-00-000000-00-000000-00-0046007460074600846021460271</v>
      </c>
      <c r="B65" s="37">
        <v>46000</v>
      </c>
      <c r="C65" s="37">
        <v>46000</v>
      </c>
      <c r="D65" s="18" t="s">
        <v>55</v>
      </c>
      <c r="E65" s="37">
        <v>46002</v>
      </c>
      <c r="F65" s="37">
        <v>46002</v>
      </c>
      <c r="G65" s="18" t="s">
        <v>55</v>
      </c>
      <c r="H65" s="18" t="s">
        <v>55</v>
      </c>
      <c r="I65" s="18" t="s">
        <v>55</v>
      </c>
      <c r="J65" s="18" t="s">
        <v>55</v>
      </c>
      <c r="K65" s="18" t="s">
        <v>55</v>
      </c>
      <c r="L65" s="18" t="s">
        <v>55</v>
      </c>
      <c r="M65" s="18" t="s">
        <v>55</v>
      </c>
      <c r="N65" s="38">
        <v>46007</v>
      </c>
      <c r="O65" s="38">
        <v>46007</v>
      </c>
      <c r="P65" s="38">
        <v>46008</v>
      </c>
      <c r="Q65" s="38">
        <v>46021</v>
      </c>
      <c r="R65" s="53">
        <v>46027</v>
      </c>
      <c r="S65" s="3">
        <f t="shared" si="3"/>
        <v>1</v>
      </c>
    </row>
    <row r="66" spans="1:19" x14ac:dyDescent="0.25">
      <c r="A66" s="403" t="str">
        <f t="shared" ref="A66:A129" si="4">+B66&amp;C66&amp;D66&amp;E66&amp;F66&amp;G66&amp;H66&amp;I66&amp;J66&amp;K66&amp;L66&amp;M66&amp;N66&amp;O66&amp;P66&amp;Q66&amp;R66&amp;S66</f>
        <v>46000460000000-00-0046007460070000-00-000000-00-000000-00-000000-00-000000-00-000000-00-000000-00-0046008460094600946024460271</v>
      </c>
      <c r="B66" s="37">
        <v>46000</v>
      </c>
      <c r="C66" s="37">
        <v>46000</v>
      </c>
      <c r="D66" s="18" t="s">
        <v>55</v>
      </c>
      <c r="E66" s="37">
        <v>46007</v>
      </c>
      <c r="F66" s="37">
        <v>46007</v>
      </c>
      <c r="G66" s="18" t="s">
        <v>55</v>
      </c>
      <c r="H66" s="18" t="s">
        <v>55</v>
      </c>
      <c r="I66" s="18" t="s">
        <v>55</v>
      </c>
      <c r="J66" s="18" t="s">
        <v>55</v>
      </c>
      <c r="K66" s="18" t="s">
        <v>55</v>
      </c>
      <c r="L66" s="18" t="s">
        <v>55</v>
      </c>
      <c r="M66" s="18" t="s">
        <v>55</v>
      </c>
      <c r="N66" s="38">
        <v>46008</v>
      </c>
      <c r="O66" s="38">
        <v>46009</v>
      </c>
      <c r="P66" s="38">
        <v>46009</v>
      </c>
      <c r="Q66" s="38">
        <v>46024</v>
      </c>
      <c r="R66" s="38">
        <v>46027</v>
      </c>
      <c r="S66" s="3">
        <f t="shared" si="3"/>
        <v>1</v>
      </c>
    </row>
    <row r="67" spans="1:19" x14ac:dyDescent="0.25">
      <c r="A67" s="403" t="str">
        <f t="shared" si="4"/>
        <v>46000460000000-00-0046014460140000-00-000000-00-000000-00-000000-00-000000-00-000000-00-000000-00-0046017460174601746031460351</v>
      </c>
      <c r="B67" s="30">
        <v>46000</v>
      </c>
      <c r="C67" s="28">
        <v>46000</v>
      </c>
      <c r="D67" s="33" t="s">
        <v>55</v>
      </c>
      <c r="E67" s="28">
        <v>46014</v>
      </c>
      <c r="F67" s="28">
        <v>46014</v>
      </c>
      <c r="G67" s="33" t="s">
        <v>55</v>
      </c>
      <c r="H67" s="18" t="s">
        <v>55</v>
      </c>
      <c r="I67" s="18" t="s">
        <v>55</v>
      </c>
      <c r="J67" s="18" t="s">
        <v>55</v>
      </c>
      <c r="K67" s="18" t="s">
        <v>55</v>
      </c>
      <c r="L67" s="18" t="s">
        <v>55</v>
      </c>
      <c r="M67" s="18" t="s">
        <v>55</v>
      </c>
      <c r="N67" s="28">
        <v>46017</v>
      </c>
      <c r="O67" s="28">
        <v>46017</v>
      </c>
      <c r="P67" s="28">
        <v>46017</v>
      </c>
      <c r="Q67" s="28">
        <v>46031</v>
      </c>
      <c r="R67" s="28">
        <v>46035</v>
      </c>
      <c r="S67" s="3">
        <v>1</v>
      </c>
    </row>
    <row r="68" spans="1:19" x14ac:dyDescent="0.25">
      <c r="A68" s="403" t="str">
        <f t="shared" si="4"/>
        <v>45978460010000-00-0045988459880000-00-000000-00-000000-00-000000-00-000000-00-000000-00-000000-00-0046007460074600746024460271</v>
      </c>
      <c r="B68" s="30">
        <v>45978</v>
      </c>
      <c r="C68" s="24">
        <v>46001</v>
      </c>
      <c r="D68" s="3" t="s">
        <v>55</v>
      </c>
      <c r="E68" s="30">
        <v>45988</v>
      </c>
      <c r="F68" s="30">
        <v>45988</v>
      </c>
      <c r="G68" s="18" t="s">
        <v>55</v>
      </c>
      <c r="H68" s="18" t="s">
        <v>55</v>
      </c>
      <c r="I68" s="18" t="s">
        <v>55</v>
      </c>
      <c r="J68" s="18" t="s">
        <v>55</v>
      </c>
      <c r="K68" s="18" t="s">
        <v>55</v>
      </c>
      <c r="L68" s="18" t="s">
        <v>55</v>
      </c>
      <c r="M68" s="18" t="s">
        <v>55</v>
      </c>
      <c r="N68" s="28">
        <v>46007</v>
      </c>
      <c r="O68" s="28">
        <v>46007</v>
      </c>
      <c r="P68" s="28">
        <v>46007</v>
      </c>
      <c r="Q68" s="28">
        <v>46024</v>
      </c>
      <c r="R68" s="28">
        <v>46027</v>
      </c>
      <c r="S68" s="3">
        <f t="shared" ref="S68:S96" si="5">MONTH(R68)</f>
        <v>1</v>
      </c>
    </row>
    <row r="69" spans="1:19" x14ac:dyDescent="0.25">
      <c r="A69" s="403" t="str">
        <f t="shared" si="4"/>
        <v>46001460010000-00-0046006460060000-00-000000-00-000000-00-000000-00-000000-00-000000-00-000000-00-0046009460094600946024460271</v>
      </c>
      <c r="B69" s="24">
        <v>46001</v>
      </c>
      <c r="C69" s="24">
        <v>46001</v>
      </c>
      <c r="D69" s="3" t="s">
        <v>55</v>
      </c>
      <c r="E69" s="30">
        <v>46006</v>
      </c>
      <c r="F69" s="30">
        <v>46006</v>
      </c>
      <c r="G69" s="18" t="s">
        <v>55</v>
      </c>
      <c r="H69" s="18" t="s">
        <v>55</v>
      </c>
      <c r="I69" s="18" t="s">
        <v>55</v>
      </c>
      <c r="J69" s="18" t="s">
        <v>55</v>
      </c>
      <c r="K69" s="18" t="s">
        <v>55</v>
      </c>
      <c r="L69" s="18" t="s">
        <v>55</v>
      </c>
      <c r="M69" s="18" t="s">
        <v>55</v>
      </c>
      <c r="N69" s="28">
        <v>46009</v>
      </c>
      <c r="O69" s="28">
        <v>46009</v>
      </c>
      <c r="P69" s="28">
        <v>46009</v>
      </c>
      <c r="Q69" s="28">
        <v>46024</v>
      </c>
      <c r="R69" s="28">
        <v>46027</v>
      </c>
      <c r="S69" s="3">
        <f t="shared" si="5"/>
        <v>1</v>
      </c>
    </row>
    <row r="70" spans="1:19" x14ac:dyDescent="0.25">
      <c r="A70" s="403" t="str">
        <f t="shared" si="4"/>
        <v>46001460010000-00-0046006460060000-00-000000-00-000000-00-000000-00-000000-00-000000-00-000000-00-0046027460274602746031460351</v>
      </c>
      <c r="B70" s="24">
        <v>46001</v>
      </c>
      <c r="C70" s="24">
        <v>46001</v>
      </c>
      <c r="D70" s="3" t="s">
        <v>55</v>
      </c>
      <c r="E70" s="30">
        <v>46006</v>
      </c>
      <c r="F70" s="30">
        <v>46006</v>
      </c>
      <c r="G70" s="18" t="s">
        <v>55</v>
      </c>
      <c r="H70" s="18" t="s">
        <v>55</v>
      </c>
      <c r="I70" s="18" t="s">
        <v>55</v>
      </c>
      <c r="J70" s="18" t="s">
        <v>55</v>
      </c>
      <c r="K70" s="18" t="s">
        <v>55</v>
      </c>
      <c r="L70" s="18" t="s">
        <v>55</v>
      </c>
      <c r="M70" s="18" t="s">
        <v>55</v>
      </c>
      <c r="N70" s="28">
        <v>46027</v>
      </c>
      <c r="O70" s="28">
        <v>46027</v>
      </c>
      <c r="P70" s="28">
        <v>46027</v>
      </c>
      <c r="Q70" s="28">
        <v>46031</v>
      </c>
      <c r="R70" s="28">
        <v>46035</v>
      </c>
      <c r="S70" s="3">
        <f t="shared" si="5"/>
        <v>1</v>
      </c>
    </row>
    <row r="71" spans="1:19" x14ac:dyDescent="0.25">
      <c r="A71" s="403" t="str">
        <f t="shared" si="4"/>
        <v>46001460010000-00-0046006460060000-00-000000-00-000000-00-000000-00-000000-00-000000-00-000000-00-0046009460094600946031460351</v>
      </c>
      <c r="B71" s="24">
        <v>46001</v>
      </c>
      <c r="C71" s="24">
        <v>46001</v>
      </c>
      <c r="D71" s="3" t="s">
        <v>55</v>
      </c>
      <c r="E71" s="30">
        <v>46006</v>
      </c>
      <c r="F71" s="30">
        <v>46006</v>
      </c>
      <c r="G71" s="18" t="s">
        <v>55</v>
      </c>
      <c r="H71" s="18" t="s">
        <v>55</v>
      </c>
      <c r="I71" s="18" t="s">
        <v>55</v>
      </c>
      <c r="J71" s="18" t="s">
        <v>55</v>
      </c>
      <c r="K71" s="18" t="s">
        <v>55</v>
      </c>
      <c r="L71" s="18" t="s">
        <v>55</v>
      </c>
      <c r="M71" s="18" t="s">
        <v>55</v>
      </c>
      <c r="N71" s="28">
        <v>46009</v>
      </c>
      <c r="O71" s="28">
        <v>46009</v>
      </c>
      <c r="P71" s="28">
        <v>46009</v>
      </c>
      <c r="Q71" s="28">
        <v>46031</v>
      </c>
      <c r="R71" s="28">
        <v>46035</v>
      </c>
      <c r="S71" s="3">
        <f t="shared" si="5"/>
        <v>1</v>
      </c>
    </row>
    <row r="72" spans="1:19" x14ac:dyDescent="0.25">
      <c r="A72" s="403" t="str">
        <f t="shared" si="4"/>
        <v>45996459730000-00-0046000460000000-00-000000-00-000000-00-000000-00-000000-00-000000-00-000000-00-0046010460104601046017460271</v>
      </c>
      <c r="B72" s="44">
        <v>45996</v>
      </c>
      <c r="C72" s="44">
        <v>45973</v>
      </c>
      <c r="D72" s="2" t="s">
        <v>55</v>
      </c>
      <c r="E72" s="44">
        <v>46000</v>
      </c>
      <c r="F72" s="44">
        <v>46000</v>
      </c>
      <c r="G72" s="2" t="s">
        <v>55</v>
      </c>
      <c r="H72" s="18" t="s">
        <v>55</v>
      </c>
      <c r="I72" s="18" t="s">
        <v>55</v>
      </c>
      <c r="J72" s="18" t="s">
        <v>55</v>
      </c>
      <c r="K72" s="18" t="s">
        <v>55</v>
      </c>
      <c r="L72" s="18" t="s">
        <v>55</v>
      </c>
      <c r="M72" s="18" t="s">
        <v>55</v>
      </c>
      <c r="N72" s="53">
        <v>46010</v>
      </c>
      <c r="O72" s="53">
        <v>46010</v>
      </c>
      <c r="P72" s="53">
        <v>46010</v>
      </c>
      <c r="Q72" s="53">
        <v>46017</v>
      </c>
      <c r="R72" s="53">
        <v>46027</v>
      </c>
      <c r="S72" s="3">
        <f t="shared" si="5"/>
        <v>1</v>
      </c>
    </row>
    <row r="73" spans="1:19" x14ac:dyDescent="0.25">
      <c r="A73" s="403" t="str">
        <f t="shared" si="4"/>
        <v>45996459730000-00-0046000460000000-00-000000-00-000000-00-000000-00-000000-00-000000-00-000000-00-0046010460104601046024460271</v>
      </c>
      <c r="B73" s="44">
        <v>45996</v>
      </c>
      <c r="C73" s="44">
        <v>45973</v>
      </c>
      <c r="D73" s="2" t="s">
        <v>55</v>
      </c>
      <c r="E73" s="44">
        <v>46000</v>
      </c>
      <c r="F73" s="44">
        <v>46000</v>
      </c>
      <c r="G73" s="2" t="s">
        <v>55</v>
      </c>
      <c r="H73" s="18" t="s">
        <v>55</v>
      </c>
      <c r="I73" s="18" t="s">
        <v>55</v>
      </c>
      <c r="J73" s="18" t="s">
        <v>55</v>
      </c>
      <c r="K73" s="18" t="s">
        <v>55</v>
      </c>
      <c r="L73" s="18" t="s">
        <v>55</v>
      </c>
      <c r="M73" s="18" t="s">
        <v>55</v>
      </c>
      <c r="N73" s="53">
        <v>46010</v>
      </c>
      <c r="O73" s="53">
        <v>46010</v>
      </c>
      <c r="P73" s="53">
        <v>46010</v>
      </c>
      <c r="Q73" s="53">
        <v>46024</v>
      </c>
      <c r="R73" s="53">
        <v>46027</v>
      </c>
      <c r="S73" s="3">
        <f t="shared" si="5"/>
        <v>1</v>
      </c>
    </row>
    <row r="74" spans="1:19" x14ac:dyDescent="0.25">
      <c r="A74" s="403" t="str">
        <f t="shared" si="4"/>
        <v>46002460020000-00-000000-00-000000-00-000000-00-000000-00-000000-00-000000-00-000000-00-000000-00-000000-00-0046008460134601346044460451</v>
      </c>
      <c r="B74" s="37">
        <v>46002</v>
      </c>
      <c r="C74" s="38">
        <v>46002</v>
      </c>
      <c r="D74" s="28" t="s">
        <v>55</v>
      </c>
      <c r="E74" s="28" t="s">
        <v>55</v>
      </c>
      <c r="F74" s="28" t="s">
        <v>55</v>
      </c>
      <c r="G74" s="28" t="s">
        <v>55</v>
      </c>
      <c r="H74" s="18" t="s">
        <v>55</v>
      </c>
      <c r="I74" s="18" t="s">
        <v>55</v>
      </c>
      <c r="J74" s="18" t="s">
        <v>55</v>
      </c>
      <c r="K74" s="18" t="s">
        <v>55</v>
      </c>
      <c r="L74" s="18" t="s">
        <v>55</v>
      </c>
      <c r="M74" s="18" t="s">
        <v>55</v>
      </c>
      <c r="N74" s="28">
        <v>46008</v>
      </c>
      <c r="O74" s="28">
        <v>46013</v>
      </c>
      <c r="P74" s="28">
        <v>46013</v>
      </c>
      <c r="Q74" s="28">
        <v>46044</v>
      </c>
      <c r="R74" s="28">
        <v>46045</v>
      </c>
      <c r="S74" s="3">
        <f t="shared" si="5"/>
        <v>1</v>
      </c>
    </row>
    <row r="75" spans="1:19" x14ac:dyDescent="0.25">
      <c r="A75" s="403" t="str">
        <f t="shared" si="4"/>
        <v>46000460030000-00-0046007460070000-00-000000-00-000000-00-000000-00-000000-00-000000-00-000000-00-0046010460104601046031460351</v>
      </c>
      <c r="B75" s="30">
        <v>46000</v>
      </c>
      <c r="C75" s="24">
        <v>46003</v>
      </c>
      <c r="D75" s="3" t="s">
        <v>55</v>
      </c>
      <c r="E75" s="30">
        <v>46007</v>
      </c>
      <c r="F75" s="30">
        <v>46007</v>
      </c>
      <c r="G75" s="18" t="s">
        <v>55</v>
      </c>
      <c r="H75" s="18" t="s">
        <v>55</v>
      </c>
      <c r="I75" s="18" t="s">
        <v>55</v>
      </c>
      <c r="J75" s="18" t="s">
        <v>55</v>
      </c>
      <c r="K75" s="18" t="s">
        <v>55</v>
      </c>
      <c r="L75" s="18" t="s">
        <v>55</v>
      </c>
      <c r="M75" s="18" t="s">
        <v>55</v>
      </c>
      <c r="N75" s="28">
        <v>46010</v>
      </c>
      <c r="O75" s="28">
        <v>46010</v>
      </c>
      <c r="P75" s="28">
        <v>46010</v>
      </c>
      <c r="Q75" s="28">
        <v>46031</v>
      </c>
      <c r="R75" s="28">
        <v>46035</v>
      </c>
      <c r="S75" s="3">
        <f t="shared" si="5"/>
        <v>1</v>
      </c>
    </row>
    <row r="76" spans="1:19" x14ac:dyDescent="0.25">
      <c r="A76" s="403" t="str">
        <f t="shared" si="4"/>
        <v>46006460060000-00-0046031460310000-00-000000-00-000000-00-000000-00-000000-00-000000-00-000000-00-0046036460364603646043460441</v>
      </c>
      <c r="B76" s="28">
        <v>46006</v>
      </c>
      <c r="C76" s="28">
        <v>46006</v>
      </c>
      <c r="D76" s="28" t="s">
        <v>55</v>
      </c>
      <c r="E76" s="28">
        <v>46031</v>
      </c>
      <c r="F76" s="28">
        <v>46031</v>
      </c>
      <c r="G76" s="28" t="s">
        <v>55</v>
      </c>
      <c r="H76" s="18" t="s">
        <v>55</v>
      </c>
      <c r="I76" s="18" t="s">
        <v>55</v>
      </c>
      <c r="J76" s="18" t="s">
        <v>55</v>
      </c>
      <c r="K76" s="18" t="s">
        <v>55</v>
      </c>
      <c r="L76" s="18" t="s">
        <v>55</v>
      </c>
      <c r="M76" s="18" t="s">
        <v>55</v>
      </c>
      <c r="N76" s="28">
        <v>46036</v>
      </c>
      <c r="O76" s="28">
        <v>46036</v>
      </c>
      <c r="P76" s="28">
        <v>46036</v>
      </c>
      <c r="Q76" s="28">
        <v>46043</v>
      </c>
      <c r="R76" s="28">
        <v>46044</v>
      </c>
      <c r="S76" s="3">
        <f t="shared" si="5"/>
        <v>1</v>
      </c>
    </row>
    <row r="77" spans="1:19" x14ac:dyDescent="0.25">
      <c r="A77" s="403" t="str">
        <f t="shared" si="4"/>
        <v>46015460060000-00-0046013460130000-00-000000-00-000000-00-000000-00-000000-00-000000-00-000000-00-0046027460284602846044460451</v>
      </c>
      <c r="B77" s="276">
        <v>46015</v>
      </c>
      <c r="C77" s="277">
        <v>46006</v>
      </c>
      <c r="D77" s="126" t="s">
        <v>55</v>
      </c>
      <c r="E77" s="126">
        <v>46013</v>
      </c>
      <c r="F77" s="126">
        <v>46013</v>
      </c>
      <c r="G77" s="126" t="s">
        <v>55</v>
      </c>
      <c r="H77" s="125" t="s">
        <v>55</v>
      </c>
      <c r="I77" s="125" t="s">
        <v>55</v>
      </c>
      <c r="J77" s="125" t="s">
        <v>55</v>
      </c>
      <c r="K77" s="125" t="s">
        <v>55</v>
      </c>
      <c r="L77" s="125" t="s">
        <v>55</v>
      </c>
      <c r="M77" s="125" t="s">
        <v>55</v>
      </c>
      <c r="N77" s="126">
        <v>46027</v>
      </c>
      <c r="O77" s="126">
        <v>46028</v>
      </c>
      <c r="P77" s="126">
        <v>46028</v>
      </c>
      <c r="Q77" s="126">
        <v>46044</v>
      </c>
      <c r="R77" s="126">
        <v>46045</v>
      </c>
      <c r="S77" s="79">
        <f t="shared" si="5"/>
        <v>1</v>
      </c>
    </row>
    <row r="78" spans="1:19" x14ac:dyDescent="0.25">
      <c r="A78" s="403" t="str">
        <f t="shared" si="4"/>
        <v>46006460060000-00-000000-00-000000-00-000000-00-000000-00-000000-00-000000-00-000000-00-000000-00-000000-00-0046009460104601346024460271</v>
      </c>
      <c r="B78" s="30">
        <v>46006</v>
      </c>
      <c r="C78" s="28">
        <v>46006</v>
      </c>
      <c r="D78" s="28" t="s">
        <v>55</v>
      </c>
      <c r="E78" s="28" t="s">
        <v>55</v>
      </c>
      <c r="F78" s="28" t="s">
        <v>55</v>
      </c>
      <c r="G78" s="28" t="s">
        <v>55</v>
      </c>
      <c r="H78" s="18" t="s">
        <v>55</v>
      </c>
      <c r="I78" s="18" t="s">
        <v>55</v>
      </c>
      <c r="J78" s="18" t="s">
        <v>55</v>
      </c>
      <c r="K78" s="18" t="s">
        <v>55</v>
      </c>
      <c r="L78" s="18" t="s">
        <v>55</v>
      </c>
      <c r="M78" s="18" t="s">
        <v>55</v>
      </c>
      <c r="N78" s="28">
        <v>46009</v>
      </c>
      <c r="O78" s="28">
        <v>46010</v>
      </c>
      <c r="P78" s="28">
        <v>46013</v>
      </c>
      <c r="Q78" s="28">
        <v>46024</v>
      </c>
      <c r="R78" s="28">
        <v>46027</v>
      </c>
      <c r="S78" s="3">
        <f t="shared" si="5"/>
        <v>1</v>
      </c>
    </row>
    <row r="79" spans="1:19" x14ac:dyDescent="0.25">
      <c r="A79" s="403" t="str">
        <f t="shared" si="4"/>
        <v>45992460070000-00-0046007460070000-00-000000-00-000000-00-000000-00-000000-00-000000-00-000000-00-0046009460094600946024460271</v>
      </c>
      <c r="B79" s="37">
        <v>45992</v>
      </c>
      <c r="C79" s="37">
        <v>46007</v>
      </c>
      <c r="D79" s="18" t="s">
        <v>55</v>
      </c>
      <c r="E79" s="37">
        <v>46007</v>
      </c>
      <c r="F79" s="37">
        <v>46007</v>
      </c>
      <c r="G79" s="18" t="s">
        <v>55</v>
      </c>
      <c r="H79" s="18" t="s">
        <v>55</v>
      </c>
      <c r="I79" s="18" t="s">
        <v>55</v>
      </c>
      <c r="J79" s="18" t="s">
        <v>55</v>
      </c>
      <c r="K79" s="18" t="s">
        <v>55</v>
      </c>
      <c r="L79" s="18" t="s">
        <v>55</v>
      </c>
      <c r="M79" s="18" t="s">
        <v>55</v>
      </c>
      <c r="N79" s="38">
        <v>46009</v>
      </c>
      <c r="O79" s="38">
        <v>46009</v>
      </c>
      <c r="P79" s="38">
        <v>46009</v>
      </c>
      <c r="Q79" s="38">
        <v>46024</v>
      </c>
      <c r="R79" s="53">
        <v>46027</v>
      </c>
      <c r="S79" s="3">
        <f t="shared" si="5"/>
        <v>1</v>
      </c>
    </row>
    <row r="80" spans="1:19" x14ac:dyDescent="0.25">
      <c r="A80" s="403" t="str">
        <f t="shared" si="4"/>
        <v>46007460070000-00-000000-00-000000-00-000000-00-000000-00-000000-00-000000-00-000000-00-000000-00-000000-00-0046013460134601346024460271</v>
      </c>
      <c r="B80" s="30">
        <v>46007</v>
      </c>
      <c r="C80" s="42">
        <v>46007</v>
      </c>
      <c r="D80" s="30" t="s">
        <v>55</v>
      </c>
      <c r="E80" s="37" t="s">
        <v>55</v>
      </c>
      <c r="F80" s="37" t="s">
        <v>55</v>
      </c>
      <c r="G80" s="37" t="s">
        <v>55</v>
      </c>
      <c r="H80" s="18" t="s">
        <v>55</v>
      </c>
      <c r="I80" s="18" t="s">
        <v>55</v>
      </c>
      <c r="J80" s="18" t="s">
        <v>55</v>
      </c>
      <c r="K80" s="18" t="s">
        <v>55</v>
      </c>
      <c r="L80" s="18" t="s">
        <v>55</v>
      </c>
      <c r="M80" s="18" t="s">
        <v>55</v>
      </c>
      <c r="N80" s="28">
        <v>46013</v>
      </c>
      <c r="O80" s="28">
        <v>46013</v>
      </c>
      <c r="P80" s="28">
        <v>46013</v>
      </c>
      <c r="Q80" s="28">
        <v>46024</v>
      </c>
      <c r="R80" s="28">
        <v>46027</v>
      </c>
      <c r="S80" s="3">
        <f t="shared" si="5"/>
        <v>1</v>
      </c>
    </row>
    <row r="81" spans="1:19" x14ac:dyDescent="0.25">
      <c r="A81" s="403" t="str">
        <f t="shared" si="4"/>
        <v>46010460150000-00-0046013460130000-00-000000-00-000000-00-000000-00-000000-00-000000-00-000000-00-0045959460274602746031460351</v>
      </c>
      <c r="B81" s="44">
        <v>46010</v>
      </c>
      <c r="C81" s="44">
        <v>46015</v>
      </c>
      <c r="D81" s="2" t="s">
        <v>55</v>
      </c>
      <c r="E81" s="44">
        <v>46013</v>
      </c>
      <c r="F81" s="44">
        <v>46013</v>
      </c>
      <c r="G81" s="2" t="s">
        <v>55</v>
      </c>
      <c r="H81" s="18" t="s">
        <v>55</v>
      </c>
      <c r="I81" s="18" t="s">
        <v>55</v>
      </c>
      <c r="J81" s="18" t="s">
        <v>55</v>
      </c>
      <c r="K81" s="18" t="s">
        <v>55</v>
      </c>
      <c r="L81" s="18" t="s">
        <v>55</v>
      </c>
      <c r="M81" s="18" t="s">
        <v>55</v>
      </c>
      <c r="N81" s="53">
        <v>45959</v>
      </c>
      <c r="O81" s="53">
        <v>46027</v>
      </c>
      <c r="P81" s="53">
        <v>46027</v>
      </c>
      <c r="Q81" s="53">
        <v>46031</v>
      </c>
      <c r="R81" s="53">
        <v>46035</v>
      </c>
      <c r="S81" s="3">
        <f t="shared" si="5"/>
        <v>1</v>
      </c>
    </row>
    <row r="82" spans="1:19" x14ac:dyDescent="0.25">
      <c r="A82" s="403" t="str">
        <f t="shared" si="4"/>
        <v>46008460070000-00-000000-00-000000-00-000000-00-000000-00-000000-00-000000-00-000000-00-000000-00-000000-00-0046013460134601346031460351</v>
      </c>
      <c r="B82" s="30">
        <v>46008</v>
      </c>
      <c r="C82" s="42">
        <v>46007</v>
      </c>
      <c r="D82" s="30" t="s">
        <v>55</v>
      </c>
      <c r="E82" s="37" t="s">
        <v>55</v>
      </c>
      <c r="F82" s="37" t="s">
        <v>55</v>
      </c>
      <c r="G82" s="37" t="s">
        <v>55</v>
      </c>
      <c r="H82" s="18" t="s">
        <v>55</v>
      </c>
      <c r="I82" s="18" t="s">
        <v>55</v>
      </c>
      <c r="J82" s="18" t="s">
        <v>55</v>
      </c>
      <c r="K82" s="18" t="s">
        <v>55</v>
      </c>
      <c r="L82" s="18" t="s">
        <v>55</v>
      </c>
      <c r="M82" s="18" t="s">
        <v>55</v>
      </c>
      <c r="N82" s="28">
        <v>46013</v>
      </c>
      <c r="O82" s="28">
        <v>46013</v>
      </c>
      <c r="P82" s="28">
        <v>46013</v>
      </c>
      <c r="Q82" s="28">
        <v>46031</v>
      </c>
      <c r="R82" s="28">
        <v>46035</v>
      </c>
      <c r="S82" s="3">
        <f t="shared" si="5"/>
        <v>1</v>
      </c>
    </row>
    <row r="83" spans="1:19" x14ac:dyDescent="0.25">
      <c r="A83" s="403" t="str">
        <f t="shared" si="4"/>
        <v>46001460080000-00-0046008460080000-00-000000-00-000000-00-000000-00-000000-00-000000-00-000000-00-0046009460094600946031460351</v>
      </c>
      <c r="B83" s="30">
        <v>46001</v>
      </c>
      <c r="C83" s="24">
        <v>46008</v>
      </c>
      <c r="D83" s="3" t="s">
        <v>55</v>
      </c>
      <c r="E83" s="30">
        <v>46008</v>
      </c>
      <c r="F83" s="30">
        <v>46008</v>
      </c>
      <c r="G83" s="18" t="s">
        <v>55</v>
      </c>
      <c r="H83" s="18" t="s">
        <v>55</v>
      </c>
      <c r="I83" s="18" t="s">
        <v>55</v>
      </c>
      <c r="J83" s="18" t="s">
        <v>55</v>
      </c>
      <c r="K83" s="18" t="s">
        <v>55</v>
      </c>
      <c r="L83" s="18" t="s">
        <v>55</v>
      </c>
      <c r="M83" s="18" t="s">
        <v>55</v>
      </c>
      <c r="N83" s="28">
        <v>46009</v>
      </c>
      <c r="O83" s="28">
        <v>46009</v>
      </c>
      <c r="P83" s="28">
        <v>46009</v>
      </c>
      <c r="Q83" s="28">
        <v>46031</v>
      </c>
      <c r="R83" s="28">
        <v>46035</v>
      </c>
      <c r="S83" s="3">
        <f t="shared" si="5"/>
        <v>1</v>
      </c>
    </row>
    <row r="84" spans="1:19" x14ac:dyDescent="0.25">
      <c r="A84" s="403" t="str">
        <f t="shared" si="4"/>
        <v>46001460080000-00-000000-00-000000-00-000000-00-000000-00-000000-00-000000-00-000000-00-000000-00-000000-00-0046009460094601346024460271</v>
      </c>
      <c r="B84" s="30">
        <v>46001</v>
      </c>
      <c r="C84" s="30">
        <v>46008</v>
      </c>
      <c r="D84" s="30" t="s">
        <v>55</v>
      </c>
      <c r="E84" s="37" t="s">
        <v>55</v>
      </c>
      <c r="F84" s="37" t="s">
        <v>55</v>
      </c>
      <c r="G84" s="37" t="s">
        <v>55</v>
      </c>
      <c r="H84" s="18" t="s">
        <v>55</v>
      </c>
      <c r="I84" s="18" t="s">
        <v>55</v>
      </c>
      <c r="J84" s="18" t="s">
        <v>55</v>
      </c>
      <c r="K84" s="18" t="s">
        <v>55</v>
      </c>
      <c r="L84" s="18" t="s">
        <v>55</v>
      </c>
      <c r="M84" s="18" t="s">
        <v>55</v>
      </c>
      <c r="N84" s="28">
        <v>46009</v>
      </c>
      <c r="O84" s="28">
        <v>46009</v>
      </c>
      <c r="P84" s="28">
        <v>46013</v>
      </c>
      <c r="Q84" s="28">
        <v>46024</v>
      </c>
      <c r="R84" s="28">
        <v>46027</v>
      </c>
      <c r="S84" s="3">
        <f t="shared" si="5"/>
        <v>1</v>
      </c>
    </row>
    <row r="85" spans="1:19" x14ac:dyDescent="0.25">
      <c r="A85" s="403" t="str">
        <f t="shared" si="4"/>
        <v>45995460080000-00-0046000460020000-00-000000-00-000000-00-000000-00-000000-00-000000-00-000000-00-0046009460094601346024460271</v>
      </c>
      <c r="B85" s="30">
        <v>45995</v>
      </c>
      <c r="C85" s="30">
        <v>46008</v>
      </c>
      <c r="D85" s="30" t="s">
        <v>55</v>
      </c>
      <c r="E85" s="30">
        <v>46000</v>
      </c>
      <c r="F85" s="30">
        <v>46002</v>
      </c>
      <c r="G85" s="37" t="s">
        <v>55</v>
      </c>
      <c r="H85" s="18" t="s">
        <v>55</v>
      </c>
      <c r="I85" s="18" t="s">
        <v>55</v>
      </c>
      <c r="J85" s="18" t="s">
        <v>55</v>
      </c>
      <c r="K85" s="18" t="s">
        <v>55</v>
      </c>
      <c r="L85" s="18" t="s">
        <v>55</v>
      </c>
      <c r="M85" s="18" t="s">
        <v>55</v>
      </c>
      <c r="N85" s="28">
        <v>46009</v>
      </c>
      <c r="O85" s="28">
        <v>46009</v>
      </c>
      <c r="P85" s="28">
        <v>46013</v>
      </c>
      <c r="Q85" s="28">
        <v>46024</v>
      </c>
      <c r="R85" s="28">
        <v>46027</v>
      </c>
      <c r="S85" s="3">
        <f t="shared" si="5"/>
        <v>1</v>
      </c>
    </row>
    <row r="86" spans="1:19" x14ac:dyDescent="0.25">
      <c r="A86" s="403" t="str">
        <f t="shared" si="4"/>
        <v>46008460080000-00-000000-00-000000-00-000000-00-000000-00-000000-00-000000-00-000000-00-000000-00-000000-00-0046010460104601346024460271</v>
      </c>
      <c r="B86" s="30">
        <v>46008</v>
      </c>
      <c r="C86" s="30">
        <v>46008</v>
      </c>
      <c r="D86" s="30" t="s">
        <v>55</v>
      </c>
      <c r="E86" s="37" t="s">
        <v>55</v>
      </c>
      <c r="F86" s="37" t="s">
        <v>55</v>
      </c>
      <c r="G86" s="37" t="s">
        <v>55</v>
      </c>
      <c r="H86" s="18" t="s">
        <v>55</v>
      </c>
      <c r="I86" s="18" t="s">
        <v>55</v>
      </c>
      <c r="J86" s="18" t="s">
        <v>55</v>
      </c>
      <c r="K86" s="18" t="s">
        <v>55</v>
      </c>
      <c r="L86" s="18" t="s">
        <v>55</v>
      </c>
      <c r="M86" s="18" t="s">
        <v>55</v>
      </c>
      <c r="N86" s="28">
        <v>46010</v>
      </c>
      <c r="O86" s="28">
        <v>46010</v>
      </c>
      <c r="P86" s="28">
        <v>46013</v>
      </c>
      <c r="Q86" s="28">
        <v>46024</v>
      </c>
      <c r="R86" s="28">
        <v>46027</v>
      </c>
      <c r="S86" s="3">
        <f t="shared" si="5"/>
        <v>1</v>
      </c>
    </row>
    <row r="87" spans="1:19" x14ac:dyDescent="0.25">
      <c r="A87" s="403" t="str">
        <f t="shared" si="4"/>
        <v>46003460080000-00-000000-00-000000-00-000000-00-000000-00-000000-00-000000-00-000000-00-000000-00-000000-00-0046009460104601046027460271</v>
      </c>
      <c r="B87" s="30">
        <v>46003</v>
      </c>
      <c r="C87" s="30">
        <v>46008</v>
      </c>
      <c r="D87" s="30" t="s">
        <v>55</v>
      </c>
      <c r="E87" s="30" t="s">
        <v>55</v>
      </c>
      <c r="F87" s="30" t="s">
        <v>55</v>
      </c>
      <c r="G87" s="37" t="s">
        <v>55</v>
      </c>
      <c r="H87" s="18" t="s">
        <v>55</v>
      </c>
      <c r="I87" s="18" t="s">
        <v>55</v>
      </c>
      <c r="J87" s="18" t="s">
        <v>55</v>
      </c>
      <c r="K87" s="18" t="s">
        <v>55</v>
      </c>
      <c r="L87" s="18" t="s">
        <v>55</v>
      </c>
      <c r="M87" s="18" t="s">
        <v>55</v>
      </c>
      <c r="N87" s="28">
        <v>46009</v>
      </c>
      <c r="O87" s="28">
        <v>46010</v>
      </c>
      <c r="P87" s="28">
        <v>46010</v>
      </c>
      <c r="Q87" s="28">
        <v>46027</v>
      </c>
      <c r="R87" s="28">
        <v>46027</v>
      </c>
      <c r="S87" s="3">
        <f t="shared" si="5"/>
        <v>1</v>
      </c>
    </row>
    <row r="88" spans="1:19" x14ac:dyDescent="0.25">
      <c r="A88" s="403" t="str">
        <f t="shared" si="4"/>
        <v>45995460080000-00-0046001460030000-00-000000-00-000000-00-000000-00-000000-00-000000-00-000000-00-0046009460104601046027460271</v>
      </c>
      <c r="B88" s="30">
        <v>45995</v>
      </c>
      <c r="C88" s="30">
        <v>46008</v>
      </c>
      <c r="D88" s="30" t="s">
        <v>55</v>
      </c>
      <c r="E88" s="30">
        <v>46001</v>
      </c>
      <c r="F88" s="30">
        <v>46003</v>
      </c>
      <c r="G88" s="37" t="s">
        <v>55</v>
      </c>
      <c r="H88" s="18" t="s">
        <v>55</v>
      </c>
      <c r="I88" s="18" t="s">
        <v>55</v>
      </c>
      <c r="J88" s="18" t="s">
        <v>55</v>
      </c>
      <c r="K88" s="18" t="s">
        <v>55</v>
      </c>
      <c r="L88" s="18" t="s">
        <v>55</v>
      </c>
      <c r="M88" s="18" t="s">
        <v>55</v>
      </c>
      <c r="N88" s="28">
        <v>46009</v>
      </c>
      <c r="O88" s="28">
        <v>46010</v>
      </c>
      <c r="P88" s="28">
        <v>46010</v>
      </c>
      <c r="Q88" s="28">
        <v>46027</v>
      </c>
      <c r="R88" s="28">
        <v>46027</v>
      </c>
      <c r="S88" s="3">
        <f t="shared" si="5"/>
        <v>1</v>
      </c>
    </row>
    <row r="89" spans="1:19" x14ac:dyDescent="0.25">
      <c r="A89" s="403" t="str">
        <f t="shared" si="4"/>
        <v>46003460080000-00-000000-00-000000-00-000000-00-000000-00-000000-00-000000-00-000000-00-000000-00-000000-00-0046014460144601446030460351</v>
      </c>
      <c r="B89" s="30">
        <v>46003</v>
      </c>
      <c r="C89" s="30">
        <v>46008</v>
      </c>
      <c r="D89" s="30" t="s">
        <v>55</v>
      </c>
      <c r="E89" s="3" t="s">
        <v>55</v>
      </c>
      <c r="F89" s="3" t="s">
        <v>55</v>
      </c>
      <c r="G89" s="37" t="s">
        <v>55</v>
      </c>
      <c r="H89" s="18" t="s">
        <v>55</v>
      </c>
      <c r="I89" s="18" t="s">
        <v>55</v>
      </c>
      <c r="J89" s="18" t="s">
        <v>55</v>
      </c>
      <c r="K89" s="18" t="s">
        <v>55</v>
      </c>
      <c r="L89" s="18" t="s">
        <v>55</v>
      </c>
      <c r="M89" s="18" t="s">
        <v>55</v>
      </c>
      <c r="N89" s="28">
        <v>46014</v>
      </c>
      <c r="O89" s="28">
        <v>46014</v>
      </c>
      <c r="P89" s="28">
        <v>46014</v>
      </c>
      <c r="Q89" s="28">
        <v>46030</v>
      </c>
      <c r="R89" s="28">
        <v>46035</v>
      </c>
      <c r="S89" s="3">
        <f t="shared" si="5"/>
        <v>1</v>
      </c>
    </row>
    <row r="90" spans="1:19" x14ac:dyDescent="0.25">
      <c r="A90" s="403" t="str">
        <f t="shared" si="4"/>
        <v>46010460080000-00-0046014460200000-00-000000-00-000000-00-000000-00-000000-00-000000-00-000000-00-0046027460274602746031460351</v>
      </c>
      <c r="B90" s="30">
        <v>46010</v>
      </c>
      <c r="C90" s="42">
        <v>46008</v>
      </c>
      <c r="D90" s="30" t="s">
        <v>55</v>
      </c>
      <c r="E90" s="30">
        <v>46014</v>
      </c>
      <c r="F90" s="30">
        <v>46020</v>
      </c>
      <c r="G90" s="37" t="s">
        <v>55</v>
      </c>
      <c r="H90" s="18" t="s">
        <v>55</v>
      </c>
      <c r="I90" s="18" t="s">
        <v>55</v>
      </c>
      <c r="J90" s="18" t="s">
        <v>55</v>
      </c>
      <c r="K90" s="18" t="s">
        <v>55</v>
      </c>
      <c r="L90" s="18" t="s">
        <v>55</v>
      </c>
      <c r="M90" s="18" t="s">
        <v>55</v>
      </c>
      <c r="N90" s="28">
        <v>46027</v>
      </c>
      <c r="O90" s="28">
        <v>46027</v>
      </c>
      <c r="P90" s="28">
        <v>46027</v>
      </c>
      <c r="Q90" s="28">
        <v>46031</v>
      </c>
      <c r="R90" s="28">
        <v>46035</v>
      </c>
      <c r="S90" s="3">
        <f t="shared" si="5"/>
        <v>1</v>
      </c>
    </row>
    <row r="91" spans="1:19" x14ac:dyDescent="0.25">
      <c r="A91" s="403" t="str">
        <f t="shared" si="4"/>
        <v>45992459920000-00-0045993459930000-00-000000-00-000000-00-000000-00-000000-00-000000-00-000000-00-0046010460134601346024460271</v>
      </c>
      <c r="B91" s="15">
        <v>45992</v>
      </c>
      <c r="C91" s="16">
        <v>45992</v>
      </c>
      <c r="D91" s="16" t="s">
        <v>55</v>
      </c>
      <c r="E91" s="70">
        <v>45993</v>
      </c>
      <c r="F91" s="70">
        <v>45993</v>
      </c>
      <c r="G91" s="16" t="s">
        <v>55</v>
      </c>
      <c r="H91" s="18" t="s">
        <v>55</v>
      </c>
      <c r="I91" s="18" t="s">
        <v>55</v>
      </c>
      <c r="J91" s="18" t="s">
        <v>55</v>
      </c>
      <c r="K91" s="18" t="s">
        <v>55</v>
      </c>
      <c r="L91" s="18" t="s">
        <v>55</v>
      </c>
      <c r="M91" s="18" t="s">
        <v>55</v>
      </c>
      <c r="N91" s="16">
        <v>46010</v>
      </c>
      <c r="O91" s="16">
        <v>46013</v>
      </c>
      <c r="P91" s="16">
        <v>46013</v>
      </c>
      <c r="Q91" s="16">
        <v>46024</v>
      </c>
      <c r="R91" s="16">
        <v>46027</v>
      </c>
      <c r="S91" s="3">
        <f t="shared" si="5"/>
        <v>1</v>
      </c>
    </row>
    <row r="92" spans="1:19" x14ac:dyDescent="0.25">
      <c r="A92" s="403" t="str">
        <f t="shared" si="4"/>
        <v>46009460090000-00-0046010460130000-00-000000-00-000000-00-000000-00-000000-00-000000-00-000000-00-0046021460304603146042460441</v>
      </c>
      <c r="B92" s="30">
        <v>46009</v>
      </c>
      <c r="C92" s="42">
        <v>46009</v>
      </c>
      <c r="D92" s="30" t="s">
        <v>55</v>
      </c>
      <c r="E92" s="30">
        <v>46010</v>
      </c>
      <c r="F92" s="30">
        <v>46013</v>
      </c>
      <c r="G92" s="37" t="s">
        <v>55</v>
      </c>
      <c r="H92" s="18" t="s">
        <v>55</v>
      </c>
      <c r="I92" s="18" t="s">
        <v>55</v>
      </c>
      <c r="J92" s="18" t="s">
        <v>55</v>
      </c>
      <c r="K92" s="18" t="s">
        <v>55</v>
      </c>
      <c r="L92" s="18" t="s">
        <v>55</v>
      </c>
      <c r="M92" s="18" t="s">
        <v>55</v>
      </c>
      <c r="N92" s="28">
        <v>46021</v>
      </c>
      <c r="O92" s="28">
        <v>46030</v>
      </c>
      <c r="P92" s="28">
        <v>46031</v>
      </c>
      <c r="Q92" s="28">
        <v>46042</v>
      </c>
      <c r="R92" s="28">
        <v>46044</v>
      </c>
      <c r="S92" s="3">
        <f t="shared" si="5"/>
        <v>1</v>
      </c>
    </row>
    <row r="93" spans="1:19" x14ac:dyDescent="0.25">
      <c r="A93" s="403" t="str">
        <f t="shared" si="4"/>
        <v>46013460130000-00-0046021460210000-00-000000-00-000000-00-000000-00-000000-00-000000-00-000000-00-0046034460344603446044460451</v>
      </c>
      <c r="B93" s="30">
        <v>46013</v>
      </c>
      <c r="C93" s="28">
        <v>46013</v>
      </c>
      <c r="D93" s="28" t="s">
        <v>55</v>
      </c>
      <c r="E93" s="28">
        <v>46021</v>
      </c>
      <c r="F93" s="28">
        <v>46021</v>
      </c>
      <c r="G93" s="28" t="s">
        <v>55</v>
      </c>
      <c r="H93" s="18" t="s">
        <v>55</v>
      </c>
      <c r="I93" s="18" t="s">
        <v>55</v>
      </c>
      <c r="J93" s="18" t="s">
        <v>55</v>
      </c>
      <c r="K93" s="18" t="s">
        <v>55</v>
      </c>
      <c r="L93" s="18" t="s">
        <v>55</v>
      </c>
      <c r="M93" s="18" t="s">
        <v>55</v>
      </c>
      <c r="N93" s="28">
        <v>46034</v>
      </c>
      <c r="O93" s="28">
        <v>46034</v>
      </c>
      <c r="P93" s="28">
        <v>46034</v>
      </c>
      <c r="Q93" s="28">
        <v>46044</v>
      </c>
      <c r="R93" s="28">
        <v>46045</v>
      </c>
      <c r="S93" s="3">
        <f t="shared" si="5"/>
        <v>1</v>
      </c>
    </row>
    <row r="94" spans="1:19" x14ac:dyDescent="0.25">
      <c r="A94" s="403" t="str">
        <f t="shared" si="4"/>
        <v>46021460130000-00-000000-00-000000-00-000000-00-000000-00-000000-00-000000-00-000000-00-000000-00-000000-00-0046030460354603546044460451</v>
      </c>
      <c r="B94" s="15">
        <v>46021</v>
      </c>
      <c r="C94" s="16">
        <v>46013</v>
      </c>
      <c r="D94" s="16" t="s">
        <v>55</v>
      </c>
      <c r="E94" s="28" t="s">
        <v>55</v>
      </c>
      <c r="F94" s="28" t="s">
        <v>55</v>
      </c>
      <c r="G94" s="28" t="s">
        <v>55</v>
      </c>
      <c r="H94" s="18" t="s">
        <v>55</v>
      </c>
      <c r="I94" s="18" t="s">
        <v>55</v>
      </c>
      <c r="J94" s="18" t="s">
        <v>55</v>
      </c>
      <c r="K94" s="18" t="s">
        <v>55</v>
      </c>
      <c r="L94" s="18" t="s">
        <v>55</v>
      </c>
      <c r="M94" s="18" t="s">
        <v>55</v>
      </c>
      <c r="N94" s="16">
        <v>46030</v>
      </c>
      <c r="O94" s="16">
        <v>46035</v>
      </c>
      <c r="P94" s="16">
        <v>46035</v>
      </c>
      <c r="Q94" s="16">
        <v>46044</v>
      </c>
      <c r="R94" s="16">
        <v>46045</v>
      </c>
      <c r="S94" s="3">
        <f t="shared" si="5"/>
        <v>1</v>
      </c>
    </row>
    <row r="95" spans="1:19" x14ac:dyDescent="0.25">
      <c r="A95" s="403" t="str">
        <f t="shared" si="4"/>
        <v>46017460170000-00-000000-00-000000-00-000000-00-000000-00-000000-00-000000-00-000000-00-000000-00-000000-00-0046035460354603646042460441</v>
      </c>
      <c r="B95" s="38">
        <v>46017</v>
      </c>
      <c r="C95" s="38">
        <v>46017</v>
      </c>
      <c r="D95" s="28" t="s">
        <v>55</v>
      </c>
      <c r="E95" s="28" t="s">
        <v>55</v>
      </c>
      <c r="F95" s="28" t="s">
        <v>55</v>
      </c>
      <c r="G95" s="28" t="s">
        <v>55</v>
      </c>
      <c r="H95" s="18" t="s">
        <v>55</v>
      </c>
      <c r="I95" s="18" t="s">
        <v>55</v>
      </c>
      <c r="J95" s="18" t="s">
        <v>55</v>
      </c>
      <c r="K95" s="18" t="s">
        <v>55</v>
      </c>
      <c r="L95" s="18" t="s">
        <v>55</v>
      </c>
      <c r="M95" s="18" t="s">
        <v>55</v>
      </c>
      <c r="N95" s="28">
        <v>46035</v>
      </c>
      <c r="O95" s="28">
        <v>46035</v>
      </c>
      <c r="P95" s="28">
        <v>46036</v>
      </c>
      <c r="Q95" s="28">
        <v>46042</v>
      </c>
      <c r="R95" s="28">
        <v>46044</v>
      </c>
      <c r="S95" s="3">
        <f t="shared" si="5"/>
        <v>1</v>
      </c>
    </row>
    <row r="96" spans="1:19" x14ac:dyDescent="0.25">
      <c r="A96" s="403" t="str">
        <f t="shared" si="4"/>
        <v>46014460210000-00-000000-00-000000-00-000000-00-000000-00-000000-00-000000-00-000000-00-000000-00-000000-00-0046020460204601546024460241</v>
      </c>
      <c r="B96" s="30">
        <v>46014</v>
      </c>
      <c r="C96" s="28">
        <v>46021</v>
      </c>
      <c r="D96" s="28" t="s">
        <v>55</v>
      </c>
      <c r="E96" s="28" t="s">
        <v>55</v>
      </c>
      <c r="F96" s="28" t="s">
        <v>55</v>
      </c>
      <c r="G96" s="28" t="s">
        <v>55</v>
      </c>
      <c r="H96" s="18" t="s">
        <v>55</v>
      </c>
      <c r="I96" s="18" t="s">
        <v>55</v>
      </c>
      <c r="J96" s="18" t="s">
        <v>55</v>
      </c>
      <c r="K96" s="18" t="s">
        <v>55</v>
      </c>
      <c r="L96" s="18" t="s">
        <v>55</v>
      </c>
      <c r="M96" s="18" t="s">
        <v>55</v>
      </c>
      <c r="N96" s="28">
        <v>46020</v>
      </c>
      <c r="O96" s="28">
        <v>46020</v>
      </c>
      <c r="P96" s="28">
        <v>46015</v>
      </c>
      <c r="Q96" s="28">
        <v>46024</v>
      </c>
      <c r="R96" s="28">
        <v>46024</v>
      </c>
      <c r="S96" s="3">
        <f t="shared" si="5"/>
        <v>1</v>
      </c>
    </row>
    <row r="97" spans="1:19" x14ac:dyDescent="0.25">
      <c r="A97" s="403" t="str">
        <f t="shared" si="4"/>
        <v>45992460210000-00-0045996459960000-00-000000-00-000000-00-000000-00-000000-00-000000-00-000000-00-0046013460204602146031460351</v>
      </c>
      <c r="B97" s="30">
        <v>45992</v>
      </c>
      <c r="C97" s="28">
        <v>46021</v>
      </c>
      <c r="D97" s="33" t="s">
        <v>55</v>
      </c>
      <c r="E97" s="28">
        <v>45996</v>
      </c>
      <c r="F97" s="28">
        <v>45996</v>
      </c>
      <c r="G97" s="33" t="s">
        <v>55</v>
      </c>
      <c r="H97" s="18" t="s">
        <v>55</v>
      </c>
      <c r="I97" s="18" t="s">
        <v>55</v>
      </c>
      <c r="J97" s="18" t="s">
        <v>55</v>
      </c>
      <c r="K97" s="18" t="s">
        <v>55</v>
      </c>
      <c r="L97" s="18" t="s">
        <v>55</v>
      </c>
      <c r="M97" s="18" t="s">
        <v>55</v>
      </c>
      <c r="N97" s="28">
        <v>46013</v>
      </c>
      <c r="O97" s="28">
        <v>46020</v>
      </c>
      <c r="P97" s="28">
        <v>46021</v>
      </c>
      <c r="Q97" s="28">
        <v>46031</v>
      </c>
      <c r="R97" s="28">
        <v>46035</v>
      </c>
      <c r="S97" s="3">
        <v>1</v>
      </c>
    </row>
    <row r="98" spans="1:19" x14ac:dyDescent="0.25">
      <c r="A98" s="403" t="str">
        <f t="shared" si="4"/>
        <v>46021460210000-00-000000-00-000000-00-000000-00-000000-00-000000-00-000000-00-000000-00-000000-00-000000-00-0046027460274602746035460361</v>
      </c>
      <c r="B98" s="30">
        <v>46021</v>
      </c>
      <c r="C98" s="28">
        <v>46021</v>
      </c>
      <c r="D98" s="28" t="s">
        <v>55</v>
      </c>
      <c r="E98" s="28" t="s">
        <v>55</v>
      </c>
      <c r="F98" s="28" t="s">
        <v>55</v>
      </c>
      <c r="G98" s="28" t="s">
        <v>55</v>
      </c>
      <c r="H98" s="18" t="s">
        <v>55</v>
      </c>
      <c r="I98" s="18" t="s">
        <v>55</v>
      </c>
      <c r="J98" s="18" t="s">
        <v>55</v>
      </c>
      <c r="K98" s="18" t="s">
        <v>55</v>
      </c>
      <c r="L98" s="18" t="s">
        <v>55</v>
      </c>
      <c r="M98" s="18" t="s">
        <v>55</v>
      </c>
      <c r="N98" s="28">
        <v>46027</v>
      </c>
      <c r="O98" s="28">
        <v>46027</v>
      </c>
      <c r="P98" s="28">
        <v>46027</v>
      </c>
      <c r="Q98" s="28">
        <v>46035</v>
      </c>
      <c r="R98" s="28">
        <v>46036</v>
      </c>
      <c r="S98" s="3">
        <f t="shared" ref="S98:S129" si="6">MONTH(R98)</f>
        <v>1</v>
      </c>
    </row>
    <row r="99" spans="1:19" x14ac:dyDescent="0.25">
      <c r="A99" s="403" t="str">
        <f t="shared" si="4"/>
        <v>46024460240000-00-000000-00-000000-00-000000-00-000000-00-000000-00-000000-00-000000-00-000000-00-000000-00-0046030460304603046043460441</v>
      </c>
      <c r="B99" s="37">
        <v>46024</v>
      </c>
      <c r="C99" s="38">
        <v>46024</v>
      </c>
      <c r="D99" s="28" t="s">
        <v>55</v>
      </c>
      <c r="E99" s="28" t="s">
        <v>55</v>
      </c>
      <c r="F99" s="28" t="s">
        <v>55</v>
      </c>
      <c r="G99" s="28" t="s">
        <v>55</v>
      </c>
      <c r="H99" s="18" t="s">
        <v>55</v>
      </c>
      <c r="I99" s="18" t="s">
        <v>55</v>
      </c>
      <c r="J99" s="18" t="s">
        <v>55</v>
      </c>
      <c r="K99" s="18" t="s">
        <v>55</v>
      </c>
      <c r="L99" s="18" t="s">
        <v>55</v>
      </c>
      <c r="M99" s="18" t="s">
        <v>55</v>
      </c>
      <c r="N99" s="28">
        <v>46030</v>
      </c>
      <c r="O99" s="28">
        <v>46030</v>
      </c>
      <c r="P99" s="28">
        <v>46030</v>
      </c>
      <c r="Q99" s="28">
        <v>46043</v>
      </c>
      <c r="R99" s="28">
        <v>46044</v>
      </c>
      <c r="S99" s="3">
        <f t="shared" si="6"/>
        <v>1</v>
      </c>
    </row>
    <row r="100" spans="1:19" x14ac:dyDescent="0.25">
      <c r="A100" s="403" t="str">
        <f t="shared" si="4"/>
        <v>46030460300000-00-000000-00-000000-00-000000-00-000000-00-000000-00-000000-00-000000-00-000000-00-000000-00-0046035460354603646041460411</v>
      </c>
      <c r="B100" s="15">
        <v>46030</v>
      </c>
      <c r="C100" s="16">
        <v>46030</v>
      </c>
      <c r="D100" s="16" t="s">
        <v>55</v>
      </c>
      <c r="E100" s="28" t="s">
        <v>55</v>
      </c>
      <c r="F100" s="28" t="s">
        <v>55</v>
      </c>
      <c r="G100" s="16" t="s">
        <v>55</v>
      </c>
      <c r="H100" s="18" t="s">
        <v>55</v>
      </c>
      <c r="I100" s="18" t="s">
        <v>55</v>
      </c>
      <c r="J100" s="18" t="s">
        <v>55</v>
      </c>
      <c r="K100" s="18" t="s">
        <v>55</v>
      </c>
      <c r="L100" s="18" t="s">
        <v>55</v>
      </c>
      <c r="M100" s="18" t="s">
        <v>55</v>
      </c>
      <c r="N100" s="16">
        <v>46035</v>
      </c>
      <c r="O100" s="16">
        <v>46035</v>
      </c>
      <c r="P100" s="16">
        <v>46036</v>
      </c>
      <c r="Q100" s="16">
        <v>46041</v>
      </c>
      <c r="R100" s="16">
        <v>46041</v>
      </c>
      <c r="S100" s="3">
        <f t="shared" si="6"/>
        <v>1</v>
      </c>
    </row>
    <row r="101" spans="1:19" x14ac:dyDescent="0.25">
      <c r="A101" s="403" t="str">
        <f t="shared" si="4"/>
        <v>45980459800000-00-0046049460490000-00-000000-00-000000-00-000000-00-000000-00-000000-00-000000-00-0046049460574606446073460762</v>
      </c>
      <c r="B101" s="30">
        <v>45980</v>
      </c>
      <c r="C101" s="30">
        <v>45980</v>
      </c>
      <c r="D101" s="3" t="s">
        <v>55</v>
      </c>
      <c r="E101" s="30">
        <v>46049</v>
      </c>
      <c r="F101" s="30">
        <v>46049</v>
      </c>
      <c r="G101" s="3" t="s">
        <v>55</v>
      </c>
      <c r="H101" s="3" t="s">
        <v>55</v>
      </c>
      <c r="I101" s="3" t="s">
        <v>55</v>
      </c>
      <c r="J101" s="3" t="s">
        <v>55</v>
      </c>
      <c r="K101" s="3" t="s">
        <v>55</v>
      </c>
      <c r="L101" s="3" t="s">
        <v>55</v>
      </c>
      <c r="M101" s="3" t="s">
        <v>55</v>
      </c>
      <c r="N101" s="30">
        <v>46049</v>
      </c>
      <c r="O101" s="30">
        <v>46057</v>
      </c>
      <c r="P101" s="30">
        <v>46064</v>
      </c>
      <c r="Q101" s="16">
        <v>46073</v>
      </c>
      <c r="R101" s="140">
        <v>46076</v>
      </c>
      <c r="S101" s="3">
        <f t="shared" si="6"/>
        <v>2</v>
      </c>
    </row>
    <row r="102" spans="1:19" x14ac:dyDescent="0.25">
      <c r="A102" s="403" t="str">
        <f t="shared" si="4"/>
        <v>46051458930000-00-0046058460580000-00-000000-00-000000-00-000000-00-000000-00-000000-00-000000-00-0046063460634606346073460762</v>
      </c>
      <c r="B102" s="37">
        <v>46051</v>
      </c>
      <c r="C102" s="37">
        <v>45893</v>
      </c>
      <c r="D102" s="18" t="s">
        <v>55</v>
      </c>
      <c r="E102" s="30">
        <v>46058</v>
      </c>
      <c r="F102" s="30">
        <v>46058</v>
      </c>
      <c r="G102" s="18" t="s">
        <v>55</v>
      </c>
      <c r="H102" s="18" t="s">
        <v>55</v>
      </c>
      <c r="I102" s="18" t="s">
        <v>55</v>
      </c>
      <c r="J102" s="18" t="s">
        <v>55</v>
      </c>
      <c r="K102" s="18" t="s">
        <v>55</v>
      </c>
      <c r="L102" s="18" t="s">
        <v>55</v>
      </c>
      <c r="M102" s="3" t="s">
        <v>55</v>
      </c>
      <c r="N102" s="30">
        <v>46063</v>
      </c>
      <c r="O102" s="30">
        <v>46063</v>
      </c>
      <c r="P102" s="30">
        <v>46063</v>
      </c>
      <c r="Q102" s="16">
        <v>46073</v>
      </c>
      <c r="R102" s="140">
        <v>46076</v>
      </c>
      <c r="S102" s="3">
        <f t="shared" si="6"/>
        <v>2</v>
      </c>
    </row>
    <row r="103" spans="1:19" x14ac:dyDescent="0.25">
      <c r="A103" s="403" t="str">
        <f t="shared" si="4"/>
        <v>45897458970000-00-0046055460550000-00-000000-00-000000-00-000000-00-000000-00-000000-00-000000-00-0046063460644606446073460762</v>
      </c>
      <c r="B103" s="44">
        <v>45897</v>
      </c>
      <c r="C103" s="44">
        <v>45897</v>
      </c>
      <c r="D103" s="2" t="s">
        <v>55</v>
      </c>
      <c r="E103" s="44">
        <v>46055</v>
      </c>
      <c r="F103" s="44">
        <v>46055</v>
      </c>
      <c r="G103" s="2" t="s">
        <v>55</v>
      </c>
      <c r="H103" s="2" t="s">
        <v>55</v>
      </c>
      <c r="I103" s="2" t="s">
        <v>55</v>
      </c>
      <c r="J103" s="2" t="s">
        <v>55</v>
      </c>
      <c r="K103" s="2" t="s">
        <v>55</v>
      </c>
      <c r="L103" s="2" t="s">
        <v>55</v>
      </c>
      <c r="M103" s="3" t="s">
        <v>55</v>
      </c>
      <c r="N103" s="44">
        <v>46063</v>
      </c>
      <c r="O103" s="44">
        <v>46064</v>
      </c>
      <c r="P103" s="44">
        <v>46064</v>
      </c>
      <c r="Q103" s="16">
        <v>46073</v>
      </c>
      <c r="R103" s="140">
        <v>46076</v>
      </c>
      <c r="S103" s="3">
        <f t="shared" si="6"/>
        <v>2</v>
      </c>
    </row>
    <row r="104" spans="1:19" x14ac:dyDescent="0.25">
      <c r="A104" s="403" t="str">
        <f t="shared" si="4"/>
        <v>45977458060000-00-0045988459960000-00-000000-00-000000-00-000000-00-000000-00-000000-00-000000-00-0046001460014601746055460652</v>
      </c>
      <c r="B104" s="37">
        <v>45977</v>
      </c>
      <c r="C104" s="37">
        <v>45806</v>
      </c>
      <c r="D104" s="18" t="s">
        <v>55</v>
      </c>
      <c r="E104" s="73">
        <v>45988</v>
      </c>
      <c r="F104" s="73">
        <v>45996</v>
      </c>
      <c r="G104" s="18" t="s">
        <v>55</v>
      </c>
      <c r="H104" s="18" t="s">
        <v>55</v>
      </c>
      <c r="I104" s="18" t="s">
        <v>55</v>
      </c>
      <c r="J104" s="18" t="s">
        <v>55</v>
      </c>
      <c r="K104" s="18" t="s">
        <v>55</v>
      </c>
      <c r="L104" s="18" t="s">
        <v>55</v>
      </c>
      <c r="M104" s="3" t="s">
        <v>55</v>
      </c>
      <c r="N104" s="73">
        <v>46001</v>
      </c>
      <c r="O104" s="73">
        <v>46001</v>
      </c>
      <c r="P104" s="94">
        <v>46017</v>
      </c>
      <c r="Q104" s="37">
        <v>46055</v>
      </c>
      <c r="R104" s="37">
        <v>46065</v>
      </c>
      <c r="S104" s="3">
        <f t="shared" si="6"/>
        <v>2</v>
      </c>
    </row>
    <row r="105" spans="1:19" x14ac:dyDescent="0.25">
      <c r="A105" s="403" t="str">
        <f t="shared" si="4"/>
        <v>45947459380000-00-0045952459634593845939459440000-00-000000-00-000000-00-004596745974460414604846052460552</v>
      </c>
      <c r="B105" s="28">
        <v>45947</v>
      </c>
      <c r="C105" s="28">
        <v>45938</v>
      </c>
      <c r="D105" s="21" t="s">
        <v>55</v>
      </c>
      <c r="E105" s="53">
        <v>45952</v>
      </c>
      <c r="F105" s="53">
        <v>45963</v>
      </c>
      <c r="G105" s="38">
        <v>45938</v>
      </c>
      <c r="H105" s="38">
        <v>45939</v>
      </c>
      <c r="I105" s="38">
        <v>45944</v>
      </c>
      <c r="J105" s="21" t="s">
        <v>55</v>
      </c>
      <c r="K105" s="21" t="s">
        <v>55</v>
      </c>
      <c r="L105" s="21" t="s">
        <v>55</v>
      </c>
      <c r="M105" s="38">
        <v>45967</v>
      </c>
      <c r="N105" s="28">
        <v>45974</v>
      </c>
      <c r="O105" s="28">
        <v>46041</v>
      </c>
      <c r="P105" s="28">
        <v>46048</v>
      </c>
      <c r="Q105" s="16">
        <v>46052</v>
      </c>
      <c r="R105" s="16">
        <v>46055</v>
      </c>
      <c r="S105" s="3">
        <f t="shared" si="6"/>
        <v>2</v>
      </c>
    </row>
    <row r="106" spans="1:19" x14ac:dyDescent="0.25">
      <c r="A106" s="403" t="str">
        <f t="shared" si="4"/>
        <v>46029459440000-00-0046038460420000-00-000000-00-000000-00-000000-00-000000-00-000000-00-000000-00-0046048460484604846052460552</v>
      </c>
      <c r="B106" s="16">
        <v>46029</v>
      </c>
      <c r="C106" s="44">
        <v>45944</v>
      </c>
      <c r="D106" s="18" t="s">
        <v>55</v>
      </c>
      <c r="E106" s="16">
        <v>46038</v>
      </c>
      <c r="F106" s="16">
        <v>46042</v>
      </c>
      <c r="G106" s="18" t="s">
        <v>55</v>
      </c>
      <c r="H106" s="18" t="s">
        <v>55</v>
      </c>
      <c r="I106" s="18" t="s">
        <v>55</v>
      </c>
      <c r="J106" s="18" t="s">
        <v>55</v>
      </c>
      <c r="K106" s="18" t="s">
        <v>55</v>
      </c>
      <c r="L106" s="18" t="s">
        <v>55</v>
      </c>
      <c r="M106" s="3" t="s">
        <v>55</v>
      </c>
      <c r="N106" s="16">
        <v>46048</v>
      </c>
      <c r="O106" s="16">
        <v>46048</v>
      </c>
      <c r="P106" s="16">
        <v>46048</v>
      </c>
      <c r="Q106" s="16">
        <v>46052</v>
      </c>
      <c r="R106" s="16">
        <v>46055</v>
      </c>
      <c r="S106" s="3">
        <f t="shared" si="6"/>
        <v>2</v>
      </c>
    </row>
    <row r="107" spans="1:19" x14ac:dyDescent="0.25">
      <c r="A107" s="403" t="str">
        <f t="shared" si="4"/>
        <v>45944459440000-00-0046014460140000-00-000000-00-000000-00-000000-00-000000-00-000000-00-000000-00-0046044460444604446052460552</v>
      </c>
      <c r="B107" s="44">
        <v>45944</v>
      </c>
      <c r="C107" s="44">
        <v>45944</v>
      </c>
      <c r="D107" s="2" t="s">
        <v>55</v>
      </c>
      <c r="E107" s="28">
        <v>46014</v>
      </c>
      <c r="F107" s="28">
        <v>46014</v>
      </c>
      <c r="G107" s="2" t="s">
        <v>55</v>
      </c>
      <c r="H107" s="2" t="s">
        <v>55</v>
      </c>
      <c r="I107" s="2" t="s">
        <v>55</v>
      </c>
      <c r="J107" s="2" t="s">
        <v>55</v>
      </c>
      <c r="K107" s="2" t="s">
        <v>55</v>
      </c>
      <c r="L107" s="2" t="s">
        <v>55</v>
      </c>
      <c r="M107" s="3" t="s">
        <v>55</v>
      </c>
      <c r="N107" s="16">
        <v>46044</v>
      </c>
      <c r="O107" s="16">
        <v>46044</v>
      </c>
      <c r="P107" s="16">
        <v>46044</v>
      </c>
      <c r="Q107" s="16">
        <v>46052</v>
      </c>
      <c r="R107" s="16">
        <v>46055</v>
      </c>
      <c r="S107" s="3">
        <f t="shared" si="6"/>
        <v>2</v>
      </c>
    </row>
    <row r="108" spans="1:19" x14ac:dyDescent="0.25">
      <c r="A108" s="403" t="str">
        <f t="shared" si="4"/>
        <v>45992459450000-00-0046037460380000-00-000000-00-000000-00-000000-00-000000-00-000000-00-000000-00-0046044460564605746064460652</v>
      </c>
      <c r="B108" s="15">
        <v>45992</v>
      </c>
      <c r="C108" s="16">
        <v>45945</v>
      </c>
      <c r="D108" s="2" t="s">
        <v>55</v>
      </c>
      <c r="E108" s="16">
        <v>46037</v>
      </c>
      <c r="F108" s="16">
        <v>46038</v>
      </c>
      <c r="G108" s="2" t="s">
        <v>55</v>
      </c>
      <c r="H108" s="2" t="s">
        <v>55</v>
      </c>
      <c r="I108" s="2" t="s">
        <v>55</v>
      </c>
      <c r="J108" s="2" t="s">
        <v>55</v>
      </c>
      <c r="K108" s="2" t="s">
        <v>55</v>
      </c>
      <c r="L108" s="2" t="s">
        <v>55</v>
      </c>
      <c r="M108" s="3" t="s">
        <v>55</v>
      </c>
      <c r="N108" s="16">
        <v>46044</v>
      </c>
      <c r="O108" s="16">
        <v>46056</v>
      </c>
      <c r="P108" s="16">
        <v>46057</v>
      </c>
      <c r="Q108" s="16">
        <v>46064</v>
      </c>
      <c r="R108" s="16">
        <v>46065</v>
      </c>
      <c r="S108" s="3">
        <f t="shared" si="6"/>
        <v>2</v>
      </c>
    </row>
    <row r="109" spans="1:19" x14ac:dyDescent="0.25">
      <c r="A109" s="403" t="str">
        <f t="shared" si="4"/>
        <v>45993459460000-00-0046009460090000-00-000000-00-000000-00-000000-00-000000-00-000000-00-000000-00-0046013460134601346059460652</v>
      </c>
      <c r="B109" s="37">
        <v>45993</v>
      </c>
      <c r="C109" s="37">
        <v>45946</v>
      </c>
      <c r="D109" s="18" t="s">
        <v>55</v>
      </c>
      <c r="E109" s="30">
        <v>46009</v>
      </c>
      <c r="F109" s="53">
        <v>46009</v>
      </c>
      <c r="G109" s="18" t="s">
        <v>55</v>
      </c>
      <c r="H109" s="18" t="s">
        <v>55</v>
      </c>
      <c r="I109" s="18" t="s">
        <v>55</v>
      </c>
      <c r="J109" s="18" t="s">
        <v>55</v>
      </c>
      <c r="K109" s="18" t="s">
        <v>55</v>
      </c>
      <c r="L109" s="18" t="s">
        <v>55</v>
      </c>
      <c r="M109" s="3" t="s">
        <v>55</v>
      </c>
      <c r="N109" s="30">
        <v>46013</v>
      </c>
      <c r="O109" s="30">
        <v>46013</v>
      </c>
      <c r="P109" s="30">
        <v>46013</v>
      </c>
      <c r="Q109" s="44">
        <v>46059</v>
      </c>
      <c r="R109" s="104">
        <v>46065</v>
      </c>
      <c r="S109" s="3">
        <f t="shared" si="6"/>
        <v>2</v>
      </c>
    </row>
    <row r="110" spans="1:19" x14ac:dyDescent="0.25">
      <c r="A110" s="403" t="str">
        <f t="shared" si="4"/>
        <v>46020459570000-00-000000-00-000000-00-000000-00-000000-00-000000-00-000000-00-000000-00-000000-00-000000-00-0046029460454604846051460552</v>
      </c>
      <c r="B110" s="28">
        <v>46020</v>
      </c>
      <c r="C110" s="28">
        <v>45957</v>
      </c>
      <c r="D110" s="21" t="s">
        <v>55</v>
      </c>
      <c r="E110" s="21" t="s">
        <v>55</v>
      </c>
      <c r="F110" s="21" t="s">
        <v>55</v>
      </c>
      <c r="G110" s="36" t="s">
        <v>55</v>
      </c>
      <c r="H110" s="36" t="s">
        <v>55</v>
      </c>
      <c r="I110" s="36" t="s">
        <v>55</v>
      </c>
      <c r="J110" s="36" t="s">
        <v>55</v>
      </c>
      <c r="K110" s="36" t="s">
        <v>55</v>
      </c>
      <c r="L110" s="36" t="s">
        <v>55</v>
      </c>
      <c r="M110" s="3" t="s">
        <v>55</v>
      </c>
      <c r="N110" s="28">
        <v>46029</v>
      </c>
      <c r="O110" s="28">
        <v>46045</v>
      </c>
      <c r="P110" s="28">
        <v>46048</v>
      </c>
      <c r="Q110" s="28">
        <v>46051</v>
      </c>
      <c r="R110" s="16">
        <v>46055</v>
      </c>
      <c r="S110" s="3">
        <f t="shared" si="6"/>
        <v>2</v>
      </c>
    </row>
    <row r="111" spans="1:19" x14ac:dyDescent="0.25">
      <c r="A111" s="403" t="str">
        <f t="shared" si="4"/>
        <v>46010459650000-00-0046062460620000-00-000000-00-000000-00-000000-00-000000-00-000000-00-000000-00-0046065460664606946073460762</v>
      </c>
      <c r="B111" s="30">
        <v>46010</v>
      </c>
      <c r="C111" s="30">
        <v>45965</v>
      </c>
      <c r="D111" s="3" t="s">
        <v>55</v>
      </c>
      <c r="E111" s="30">
        <v>46062</v>
      </c>
      <c r="F111" s="30">
        <v>46062</v>
      </c>
      <c r="G111" s="3" t="s">
        <v>55</v>
      </c>
      <c r="H111" s="3" t="s">
        <v>55</v>
      </c>
      <c r="I111" s="3" t="s">
        <v>55</v>
      </c>
      <c r="J111" s="3" t="s">
        <v>55</v>
      </c>
      <c r="K111" s="3" t="s">
        <v>55</v>
      </c>
      <c r="L111" s="3" t="s">
        <v>55</v>
      </c>
      <c r="M111" s="3" t="s">
        <v>55</v>
      </c>
      <c r="N111" s="30">
        <v>46065</v>
      </c>
      <c r="O111" s="30">
        <v>46066</v>
      </c>
      <c r="P111" s="30">
        <v>46069</v>
      </c>
      <c r="Q111" s="16">
        <v>46073</v>
      </c>
      <c r="R111" s="140">
        <v>46076</v>
      </c>
      <c r="S111" s="3">
        <f t="shared" si="6"/>
        <v>2</v>
      </c>
    </row>
    <row r="112" spans="1:19" x14ac:dyDescent="0.25">
      <c r="A112" s="403" t="str">
        <f t="shared" si="4"/>
        <v>46037459650000-00-0046038460380000-00-000000-00-000000-00-000000-00-000000-00-000000-00-000000-00-0046045460454604846052460552</v>
      </c>
      <c r="B112" s="30">
        <v>46037</v>
      </c>
      <c r="C112" s="30">
        <v>45965</v>
      </c>
      <c r="D112" s="3" t="s">
        <v>55</v>
      </c>
      <c r="E112" s="30">
        <v>46038</v>
      </c>
      <c r="F112" s="30">
        <v>46038</v>
      </c>
      <c r="G112" s="3" t="s">
        <v>55</v>
      </c>
      <c r="H112" s="3" t="s">
        <v>55</v>
      </c>
      <c r="I112" s="3" t="s">
        <v>55</v>
      </c>
      <c r="J112" s="3" t="s">
        <v>55</v>
      </c>
      <c r="K112" s="3" t="s">
        <v>55</v>
      </c>
      <c r="L112" s="3" t="s">
        <v>55</v>
      </c>
      <c r="M112" s="3" t="s">
        <v>55</v>
      </c>
      <c r="N112" s="16">
        <v>46045</v>
      </c>
      <c r="O112" s="16">
        <v>46045</v>
      </c>
      <c r="P112" s="16">
        <v>46048</v>
      </c>
      <c r="Q112" s="16">
        <v>46052</v>
      </c>
      <c r="R112" s="16">
        <v>46055</v>
      </c>
      <c r="S112" s="3">
        <f t="shared" si="6"/>
        <v>2</v>
      </c>
    </row>
    <row r="113" spans="1:19" x14ac:dyDescent="0.25">
      <c r="A113" s="403" t="str">
        <f t="shared" si="4"/>
        <v>46007459790000-00-0046028460280000-00-000000-00-000000-00-000000-00-000000-00-000000-00-000000-00-0046028460284606946073460762</v>
      </c>
      <c r="B113" s="30">
        <v>46007</v>
      </c>
      <c r="C113" s="30">
        <v>45979</v>
      </c>
      <c r="D113" s="3" t="s">
        <v>55</v>
      </c>
      <c r="E113" s="30">
        <v>46028</v>
      </c>
      <c r="F113" s="30">
        <v>46028</v>
      </c>
      <c r="G113" s="3" t="s">
        <v>55</v>
      </c>
      <c r="H113" s="3" t="s">
        <v>55</v>
      </c>
      <c r="I113" s="3" t="s">
        <v>55</v>
      </c>
      <c r="J113" s="3" t="s">
        <v>55</v>
      </c>
      <c r="K113" s="3" t="s">
        <v>55</v>
      </c>
      <c r="L113" s="3" t="s">
        <v>55</v>
      </c>
      <c r="M113" s="3" t="s">
        <v>55</v>
      </c>
      <c r="N113" s="30">
        <v>46028</v>
      </c>
      <c r="O113" s="30">
        <v>46028</v>
      </c>
      <c r="P113" s="30">
        <v>46069</v>
      </c>
      <c r="Q113" s="16">
        <v>46073</v>
      </c>
      <c r="R113" s="140">
        <v>46076</v>
      </c>
      <c r="S113" s="3">
        <f t="shared" si="6"/>
        <v>2</v>
      </c>
    </row>
    <row r="114" spans="1:19" x14ac:dyDescent="0.25">
      <c r="A114" s="403" t="str">
        <f t="shared" si="4"/>
        <v>46013459720000-00-0046020460200000-00-000000-00-000000-00-000000-00-000000-00-000000-00-000000-00-0046029460384603846071460762</v>
      </c>
      <c r="B114" s="37">
        <v>46013</v>
      </c>
      <c r="C114" s="37">
        <v>45972</v>
      </c>
      <c r="D114" s="18" t="s">
        <v>55</v>
      </c>
      <c r="E114" s="30">
        <v>46020</v>
      </c>
      <c r="F114" s="30">
        <v>46020</v>
      </c>
      <c r="G114" s="18" t="s">
        <v>55</v>
      </c>
      <c r="H114" s="18" t="s">
        <v>55</v>
      </c>
      <c r="I114" s="18" t="s">
        <v>55</v>
      </c>
      <c r="J114" s="18" t="s">
        <v>55</v>
      </c>
      <c r="K114" s="18" t="s">
        <v>55</v>
      </c>
      <c r="L114" s="18" t="s">
        <v>55</v>
      </c>
      <c r="M114" s="3" t="s">
        <v>55</v>
      </c>
      <c r="N114" s="30">
        <v>46029</v>
      </c>
      <c r="O114" s="28">
        <v>46038</v>
      </c>
      <c r="P114" s="28">
        <v>46038</v>
      </c>
      <c r="Q114" s="37">
        <v>46071</v>
      </c>
      <c r="R114" s="140">
        <v>46076</v>
      </c>
      <c r="S114" s="3">
        <f t="shared" si="6"/>
        <v>2</v>
      </c>
    </row>
    <row r="115" spans="1:19" x14ac:dyDescent="0.25">
      <c r="A115" s="403" t="str">
        <f t="shared" si="4"/>
        <v>45992459730000-00-0045993460370000-00-000000-00-000000-00-000000-00-000000-00-000000-00-000000-00-0046048460494605046063460652</v>
      </c>
      <c r="B115" s="15">
        <v>45992</v>
      </c>
      <c r="C115" s="16">
        <v>45973</v>
      </c>
      <c r="D115" s="2" t="s">
        <v>55</v>
      </c>
      <c r="E115" s="16">
        <v>45993</v>
      </c>
      <c r="F115" s="16">
        <v>46037</v>
      </c>
      <c r="G115" s="2" t="s">
        <v>55</v>
      </c>
      <c r="H115" s="2" t="s">
        <v>55</v>
      </c>
      <c r="I115" s="2" t="s">
        <v>55</v>
      </c>
      <c r="J115" s="2" t="s">
        <v>55</v>
      </c>
      <c r="K115" s="2" t="s">
        <v>55</v>
      </c>
      <c r="L115" s="2" t="s">
        <v>55</v>
      </c>
      <c r="M115" s="3" t="s">
        <v>55</v>
      </c>
      <c r="N115" s="16">
        <v>46048</v>
      </c>
      <c r="O115" s="16">
        <v>46049</v>
      </c>
      <c r="P115" s="28">
        <v>46050</v>
      </c>
      <c r="Q115" s="16">
        <v>46063</v>
      </c>
      <c r="R115" s="16">
        <v>46065</v>
      </c>
      <c r="S115" s="3">
        <f t="shared" si="6"/>
        <v>2</v>
      </c>
    </row>
    <row r="116" spans="1:19" x14ac:dyDescent="0.25">
      <c r="A116" s="403" t="str">
        <f t="shared" si="4"/>
        <v>45973459730000-00-0045975460410000-00-000000-00-000000-00-000000-00-000000-00-000000-00-000000-00-0046045460454604546052460552</v>
      </c>
      <c r="B116" s="28">
        <v>45973</v>
      </c>
      <c r="C116" s="28">
        <v>45973</v>
      </c>
      <c r="D116" s="21" t="s">
        <v>55</v>
      </c>
      <c r="E116" s="28">
        <v>45975</v>
      </c>
      <c r="F116" s="28">
        <v>46041</v>
      </c>
      <c r="G116" s="36" t="s">
        <v>55</v>
      </c>
      <c r="H116" s="36" t="s">
        <v>55</v>
      </c>
      <c r="I116" s="36" t="s">
        <v>55</v>
      </c>
      <c r="J116" s="36" t="s">
        <v>55</v>
      </c>
      <c r="K116" s="36" t="s">
        <v>55</v>
      </c>
      <c r="L116" s="36" t="s">
        <v>55</v>
      </c>
      <c r="M116" s="3" t="s">
        <v>55</v>
      </c>
      <c r="N116" s="28">
        <v>46045</v>
      </c>
      <c r="O116" s="28">
        <v>46045</v>
      </c>
      <c r="P116" s="28">
        <v>46045</v>
      </c>
      <c r="Q116" s="16">
        <v>46052</v>
      </c>
      <c r="R116" s="16">
        <v>46055</v>
      </c>
      <c r="S116" s="3">
        <f t="shared" si="6"/>
        <v>2</v>
      </c>
    </row>
    <row r="117" spans="1:19" x14ac:dyDescent="0.25">
      <c r="A117" s="403" t="str">
        <f t="shared" si="4"/>
        <v>45993459740000-00-0046002460170000-00-000000-00-000000-00-000000-00-000000-00-000000-00-000000-00-0046027460274602846041460552</v>
      </c>
      <c r="B117" s="15">
        <v>45993</v>
      </c>
      <c r="C117" s="15">
        <v>45974</v>
      </c>
      <c r="D117" s="18" t="s">
        <v>55</v>
      </c>
      <c r="E117" s="16">
        <v>46002</v>
      </c>
      <c r="F117" s="16">
        <v>46017</v>
      </c>
      <c r="G117" s="18" t="s">
        <v>55</v>
      </c>
      <c r="H117" s="18" t="s">
        <v>55</v>
      </c>
      <c r="I117" s="18" t="s">
        <v>55</v>
      </c>
      <c r="J117" s="18" t="s">
        <v>55</v>
      </c>
      <c r="K117" s="18" t="s">
        <v>55</v>
      </c>
      <c r="L117" s="18" t="s">
        <v>55</v>
      </c>
      <c r="M117" s="3" t="s">
        <v>55</v>
      </c>
      <c r="N117" s="16">
        <v>46027</v>
      </c>
      <c r="O117" s="16">
        <v>46027</v>
      </c>
      <c r="P117" s="16">
        <v>46028</v>
      </c>
      <c r="Q117" s="16">
        <v>46041</v>
      </c>
      <c r="R117" s="16">
        <v>46055</v>
      </c>
      <c r="S117" s="3">
        <f t="shared" si="6"/>
        <v>2</v>
      </c>
    </row>
    <row r="118" spans="1:19" x14ac:dyDescent="0.25">
      <c r="A118" s="403" t="str">
        <f t="shared" si="4"/>
        <v>46003459790000-00-0046013460210000-00-000000-00-000000-00-000000-00-000000-00-000000-00-000000-00-0046028460364603646049460552</v>
      </c>
      <c r="B118" s="28">
        <v>46003</v>
      </c>
      <c r="C118" s="28">
        <v>45979</v>
      </c>
      <c r="D118" s="21" t="s">
        <v>55</v>
      </c>
      <c r="E118" s="53">
        <v>46013</v>
      </c>
      <c r="F118" s="53">
        <v>46021</v>
      </c>
      <c r="G118" s="36" t="s">
        <v>55</v>
      </c>
      <c r="H118" s="36" t="s">
        <v>55</v>
      </c>
      <c r="I118" s="36" t="s">
        <v>55</v>
      </c>
      <c r="J118" s="36" t="s">
        <v>55</v>
      </c>
      <c r="K118" s="36" t="s">
        <v>55</v>
      </c>
      <c r="L118" s="36" t="s">
        <v>55</v>
      </c>
      <c r="M118" s="3" t="s">
        <v>55</v>
      </c>
      <c r="N118" s="28">
        <v>46028</v>
      </c>
      <c r="O118" s="28">
        <v>46036</v>
      </c>
      <c r="P118" s="28">
        <v>46036</v>
      </c>
      <c r="Q118" s="28">
        <v>46049</v>
      </c>
      <c r="R118" s="16">
        <v>46055</v>
      </c>
      <c r="S118" s="3">
        <f t="shared" si="6"/>
        <v>2</v>
      </c>
    </row>
    <row r="119" spans="1:19" x14ac:dyDescent="0.25">
      <c r="A119" s="403" t="str">
        <f t="shared" si="4"/>
        <v>45981459790000-00-0045985460310000-00-000000-00-000000-00-000000-00-000000-00-000000-00-000000-00-0046037460384603846052460552</v>
      </c>
      <c r="B119" s="28">
        <v>45981</v>
      </c>
      <c r="C119" s="28">
        <v>45979</v>
      </c>
      <c r="D119" s="21" t="s">
        <v>55</v>
      </c>
      <c r="E119" s="28">
        <v>45985</v>
      </c>
      <c r="F119" s="28">
        <v>46031</v>
      </c>
      <c r="G119" s="36" t="s">
        <v>55</v>
      </c>
      <c r="H119" s="36" t="s">
        <v>55</v>
      </c>
      <c r="I119" s="36" t="s">
        <v>55</v>
      </c>
      <c r="J119" s="36" t="s">
        <v>55</v>
      </c>
      <c r="K119" s="36" t="s">
        <v>55</v>
      </c>
      <c r="L119" s="36" t="s">
        <v>55</v>
      </c>
      <c r="M119" s="3" t="s">
        <v>55</v>
      </c>
      <c r="N119" s="28">
        <v>46037</v>
      </c>
      <c r="O119" s="28">
        <v>46038</v>
      </c>
      <c r="P119" s="28">
        <v>46038</v>
      </c>
      <c r="Q119" s="16">
        <v>46052</v>
      </c>
      <c r="R119" s="16">
        <v>46055</v>
      </c>
      <c r="S119" s="3">
        <f t="shared" si="6"/>
        <v>2</v>
      </c>
    </row>
    <row r="120" spans="1:19" x14ac:dyDescent="0.25">
      <c r="A120" s="403" t="str">
        <f t="shared" si="4"/>
        <v>45982459820000-00-0046059460620000-00-000000-00-000000-00-000000-00-000000-00-000000-00-000000-00-0046062460624606346071460762</v>
      </c>
      <c r="B120" s="30">
        <v>45982</v>
      </c>
      <c r="C120" s="30">
        <v>45982</v>
      </c>
      <c r="D120" s="3" t="s">
        <v>55</v>
      </c>
      <c r="E120" s="30">
        <v>46059</v>
      </c>
      <c r="F120" s="30">
        <v>46062</v>
      </c>
      <c r="G120" s="3" t="s">
        <v>55</v>
      </c>
      <c r="H120" s="3" t="s">
        <v>55</v>
      </c>
      <c r="I120" s="3" t="s">
        <v>55</v>
      </c>
      <c r="J120" s="3" t="s">
        <v>55</v>
      </c>
      <c r="K120" s="3" t="s">
        <v>55</v>
      </c>
      <c r="L120" s="3" t="s">
        <v>55</v>
      </c>
      <c r="M120" s="3" t="s">
        <v>55</v>
      </c>
      <c r="N120" s="30">
        <v>46062</v>
      </c>
      <c r="O120" s="30">
        <v>46062</v>
      </c>
      <c r="P120" s="30">
        <v>46063</v>
      </c>
      <c r="Q120" s="30">
        <v>46071</v>
      </c>
      <c r="R120" s="140">
        <v>46076</v>
      </c>
      <c r="S120" s="3">
        <f t="shared" si="6"/>
        <v>2</v>
      </c>
    </row>
    <row r="121" spans="1:19" x14ac:dyDescent="0.25">
      <c r="A121" s="403" t="str">
        <f t="shared" si="4"/>
        <v>45996459810000-00-0046008460090000-00-000000-00-000000-00-000000-00-000000-00-000000-00-000000-00-0046015460154604846052460552</v>
      </c>
      <c r="B121" s="30">
        <v>45996</v>
      </c>
      <c r="C121" s="30">
        <v>45981</v>
      </c>
      <c r="D121" s="3" t="s">
        <v>55</v>
      </c>
      <c r="E121" s="30">
        <v>46008</v>
      </c>
      <c r="F121" s="53">
        <v>46009</v>
      </c>
      <c r="G121" s="3" t="s">
        <v>55</v>
      </c>
      <c r="H121" s="3" t="s">
        <v>55</v>
      </c>
      <c r="I121" s="3" t="s">
        <v>55</v>
      </c>
      <c r="J121" s="3" t="s">
        <v>55</v>
      </c>
      <c r="K121" s="3" t="s">
        <v>55</v>
      </c>
      <c r="L121" s="3" t="s">
        <v>55</v>
      </c>
      <c r="M121" s="3" t="s">
        <v>55</v>
      </c>
      <c r="N121" s="30">
        <v>46015</v>
      </c>
      <c r="O121" s="30">
        <v>46015</v>
      </c>
      <c r="P121" s="30">
        <v>46048</v>
      </c>
      <c r="Q121" s="16">
        <v>46052</v>
      </c>
      <c r="R121" s="16">
        <v>46055</v>
      </c>
      <c r="S121" s="3">
        <f t="shared" si="6"/>
        <v>2</v>
      </c>
    </row>
    <row r="122" spans="1:19" x14ac:dyDescent="0.25">
      <c r="A122" s="403" t="str">
        <f t="shared" si="4"/>
        <v>45972459720000-00-0046009460090000-00-000000-00-000000-00-000000-00-000000-00-000000-00-000000-00-0046041460494604946058460762</v>
      </c>
      <c r="B122" s="44">
        <v>45972</v>
      </c>
      <c r="C122" s="44">
        <v>45972</v>
      </c>
      <c r="D122" s="2" t="s">
        <v>55</v>
      </c>
      <c r="E122" s="53">
        <v>46009</v>
      </c>
      <c r="F122" s="53">
        <v>46009</v>
      </c>
      <c r="G122" s="2" t="s">
        <v>55</v>
      </c>
      <c r="H122" s="2" t="s">
        <v>55</v>
      </c>
      <c r="I122" s="2" t="s">
        <v>55</v>
      </c>
      <c r="J122" s="2" t="s">
        <v>55</v>
      </c>
      <c r="K122" s="2" t="s">
        <v>55</v>
      </c>
      <c r="L122" s="2" t="s">
        <v>55</v>
      </c>
      <c r="M122" s="3" t="s">
        <v>55</v>
      </c>
      <c r="N122" s="28">
        <v>46041</v>
      </c>
      <c r="O122" s="16">
        <v>46049</v>
      </c>
      <c r="P122" s="16">
        <v>46049</v>
      </c>
      <c r="Q122" s="44">
        <v>46058</v>
      </c>
      <c r="R122" s="140">
        <v>46076</v>
      </c>
      <c r="S122" s="3">
        <f t="shared" si="6"/>
        <v>2</v>
      </c>
    </row>
    <row r="123" spans="1:19" x14ac:dyDescent="0.25">
      <c r="A123" s="403" t="str">
        <f t="shared" si="4"/>
        <v>46043459850000-00-000000-00-000000-00-000000-00-000000-00-000000-00-000000-00-000000-00-000000-00-000000-00-0046045460454604846058460652</v>
      </c>
      <c r="B123" s="28">
        <v>46043</v>
      </c>
      <c r="C123" s="28">
        <v>45985</v>
      </c>
      <c r="D123" s="21" t="s">
        <v>55</v>
      </c>
      <c r="E123" s="21" t="s">
        <v>55</v>
      </c>
      <c r="F123" s="21" t="s">
        <v>55</v>
      </c>
      <c r="G123" s="36" t="s">
        <v>55</v>
      </c>
      <c r="H123" s="36" t="s">
        <v>55</v>
      </c>
      <c r="I123" s="36" t="s">
        <v>55</v>
      </c>
      <c r="J123" s="36" t="s">
        <v>55</v>
      </c>
      <c r="K123" s="36" t="s">
        <v>55</v>
      </c>
      <c r="L123" s="36" t="s">
        <v>55</v>
      </c>
      <c r="M123" s="3" t="s">
        <v>55</v>
      </c>
      <c r="N123" s="28">
        <v>46045</v>
      </c>
      <c r="O123" s="28">
        <v>46045</v>
      </c>
      <c r="P123" s="28">
        <v>46048</v>
      </c>
      <c r="Q123" s="28">
        <v>46058</v>
      </c>
      <c r="R123" s="28">
        <v>46065</v>
      </c>
      <c r="S123" s="3">
        <f t="shared" si="6"/>
        <v>2</v>
      </c>
    </row>
    <row r="124" spans="1:19" x14ac:dyDescent="0.25">
      <c r="A124" s="403" t="str">
        <f t="shared" si="4"/>
        <v>45986459860000-00-0045994460060000-00-000000-00-000000-00-000000-00-000000-00-000000-00-000000-00-0046015460314603146051460552</v>
      </c>
      <c r="B124" s="15">
        <v>45986</v>
      </c>
      <c r="C124" s="15">
        <v>45986</v>
      </c>
      <c r="D124" s="2" t="s">
        <v>55</v>
      </c>
      <c r="E124" s="16">
        <v>45994</v>
      </c>
      <c r="F124" s="16">
        <v>46006</v>
      </c>
      <c r="G124" s="2" t="s">
        <v>55</v>
      </c>
      <c r="H124" s="2" t="s">
        <v>55</v>
      </c>
      <c r="I124" s="2" t="s">
        <v>55</v>
      </c>
      <c r="J124" s="2" t="s">
        <v>55</v>
      </c>
      <c r="K124" s="2" t="s">
        <v>55</v>
      </c>
      <c r="L124" s="2" t="s">
        <v>55</v>
      </c>
      <c r="M124" s="3" t="s">
        <v>55</v>
      </c>
      <c r="N124" s="16">
        <v>46015</v>
      </c>
      <c r="O124" s="16">
        <v>46031</v>
      </c>
      <c r="P124" s="16">
        <v>46031</v>
      </c>
      <c r="Q124" s="16">
        <v>46051</v>
      </c>
      <c r="R124" s="16">
        <v>46055</v>
      </c>
      <c r="S124" s="3">
        <f t="shared" si="6"/>
        <v>2</v>
      </c>
    </row>
    <row r="125" spans="1:19" x14ac:dyDescent="0.25">
      <c r="A125" s="403" t="str">
        <f t="shared" si="4"/>
        <v>45986459860000-00-0046006460440000-00-000000-00-000000-00-000000-00-000000-00-000000-00-000000-00-0046050460514605246062460652</v>
      </c>
      <c r="B125" s="28">
        <v>45986</v>
      </c>
      <c r="C125" s="15">
        <v>45986</v>
      </c>
      <c r="D125" s="21" t="s">
        <v>55</v>
      </c>
      <c r="E125" s="53">
        <v>46006</v>
      </c>
      <c r="F125" s="28">
        <v>46044</v>
      </c>
      <c r="G125" s="36" t="s">
        <v>55</v>
      </c>
      <c r="H125" s="36" t="s">
        <v>55</v>
      </c>
      <c r="I125" s="36" t="s">
        <v>55</v>
      </c>
      <c r="J125" s="36" t="s">
        <v>55</v>
      </c>
      <c r="K125" s="36" t="s">
        <v>55</v>
      </c>
      <c r="L125" s="36" t="s">
        <v>55</v>
      </c>
      <c r="M125" s="3" t="s">
        <v>55</v>
      </c>
      <c r="N125" s="28">
        <v>46050</v>
      </c>
      <c r="O125" s="28">
        <v>46051</v>
      </c>
      <c r="P125" s="28">
        <v>46052</v>
      </c>
      <c r="Q125" s="28">
        <v>46062</v>
      </c>
      <c r="R125" s="28">
        <v>46065</v>
      </c>
      <c r="S125" s="3">
        <f t="shared" si="6"/>
        <v>2</v>
      </c>
    </row>
    <row r="126" spans="1:19" x14ac:dyDescent="0.25">
      <c r="A126" s="403" t="str">
        <f t="shared" si="4"/>
        <v>45986459860000-00-0046013460130000-00-000000-00-000000-00-000000-00-000000-00-000000-00-000000-00-0046030460384603846048460552</v>
      </c>
      <c r="B126" s="15">
        <v>45986</v>
      </c>
      <c r="C126" s="15">
        <v>45986</v>
      </c>
      <c r="D126" s="2" t="s">
        <v>55</v>
      </c>
      <c r="E126" s="28">
        <v>46013</v>
      </c>
      <c r="F126" s="28">
        <v>46013</v>
      </c>
      <c r="G126" s="2" t="s">
        <v>55</v>
      </c>
      <c r="H126" s="2" t="s">
        <v>55</v>
      </c>
      <c r="I126" s="2" t="s">
        <v>55</v>
      </c>
      <c r="J126" s="2" t="s">
        <v>55</v>
      </c>
      <c r="K126" s="2" t="s">
        <v>55</v>
      </c>
      <c r="L126" s="2" t="s">
        <v>55</v>
      </c>
      <c r="M126" s="3" t="s">
        <v>55</v>
      </c>
      <c r="N126" s="44">
        <v>46030</v>
      </c>
      <c r="O126" s="28">
        <v>46038</v>
      </c>
      <c r="P126" s="28">
        <v>46038</v>
      </c>
      <c r="Q126" s="28">
        <v>46048</v>
      </c>
      <c r="R126" s="16">
        <v>46055</v>
      </c>
      <c r="S126" s="3">
        <f t="shared" si="6"/>
        <v>2</v>
      </c>
    </row>
    <row r="127" spans="1:19" x14ac:dyDescent="0.25">
      <c r="A127" s="403" t="str">
        <f t="shared" si="4"/>
        <v>45986459860000-00-0045994460410000-00-000000-00-000000-00-000000-00-000000-00-000000-00-000000-00-0046037460414604146050460552</v>
      </c>
      <c r="B127" s="28">
        <v>45986</v>
      </c>
      <c r="C127" s="15">
        <v>45986</v>
      </c>
      <c r="D127" s="21" t="s">
        <v>55</v>
      </c>
      <c r="E127" s="28">
        <v>45994</v>
      </c>
      <c r="F127" s="28">
        <v>46041</v>
      </c>
      <c r="G127" s="36" t="s">
        <v>55</v>
      </c>
      <c r="H127" s="36" t="s">
        <v>55</v>
      </c>
      <c r="I127" s="36" t="s">
        <v>55</v>
      </c>
      <c r="J127" s="36" t="s">
        <v>55</v>
      </c>
      <c r="K127" s="36" t="s">
        <v>55</v>
      </c>
      <c r="L127" s="36" t="s">
        <v>55</v>
      </c>
      <c r="M127" s="3" t="s">
        <v>55</v>
      </c>
      <c r="N127" s="28">
        <v>46037</v>
      </c>
      <c r="O127" s="28">
        <v>46041</v>
      </c>
      <c r="P127" s="28">
        <v>46041</v>
      </c>
      <c r="Q127" s="16">
        <v>46050</v>
      </c>
      <c r="R127" s="16">
        <v>46055</v>
      </c>
      <c r="S127" s="3">
        <f t="shared" si="6"/>
        <v>2</v>
      </c>
    </row>
    <row r="128" spans="1:19" x14ac:dyDescent="0.25">
      <c r="A128" s="403" t="str">
        <f t="shared" si="4"/>
        <v>45986459860000-00-0045990460060000-00-000000-00-000000-00-000000-00-000000-00-000000-00-000000-00-0046010460364603746050460552</v>
      </c>
      <c r="B128" s="28">
        <v>45986</v>
      </c>
      <c r="C128" s="15">
        <v>45986</v>
      </c>
      <c r="D128" s="21" t="s">
        <v>55</v>
      </c>
      <c r="E128" s="28">
        <v>45990</v>
      </c>
      <c r="F128" s="28">
        <v>46006</v>
      </c>
      <c r="G128" s="36" t="s">
        <v>55</v>
      </c>
      <c r="H128" s="36" t="s">
        <v>55</v>
      </c>
      <c r="I128" s="36" t="s">
        <v>55</v>
      </c>
      <c r="J128" s="36" t="s">
        <v>55</v>
      </c>
      <c r="K128" s="36" t="s">
        <v>55</v>
      </c>
      <c r="L128" s="36" t="s">
        <v>55</v>
      </c>
      <c r="M128" s="3" t="s">
        <v>55</v>
      </c>
      <c r="N128" s="28">
        <v>46010</v>
      </c>
      <c r="O128" s="28">
        <v>46036</v>
      </c>
      <c r="P128" s="28">
        <v>46037</v>
      </c>
      <c r="Q128" s="16">
        <v>46050</v>
      </c>
      <c r="R128" s="16">
        <v>46055</v>
      </c>
      <c r="S128" s="3">
        <f t="shared" si="6"/>
        <v>2</v>
      </c>
    </row>
    <row r="129" spans="1:19" x14ac:dyDescent="0.25">
      <c r="A129" s="403" t="str">
        <f t="shared" si="4"/>
        <v>46010459920000-00-0046041460410000-00-000000-00-000000-00-000000-00-000000-00-000000-00-000000-00-0046058460584605846066460762</v>
      </c>
      <c r="B129" s="44">
        <v>46010</v>
      </c>
      <c r="C129" s="44">
        <v>45992</v>
      </c>
      <c r="D129" s="2" t="s">
        <v>55</v>
      </c>
      <c r="E129" s="44">
        <v>46041</v>
      </c>
      <c r="F129" s="44">
        <v>46041</v>
      </c>
      <c r="G129" s="2" t="s">
        <v>55</v>
      </c>
      <c r="H129" s="2" t="s">
        <v>55</v>
      </c>
      <c r="I129" s="2" t="s">
        <v>55</v>
      </c>
      <c r="J129" s="2" t="s">
        <v>55</v>
      </c>
      <c r="K129" s="2" t="s">
        <v>55</v>
      </c>
      <c r="L129" s="2" t="s">
        <v>55</v>
      </c>
      <c r="M129" s="3" t="s">
        <v>55</v>
      </c>
      <c r="N129" s="44">
        <v>46058</v>
      </c>
      <c r="O129" s="44">
        <v>46058</v>
      </c>
      <c r="P129" s="44">
        <v>46058</v>
      </c>
      <c r="Q129" s="44">
        <v>46066</v>
      </c>
      <c r="R129" s="140">
        <v>46076</v>
      </c>
      <c r="S129" s="3">
        <f t="shared" si="6"/>
        <v>2</v>
      </c>
    </row>
    <row r="130" spans="1:19" x14ac:dyDescent="0.25">
      <c r="A130" s="403" t="str">
        <f t="shared" ref="A130:A193" si="7">+B130&amp;C130&amp;D130&amp;E130&amp;F130&amp;G130&amp;H130&amp;I130&amp;J130&amp;K130&amp;L130&amp;M130&amp;N130&amp;O130&amp;P130&amp;Q130&amp;R130&amp;S130</f>
        <v>45988459880000-00-0045992460140000-00-000000-00-000000-00-000000-00-000000-00-000000-00-000000-00-0046027460274602946045460552</v>
      </c>
      <c r="B130" s="15">
        <v>45988</v>
      </c>
      <c r="C130" s="15">
        <v>45988</v>
      </c>
      <c r="D130" s="2" t="s">
        <v>55</v>
      </c>
      <c r="E130" s="16">
        <v>45992</v>
      </c>
      <c r="F130" s="16">
        <v>46014</v>
      </c>
      <c r="G130" s="2" t="s">
        <v>55</v>
      </c>
      <c r="H130" s="2" t="s">
        <v>55</v>
      </c>
      <c r="I130" s="2" t="s">
        <v>55</v>
      </c>
      <c r="J130" s="2" t="s">
        <v>55</v>
      </c>
      <c r="K130" s="2" t="s">
        <v>55</v>
      </c>
      <c r="L130" s="2" t="s">
        <v>55</v>
      </c>
      <c r="M130" s="3" t="s">
        <v>55</v>
      </c>
      <c r="N130" s="16">
        <v>46027</v>
      </c>
      <c r="O130" s="16">
        <v>46027</v>
      </c>
      <c r="P130" s="16">
        <v>46029</v>
      </c>
      <c r="Q130" s="16">
        <v>46045</v>
      </c>
      <c r="R130" s="16">
        <v>46055</v>
      </c>
      <c r="S130" s="3">
        <f t="shared" ref="S130:S161" si="8">MONTH(R130)</f>
        <v>2</v>
      </c>
    </row>
    <row r="131" spans="1:19" x14ac:dyDescent="0.25">
      <c r="A131" s="403" t="str">
        <f t="shared" si="7"/>
        <v>45993459930000-00-0046041460410000-00-000000-00-000000-00-000000-00-000000-00-000000-00-000000-00-0046058460584606346072460762</v>
      </c>
      <c r="B131" s="44">
        <v>45993</v>
      </c>
      <c r="C131" s="44">
        <v>45993</v>
      </c>
      <c r="D131" s="2" t="s">
        <v>55</v>
      </c>
      <c r="E131" s="44">
        <v>46041</v>
      </c>
      <c r="F131" s="44">
        <v>46041</v>
      </c>
      <c r="G131" s="2" t="s">
        <v>55</v>
      </c>
      <c r="H131" s="2" t="s">
        <v>55</v>
      </c>
      <c r="I131" s="2" t="s">
        <v>55</v>
      </c>
      <c r="J131" s="2" t="s">
        <v>55</v>
      </c>
      <c r="K131" s="2" t="s">
        <v>55</v>
      </c>
      <c r="L131" s="2" t="s">
        <v>55</v>
      </c>
      <c r="M131" s="3" t="s">
        <v>55</v>
      </c>
      <c r="N131" s="44">
        <v>46058</v>
      </c>
      <c r="O131" s="44">
        <v>46058</v>
      </c>
      <c r="P131" s="44">
        <v>46063</v>
      </c>
      <c r="Q131" s="30">
        <v>46072</v>
      </c>
      <c r="R131" s="140">
        <v>46076</v>
      </c>
      <c r="S131" s="3">
        <f t="shared" si="8"/>
        <v>2</v>
      </c>
    </row>
    <row r="132" spans="1:19" x14ac:dyDescent="0.25">
      <c r="A132" s="403" t="str">
        <f t="shared" si="7"/>
        <v>46000460000000-00-0046007460280000-00-000000-00-000000-00-000000-00-000000-00-000000-00-000000-00-0046041460574605846063460652</v>
      </c>
      <c r="B132" s="28">
        <v>46000</v>
      </c>
      <c r="C132" s="28">
        <v>46000</v>
      </c>
      <c r="D132" s="21" t="s">
        <v>55</v>
      </c>
      <c r="E132" s="53">
        <v>46007</v>
      </c>
      <c r="F132" s="53">
        <v>46028</v>
      </c>
      <c r="G132" s="21" t="s">
        <v>55</v>
      </c>
      <c r="H132" s="21" t="s">
        <v>55</v>
      </c>
      <c r="I132" s="21" t="s">
        <v>55</v>
      </c>
      <c r="J132" s="21" t="s">
        <v>55</v>
      </c>
      <c r="K132" s="21" t="s">
        <v>55</v>
      </c>
      <c r="L132" s="21" t="s">
        <v>55</v>
      </c>
      <c r="M132" s="3" t="s">
        <v>55</v>
      </c>
      <c r="N132" s="28">
        <v>46041</v>
      </c>
      <c r="O132" s="28">
        <v>46057</v>
      </c>
      <c r="P132" s="28">
        <v>46058</v>
      </c>
      <c r="Q132" s="28">
        <v>46063</v>
      </c>
      <c r="R132" s="28">
        <v>46065</v>
      </c>
      <c r="S132" s="3">
        <f t="shared" si="8"/>
        <v>2</v>
      </c>
    </row>
    <row r="133" spans="1:19" x14ac:dyDescent="0.25">
      <c r="A133" s="403" t="str">
        <f t="shared" si="7"/>
        <v>46000460000000-00-0046037460450000-00-000000-00-000000-00-000000-00-000000-00-000000-00-000000-00-0046051460514605546064460652</v>
      </c>
      <c r="B133" s="16">
        <v>46000</v>
      </c>
      <c r="C133" s="16">
        <v>46000</v>
      </c>
      <c r="D133" s="2" t="s">
        <v>55</v>
      </c>
      <c r="E133" s="16">
        <v>46037</v>
      </c>
      <c r="F133" s="16">
        <v>46045</v>
      </c>
      <c r="G133" s="18" t="s">
        <v>55</v>
      </c>
      <c r="H133" s="18" t="s">
        <v>55</v>
      </c>
      <c r="I133" s="18" t="s">
        <v>55</v>
      </c>
      <c r="J133" s="18" t="s">
        <v>55</v>
      </c>
      <c r="K133" s="18" t="s">
        <v>55</v>
      </c>
      <c r="L133" s="18" t="s">
        <v>55</v>
      </c>
      <c r="M133" s="3" t="s">
        <v>55</v>
      </c>
      <c r="N133" s="16">
        <v>46051</v>
      </c>
      <c r="O133" s="16">
        <v>46051</v>
      </c>
      <c r="P133" s="16">
        <v>46055</v>
      </c>
      <c r="Q133" s="16">
        <v>46064</v>
      </c>
      <c r="R133" s="140">
        <v>46065</v>
      </c>
      <c r="S133" s="3">
        <f t="shared" si="8"/>
        <v>2</v>
      </c>
    </row>
    <row r="134" spans="1:19" x14ac:dyDescent="0.25">
      <c r="A134" s="403" t="str">
        <f t="shared" si="7"/>
        <v>46024460000000-00-0046030460300000-00-000000-00-000000-00-000000-00-000000-00-000000-00-000000-00-0046044460444604446062460622</v>
      </c>
      <c r="B134" s="37">
        <v>46024</v>
      </c>
      <c r="C134" s="37">
        <v>46000</v>
      </c>
      <c r="D134" s="18" t="s">
        <v>55</v>
      </c>
      <c r="E134" s="30">
        <v>46030</v>
      </c>
      <c r="F134" s="30">
        <v>46030</v>
      </c>
      <c r="G134" s="18" t="s">
        <v>55</v>
      </c>
      <c r="H134" s="18" t="s">
        <v>55</v>
      </c>
      <c r="I134" s="18" t="s">
        <v>55</v>
      </c>
      <c r="J134" s="18" t="s">
        <v>55</v>
      </c>
      <c r="K134" s="18" t="s">
        <v>55</v>
      </c>
      <c r="L134" s="18" t="s">
        <v>55</v>
      </c>
      <c r="M134" s="3" t="s">
        <v>55</v>
      </c>
      <c r="N134" s="16">
        <v>46044</v>
      </c>
      <c r="O134" s="16">
        <v>46044</v>
      </c>
      <c r="P134" s="16">
        <v>46044</v>
      </c>
      <c r="Q134" s="37">
        <v>46062</v>
      </c>
      <c r="R134" s="37">
        <v>46062</v>
      </c>
      <c r="S134" s="3">
        <f t="shared" si="8"/>
        <v>2</v>
      </c>
    </row>
    <row r="135" spans="1:19" x14ac:dyDescent="0.25">
      <c r="A135" s="403" t="str">
        <f t="shared" si="7"/>
        <v>46058460000000-00-0046063460630000-00-000000-00-000000-00-000000-00-000000-00-000000-00-000000-00-0046070460704607046073460762</v>
      </c>
      <c r="B135" s="37">
        <v>46058</v>
      </c>
      <c r="C135" s="37">
        <v>46000</v>
      </c>
      <c r="D135" s="18" t="s">
        <v>55</v>
      </c>
      <c r="E135" s="30">
        <v>46063</v>
      </c>
      <c r="F135" s="30">
        <v>46063</v>
      </c>
      <c r="G135" s="18" t="s">
        <v>55</v>
      </c>
      <c r="H135" s="18" t="s">
        <v>55</v>
      </c>
      <c r="I135" s="18" t="s">
        <v>55</v>
      </c>
      <c r="J135" s="18" t="s">
        <v>55</v>
      </c>
      <c r="K135" s="18" t="s">
        <v>55</v>
      </c>
      <c r="L135" s="18" t="s">
        <v>55</v>
      </c>
      <c r="M135" s="3" t="s">
        <v>55</v>
      </c>
      <c r="N135" s="30">
        <v>46070</v>
      </c>
      <c r="O135" s="30">
        <v>46070</v>
      </c>
      <c r="P135" s="30">
        <v>46070</v>
      </c>
      <c r="Q135" s="16">
        <v>46073</v>
      </c>
      <c r="R135" s="140">
        <v>46076</v>
      </c>
      <c r="S135" s="3">
        <f t="shared" si="8"/>
        <v>2</v>
      </c>
    </row>
    <row r="136" spans="1:19" x14ac:dyDescent="0.25">
      <c r="A136" s="403" t="str">
        <f t="shared" si="7"/>
        <v>46044460010000-00-0046068460680000-00-000000-00-000000-00-000000-00-000000-00-000000-00-000000-00-0046069460694606946073460762</v>
      </c>
      <c r="B136" s="30">
        <v>46044</v>
      </c>
      <c r="C136" s="30">
        <v>46001</v>
      </c>
      <c r="D136" s="3" t="s">
        <v>55</v>
      </c>
      <c r="E136" s="30">
        <v>46068</v>
      </c>
      <c r="F136" s="30">
        <v>46068</v>
      </c>
      <c r="G136" s="3" t="s">
        <v>55</v>
      </c>
      <c r="H136" s="3" t="s">
        <v>55</v>
      </c>
      <c r="I136" s="3" t="s">
        <v>55</v>
      </c>
      <c r="J136" s="3" t="s">
        <v>55</v>
      </c>
      <c r="K136" s="3" t="s">
        <v>55</v>
      </c>
      <c r="L136" s="3" t="s">
        <v>55</v>
      </c>
      <c r="M136" s="3" t="s">
        <v>55</v>
      </c>
      <c r="N136" s="70">
        <v>46069</v>
      </c>
      <c r="O136" s="16">
        <v>46069</v>
      </c>
      <c r="P136" s="16">
        <v>46069</v>
      </c>
      <c r="Q136" s="16">
        <v>46073</v>
      </c>
      <c r="R136" s="140">
        <v>46076</v>
      </c>
      <c r="S136" s="3">
        <f t="shared" si="8"/>
        <v>2</v>
      </c>
    </row>
    <row r="137" spans="1:19" x14ac:dyDescent="0.25">
      <c r="A137" s="403" t="str">
        <f t="shared" si="7"/>
        <v>46001460010000-00-0046010460370000-00-000000-00-000000-00-000000-00-000000-00-000000-00-000000-00-0046041460414604146055460552</v>
      </c>
      <c r="B137" s="28">
        <v>46001</v>
      </c>
      <c r="C137" s="28">
        <v>46001</v>
      </c>
      <c r="D137" s="21" t="s">
        <v>55</v>
      </c>
      <c r="E137" s="28">
        <v>46010</v>
      </c>
      <c r="F137" s="28">
        <v>46037</v>
      </c>
      <c r="G137" s="36" t="s">
        <v>55</v>
      </c>
      <c r="H137" s="36" t="s">
        <v>55</v>
      </c>
      <c r="I137" s="36" t="s">
        <v>55</v>
      </c>
      <c r="J137" s="36" t="s">
        <v>55</v>
      </c>
      <c r="K137" s="36" t="s">
        <v>55</v>
      </c>
      <c r="L137" s="36" t="s">
        <v>55</v>
      </c>
      <c r="M137" s="3" t="s">
        <v>55</v>
      </c>
      <c r="N137" s="28">
        <v>46041</v>
      </c>
      <c r="O137" s="28">
        <v>46041</v>
      </c>
      <c r="P137" s="28">
        <v>46041</v>
      </c>
      <c r="Q137" s="28">
        <v>46055</v>
      </c>
      <c r="R137" s="16">
        <v>46055</v>
      </c>
      <c r="S137" s="3">
        <f t="shared" si="8"/>
        <v>2</v>
      </c>
    </row>
    <row r="138" spans="1:19" x14ac:dyDescent="0.25">
      <c r="A138" s="403" t="str">
        <f t="shared" si="7"/>
        <v>46003460030000-00-0046042460420000-00-000000-00-000000-00-000000-00-000000-00-000000-00-000000-00-0046066460664606646072460762</v>
      </c>
      <c r="B138" s="30">
        <v>46003</v>
      </c>
      <c r="C138" s="30">
        <v>46003</v>
      </c>
      <c r="D138" s="3" t="s">
        <v>55</v>
      </c>
      <c r="E138" s="16">
        <v>46042</v>
      </c>
      <c r="F138" s="16">
        <v>46042</v>
      </c>
      <c r="G138" s="3" t="s">
        <v>55</v>
      </c>
      <c r="H138" s="3" t="s">
        <v>55</v>
      </c>
      <c r="I138" s="3" t="s">
        <v>55</v>
      </c>
      <c r="J138" s="3" t="s">
        <v>55</v>
      </c>
      <c r="K138" s="3" t="s">
        <v>55</v>
      </c>
      <c r="L138" s="3" t="s">
        <v>55</v>
      </c>
      <c r="M138" s="3" t="s">
        <v>55</v>
      </c>
      <c r="N138" s="30">
        <v>46066</v>
      </c>
      <c r="O138" s="30">
        <v>46066</v>
      </c>
      <c r="P138" s="30">
        <v>46066</v>
      </c>
      <c r="Q138" s="30">
        <v>46072</v>
      </c>
      <c r="R138" s="140">
        <v>46076</v>
      </c>
      <c r="S138" s="3">
        <f t="shared" si="8"/>
        <v>2</v>
      </c>
    </row>
    <row r="139" spans="1:19" x14ac:dyDescent="0.25">
      <c r="A139" s="403" t="str">
        <f t="shared" si="7"/>
        <v>46003460030000-00-0046035460350000-00-000000-00-000000-00-000000-00-000000-00-000000-00-000000-00-0046051460524605246065460652</v>
      </c>
      <c r="B139" s="30">
        <v>46003</v>
      </c>
      <c r="C139" s="30">
        <v>46003</v>
      </c>
      <c r="D139" s="3" t="s">
        <v>55</v>
      </c>
      <c r="E139" s="30">
        <v>46035</v>
      </c>
      <c r="F139" s="30">
        <v>46035</v>
      </c>
      <c r="G139" s="3" t="s">
        <v>55</v>
      </c>
      <c r="H139" s="3" t="s">
        <v>55</v>
      </c>
      <c r="I139" s="3" t="s">
        <v>55</v>
      </c>
      <c r="J139" s="3" t="s">
        <v>55</v>
      </c>
      <c r="K139" s="3" t="s">
        <v>55</v>
      </c>
      <c r="L139" s="3" t="s">
        <v>55</v>
      </c>
      <c r="M139" s="3" t="s">
        <v>55</v>
      </c>
      <c r="N139" s="30">
        <v>46051</v>
      </c>
      <c r="O139" s="30">
        <v>46052</v>
      </c>
      <c r="P139" s="30">
        <v>46052</v>
      </c>
      <c r="Q139" s="30">
        <v>46065</v>
      </c>
      <c r="R139" s="30">
        <v>46065</v>
      </c>
      <c r="S139" s="3">
        <f t="shared" si="8"/>
        <v>2</v>
      </c>
    </row>
    <row r="140" spans="1:19" x14ac:dyDescent="0.25">
      <c r="A140" s="403" t="str">
        <f t="shared" si="7"/>
        <v>46006460060000-00-0046048460570000-00-000000-00-000000-00-000000-00-000000-00-000000-00-000000-00-0046062460644606546070460762</v>
      </c>
      <c r="B140" s="28">
        <v>46006</v>
      </c>
      <c r="C140" s="28">
        <v>46006</v>
      </c>
      <c r="D140" s="21" t="s">
        <v>55</v>
      </c>
      <c r="E140" s="28">
        <v>46048</v>
      </c>
      <c r="F140" s="28">
        <v>46057</v>
      </c>
      <c r="G140" s="36" t="s">
        <v>55</v>
      </c>
      <c r="H140" s="36" t="s">
        <v>55</v>
      </c>
      <c r="I140" s="36" t="s">
        <v>55</v>
      </c>
      <c r="J140" s="36" t="s">
        <v>55</v>
      </c>
      <c r="K140" s="36" t="s">
        <v>55</v>
      </c>
      <c r="L140" s="36" t="s">
        <v>55</v>
      </c>
      <c r="M140" s="3" t="s">
        <v>55</v>
      </c>
      <c r="N140" s="28">
        <v>46062</v>
      </c>
      <c r="O140" s="28">
        <v>46064</v>
      </c>
      <c r="P140" s="28">
        <v>46065</v>
      </c>
      <c r="Q140" s="28">
        <v>46070</v>
      </c>
      <c r="R140" s="140">
        <v>46076</v>
      </c>
      <c r="S140" s="3">
        <f t="shared" si="8"/>
        <v>2</v>
      </c>
    </row>
    <row r="141" spans="1:19" x14ac:dyDescent="0.25">
      <c r="A141" s="403" t="str">
        <f t="shared" si="7"/>
        <v>46007460060000-00-0046009460380000-00-000000-00-000000-00-000000-00-000000-00-000000-00-000000-00-0046044460454604846052460552</v>
      </c>
      <c r="B141" s="28">
        <v>46007</v>
      </c>
      <c r="C141" s="28">
        <v>46006</v>
      </c>
      <c r="D141" s="21" t="s">
        <v>55</v>
      </c>
      <c r="E141" s="53">
        <v>46009</v>
      </c>
      <c r="F141" s="53">
        <v>46038</v>
      </c>
      <c r="G141" s="21" t="s">
        <v>55</v>
      </c>
      <c r="H141" s="21" t="s">
        <v>55</v>
      </c>
      <c r="I141" s="21" t="s">
        <v>55</v>
      </c>
      <c r="J141" s="21" t="s">
        <v>55</v>
      </c>
      <c r="K141" s="21" t="s">
        <v>55</v>
      </c>
      <c r="L141" s="21" t="s">
        <v>55</v>
      </c>
      <c r="M141" s="3" t="s">
        <v>55</v>
      </c>
      <c r="N141" s="16">
        <v>46044</v>
      </c>
      <c r="O141" s="28">
        <v>46045</v>
      </c>
      <c r="P141" s="28">
        <v>46048</v>
      </c>
      <c r="Q141" s="16">
        <v>46052</v>
      </c>
      <c r="R141" s="16">
        <v>46055</v>
      </c>
      <c r="S141" s="3">
        <f t="shared" si="8"/>
        <v>2</v>
      </c>
    </row>
    <row r="142" spans="1:19" x14ac:dyDescent="0.25">
      <c r="A142" s="403" t="str">
        <f t="shared" si="7"/>
        <v>46006460060000-00-0046044460500000-00-000000-00-000000-00-000000-00-000000-00-000000-00-000000-00-0046057460594606446070460762</v>
      </c>
      <c r="B142" s="16">
        <v>46006</v>
      </c>
      <c r="C142" s="16">
        <v>46006</v>
      </c>
      <c r="D142" s="2" t="s">
        <v>55</v>
      </c>
      <c r="E142" s="16">
        <v>46044</v>
      </c>
      <c r="F142" s="16">
        <v>46050</v>
      </c>
      <c r="G142" s="18" t="s">
        <v>55</v>
      </c>
      <c r="H142" s="18" t="s">
        <v>55</v>
      </c>
      <c r="I142" s="18" t="s">
        <v>55</v>
      </c>
      <c r="J142" s="18" t="s">
        <v>55</v>
      </c>
      <c r="K142" s="18" t="s">
        <v>55</v>
      </c>
      <c r="L142" s="18" t="s">
        <v>55</v>
      </c>
      <c r="M142" s="3" t="s">
        <v>55</v>
      </c>
      <c r="N142" s="16">
        <v>46057</v>
      </c>
      <c r="O142" s="16">
        <v>46059</v>
      </c>
      <c r="P142" s="16">
        <v>46064</v>
      </c>
      <c r="Q142" s="16">
        <v>46070</v>
      </c>
      <c r="R142" s="140">
        <v>46076</v>
      </c>
      <c r="S142" s="3">
        <f t="shared" si="8"/>
        <v>2</v>
      </c>
    </row>
    <row r="143" spans="1:19" x14ac:dyDescent="0.25">
      <c r="A143" s="403" t="str">
        <f t="shared" si="7"/>
        <v>46057460060000-00-000000-00-000000-00-000000-00-000000-00-000000-00-000000-00-000000-00-000000-00-000000-00-0046062460644606546072460762</v>
      </c>
      <c r="B143" s="28">
        <v>46057</v>
      </c>
      <c r="C143" s="28">
        <v>46006</v>
      </c>
      <c r="D143" s="21" t="s">
        <v>55</v>
      </c>
      <c r="E143" s="21" t="s">
        <v>55</v>
      </c>
      <c r="F143" s="21" t="s">
        <v>55</v>
      </c>
      <c r="G143" s="21" t="s">
        <v>55</v>
      </c>
      <c r="H143" s="21" t="s">
        <v>55</v>
      </c>
      <c r="I143" s="21" t="s">
        <v>55</v>
      </c>
      <c r="J143" s="21" t="s">
        <v>55</v>
      </c>
      <c r="K143" s="21" t="s">
        <v>55</v>
      </c>
      <c r="L143" s="21" t="s">
        <v>55</v>
      </c>
      <c r="M143" s="3" t="s">
        <v>55</v>
      </c>
      <c r="N143" s="28">
        <v>46062</v>
      </c>
      <c r="O143" s="28">
        <v>46064</v>
      </c>
      <c r="P143" s="28">
        <v>46065</v>
      </c>
      <c r="Q143" s="30">
        <v>46072</v>
      </c>
      <c r="R143" s="140">
        <v>46076</v>
      </c>
      <c r="S143" s="3">
        <f t="shared" si="8"/>
        <v>2</v>
      </c>
    </row>
    <row r="144" spans="1:19" x14ac:dyDescent="0.25">
      <c r="A144" s="403" t="str">
        <f t="shared" si="7"/>
        <v>46029460060000-00-0046062460380000-00-000000-00-000000-00-000000-00-000000-00-000000-00-000000-00-0046038460484604846052460552</v>
      </c>
      <c r="B144" s="30">
        <v>46029</v>
      </c>
      <c r="C144" s="30">
        <v>46006</v>
      </c>
      <c r="D144" s="3" t="s">
        <v>55</v>
      </c>
      <c r="E144" s="30">
        <v>46062</v>
      </c>
      <c r="F144" s="30">
        <v>46038</v>
      </c>
      <c r="G144" s="88" t="s">
        <v>55</v>
      </c>
      <c r="H144" s="88" t="s">
        <v>55</v>
      </c>
      <c r="I144" s="3" t="s">
        <v>55</v>
      </c>
      <c r="J144" s="3" t="s">
        <v>55</v>
      </c>
      <c r="K144" s="3" t="s">
        <v>55</v>
      </c>
      <c r="L144" s="3" t="s">
        <v>55</v>
      </c>
      <c r="M144" s="3" t="s">
        <v>55</v>
      </c>
      <c r="N144" s="73">
        <v>46038</v>
      </c>
      <c r="O144" s="16">
        <v>46048</v>
      </c>
      <c r="P144" s="16">
        <v>46048</v>
      </c>
      <c r="Q144" s="16">
        <v>46052</v>
      </c>
      <c r="R144" s="16">
        <v>46055</v>
      </c>
      <c r="S144" s="3">
        <f t="shared" si="8"/>
        <v>2</v>
      </c>
    </row>
    <row r="145" spans="1:19" x14ac:dyDescent="0.25">
      <c r="A145" s="403" t="str">
        <f t="shared" si="7"/>
        <v>46051460070000-00-000000-00-000000-00-000000-00-000000-00-000000-00-000000-00-000000-00-000000-00-000000-00-0046042460644606546070460762</v>
      </c>
      <c r="B145" s="15">
        <v>46051</v>
      </c>
      <c r="C145" s="16">
        <v>46007</v>
      </c>
      <c r="D145" s="2" t="s">
        <v>55</v>
      </c>
      <c r="E145" s="2" t="s">
        <v>55</v>
      </c>
      <c r="F145" s="2" t="s">
        <v>55</v>
      </c>
      <c r="G145" s="2" t="s">
        <v>55</v>
      </c>
      <c r="H145" s="2" t="s">
        <v>55</v>
      </c>
      <c r="I145" s="2" t="s">
        <v>55</v>
      </c>
      <c r="J145" s="2" t="s">
        <v>55</v>
      </c>
      <c r="K145" s="2" t="s">
        <v>55</v>
      </c>
      <c r="L145" s="2" t="s">
        <v>55</v>
      </c>
      <c r="M145" s="3" t="s">
        <v>55</v>
      </c>
      <c r="N145" s="16">
        <v>46042</v>
      </c>
      <c r="O145" s="16">
        <v>46064</v>
      </c>
      <c r="P145" s="16">
        <v>46065</v>
      </c>
      <c r="Q145" s="16">
        <v>46070</v>
      </c>
      <c r="R145" s="140">
        <v>46076</v>
      </c>
      <c r="S145" s="3">
        <f t="shared" si="8"/>
        <v>2</v>
      </c>
    </row>
    <row r="146" spans="1:19" x14ac:dyDescent="0.25">
      <c r="A146" s="403" t="str">
        <f t="shared" si="7"/>
        <v>46007460070000-00-000000-00-000000-00-000000-00-000000-00-000000-00-000000-00-000000-00-000000-00-000000-00-0046013460454604846051460552</v>
      </c>
      <c r="B146" s="28">
        <v>46007</v>
      </c>
      <c r="C146" s="28">
        <v>46007</v>
      </c>
      <c r="D146" s="21" t="s">
        <v>55</v>
      </c>
      <c r="E146" s="21" t="s">
        <v>55</v>
      </c>
      <c r="F146" s="21" t="s">
        <v>55</v>
      </c>
      <c r="G146" s="36" t="s">
        <v>55</v>
      </c>
      <c r="H146" s="36" t="s">
        <v>55</v>
      </c>
      <c r="I146" s="36" t="s">
        <v>55</v>
      </c>
      <c r="J146" s="36" t="s">
        <v>55</v>
      </c>
      <c r="K146" s="36" t="s">
        <v>55</v>
      </c>
      <c r="L146" s="36" t="s">
        <v>55</v>
      </c>
      <c r="M146" s="3" t="s">
        <v>55</v>
      </c>
      <c r="N146" s="28">
        <v>46013</v>
      </c>
      <c r="O146" s="28">
        <v>46045</v>
      </c>
      <c r="P146" s="28">
        <v>46048</v>
      </c>
      <c r="Q146" s="28">
        <v>46051</v>
      </c>
      <c r="R146" s="16">
        <v>46055</v>
      </c>
      <c r="S146" s="3">
        <f t="shared" si="8"/>
        <v>2</v>
      </c>
    </row>
    <row r="147" spans="1:19" x14ac:dyDescent="0.25">
      <c r="A147" s="403" t="str">
        <f t="shared" si="7"/>
        <v>46037460070000-00-0046051460520000-00-000000-00-000000-00-000000-00-000000-00-000000-00-000000-00-0046062460634606446073460762</v>
      </c>
      <c r="B147" s="15">
        <v>46037</v>
      </c>
      <c r="C147" s="16">
        <v>46007</v>
      </c>
      <c r="D147" s="2" t="s">
        <v>55</v>
      </c>
      <c r="E147" s="16">
        <v>46051</v>
      </c>
      <c r="F147" s="16">
        <v>46052</v>
      </c>
      <c r="G147" s="2" t="s">
        <v>55</v>
      </c>
      <c r="H147" s="2" t="s">
        <v>55</v>
      </c>
      <c r="I147" s="2" t="s">
        <v>55</v>
      </c>
      <c r="J147" s="2" t="s">
        <v>55</v>
      </c>
      <c r="K147" s="2" t="s">
        <v>55</v>
      </c>
      <c r="L147" s="2" t="s">
        <v>55</v>
      </c>
      <c r="M147" s="3" t="s">
        <v>55</v>
      </c>
      <c r="N147" s="16">
        <v>46062</v>
      </c>
      <c r="O147" s="16">
        <v>46063</v>
      </c>
      <c r="P147" s="16">
        <v>46064</v>
      </c>
      <c r="Q147" s="16">
        <v>46073</v>
      </c>
      <c r="R147" s="140">
        <v>46076</v>
      </c>
      <c r="S147" s="3">
        <f t="shared" si="8"/>
        <v>2</v>
      </c>
    </row>
    <row r="148" spans="1:19" x14ac:dyDescent="0.25">
      <c r="A148" s="403" t="str">
        <f t="shared" si="7"/>
        <v>46008460070000-00-0046027460270000-00-000000-00-000000-00-000000-00-000000-00-000000-00-000000-00-0046043460484604846055460562</v>
      </c>
      <c r="B148" s="15">
        <v>46008</v>
      </c>
      <c r="C148" s="16">
        <v>46007</v>
      </c>
      <c r="D148" s="2" t="s">
        <v>55</v>
      </c>
      <c r="E148" s="16">
        <v>46027</v>
      </c>
      <c r="F148" s="16">
        <v>46027</v>
      </c>
      <c r="G148" s="2" t="s">
        <v>55</v>
      </c>
      <c r="H148" s="2" t="s">
        <v>55</v>
      </c>
      <c r="I148" s="2" t="s">
        <v>55</v>
      </c>
      <c r="J148" s="2" t="s">
        <v>55</v>
      </c>
      <c r="K148" s="2" t="s">
        <v>55</v>
      </c>
      <c r="L148" s="2" t="s">
        <v>55</v>
      </c>
      <c r="M148" s="3" t="s">
        <v>55</v>
      </c>
      <c r="N148" s="16">
        <v>46043</v>
      </c>
      <c r="O148" s="16">
        <v>46048</v>
      </c>
      <c r="P148" s="16">
        <v>46048</v>
      </c>
      <c r="Q148" s="16">
        <v>46055</v>
      </c>
      <c r="R148" s="16">
        <v>46056</v>
      </c>
      <c r="S148" s="3">
        <f t="shared" si="8"/>
        <v>2</v>
      </c>
    </row>
    <row r="149" spans="1:19" x14ac:dyDescent="0.25">
      <c r="A149" s="403" t="str">
        <f t="shared" si="7"/>
        <v>46007460070000-00-0046059460640000-00-000000-00-000000-00-000000-00-000000-00-000000-00-000000-00-0046072460714607146073460762</v>
      </c>
      <c r="B149" s="15">
        <v>46007</v>
      </c>
      <c r="C149" s="15">
        <v>46007</v>
      </c>
      <c r="D149" s="18" t="s">
        <v>55</v>
      </c>
      <c r="E149" s="16">
        <v>46059</v>
      </c>
      <c r="F149" s="16">
        <v>46064</v>
      </c>
      <c r="G149" s="18" t="s">
        <v>55</v>
      </c>
      <c r="H149" s="18" t="s">
        <v>55</v>
      </c>
      <c r="I149" s="18" t="s">
        <v>55</v>
      </c>
      <c r="J149" s="18" t="s">
        <v>55</v>
      </c>
      <c r="K149" s="18" t="s">
        <v>55</v>
      </c>
      <c r="L149" s="18" t="s">
        <v>55</v>
      </c>
      <c r="M149" s="3" t="s">
        <v>55</v>
      </c>
      <c r="N149" s="16">
        <v>46072</v>
      </c>
      <c r="O149" s="16">
        <v>46071</v>
      </c>
      <c r="P149" s="16">
        <v>46071</v>
      </c>
      <c r="Q149" s="16">
        <v>46073</v>
      </c>
      <c r="R149" s="140">
        <v>46076</v>
      </c>
      <c r="S149" s="3">
        <f t="shared" si="8"/>
        <v>2</v>
      </c>
    </row>
    <row r="150" spans="1:19" x14ac:dyDescent="0.25">
      <c r="A150" s="403" t="str">
        <f t="shared" si="7"/>
        <v>46059460070000-00-000000-00-000000-00-000000-00-000000-00-000000-00-000000-00-000000-00-000000-00-000000-00-0046072460714607146073460762</v>
      </c>
      <c r="B150" s="15">
        <v>46059</v>
      </c>
      <c r="C150" s="15">
        <v>46007</v>
      </c>
      <c r="D150" s="18" t="s">
        <v>55</v>
      </c>
      <c r="E150" s="2" t="s">
        <v>55</v>
      </c>
      <c r="F150" s="2" t="s">
        <v>55</v>
      </c>
      <c r="G150" s="18" t="s">
        <v>55</v>
      </c>
      <c r="H150" s="18" t="s">
        <v>55</v>
      </c>
      <c r="I150" s="18" t="s">
        <v>55</v>
      </c>
      <c r="J150" s="18" t="s">
        <v>55</v>
      </c>
      <c r="K150" s="18" t="s">
        <v>55</v>
      </c>
      <c r="L150" s="18" t="s">
        <v>55</v>
      </c>
      <c r="M150" s="3" t="s">
        <v>55</v>
      </c>
      <c r="N150" s="16">
        <v>46072</v>
      </c>
      <c r="O150" s="16">
        <v>46071</v>
      </c>
      <c r="P150" s="16">
        <v>46071</v>
      </c>
      <c r="Q150" s="16">
        <v>46073</v>
      </c>
      <c r="R150" s="140">
        <v>46076</v>
      </c>
      <c r="S150" s="3">
        <f t="shared" si="8"/>
        <v>2</v>
      </c>
    </row>
    <row r="151" spans="1:19" x14ac:dyDescent="0.25">
      <c r="A151" s="403" t="str">
        <f t="shared" si="7"/>
        <v>46008460080000-00-0046027460270000-00-000000-00-000000-00-000000-00-000000-00-000000-00-000000-00-0046030460304604446050460552</v>
      </c>
      <c r="B151" s="30">
        <v>46008</v>
      </c>
      <c r="C151" s="30">
        <v>46008</v>
      </c>
      <c r="D151" s="3" t="s">
        <v>55</v>
      </c>
      <c r="E151" s="30">
        <v>46027</v>
      </c>
      <c r="F151" s="30">
        <v>46027</v>
      </c>
      <c r="G151" s="3" t="s">
        <v>55</v>
      </c>
      <c r="H151" s="3" t="s">
        <v>55</v>
      </c>
      <c r="I151" s="3" t="s">
        <v>55</v>
      </c>
      <c r="J151" s="3" t="s">
        <v>55</v>
      </c>
      <c r="K151" s="3" t="s">
        <v>55</v>
      </c>
      <c r="L151" s="3" t="s">
        <v>55</v>
      </c>
      <c r="M151" s="3" t="s">
        <v>55</v>
      </c>
      <c r="N151" s="30">
        <v>46030</v>
      </c>
      <c r="O151" s="30">
        <v>46030</v>
      </c>
      <c r="P151" s="30">
        <v>46044</v>
      </c>
      <c r="Q151" s="16">
        <v>46050</v>
      </c>
      <c r="R151" s="16">
        <v>46055</v>
      </c>
      <c r="S151" s="3">
        <f t="shared" si="8"/>
        <v>2</v>
      </c>
    </row>
    <row r="152" spans="1:19" x14ac:dyDescent="0.25">
      <c r="A152" s="403" t="str">
        <f t="shared" si="7"/>
        <v>46008460080000-00-0046037460430000-00-000000-00-000000-00-000000-00-000000-00-000000-00-000000-00-0046050460644606546070460762</v>
      </c>
      <c r="B152" s="28">
        <v>46008</v>
      </c>
      <c r="C152" s="28">
        <v>46008</v>
      </c>
      <c r="D152" s="21" t="s">
        <v>55</v>
      </c>
      <c r="E152" s="53">
        <v>46037</v>
      </c>
      <c r="F152" s="53">
        <v>46043</v>
      </c>
      <c r="G152" s="21" t="s">
        <v>55</v>
      </c>
      <c r="H152" s="21" t="s">
        <v>55</v>
      </c>
      <c r="I152" s="21" t="s">
        <v>55</v>
      </c>
      <c r="J152" s="21" t="s">
        <v>55</v>
      </c>
      <c r="K152" s="21" t="s">
        <v>55</v>
      </c>
      <c r="L152" s="21" t="s">
        <v>55</v>
      </c>
      <c r="M152" s="3" t="s">
        <v>55</v>
      </c>
      <c r="N152" s="28">
        <v>46050</v>
      </c>
      <c r="O152" s="28">
        <v>46064</v>
      </c>
      <c r="P152" s="28">
        <v>46065</v>
      </c>
      <c r="Q152" s="28">
        <v>46070</v>
      </c>
      <c r="R152" s="140">
        <v>46076</v>
      </c>
      <c r="S152" s="3">
        <f t="shared" si="8"/>
        <v>2</v>
      </c>
    </row>
    <row r="153" spans="1:19" x14ac:dyDescent="0.25">
      <c r="A153" s="403" t="str">
        <f t="shared" si="7"/>
        <v>46008460080000-00-0046015460380000-00-000000-00-000000-00-000000-00-000000-00-000000-00-000000-00-0046045460494604946052460552</v>
      </c>
      <c r="B153" s="28">
        <v>46008</v>
      </c>
      <c r="C153" s="28">
        <v>46008</v>
      </c>
      <c r="D153" s="21" t="s">
        <v>55</v>
      </c>
      <c r="E153" s="53">
        <v>46015</v>
      </c>
      <c r="F153" s="53">
        <v>46038</v>
      </c>
      <c r="G153" s="21" t="s">
        <v>55</v>
      </c>
      <c r="H153" s="21" t="s">
        <v>55</v>
      </c>
      <c r="I153" s="21" t="s">
        <v>55</v>
      </c>
      <c r="J153" s="21" t="s">
        <v>55</v>
      </c>
      <c r="K153" s="21" t="s">
        <v>55</v>
      </c>
      <c r="L153" s="21" t="s">
        <v>55</v>
      </c>
      <c r="M153" s="3" t="s">
        <v>55</v>
      </c>
      <c r="N153" s="28">
        <v>46045</v>
      </c>
      <c r="O153" s="16">
        <v>46049</v>
      </c>
      <c r="P153" s="16">
        <v>46049</v>
      </c>
      <c r="Q153" s="16">
        <v>46052</v>
      </c>
      <c r="R153" s="16">
        <v>46055</v>
      </c>
      <c r="S153" s="3">
        <f t="shared" si="8"/>
        <v>2</v>
      </c>
    </row>
    <row r="154" spans="1:19" x14ac:dyDescent="0.25">
      <c r="A154" s="403" t="str">
        <f t="shared" si="7"/>
        <v>46059460080000-00-000000-00-000000-00-000000-00-000000-00-000000-00-000000-00-000000-00-000000-00-000000-00-0046065460654606946073460762</v>
      </c>
      <c r="B154" s="15">
        <v>46059</v>
      </c>
      <c r="C154" s="16">
        <v>46008</v>
      </c>
      <c r="D154" s="2" t="s">
        <v>55</v>
      </c>
      <c r="E154" s="2" t="s">
        <v>55</v>
      </c>
      <c r="F154" s="2" t="s">
        <v>55</v>
      </c>
      <c r="G154" s="18" t="s">
        <v>55</v>
      </c>
      <c r="H154" s="18" t="s">
        <v>55</v>
      </c>
      <c r="I154" s="18" t="s">
        <v>55</v>
      </c>
      <c r="J154" s="18" t="s">
        <v>55</v>
      </c>
      <c r="K154" s="18" t="s">
        <v>55</v>
      </c>
      <c r="L154" s="18" t="s">
        <v>55</v>
      </c>
      <c r="M154" s="3" t="s">
        <v>55</v>
      </c>
      <c r="N154" s="16">
        <v>46065</v>
      </c>
      <c r="O154" s="16">
        <v>46065</v>
      </c>
      <c r="P154" s="16">
        <v>46069</v>
      </c>
      <c r="Q154" s="16">
        <v>46073</v>
      </c>
      <c r="R154" s="140">
        <v>46076</v>
      </c>
      <c r="S154" s="3">
        <f t="shared" si="8"/>
        <v>2</v>
      </c>
    </row>
    <row r="155" spans="1:19" x14ac:dyDescent="0.25">
      <c r="A155" s="403" t="str">
        <f t="shared" si="7"/>
        <v>46008460080000-00-0046062460620000-00-000000-00-000000-00-000000-00-000000-00-000000-00-000000-00-0046069460694606946073460762</v>
      </c>
      <c r="B155" s="30">
        <v>46008</v>
      </c>
      <c r="C155" s="30">
        <v>46008</v>
      </c>
      <c r="D155" s="3" t="s">
        <v>55</v>
      </c>
      <c r="E155" s="30">
        <v>46062</v>
      </c>
      <c r="F155" s="30">
        <v>46062</v>
      </c>
      <c r="G155" s="3" t="s">
        <v>55</v>
      </c>
      <c r="H155" s="3" t="s">
        <v>55</v>
      </c>
      <c r="I155" s="3" t="s">
        <v>55</v>
      </c>
      <c r="J155" s="3" t="s">
        <v>55</v>
      </c>
      <c r="K155" s="3" t="s">
        <v>55</v>
      </c>
      <c r="L155" s="3" t="s">
        <v>55</v>
      </c>
      <c r="M155" s="3" t="s">
        <v>55</v>
      </c>
      <c r="N155" s="30">
        <v>46069</v>
      </c>
      <c r="O155" s="30">
        <v>46069</v>
      </c>
      <c r="P155" s="30">
        <v>46069</v>
      </c>
      <c r="Q155" s="16">
        <v>46073</v>
      </c>
      <c r="R155" s="140">
        <v>46076</v>
      </c>
      <c r="S155" s="3">
        <f t="shared" si="8"/>
        <v>2</v>
      </c>
    </row>
    <row r="156" spans="1:19" x14ac:dyDescent="0.25">
      <c r="A156" s="403" t="str">
        <f t="shared" si="7"/>
        <v>46013460090000-00-0046024460424601346014460244604246048460484605046057460584605946064460652</v>
      </c>
      <c r="B156" s="28">
        <v>46013</v>
      </c>
      <c r="C156" s="28">
        <v>46009</v>
      </c>
      <c r="D156" s="21" t="s">
        <v>55</v>
      </c>
      <c r="E156" s="53">
        <v>46024</v>
      </c>
      <c r="F156" s="53">
        <v>46042</v>
      </c>
      <c r="G156" s="38">
        <v>46013</v>
      </c>
      <c r="H156" s="38">
        <v>46014</v>
      </c>
      <c r="I156" s="38">
        <v>46024</v>
      </c>
      <c r="J156" s="38">
        <v>46042</v>
      </c>
      <c r="K156" s="38">
        <v>46048</v>
      </c>
      <c r="L156" s="38">
        <v>46048</v>
      </c>
      <c r="M156" s="38">
        <v>46050</v>
      </c>
      <c r="N156" s="28">
        <v>46057</v>
      </c>
      <c r="O156" s="28">
        <v>46058</v>
      </c>
      <c r="P156" s="28">
        <v>46059</v>
      </c>
      <c r="Q156" s="28">
        <v>46064</v>
      </c>
      <c r="R156" s="28">
        <v>46065</v>
      </c>
      <c r="S156" s="3">
        <f t="shared" si="8"/>
        <v>2</v>
      </c>
    </row>
    <row r="157" spans="1:19" x14ac:dyDescent="0.25">
      <c r="A157" s="403" t="str">
        <f t="shared" si="7"/>
        <v>46038460090000-00-0046050460500000-00-000000-00-000000-00-000000-00-000000-00-000000-00-000000-00-0046058460584605846063460652</v>
      </c>
      <c r="B157" s="30">
        <v>46038</v>
      </c>
      <c r="C157" s="30">
        <v>46009</v>
      </c>
      <c r="D157" s="3" t="s">
        <v>55</v>
      </c>
      <c r="E157" s="30">
        <v>46050</v>
      </c>
      <c r="F157" s="30">
        <v>46050</v>
      </c>
      <c r="G157" s="3" t="s">
        <v>55</v>
      </c>
      <c r="H157" s="3" t="s">
        <v>55</v>
      </c>
      <c r="I157" s="3" t="s">
        <v>55</v>
      </c>
      <c r="J157" s="3" t="s">
        <v>55</v>
      </c>
      <c r="K157" s="3" t="s">
        <v>55</v>
      </c>
      <c r="L157" s="3" t="s">
        <v>55</v>
      </c>
      <c r="M157" s="3" t="s">
        <v>55</v>
      </c>
      <c r="N157" s="30">
        <v>46058</v>
      </c>
      <c r="O157" s="30">
        <v>46058</v>
      </c>
      <c r="P157" s="30">
        <v>46058</v>
      </c>
      <c r="Q157" s="30">
        <v>46063</v>
      </c>
      <c r="R157" s="30">
        <v>46065</v>
      </c>
      <c r="S157" s="3">
        <f t="shared" si="8"/>
        <v>2</v>
      </c>
    </row>
    <row r="158" spans="1:19" x14ac:dyDescent="0.25">
      <c r="A158" s="403" t="str">
        <f t="shared" si="7"/>
        <v>46009460094600946013460440000-00-000000-00-000000-00-000000-00-000000-00-000000-00-000000-00-0046050460564605746064460652</v>
      </c>
      <c r="B158" s="28">
        <v>46009</v>
      </c>
      <c r="C158" s="28">
        <v>46009</v>
      </c>
      <c r="D158" s="53">
        <v>46009</v>
      </c>
      <c r="E158" s="28">
        <v>46013</v>
      </c>
      <c r="F158" s="28">
        <v>46044</v>
      </c>
      <c r="G158" s="36" t="s">
        <v>55</v>
      </c>
      <c r="H158" s="36" t="s">
        <v>55</v>
      </c>
      <c r="I158" s="36" t="s">
        <v>55</v>
      </c>
      <c r="J158" s="36" t="s">
        <v>55</v>
      </c>
      <c r="K158" s="36" t="s">
        <v>55</v>
      </c>
      <c r="L158" s="36" t="s">
        <v>55</v>
      </c>
      <c r="M158" s="3" t="s">
        <v>55</v>
      </c>
      <c r="N158" s="28">
        <v>46050</v>
      </c>
      <c r="O158" s="28">
        <v>46056</v>
      </c>
      <c r="P158" s="28">
        <v>46057</v>
      </c>
      <c r="Q158" s="28">
        <v>46064</v>
      </c>
      <c r="R158" s="28">
        <v>46065</v>
      </c>
      <c r="S158" s="3">
        <f t="shared" si="8"/>
        <v>2</v>
      </c>
    </row>
    <row r="159" spans="1:19" x14ac:dyDescent="0.25">
      <c r="A159" s="403" t="str">
        <f t="shared" si="7"/>
        <v>46049460100000-00-0046056460560000-00-000000-00-000000-00-000000-00-000000-00-000000-00-000000-00-0046058460584605846064460652</v>
      </c>
      <c r="B159" s="30">
        <v>46049</v>
      </c>
      <c r="C159" s="30">
        <v>46010</v>
      </c>
      <c r="D159" s="3" t="s">
        <v>55</v>
      </c>
      <c r="E159" s="30">
        <v>46056</v>
      </c>
      <c r="F159" s="30">
        <v>46056</v>
      </c>
      <c r="G159" s="3" t="s">
        <v>55</v>
      </c>
      <c r="H159" s="3" t="s">
        <v>55</v>
      </c>
      <c r="I159" s="3" t="s">
        <v>55</v>
      </c>
      <c r="J159" s="3" t="s">
        <v>55</v>
      </c>
      <c r="K159" s="3" t="s">
        <v>55</v>
      </c>
      <c r="L159" s="3" t="s">
        <v>55</v>
      </c>
      <c r="M159" s="3" t="s">
        <v>55</v>
      </c>
      <c r="N159" s="30">
        <v>46058</v>
      </c>
      <c r="O159" s="30">
        <v>46058</v>
      </c>
      <c r="P159" s="30">
        <v>46058</v>
      </c>
      <c r="Q159" s="30">
        <v>46064</v>
      </c>
      <c r="R159" s="30">
        <v>46065</v>
      </c>
      <c r="S159" s="3">
        <f t="shared" si="8"/>
        <v>2</v>
      </c>
    </row>
    <row r="160" spans="1:19" x14ac:dyDescent="0.25">
      <c r="A160" s="403" t="str">
        <f t="shared" si="7"/>
        <v>46051460100000-00-0046062460620000-00-000000-00-000000-00-000000-00-000000-00-000000-00-000000-00-0046069460694606946073460762</v>
      </c>
      <c r="B160" s="44">
        <v>46051</v>
      </c>
      <c r="C160" s="44">
        <v>46010</v>
      </c>
      <c r="D160" s="3" t="s">
        <v>55</v>
      </c>
      <c r="E160" s="30">
        <v>46062</v>
      </c>
      <c r="F160" s="30">
        <v>46062</v>
      </c>
      <c r="G160" s="3" t="s">
        <v>55</v>
      </c>
      <c r="H160" s="3" t="s">
        <v>55</v>
      </c>
      <c r="I160" s="3" t="s">
        <v>55</v>
      </c>
      <c r="J160" s="3" t="s">
        <v>55</v>
      </c>
      <c r="K160" s="3" t="s">
        <v>55</v>
      </c>
      <c r="L160" s="3" t="s">
        <v>55</v>
      </c>
      <c r="M160" s="3" t="s">
        <v>55</v>
      </c>
      <c r="N160" s="70">
        <v>46069</v>
      </c>
      <c r="O160" s="16">
        <v>46069</v>
      </c>
      <c r="P160" s="16">
        <v>46069</v>
      </c>
      <c r="Q160" s="16">
        <v>46073</v>
      </c>
      <c r="R160" s="140">
        <v>46076</v>
      </c>
      <c r="S160" s="3">
        <f t="shared" si="8"/>
        <v>2</v>
      </c>
    </row>
    <row r="161" spans="1:19" x14ac:dyDescent="0.25">
      <c r="A161" s="403" t="str">
        <f t="shared" si="7"/>
        <v>46036460130000-00-0046051460510000-00-000000-00-000000-00-000000-00-000000-00-000000-00-000000-00-0046069460694606946073460762</v>
      </c>
      <c r="B161" s="44">
        <v>46036</v>
      </c>
      <c r="C161" s="30">
        <v>46013</v>
      </c>
      <c r="D161" s="3" t="s">
        <v>55</v>
      </c>
      <c r="E161" s="30">
        <v>46051</v>
      </c>
      <c r="F161" s="30">
        <v>46051</v>
      </c>
      <c r="G161" s="3" t="s">
        <v>55</v>
      </c>
      <c r="H161" s="3" t="s">
        <v>55</v>
      </c>
      <c r="I161" s="3" t="s">
        <v>55</v>
      </c>
      <c r="J161" s="3" t="s">
        <v>55</v>
      </c>
      <c r="K161" s="3" t="s">
        <v>55</v>
      </c>
      <c r="L161" s="3" t="s">
        <v>55</v>
      </c>
      <c r="M161" s="3" t="s">
        <v>55</v>
      </c>
      <c r="N161" s="70">
        <v>46069</v>
      </c>
      <c r="O161" s="16">
        <v>46069</v>
      </c>
      <c r="P161" s="16">
        <v>46069</v>
      </c>
      <c r="Q161" s="16">
        <v>46073</v>
      </c>
      <c r="R161" s="140">
        <v>46076</v>
      </c>
      <c r="S161" s="3">
        <f t="shared" si="8"/>
        <v>2</v>
      </c>
    </row>
    <row r="162" spans="1:19" x14ac:dyDescent="0.25">
      <c r="A162" s="403" t="str">
        <f t="shared" si="7"/>
        <v>46048460130000-00-0046051460510000-00-000000-00-000000-00-000000-00-000000-00-000000-00-000000-00-0046065460654606546071460762</v>
      </c>
      <c r="B162" s="37">
        <v>46048</v>
      </c>
      <c r="C162" s="37">
        <v>46013</v>
      </c>
      <c r="D162" s="18" t="s">
        <v>55</v>
      </c>
      <c r="E162" s="30">
        <v>46051</v>
      </c>
      <c r="F162" s="30">
        <v>46051</v>
      </c>
      <c r="G162" s="18" t="s">
        <v>55</v>
      </c>
      <c r="H162" s="18" t="s">
        <v>55</v>
      </c>
      <c r="I162" s="18" t="s">
        <v>55</v>
      </c>
      <c r="J162" s="18" t="s">
        <v>55</v>
      </c>
      <c r="K162" s="18" t="s">
        <v>55</v>
      </c>
      <c r="L162" s="18" t="s">
        <v>55</v>
      </c>
      <c r="M162" s="3" t="s">
        <v>55</v>
      </c>
      <c r="N162" s="28">
        <v>46065</v>
      </c>
      <c r="O162" s="28">
        <v>46065</v>
      </c>
      <c r="P162" s="28">
        <v>46065</v>
      </c>
      <c r="Q162" s="37">
        <v>46071</v>
      </c>
      <c r="R162" s="140">
        <v>46076</v>
      </c>
      <c r="S162" s="3">
        <f t="shared" ref="S162:S193" si="9">MONTH(R162)</f>
        <v>2</v>
      </c>
    </row>
    <row r="163" spans="1:19" x14ac:dyDescent="0.25">
      <c r="A163" s="403" t="str">
        <f t="shared" si="7"/>
        <v>46014460140000-00-0046027460510000-00-000000-00-000000-00-000000-00-000000-00-000000-00-000000-00-0046052460524605946071460762</v>
      </c>
      <c r="B163" s="15">
        <v>46014</v>
      </c>
      <c r="C163" s="16">
        <v>46014</v>
      </c>
      <c r="D163" s="21" t="s">
        <v>55</v>
      </c>
      <c r="E163" s="16">
        <v>46027</v>
      </c>
      <c r="F163" s="16">
        <v>46051</v>
      </c>
      <c r="G163" s="36" t="s">
        <v>55</v>
      </c>
      <c r="H163" s="36" t="s">
        <v>55</v>
      </c>
      <c r="I163" s="36" t="s">
        <v>55</v>
      </c>
      <c r="J163" s="36" t="s">
        <v>55</v>
      </c>
      <c r="K163" s="36" t="s">
        <v>55</v>
      </c>
      <c r="L163" s="36" t="s">
        <v>55</v>
      </c>
      <c r="M163" s="3" t="s">
        <v>55</v>
      </c>
      <c r="N163" s="16">
        <v>46052</v>
      </c>
      <c r="O163" s="16">
        <v>46052</v>
      </c>
      <c r="P163" s="16">
        <v>46059</v>
      </c>
      <c r="Q163" s="16">
        <v>46071</v>
      </c>
      <c r="R163" s="140">
        <v>46076</v>
      </c>
      <c r="S163" s="3">
        <f t="shared" si="9"/>
        <v>2</v>
      </c>
    </row>
    <row r="164" spans="1:19" x14ac:dyDescent="0.25">
      <c r="A164" s="403" t="str">
        <f t="shared" si="7"/>
        <v>46049460150000-00-0046051460510000-00-000000-00-000000-00-000000-00-000000-00-000000-00-000000-00-0046059460594605946072460762</v>
      </c>
      <c r="B164" s="37">
        <v>46049</v>
      </c>
      <c r="C164" s="37">
        <v>46015</v>
      </c>
      <c r="D164" s="18" t="s">
        <v>55</v>
      </c>
      <c r="E164" s="30">
        <v>46051</v>
      </c>
      <c r="F164" s="30">
        <v>46051</v>
      </c>
      <c r="G164" s="18" t="s">
        <v>55</v>
      </c>
      <c r="H164" s="18" t="s">
        <v>55</v>
      </c>
      <c r="I164" s="18" t="s">
        <v>55</v>
      </c>
      <c r="J164" s="18" t="s">
        <v>55</v>
      </c>
      <c r="K164" s="18" t="s">
        <v>55</v>
      </c>
      <c r="L164" s="18" t="s">
        <v>55</v>
      </c>
      <c r="M164" s="3" t="s">
        <v>55</v>
      </c>
      <c r="N164" s="30">
        <v>46059</v>
      </c>
      <c r="O164" s="30">
        <v>46059</v>
      </c>
      <c r="P164" s="30">
        <v>46059</v>
      </c>
      <c r="Q164" s="30">
        <v>46072</v>
      </c>
      <c r="R164" s="140">
        <v>46076</v>
      </c>
      <c r="S164" s="3">
        <f t="shared" si="9"/>
        <v>2</v>
      </c>
    </row>
    <row r="165" spans="1:19" x14ac:dyDescent="0.25">
      <c r="A165" s="403" t="str">
        <f t="shared" si="7"/>
        <v>46017460170000-00-0046052460520000-00-000000-00-000000-00-000000-00-000000-00-000000-00-000000-00-0046059460594606246064460652</v>
      </c>
      <c r="B165" s="44">
        <v>46017</v>
      </c>
      <c r="C165" s="44">
        <v>46017</v>
      </c>
      <c r="D165" s="2" t="s">
        <v>55</v>
      </c>
      <c r="E165" s="44">
        <v>46052</v>
      </c>
      <c r="F165" s="44">
        <v>46052</v>
      </c>
      <c r="G165" s="2" t="s">
        <v>55</v>
      </c>
      <c r="H165" s="2" t="s">
        <v>55</v>
      </c>
      <c r="I165" s="2" t="s">
        <v>55</v>
      </c>
      <c r="J165" s="2" t="s">
        <v>55</v>
      </c>
      <c r="K165" s="2" t="s">
        <v>55</v>
      </c>
      <c r="L165" s="2" t="s">
        <v>55</v>
      </c>
      <c r="M165" s="3" t="s">
        <v>55</v>
      </c>
      <c r="N165" s="44">
        <v>46059</v>
      </c>
      <c r="O165" s="44">
        <v>46059</v>
      </c>
      <c r="P165" s="44">
        <v>46062</v>
      </c>
      <c r="Q165" s="44">
        <v>46064</v>
      </c>
      <c r="R165" s="44">
        <v>46065</v>
      </c>
      <c r="S165" s="3">
        <f t="shared" si="9"/>
        <v>2</v>
      </c>
    </row>
    <row r="166" spans="1:19" x14ac:dyDescent="0.25">
      <c r="A166" s="403" t="str">
        <f t="shared" si="7"/>
        <v>46017460170000-00-0046027460300000-00-000000-00-000000-00-000000-00-000000-00-000000-00-000000-00-0046036460454604846052460552</v>
      </c>
      <c r="B166" s="28">
        <v>46017</v>
      </c>
      <c r="C166" s="28">
        <v>46017</v>
      </c>
      <c r="D166" s="21" t="s">
        <v>55</v>
      </c>
      <c r="E166" s="28">
        <v>46027</v>
      </c>
      <c r="F166" s="28">
        <v>46030</v>
      </c>
      <c r="G166" s="36" t="s">
        <v>55</v>
      </c>
      <c r="H166" s="36" t="s">
        <v>55</v>
      </c>
      <c r="I166" s="36" t="s">
        <v>55</v>
      </c>
      <c r="J166" s="36" t="s">
        <v>55</v>
      </c>
      <c r="K166" s="36" t="s">
        <v>55</v>
      </c>
      <c r="L166" s="36" t="s">
        <v>55</v>
      </c>
      <c r="M166" s="3" t="s">
        <v>55</v>
      </c>
      <c r="N166" s="28">
        <v>46036</v>
      </c>
      <c r="O166" s="28">
        <v>46045</v>
      </c>
      <c r="P166" s="28">
        <v>46048</v>
      </c>
      <c r="Q166" s="16">
        <v>46052</v>
      </c>
      <c r="R166" s="16">
        <v>46055</v>
      </c>
      <c r="S166" s="3">
        <f t="shared" si="9"/>
        <v>2</v>
      </c>
    </row>
    <row r="167" spans="1:19" x14ac:dyDescent="0.25">
      <c r="A167" s="403" t="str">
        <f t="shared" si="7"/>
        <v>46017460170000-00-0046049460490000-00-000000-00-000000-00-000000-00-000000-00-000000-00-000000-00-0046057460574605746076460762</v>
      </c>
      <c r="B167" s="30">
        <v>46017</v>
      </c>
      <c r="C167" s="30">
        <v>46017</v>
      </c>
      <c r="D167" s="3" t="s">
        <v>55</v>
      </c>
      <c r="E167" s="73">
        <v>46049</v>
      </c>
      <c r="F167" s="73">
        <v>46049</v>
      </c>
      <c r="G167" s="3" t="s">
        <v>55</v>
      </c>
      <c r="H167" s="3" t="s">
        <v>55</v>
      </c>
      <c r="I167" s="3" t="s">
        <v>55</v>
      </c>
      <c r="J167" s="3" t="s">
        <v>55</v>
      </c>
      <c r="K167" s="3" t="s">
        <v>55</v>
      </c>
      <c r="L167" s="3" t="s">
        <v>55</v>
      </c>
      <c r="M167" s="3" t="s">
        <v>55</v>
      </c>
      <c r="N167" s="30">
        <v>46057</v>
      </c>
      <c r="O167" s="30">
        <v>46057</v>
      </c>
      <c r="P167" s="30">
        <v>46057</v>
      </c>
      <c r="Q167" s="30">
        <v>46076</v>
      </c>
      <c r="R167" s="140">
        <v>46076</v>
      </c>
      <c r="S167" s="3">
        <f t="shared" si="9"/>
        <v>2</v>
      </c>
    </row>
    <row r="168" spans="1:19" x14ac:dyDescent="0.25">
      <c r="A168" s="403" t="str">
        <f t="shared" si="7"/>
        <v>46020460200000-00-0046028460280000-00-000000-00-000000-00-000000-00-000000-00-000000-00-000000-00-0046038460514605146073460762</v>
      </c>
      <c r="B168" s="37">
        <v>46020</v>
      </c>
      <c r="C168" s="37">
        <v>46020</v>
      </c>
      <c r="D168" s="18" t="s">
        <v>55</v>
      </c>
      <c r="E168" s="30">
        <v>46028</v>
      </c>
      <c r="F168" s="30">
        <v>46028</v>
      </c>
      <c r="G168" s="18" t="s">
        <v>55</v>
      </c>
      <c r="H168" s="18" t="s">
        <v>55</v>
      </c>
      <c r="I168" s="18" t="s">
        <v>55</v>
      </c>
      <c r="J168" s="18" t="s">
        <v>55</v>
      </c>
      <c r="K168" s="18" t="s">
        <v>55</v>
      </c>
      <c r="L168" s="18" t="s">
        <v>55</v>
      </c>
      <c r="M168" s="3" t="s">
        <v>55</v>
      </c>
      <c r="N168" s="30">
        <v>46038</v>
      </c>
      <c r="O168" s="30">
        <v>46051</v>
      </c>
      <c r="P168" s="30">
        <v>46051</v>
      </c>
      <c r="Q168" s="16">
        <v>46073</v>
      </c>
      <c r="R168" s="140">
        <v>46076</v>
      </c>
      <c r="S168" s="3">
        <f t="shared" si="9"/>
        <v>2</v>
      </c>
    </row>
    <row r="169" spans="1:19" x14ac:dyDescent="0.25">
      <c r="A169" s="403" t="str">
        <f t="shared" si="7"/>
        <v>46013460200000-00-0046029460290000-00-000000-00-000000-00-000000-00-000000-00-000000-00-000000-00-0046024460244604946055460552</v>
      </c>
      <c r="B169" s="30">
        <v>46013</v>
      </c>
      <c r="C169" s="30">
        <v>46020</v>
      </c>
      <c r="D169" s="3" t="s">
        <v>55</v>
      </c>
      <c r="E169" s="30">
        <v>46029</v>
      </c>
      <c r="F169" s="30">
        <v>46029</v>
      </c>
      <c r="G169" s="3" t="s">
        <v>55</v>
      </c>
      <c r="H169" s="3" t="s">
        <v>55</v>
      </c>
      <c r="I169" s="3" t="s">
        <v>55</v>
      </c>
      <c r="J169" s="3" t="s">
        <v>55</v>
      </c>
      <c r="K169" s="3" t="s">
        <v>55</v>
      </c>
      <c r="L169" s="3" t="s">
        <v>55</v>
      </c>
      <c r="M169" s="3" t="s">
        <v>55</v>
      </c>
      <c r="N169" s="30">
        <v>46024</v>
      </c>
      <c r="O169" s="30">
        <v>46024</v>
      </c>
      <c r="P169" s="30">
        <v>46049</v>
      </c>
      <c r="Q169" s="30">
        <v>46055</v>
      </c>
      <c r="R169" s="16">
        <v>46055</v>
      </c>
      <c r="S169" s="3">
        <f t="shared" si="9"/>
        <v>2</v>
      </c>
    </row>
    <row r="170" spans="1:19" x14ac:dyDescent="0.25">
      <c r="A170" s="403" t="str">
        <f t="shared" si="7"/>
        <v>46050460200000-00-000000-00-000000-00-000000-00-000000-00-000000-00-000000-00-000000-00-000000-00-000000-00-0046056460564606246072460762</v>
      </c>
      <c r="B170" s="15">
        <v>46050</v>
      </c>
      <c r="C170" s="16">
        <v>46020</v>
      </c>
      <c r="D170" s="2" t="s">
        <v>55</v>
      </c>
      <c r="E170" s="2" t="s">
        <v>55</v>
      </c>
      <c r="F170" s="2" t="s">
        <v>55</v>
      </c>
      <c r="G170" s="2" t="s">
        <v>55</v>
      </c>
      <c r="H170" s="2" t="s">
        <v>55</v>
      </c>
      <c r="I170" s="2" t="s">
        <v>55</v>
      </c>
      <c r="J170" s="2" t="s">
        <v>55</v>
      </c>
      <c r="K170" s="2" t="s">
        <v>55</v>
      </c>
      <c r="L170" s="2" t="s">
        <v>55</v>
      </c>
      <c r="M170" s="3" t="s">
        <v>55</v>
      </c>
      <c r="N170" s="16">
        <v>46056</v>
      </c>
      <c r="O170" s="16">
        <v>46056</v>
      </c>
      <c r="P170" s="16">
        <v>46062</v>
      </c>
      <c r="Q170" s="30">
        <v>46072</v>
      </c>
      <c r="R170" s="140">
        <v>46076</v>
      </c>
      <c r="S170" s="3">
        <f t="shared" si="9"/>
        <v>2</v>
      </c>
    </row>
    <row r="171" spans="1:19" x14ac:dyDescent="0.25">
      <c r="A171" s="403" t="str">
        <f t="shared" si="7"/>
        <v>46021460200000-00-000000-00-000000-00-000000-00-000000-00-000000-00-000000-00-000000-00-000000-00-000000-00-0046028460294602946065460762</v>
      </c>
      <c r="B171" s="28">
        <v>46021</v>
      </c>
      <c r="C171" s="28">
        <v>46020</v>
      </c>
      <c r="D171" s="21" t="s">
        <v>55</v>
      </c>
      <c r="E171" s="21" t="s">
        <v>55</v>
      </c>
      <c r="F171" s="21" t="s">
        <v>55</v>
      </c>
      <c r="G171" s="36" t="s">
        <v>55</v>
      </c>
      <c r="H171" s="36" t="s">
        <v>55</v>
      </c>
      <c r="I171" s="36" t="s">
        <v>55</v>
      </c>
      <c r="J171" s="36" t="s">
        <v>55</v>
      </c>
      <c r="K171" s="36" t="s">
        <v>55</v>
      </c>
      <c r="L171" s="36" t="s">
        <v>55</v>
      </c>
      <c r="M171" s="3" t="s">
        <v>55</v>
      </c>
      <c r="N171" s="28">
        <v>46028</v>
      </c>
      <c r="O171" s="28">
        <v>46029</v>
      </c>
      <c r="P171" s="28">
        <v>46029</v>
      </c>
      <c r="Q171" s="28">
        <v>46065</v>
      </c>
      <c r="R171" s="140">
        <v>46076</v>
      </c>
      <c r="S171" s="3">
        <f t="shared" si="9"/>
        <v>2</v>
      </c>
    </row>
    <row r="172" spans="1:19" x14ac:dyDescent="0.25">
      <c r="A172" s="403" t="str">
        <f t="shared" si="7"/>
        <v>46051460210000-00-000000-00-000000-00-000000-00-000000-00-000000-00-000000-00-000000-00-000000-00-000000-00-0046056460564605746065460762</v>
      </c>
      <c r="B172" s="28">
        <v>46051</v>
      </c>
      <c r="C172" s="28">
        <v>46021</v>
      </c>
      <c r="D172" s="21" t="s">
        <v>55</v>
      </c>
      <c r="E172" s="21" t="s">
        <v>55</v>
      </c>
      <c r="F172" s="21" t="s">
        <v>55</v>
      </c>
      <c r="G172" s="36" t="s">
        <v>55</v>
      </c>
      <c r="H172" s="36" t="s">
        <v>55</v>
      </c>
      <c r="I172" s="36" t="s">
        <v>55</v>
      </c>
      <c r="J172" s="36" t="s">
        <v>55</v>
      </c>
      <c r="K172" s="36" t="s">
        <v>55</v>
      </c>
      <c r="L172" s="36" t="s">
        <v>55</v>
      </c>
      <c r="M172" s="3" t="s">
        <v>55</v>
      </c>
      <c r="N172" s="28">
        <v>46056</v>
      </c>
      <c r="O172" s="28">
        <v>46056</v>
      </c>
      <c r="P172" s="28">
        <v>46057</v>
      </c>
      <c r="Q172" s="28">
        <v>46065</v>
      </c>
      <c r="R172" s="140">
        <v>46076</v>
      </c>
      <c r="S172" s="3">
        <f t="shared" si="9"/>
        <v>2</v>
      </c>
    </row>
    <row r="173" spans="1:19" x14ac:dyDescent="0.25">
      <c r="A173" s="403" t="str">
        <f t="shared" si="7"/>
        <v>46021460210000-00-0046051460510000-00-000000-00-000000-00-000000-00-000000-00-000000-00-000000-00-0046058460654606546072460762</v>
      </c>
      <c r="B173" s="37">
        <v>46021</v>
      </c>
      <c r="C173" s="37">
        <v>46021</v>
      </c>
      <c r="D173" s="18" t="s">
        <v>55</v>
      </c>
      <c r="E173" s="30">
        <v>46051</v>
      </c>
      <c r="F173" s="30">
        <v>46051</v>
      </c>
      <c r="G173" s="18" t="s">
        <v>55</v>
      </c>
      <c r="H173" s="18" t="s">
        <v>55</v>
      </c>
      <c r="I173" s="18" t="s">
        <v>55</v>
      </c>
      <c r="J173" s="18" t="s">
        <v>55</v>
      </c>
      <c r="K173" s="18" t="s">
        <v>55</v>
      </c>
      <c r="L173" s="18" t="s">
        <v>55</v>
      </c>
      <c r="M173" s="3" t="s">
        <v>55</v>
      </c>
      <c r="N173" s="30">
        <v>46058</v>
      </c>
      <c r="O173" s="30">
        <v>46065</v>
      </c>
      <c r="P173" s="30">
        <v>46065</v>
      </c>
      <c r="Q173" s="30">
        <v>46072</v>
      </c>
      <c r="R173" s="140">
        <v>46076</v>
      </c>
      <c r="S173" s="3">
        <f t="shared" si="9"/>
        <v>2</v>
      </c>
    </row>
    <row r="174" spans="1:19" x14ac:dyDescent="0.25">
      <c r="A174" s="403" t="str">
        <f t="shared" si="7"/>
        <v>46021460210000-00-0046042460420000-00-000000-00-000000-00-000000-00-000000-00-000000-00-000000-00-0046043460434604446049460552</v>
      </c>
      <c r="B174" s="37">
        <v>46021</v>
      </c>
      <c r="C174" s="37">
        <v>46021</v>
      </c>
      <c r="D174" s="18" t="s">
        <v>55</v>
      </c>
      <c r="E174" s="16">
        <v>46042</v>
      </c>
      <c r="F174" s="16">
        <v>46042</v>
      </c>
      <c r="G174" s="18" t="s">
        <v>55</v>
      </c>
      <c r="H174" s="18" t="s">
        <v>55</v>
      </c>
      <c r="I174" s="18" t="s">
        <v>55</v>
      </c>
      <c r="J174" s="18" t="s">
        <v>55</v>
      </c>
      <c r="K174" s="18" t="s">
        <v>55</v>
      </c>
      <c r="L174" s="18" t="s">
        <v>55</v>
      </c>
      <c r="M174" s="3" t="s">
        <v>55</v>
      </c>
      <c r="N174" s="30">
        <v>46043</v>
      </c>
      <c r="O174" s="30">
        <v>46043</v>
      </c>
      <c r="P174" s="16">
        <v>46044</v>
      </c>
      <c r="Q174" s="37">
        <v>46049</v>
      </c>
      <c r="R174" s="16">
        <v>46055</v>
      </c>
      <c r="S174" s="3">
        <f t="shared" si="9"/>
        <v>2</v>
      </c>
    </row>
    <row r="175" spans="1:19" x14ac:dyDescent="0.25">
      <c r="A175" s="403" t="str">
        <f t="shared" si="7"/>
        <v>46021460210000-00-0046044460440000-00-000000-00-000000-00-000000-00-000000-00-000000-00-000000-00-0046050460584605846073460762</v>
      </c>
      <c r="B175" s="37">
        <v>46021</v>
      </c>
      <c r="C175" s="37">
        <v>46021</v>
      </c>
      <c r="D175" s="18" t="s">
        <v>55</v>
      </c>
      <c r="E175" s="30">
        <v>46044</v>
      </c>
      <c r="F175" s="30">
        <v>46044</v>
      </c>
      <c r="G175" s="18" t="s">
        <v>55</v>
      </c>
      <c r="H175" s="18" t="s">
        <v>55</v>
      </c>
      <c r="I175" s="18" t="s">
        <v>55</v>
      </c>
      <c r="J175" s="18" t="s">
        <v>55</v>
      </c>
      <c r="K175" s="18" t="s">
        <v>55</v>
      </c>
      <c r="L175" s="18" t="s">
        <v>55</v>
      </c>
      <c r="M175" s="3" t="s">
        <v>55</v>
      </c>
      <c r="N175" s="30">
        <v>46050</v>
      </c>
      <c r="O175" s="30">
        <v>46058</v>
      </c>
      <c r="P175" s="30">
        <v>46058</v>
      </c>
      <c r="Q175" s="16">
        <v>46073</v>
      </c>
      <c r="R175" s="140">
        <v>46076</v>
      </c>
      <c r="S175" s="3">
        <f t="shared" si="9"/>
        <v>2</v>
      </c>
    </row>
    <row r="176" spans="1:19" x14ac:dyDescent="0.25">
      <c r="A176" s="403" t="str">
        <f t="shared" si="7"/>
        <v>46027460220000-00-0046027460350000-00-000000-00-000000-00-000000-00-000000-00-000000-00-000000-00-0046041460414604246052460552</v>
      </c>
      <c r="B176" s="28">
        <v>46027</v>
      </c>
      <c r="C176" s="28">
        <v>46022</v>
      </c>
      <c r="D176" s="21" t="s">
        <v>55</v>
      </c>
      <c r="E176" s="28">
        <v>46027</v>
      </c>
      <c r="F176" s="28">
        <v>46035</v>
      </c>
      <c r="G176" s="36" t="s">
        <v>55</v>
      </c>
      <c r="H176" s="36" t="s">
        <v>55</v>
      </c>
      <c r="I176" s="36" t="s">
        <v>55</v>
      </c>
      <c r="J176" s="36" t="s">
        <v>55</v>
      </c>
      <c r="K176" s="36" t="s">
        <v>55</v>
      </c>
      <c r="L176" s="36" t="s">
        <v>55</v>
      </c>
      <c r="M176" s="3" t="s">
        <v>55</v>
      </c>
      <c r="N176" s="28">
        <v>46041</v>
      </c>
      <c r="O176" s="28">
        <v>46041</v>
      </c>
      <c r="P176" s="28">
        <v>46042</v>
      </c>
      <c r="Q176" s="16">
        <v>46052</v>
      </c>
      <c r="R176" s="16">
        <v>46055</v>
      </c>
      <c r="S176" s="3">
        <f t="shared" si="9"/>
        <v>2</v>
      </c>
    </row>
    <row r="177" spans="1:19" x14ac:dyDescent="0.25">
      <c r="A177" s="403" t="str">
        <f t="shared" si="7"/>
        <v>46027460220000-00-0046037460480000-00-000000-00-000000-00-000000-00-000000-00-000000-00-000000-00-0046049460494604946052460552</v>
      </c>
      <c r="B177" s="28">
        <v>46027</v>
      </c>
      <c r="C177" s="28">
        <v>46022</v>
      </c>
      <c r="D177" s="21" t="s">
        <v>55</v>
      </c>
      <c r="E177" s="28">
        <v>46037</v>
      </c>
      <c r="F177" s="28">
        <v>46048</v>
      </c>
      <c r="G177" s="36" t="s">
        <v>55</v>
      </c>
      <c r="H177" s="36" t="s">
        <v>55</v>
      </c>
      <c r="I177" s="36" t="s">
        <v>55</v>
      </c>
      <c r="J177" s="36" t="s">
        <v>55</v>
      </c>
      <c r="K177" s="36" t="s">
        <v>55</v>
      </c>
      <c r="L177" s="36" t="s">
        <v>55</v>
      </c>
      <c r="M177" s="3" t="s">
        <v>55</v>
      </c>
      <c r="N177" s="28">
        <v>46049</v>
      </c>
      <c r="O177" s="16">
        <v>46049</v>
      </c>
      <c r="P177" s="16">
        <v>46049</v>
      </c>
      <c r="Q177" s="16">
        <v>46052</v>
      </c>
      <c r="R177" s="16">
        <v>46055</v>
      </c>
      <c r="S177" s="3">
        <f t="shared" si="9"/>
        <v>2</v>
      </c>
    </row>
    <row r="178" spans="1:19" x14ac:dyDescent="0.25">
      <c r="A178" s="403" t="str">
        <f t="shared" si="7"/>
        <v>46048460240000-00-000000-00-000000-00-000000-00-000000-00-000000-00-000000-00-000000-00-000000-00-000000-00-0046052460554605546063460652</v>
      </c>
      <c r="B178" s="28">
        <v>46048</v>
      </c>
      <c r="C178" s="28">
        <v>46024</v>
      </c>
      <c r="D178" s="21" t="s">
        <v>55</v>
      </c>
      <c r="E178" s="21" t="s">
        <v>55</v>
      </c>
      <c r="F178" s="21" t="s">
        <v>55</v>
      </c>
      <c r="G178" s="36" t="s">
        <v>55</v>
      </c>
      <c r="H178" s="36" t="s">
        <v>55</v>
      </c>
      <c r="I178" s="36" t="s">
        <v>55</v>
      </c>
      <c r="J178" s="36" t="s">
        <v>55</v>
      </c>
      <c r="K178" s="36" t="s">
        <v>55</v>
      </c>
      <c r="L178" s="36" t="s">
        <v>55</v>
      </c>
      <c r="M178" s="3" t="s">
        <v>55</v>
      </c>
      <c r="N178" s="28">
        <v>46052</v>
      </c>
      <c r="O178" s="28">
        <v>46055</v>
      </c>
      <c r="P178" s="28">
        <v>46055</v>
      </c>
      <c r="Q178" s="28">
        <v>46063</v>
      </c>
      <c r="R178" s="28">
        <v>46065</v>
      </c>
      <c r="S178" s="3">
        <f t="shared" si="9"/>
        <v>2</v>
      </c>
    </row>
    <row r="179" spans="1:19" x14ac:dyDescent="0.25">
      <c r="A179" s="403" t="str">
        <f t="shared" si="7"/>
        <v>46026460260000-00-0046035460350000-00-000000-00-000000-00-000000-00-000000-00-000000-00-000000-00-0046044460444604546055460552</v>
      </c>
      <c r="B179" s="30">
        <v>46026</v>
      </c>
      <c r="C179" s="30">
        <v>46026</v>
      </c>
      <c r="D179" s="3" t="s">
        <v>55</v>
      </c>
      <c r="E179" s="30">
        <v>46035</v>
      </c>
      <c r="F179" s="30">
        <v>46035</v>
      </c>
      <c r="G179" s="3" t="s">
        <v>55</v>
      </c>
      <c r="H179" s="3" t="s">
        <v>55</v>
      </c>
      <c r="I179" s="3" t="s">
        <v>55</v>
      </c>
      <c r="J179" s="3" t="s">
        <v>55</v>
      </c>
      <c r="K179" s="3" t="s">
        <v>55</v>
      </c>
      <c r="L179" s="3" t="s">
        <v>55</v>
      </c>
      <c r="M179" s="3" t="s">
        <v>55</v>
      </c>
      <c r="N179" s="16">
        <v>46044</v>
      </c>
      <c r="O179" s="16">
        <v>46044</v>
      </c>
      <c r="P179" s="30">
        <v>46045</v>
      </c>
      <c r="Q179" s="30">
        <v>46055</v>
      </c>
      <c r="R179" s="16">
        <v>46055</v>
      </c>
      <c r="S179" s="3">
        <f t="shared" si="9"/>
        <v>2</v>
      </c>
    </row>
    <row r="180" spans="1:19" x14ac:dyDescent="0.25">
      <c r="A180" s="403" t="str">
        <f t="shared" si="7"/>
        <v>46062460270000-00-000000-00-000000-00-000000-00-000000-00-000000-00-000000-00-000000-00-000000-00-000000-00-0046066460660000-00-0046066460662</v>
      </c>
      <c r="B180" s="16">
        <v>46062</v>
      </c>
      <c r="C180" s="16">
        <v>46027</v>
      </c>
      <c r="D180" s="21" t="s">
        <v>55</v>
      </c>
      <c r="E180" s="16" t="s">
        <v>55</v>
      </c>
      <c r="F180" s="16" t="s">
        <v>55</v>
      </c>
      <c r="G180" s="36" t="s">
        <v>55</v>
      </c>
      <c r="H180" s="36" t="s">
        <v>55</v>
      </c>
      <c r="I180" s="36" t="s">
        <v>55</v>
      </c>
      <c r="J180" s="36" t="s">
        <v>55</v>
      </c>
      <c r="K180" s="36" t="s">
        <v>55</v>
      </c>
      <c r="L180" s="36" t="s">
        <v>55</v>
      </c>
      <c r="M180" s="3" t="s">
        <v>55</v>
      </c>
      <c r="N180" s="28">
        <v>46066</v>
      </c>
      <c r="O180" s="28">
        <v>46066</v>
      </c>
      <c r="P180" s="16" t="s">
        <v>55</v>
      </c>
      <c r="Q180" s="16">
        <v>46066</v>
      </c>
      <c r="R180" s="16">
        <v>46066</v>
      </c>
      <c r="S180" s="3">
        <f t="shared" si="9"/>
        <v>2</v>
      </c>
    </row>
    <row r="181" spans="1:19" x14ac:dyDescent="0.25">
      <c r="A181" s="403" t="str">
        <f t="shared" si="7"/>
        <v>46027460270000-00-0046037460380000-00-000000-00-000000-00-000000-00-000000-00-000000-00-000000-00-0046041460414604146049460552</v>
      </c>
      <c r="B181" s="15">
        <v>46027</v>
      </c>
      <c r="C181" s="16">
        <v>46027</v>
      </c>
      <c r="D181" s="21" t="s">
        <v>55</v>
      </c>
      <c r="E181" s="16">
        <v>46037</v>
      </c>
      <c r="F181" s="16">
        <v>46038</v>
      </c>
      <c r="G181" s="36" t="s">
        <v>55</v>
      </c>
      <c r="H181" s="36" t="s">
        <v>55</v>
      </c>
      <c r="I181" s="36" t="s">
        <v>55</v>
      </c>
      <c r="J181" s="36" t="s">
        <v>55</v>
      </c>
      <c r="K181" s="36" t="s">
        <v>55</v>
      </c>
      <c r="L181" s="36" t="s">
        <v>55</v>
      </c>
      <c r="M181" s="3" t="s">
        <v>55</v>
      </c>
      <c r="N181" s="28">
        <v>46041</v>
      </c>
      <c r="O181" s="28">
        <v>46041</v>
      </c>
      <c r="P181" s="16">
        <v>46041</v>
      </c>
      <c r="Q181" s="16">
        <v>46049</v>
      </c>
      <c r="R181" s="16">
        <v>46055</v>
      </c>
      <c r="S181" s="3">
        <f t="shared" si="9"/>
        <v>2</v>
      </c>
    </row>
    <row r="182" spans="1:19" x14ac:dyDescent="0.25">
      <c r="A182" s="403" t="str">
        <f t="shared" si="7"/>
        <v>46027460270000-00-0046030460300000-00-000000-00-000000-00-000000-00-000000-00-000000-00-000000-00-0046044460494605046058460652</v>
      </c>
      <c r="B182" s="44">
        <v>46027</v>
      </c>
      <c r="C182" s="44">
        <v>46027</v>
      </c>
      <c r="D182" s="2" t="s">
        <v>55</v>
      </c>
      <c r="E182" s="44">
        <v>46030</v>
      </c>
      <c r="F182" s="44">
        <v>46030</v>
      </c>
      <c r="G182" s="2" t="s">
        <v>55</v>
      </c>
      <c r="H182" s="2" t="s">
        <v>55</v>
      </c>
      <c r="I182" s="2" t="s">
        <v>55</v>
      </c>
      <c r="J182" s="2" t="s">
        <v>55</v>
      </c>
      <c r="K182" s="2" t="s">
        <v>55</v>
      </c>
      <c r="L182" s="2" t="s">
        <v>55</v>
      </c>
      <c r="M182" s="3" t="s">
        <v>55</v>
      </c>
      <c r="N182" s="16">
        <v>46044</v>
      </c>
      <c r="O182" s="16">
        <v>46049</v>
      </c>
      <c r="P182" s="16">
        <v>46050</v>
      </c>
      <c r="Q182" s="16">
        <v>46058</v>
      </c>
      <c r="R182" s="104">
        <v>46065</v>
      </c>
      <c r="S182" s="3">
        <f t="shared" si="9"/>
        <v>2</v>
      </c>
    </row>
    <row r="183" spans="1:19" x14ac:dyDescent="0.25">
      <c r="A183" s="403" t="str">
        <f t="shared" si="7"/>
        <v>46027460270000-00-0046043460490000-00-000000-00-000000-00-000000-00-000000-00-000000-00-000000-00-0046052460524605246058460652</v>
      </c>
      <c r="B183" s="15">
        <v>46027</v>
      </c>
      <c r="C183" s="16">
        <v>46027</v>
      </c>
      <c r="D183" s="21" t="s">
        <v>55</v>
      </c>
      <c r="E183" s="16">
        <v>46043</v>
      </c>
      <c r="F183" s="16">
        <v>46049</v>
      </c>
      <c r="G183" s="36" t="s">
        <v>55</v>
      </c>
      <c r="H183" s="36" t="s">
        <v>55</v>
      </c>
      <c r="I183" s="36" t="s">
        <v>55</v>
      </c>
      <c r="J183" s="36" t="s">
        <v>55</v>
      </c>
      <c r="K183" s="36" t="s">
        <v>55</v>
      </c>
      <c r="L183" s="36" t="s">
        <v>55</v>
      </c>
      <c r="M183" s="3" t="s">
        <v>55</v>
      </c>
      <c r="N183" s="16">
        <v>46052</v>
      </c>
      <c r="O183" s="16">
        <v>46052</v>
      </c>
      <c r="P183" s="16">
        <v>46052</v>
      </c>
      <c r="Q183" s="16">
        <v>46058</v>
      </c>
      <c r="R183" s="16">
        <v>46065</v>
      </c>
      <c r="S183" s="3">
        <f t="shared" si="9"/>
        <v>2</v>
      </c>
    </row>
    <row r="184" spans="1:19" x14ac:dyDescent="0.25">
      <c r="A184" s="403" t="str">
        <f t="shared" si="7"/>
        <v>46027460270000-00-0046038460380000-00-000000-00-000000-00-000000-00-000000-00-000000-00-000000-00-0046042460434604446052460552</v>
      </c>
      <c r="B184" s="37">
        <v>46027</v>
      </c>
      <c r="C184" s="37">
        <v>46027</v>
      </c>
      <c r="D184" s="18" t="s">
        <v>55</v>
      </c>
      <c r="E184" s="30">
        <v>46038</v>
      </c>
      <c r="F184" s="30">
        <v>46038</v>
      </c>
      <c r="G184" s="18" t="s">
        <v>55</v>
      </c>
      <c r="H184" s="18" t="s">
        <v>55</v>
      </c>
      <c r="I184" s="18" t="s">
        <v>55</v>
      </c>
      <c r="J184" s="18" t="s">
        <v>55</v>
      </c>
      <c r="K184" s="18" t="s">
        <v>55</v>
      </c>
      <c r="L184" s="18" t="s">
        <v>55</v>
      </c>
      <c r="M184" s="3" t="s">
        <v>55</v>
      </c>
      <c r="N184" s="30">
        <v>46042</v>
      </c>
      <c r="O184" s="30">
        <v>46043</v>
      </c>
      <c r="P184" s="16">
        <v>46044</v>
      </c>
      <c r="Q184" s="16">
        <v>46052</v>
      </c>
      <c r="R184" s="16">
        <v>46055</v>
      </c>
      <c r="S184" s="3">
        <f t="shared" si="9"/>
        <v>2</v>
      </c>
    </row>
    <row r="185" spans="1:19" x14ac:dyDescent="0.25">
      <c r="A185" s="403" t="str">
        <f t="shared" si="7"/>
        <v>46027460270000-00-0046030460300000-00-000000-00-000000-00-000000-00-000000-00-000000-00-000000-00-0046038460384604246059460652</v>
      </c>
      <c r="B185" s="37">
        <v>46027</v>
      </c>
      <c r="C185" s="37">
        <v>46027</v>
      </c>
      <c r="D185" s="18" t="s">
        <v>55</v>
      </c>
      <c r="E185" s="30">
        <v>46030</v>
      </c>
      <c r="F185" s="30">
        <v>46030</v>
      </c>
      <c r="G185" s="18" t="s">
        <v>55</v>
      </c>
      <c r="H185" s="18" t="s">
        <v>55</v>
      </c>
      <c r="I185" s="18" t="s">
        <v>55</v>
      </c>
      <c r="J185" s="18" t="s">
        <v>55</v>
      </c>
      <c r="K185" s="18" t="s">
        <v>55</v>
      </c>
      <c r="L185" s="18" t="s">
        <v>55</v>
      </c>
      <c r="M185" s="3" t="s">
        <v>55</v>
      </c>
      <c r="N185" s="30">
        <v>46038</v>
      </c>
      <c r="O185" s="28">
        <v>46038</v>
      </c>
      <c r="P185" s="37">
        <v>46042</v>
      </c>
      <c r="Q185" s="44">
        <v>46059</v>
      </c>
      <c r="R185" s="104">
        <v>46065</v>
      </c>
      <c r="S185" s="3">
        <f t="shared" si="9"/>
        <v>2</v>
      </c>
    </row>
    <row r="186" spans="1:19" x14ac:dyDescent="0.25">
      <c r="A186" s="403" t="str">
        <f t="shared" si="7"/>
        <v>46028460280000-00-000000-00-000000-00-000000-00-000000-00-000000-00-000000-00-000000-00-000000-00-000000-00-0046037460374603846049460552</v>
      </c>
      <c r="B186" s="28">
        <v>46028</v>
      </c>
      <c r="C186" s="28">
        <v>46028</v>
      </c>
      <c r="D186" s="21" t="s">
        <v>55</v>
      </c>
      <c r="E186" s="21" t="s">
        <v>55</v>
      </c>
      <c r="F186" s="21" t="s">
        <v>55</v>
      </c>
      <c r="G186" s="36" t="s">
        <v>55</v>
      </c>
      <c r="H186" s="36" t="s">
        <v>55</v>
      </c>
      <c r="I186" s="36" t="s">
        <v>55</v>
      </c>
      <c r="J186" s="36" t="s">
        <v>55</v>
      </c>
      <c r="K186" s="36" t="s">
        <v>55</v>
      </c>
      <c r="L186" s="36" t="s">
        <v>55</v>
      </c>
      <c r="M186" s="3" t="s">
        <v>55</v>
      </c>
      <c r="N186" s="28">
        <v>46037</v>
      </c>
      <c r="O186" s="28">
        <v>46037</v>
      </c>
      <c r="P186" s="28">
        <v>46038</v>
      </c>
      <c r="Q186" s="28">
        <v>46049</v>
      </c>
      <c r="R186" s="16">
        <v>46055</v>
      </c>
      <c r="S186" s="3">
        <f t="shared" si="9"/>
        <v>2</v>
      </c>
    </row>
    <row r="187" spans="1:19" x14ac:dyDescent="0.25">
      <c r="A187" s="403" t="str">
        <f t="shared" si="7"/>
        <v>46063460280000-00-000000-00-000000-00-000000-00-000000-00-000000-00-000000-00-000000-00-000000-00-000000-00-0046069460704607046073460762</v>
      </c>
      <c r="B187" s="28">
        <v>46063</v>
      </c>
      <c r="C187" s="28">
        <v>46028</v>
      </c>
      <c r="D187" s="21" t="s">
        <v>55</v>
      </c>
      <c r="E187" s="21" t="s">
        <v>55</v>
      </c>
      <c r="F187" s="21" t="s">
        <v>55</v>
      </c>
      <c r="G187" s="36" t="s">
        <v>55</v>
      </c>
      <c r="H187" s="36" t="s">
        <v>55</v>
      </c>
      <c r="I187" s="36" t="s">
        <v>55</v>
      </c>
      <c r="J187" s="36" t="s">
        <v>55</v>
      </c>
      <c r="K187" s="36" t="s">
        <v>55</v>
      </c>
      <c r="L187" s="36" t="s">
        <v>55</v>
      </c>
      <c r="M187" s="3" t="s">
        <v>55</v>
      </c>
      <c r="N187" s="28">
        <v>46069</v>
      </c>
      <c r="O187" s="28">
        <v>46070</v>
      </c>
      <c r="P187" s="28">
        <v>46070</v>
      </c>
      <c r="Q187" s="16">
        <v>46073</v>
      </c>
      <c r="R187" s="140">
        <v>46076</v>
      </c>
      <c r="S187" s="3">
        <f t="shared" si="9"/>
        <v>2</v>
      </c>
    </row>
    <row r="188" spans="1:19" x14ac:dyDescent="0.25">
      <c r="A188" s="403" t="str">
        <f t="shared" si="7"/>
        <v>46029460290000-00-0046042460420000-00-000000-00-000000-00-000000-00-000000-00-000000-00-000000-00-0046065460714607146073460762</v>
      </c>
      <c r="B188" s="44">
        <v>46029</v>
      </c>
      <c r="C188" s="44">
        <v>46029</v>
      </c>
      <c r="D188" s="2" t="s">
        <v>55</v>
      </c>
      <c r="E188" s="16">
        <v>46042</v>
      </c>
      <c r="F188" s="16">
        <v>46042</v>
      </c>
      <c r="G188" s="2" t="s">
        <v>55</v>
      </c>
      <c r="H188" s="2" t="s">
        <v>55</v>
      </c>
      <c r="I188" s="2" t="s">
        <v>55</v>
      </c>
      <c r="J188" s="2" t="s">
        <v>55</v>
      </c>
      <c r="K188" s="2" t="s">
        <v>55</v>
      </c>
      <c r="L188" s="2" t="s">
        <v>55</v>
      </c>
      <c r="M188" s="3" t="s">
        <v>55</v>
      </c>
      <c r="N188" s="44">
        <v>46065</v>
      </c>
      <c r="O188" s="16">
        <v>46071</v>
      </c>
      <c r="P188" s="16">
        <v>46071</v>
      </c>
      <c r="Q188" s="16">
        <v>46073</v>
      </c>
      <c r="R188" s="140">
        <v>46076</v>
      </c>
      <c r="S188" s="3">
        <f t="shared" si="9"/>
        <v>2</v>
      </c>
    </row>
    <row r="189" spans="1:19" x14ac:dyDescent="0.25">
      <c r="A189" s="403" t="str">
        <f t="shared" si="7"/>
        <v>46024460240000-00-0046029460290000-00-000000-00-000000-00-000000-00-000000-00-000000-00-000000-00-0046044460514605146072460762</v>
      </c>
      <c r="B189" s="37">
        <v>46024</v>
      </c>
      <c r="C189" s="37">
        <v>46024</v>
      </c>
      <c r="D189" s="18" t="s">
        <v>55</v>
      </c>
      <c r="E189" s="30">
        <v>46029</v>
      </c>
      <c r="F189" s="30">
        <v>46029</v>
      </c>
      <c r="G189" s="18" t="s">
        <v>55</v>
      </c>
      <c r="H189" s="18" t="s">
        <v>55</v>
      </c>
      <c r="I189" s="18" t="s">
        <v>55</v>
      </c>
      <c r="J189" s="18" t="s">
        <v>55</v>
      </c>
      <c r="K189" s="18" t="s">
        <v>55</v>
      </c>
      <c r="L189" s="18" t="s">
        <v>55</v>
      </c>
      <c r="M189" s="3" t="s">
        <v>55</v>
      </c>
      <c r="N189" s="16">
        <v>46044</v>
      </c>
      <c r="O189" s="30">
        <v>46051</v>
      </c>
      <c r="P189" s="30">
        <v>46051</v>
      </c>
      <c r="Q189" s="30">
        <v>46072</v>
      </c>
      <c r="R189" s="140">
        <v>46076</v>
      </c>
      <c r="S189" s="3">
        <f t="shared" si="9"/>
        <v>2</v>
      </c>
    </row>
    <row r="190" spans="1:19" x14ac:dyDescent="0.25">
      <c r="A190" s="403" t="str">
        <f t="shared" si="7"/>
        <v>46029460290000-00-0046037460370000-00-000000-00-000000-00-000000-00-000000-00-000000-00-000000-00-0046057460574605846063460652</v>
      </c>
      <c r="B190" s="30">
        <v>46029</v>
      </c>
      <c r="C190" s="30">
        <v>46029</v>
      </c>
      <c r="D190" s="3" t="s">
        <v>55</v>
      </c>
      <c r="E190" s="30">
        <v>46037</v>
      </c>
      <c r="F190" s="30">
        <v>46037</v>
      </c>
      <c r="G190" s="3" t="s">
        <v>55</v>
      </c>
      <c r="H190" s="3" t="s">
        <v>55</v>
      </c>
      <c r="I190" s="3" t="s">
        <v>55</v>
      </c>
      <c r="J190" s="3" t="s">
        <v>55</v>
      </c>
      <c r="K190" s="3" t="s">
        <v>55</v>
      </c>
      <c r="L190" s="3" t="s">
        <v>55</v>
      </c>
      <c r="M190" s="3" t="s">
        <v>55</v>
      </c>
      <c r="N190" s="30">
        <v>46057</v>
      </c>
      <c r="O190" s="30">
        <v>46057</v>
      </c>
      <c r="P190" s="30">
        <v>46058</v>
      </c>
      <c r="Q190" s="30">
        <v>46063</v>
      </c>
      <c r="R190" s="30">
        <v>46065</v>
      </c>
      <c r="S190" s="3">
        <f t="shared" si="9"/>
        <v>2</v>
      </c>
    </row>
    <row r="191" spans="1:19" x14ac:dyDescent="0.25">
      <c r="A191" s="403" t="str">
        <f t="shared" si="7"/>
        <v>46031460290000-00-000000-00-000000-00-000000-00-000000-00-000000-00-000000-00-000000-00-000000-00-000000-00-0046037460444604446050460552</v>
      </c>
      <c r="B191" s="15">
        <v>46031</v>
      </c>
      <c r="C191" s="16">
        <v>46029</v>
      </c>
      <c r="D191" s="2" t="s">
        <v>55</v>
      </c>
      <c r="E191" s="2" t="s">
        <v>55</v>
      </c>
      <c r="F191" s="2" t="s">
        <v>55</v>
      </c>
      <c r="G191" s="2" t="s">
        <v>55</v>
      </c>
      <c r="H191" s="2" t="s">
        <v>55</v>
      </c>
      <c r="I191" s="2" t="s">
        <v>55</v>
      </c>
      <c r="J191" s="2" t="s">
        <v>55</v>
      </c>
      <c r="K191" s="2" t="s">
        <v>55</v>
      </c>
      <c r="L191" s="2" t="s">
        <v>55</v>
      </c>
      <c r="M191" s="3" t="s">
        <v>55</v>
      </c>
      <c r="N191" s="16">
        <v>46037</v>
      </c>
      <c r="O191" s="16">
        <v>46044</v>
      </c>
      <c r="P191" s="16">
        <v>46044</v>
      </c>
      <c r="Q191" s="16">
        <v>46050</v>
      </c>
      <c r="R191" s="16">
        <v>46055</v>
      </c>
      <c r="S191" s="3">
        <f t="shared" si="9"/>
        <v>2</v>
      </c>
    </row>
    <row r="192" spans="1:19" x14ac:dyDescent="0.25">
      <c r="A192" s="403" t="str">
        <f t="shared" si="7"/>
        <v>46030460290000-00-0046042460450000-00-000000-00-000000-00-000000-00-000000-00-000000-00-000000-00-0046051460554605846064460762</v>
      </c>
      <c r="B192" s="15">
        <v>46030</v>
      </c>
      <c r="C192" s="15">
        <v>46029</v>
      </c>
      <c r="D192" s="2" t="s">
        <v>55</v>
      </c>
      <c r="E192" s="16">
        <v>46042</v>
      </c>
      <c r="F192" s="16">
        <v>46045</v>
      </c>
      <c r="G192" s="18" t="s">
        <v>55</v>
      </c>
      <c r="H192" s="18" t="s">
        <v>55</v>
      </c>
      <c r="I192" s="18" t="s">
        <v>55</v>
      </c>
      <c r="J192" s="18" t="s">
        <v>55</v>
      </c>
      <c r="K192" s="18" t="s">
        <v>55</v>
      </c>
      <c r="L192" s="18" t="s">
        <v>55</v>
      </c>
      <c r="M192" s="3" t="s">
        <v>55</v>
      </c>
      <c r="N192" s="16">
        <v>46051</v>
      </c>
      <c r="O192" s="16">
        <v>46055</v>
      </c>
      <c r="P192" s="16">
        <v>46058</v>
      </c>
      <c r="Q192" s="16">
        <v>46064</v>
      </c>
      <c r="R192" s="140">
        <v>46076</v>
      </c>
      <c r="S192" s="3">
        <f t="shared" si="9"/>
        <v>2</v>
      </c>
    </row>
    <row r="193" spans="1:19" x14ac:dyDescent="0.25">
      <c r="A193" s="403" t="str">
        <f t="shared" si="7"/>
        <v>46030460290000-00-0046037460450000-00-000000-00-000000-00-000000-00-000000-00-000000-00-000000-00-0046051460554605846065460762</v>
      </c>
      <c r="B193" s="15">
        <v>46030</v>
      </c>
      <c r="C193" s="15">
        <v>46029</v>
      </c>
      <c r="D193" s="18" t="s">
        <v>55</v>
      </c>
      <c r="E193" s="16">
        <v>46037</v>
      </c>
      <c r="F193" s="16">
        <v>46045</v>
      </c>
      <c r="G193" s="18" t="s">
        <v>55</v>
      </c>
      <c r="H193" s="18" t="s">
        <v>55</v>
      </c>
      <c r="I193" s="18" t="s">
        <v>55</v>
      </c>
      <c r="J193" s="18" t="s">
        <v>55</v>
      </c>
      <c r="K193" s="18" t="s">
        <v>55</v>
      </c>
      <c r="L193" s="18" t="s">
        <v>55</v>
      </c>
      <c r="M193" s="3" t="s">
        <v>55</v>
      </c>
      <c r="N193" s="16">
        <v>46051</v>
      </c>
      <c r="O193" s="16">
        <v>46055</v>
      </c>
      <c r="P193" s="16">
        <v>46058</v>
      </c>
      <c r="Q193" s="16">
        <v>46065</v>
      </c>
      <c r="R193" s="140">
        <v>46076</v>
      </c>
      <c r="S193" s="3">
        <f t="shared" si="9"/>
        <v>2</v>
      </c>
    </row>
    <row r="194" spans="1:19" x14ac:dyDescent="0.25">
      <c r="A194" s="403" t="str">
        <f t="shared" ref="A194:A257" si="10">+B194&amp;C194&amp;D194&amp;E194&amp;F194&amp;G194&amp;H194&amp;I194&amp;J194&amp;K194&amp;L194&amp;M194&amp;N194&amp;O194&amp;P194&amp;Q194&amp;R194&amp;S194</f>
        <v>46030460290000-00-0046037460450000-00-000000-00-000000-00-000000-00-000000-00-000000-00-000000-00-0046051460554605846064460762</v>
      </c>
      <c r="B194" s="15">
        <v>46030</v>
      </c>
      <c r="C194" s="15">
        <v>46029</v>
      </c>
      <c r="D194" s="2" t="s">
        <v>55</v>
      </c>
      <c r="E194" s="16">
        <v>46037</v>
      </c>
      <c r="F194" s="16">
        <v>46045</v>
      </c>
      <c r="G194" s="18" t="s">
        <v>55</v>
      </c>
      <c r="H194" s="18" t="s">
        <v>55</v>
      </c>
      <c r="I194" s="18" t="s">
        <v>55</v>
      </c>
      <c r="J194" s="18" t="s">
        <v>55</v>
      </c>
      <c r="K194" s="18" t="s">
        <v>55</v>
      </c>
      <c r="L194" s="18" t="s">
        <v>55</v>
      </c>
      <c r="M194" s="3" t="s">
        <v>55</v>
      </c>
      <c r="N194" s="16">
        <v>46051</v>
      </c>
      <c r="O194" s="16">
        <v>46055</v>
      </c>
      <c r="P194" s="16">
        <v>46058</v>
      </c>
      <c r="Q194" s="16">
        <v>46064</v>
      </c>
      <c r="R194" s="140">
        <v>46076</v>
      </c>
      <c r="S194" s="3">
        <f t="shared" ref="S194:S225" si="11">MONTH(R194)</f>
        <v>2</v>
      </c>
    </row>
    <row r="195" spans="1:19" x14ac:dyDescent="0.25">
      <c r="A195" s="403" t="str">
        <f t="shared" si="10"/>
        <v>46030460300000-00-000000-00-000000-00-000000-00-000000-00-000000-00-000000-00-000000-00-000000-00-000000-00-0046042460434604546051460552</v>
      </c>
      <c r="B195" s="15">
        <v>46030</v>
      </c>
      <c r="C195" s="16">
        <v>46030</v>
      </c>
      <c r="D195" s="2" t="s">
        <v>55</v>
      </c>
      <c r="E195" s="2" t="s">
        <v>55</v>
      </c>
      <c r="F195" s="2" t="s">
        <v>55</v>
      </c>
      <c r="G195" s="2" t="s">
        <v>55</v>
      </c>
      <c r="H195" s="116" t="s">
        <v>55</v>
      </c>
      <c r="I195" s="2" t="s">
        <v>55</v>
      </c>
      <c r="J195" s="2" t="s">
        <v>55</v>
      </c>
      <c r="K195" s="2" t="s">
        <v>55</v>
      </c>
      <c r="L195" s="2" t="s">
        <v>55</v>
      </c>
      <c r="M195" s="3" t="s">
        <v>55</v>
      </c>
      <c r="N195" s="16">
        <v>46042</v>
      </c>
      <c r="O195" s="16">
        <v>46043</v>
      </c>
      <c r="P195" s="16">
        <v>46045</v>
      </c>
      <c r="Q195" s="16">
        <v>46051</v>
      </c>
      <c r="R195" s="16">
        <v>46055</v>
      </c>
      <c r="S195" s="3">
        <f t="shared" si="11"/>
        <v>2</v>
      </c>
    </row>
    <row r="196" spans="1:19" x14ac:dyDescent="0.25">
      <c r="A196" s="403" t="str">
        <f t="shared" si="10"/>
        <v>46050460300000-00-000000-00-000000-00-000000-00-000000-00-000000-00-000000-00-000000-00-000000-00-000000-00-0046058460584605746059460652</v>
      </c>
      <c r="B196" s="15">
        <v>46050</v>
      </c>
      <c r="C196" s="44">
        <v>46030</v>
      </c>
      <c r="D196" s="2" t="s">
        <v>55</v>
      </c>
      <c r="E196" s="2" t="s">
        <v>55</v>
      </c>
      <c r="F196" s="2" t="s">
        <v>55</v>
      </c>
      <c r="G196" s="2" t="s">
        <v>55</v>
      </c>
      <c r="H196" s="2" t="s">
        <v>55</v>
      </c>
      <c r="I196" s="2" t="s">
        <v>55</v>
      </c>
      <c r="J196" s="2" t="s">
        <v>55</v>
      </c>
      <c r="K196" s="2" t="s">
        <v>55</v>
      </c>
      <c r="L196" s="2" t="s">
        <v>55</v>
      </c>
      <c r="M196" s="3" t="s">
        <v>55</v>
      </c>
      <c r="N196" s="44">
        <v>46058</v>
      </c>
      <c r="O196" s="44">
        <v>46058</v>
      </c>
      <c r="P196" s="44">
        <v>46057</v>
      </c>
      <c r="Q196" s="44">
        <v>46059</v>
      </c>
      <c r="R196" s="104">
        <v>46065</v>
      </c>
      <c r="S196" s="3">
        <f t="shared" si="11"/>
        <v>2</v>
      </c>
    </row>
    <row r="197" spans="1:19" x14ac:dyDescent="0.25">
      <c r="A197" s="403" t="str">
        <f t="shared" si="10"/>
        <v>46050460310000-00-000000-00-000000-00-000000-00-000000-00-000000-00-000000-00-000000-00-000000-00-000000-00-0046059460594605946064460652</v>
      </c>
      <c r="B197" s="15">
        <v>46050</v>
      </c>
      <c r="C197" s="44">
        <v>46031</v>
      </c>
      <c r="D197" s="2" t="s">
        <v>55</v>
      </c>
      <c r="E197" s="2" t="s">
        <v>55</v>
      </c>
      <c r="F197" s="2" t="s">
        <v>55</v>
      </c>
      <c r="G197" s="2" t="s">
        <v>55</v>
      </c>
      <c r="H197" s="2" t="s">
        <v>55</v>
      </c>
      <c r="I197" s="2" t="s">
        <v>55</v>
      </c>
      <c r="J197" s="2" t="s">
        <v>55</v>
      </c>
      <c r="K197" s="2" t="s">
        <v>55</v>
      </c>
      <c r="L197" s="2" t="s">
        <v>55</v>
      </c>
      <c r="M197" s="3" t="s">
        <v>55</v>
      </c>
      <c r="N197" s="44">
        <v>46059</v>
      </c>
      <c r="O197" s="44">
        <v>46059</v>
      </c>
      <c r="P197" s="44">
        <v>46059</v>
      </c>
      <c r="Q197" s="44">
        <v>46064</v>
      </c>
      <c r="R197" s="44">
        <v>46065</v>
      </c>
      <c r="S197" s="3">
        <f t="shared" si="11"/>
        <v>2</v>
      </c>
    </row>
    <row r="198" spans="1:19" x14ac:dyDescent="0.25">
      <c r="A198" s="403" t="str">
        <f t="shared" si="10"/>
        <v>46036460360000-00-0046045460480000-00-000000-00-000000-00-000000-00-000000-00-000000-00-000000-00-0046049460494604946052460552</v>
      </c>
      <c r="B198" s="15">
        <v>46036</v>
      </c>
      <c r="C198" s="16">
        <v>46036</v>
      </c>
      <c r="D198" s="21" t="s">
        <v>55</v>
      </c>
      <c r="E198" s="16">
        <v>46045</v>
      </c>
      <c r="F198" s="16">
        <v>46048</v>
      </c>
      <c r="G198" s="36" t="s">
        <v>55</v>
      </c>
      <c r="H198" s="36" t="s">
        <v>55</v>
      </c>
      <c r="I198" s="36" t="s">
        <v>55</v>
      </c>
      <c r="J198" s="36" t="s">
        <v>55</v>
      </c>
      <c r="K198" s="36" t="s">
        <v>55</v>
      </c>
      <c r="L198" s="36" t="s">
        <v>55</v>
      </c>
      <c r="M198" s="3" t="s">
        <v>55</v>
      </c>
      <c r="N198" s="16">
        <v>46049</v>
      </c>
      <c r="O198" s="16">
        <v>46049</v>
      </c>
      <c r="P198" s="16">
        <v>46049</v>
      </c>
      <c r="Q198" s="16">
        <v>46052</v>
      </c>
      <c r="R198" s="16">
        <v>46055</v>
      </c>
      <c r="S198" s="3">
        <f t="shared" si="11"/>
        <v>2</v>
      </c>
    </row>
    <row r="199" spans="1:19" x14ac:dyDescent="0.25">
      <c r="A199" s="403" t="str">
        <f t="shared" si="10"/>
        <v>46037460360000-00-0046042460440000-00-000000-00-000000-00-000000-00-000000-00-000000-00-000000-00-0046055460574605846071460762</v>
      </c>
      <c r="B199" s="28">
        <v>46037</v>
      </c>
      <c r="C199" s="28">
        <v>46036</v>
      </c>
      <c r="D199" s="21" t="s">
        <v>55</v>
      </c>
      <c r="E199" s="16">
        <v>46042</v>
      </c>
      <c r="F199" s="53">
        <v>46044</v>
      </c>
      <c r="G199" s="21" t="s">
        <v>55</v>
      </c>
      <c r="H199" s="21" t="s">
        <v>55</v>
      </c>
      <c r="I199" s="21" t="s">
        <v>55</v>
      </c>
      <c r="J199" s="21" t="s">
        <v>55</v>
      </c>
      <c r="K199" s="21" t="s">
        <v>55</v>
      </c>
      <c r="L199" s="21" t="s">
        <v>55</v>
      </c>
      <c r="M199" s="3" t="s">
        <v>55</v>
      </c>
      <c r="N199" s="28">
        <v>46055</v>
      </c>
      <c r="O199" s="28">
        <v>46057</v>
      </c>
      <c r="P199" s="28">
        <v>46058</v>
      </c>
      <c r="Q199" s="28">
        <v>46071</v>
      </c>
      <c r="R199" s="140">
        <v>46076</v>
      </c>
      <c r="S199" s="3">
        <f t="shared" si="11"/>
        <v>2</v>
      </c>
    </row>
    <row r="200" spans="1:19" x14ac:dyDescent="0.25">
      <c r="A200" s="403" t="str">
        <f t="shared" si="10"/>
        <v>46050460380000-00-000000-00-000000-00-000000-00-000000-00-000000-00-000000-00-000000-00-000000-00-000000-00-0046056460564605646071460762</v>
      </c>
      <c r="B200" s="15">
        <v>46050</v>
      </c>
      <c r="C200" s="28">
        <v>46038</v>
      </c>
      <c r="D200" s="21" t="s">
        <v>55</v>
      </c>
      <c r="E200" s="21" t="s">
        <v>55</v>
      </c>
      <c r="F200" s="21" t="s">
        <v>55</v>
      </c>
      <c r="G200" s="36" t="s">
        <v>55</v>
      </c>
      <c r="H200" s="36" t="s">
        <v>55</v>
      </c>
      <c r="I200" s="36" t="s">
        <v>55</v>
      </c>
      <c r="J200" s="36" t="s">
        <v>55</v>
      </c>
      <c r="K200" s="36" t="s">
        <v>55</v>
      </c>
      <c r="L200" s="36" t="s">
        <v>55</v>
      </c>
      <c r="M200" s="3" t="s">
        <v>55</v>
      </c>
      <c r="N200" s="28">
        <v>46056</v>
      </c>
      <c r="O200" s="28">
        <v>46056</v>
      </c>
      <c r="P200" s="28">
        <v>46056</v>
      </c>
      <c r="Q200" s="28">
        <v>46071</v>
      </c>
      <c r="R200" s="140">
        <v>46076</v>
      </c>
      <c r="S200" s="3">
        <f t="shared" si="11"/>
        <v>2</v>
      </c>
    </row>
    <row r="201" spans="1:19" x14ac:dyDescent="0.25">
      <c r="A201" s="403" t="str">
        <f t="shared" si="10"/>
        <v>46038460380000-00-0046041460410000-00-000000-00-000000-00-000000-00-000000-00-000000-00-000000-00-0046049460494604946055460552</v>
      </c>
      <c r="B201" s="44">
        <v>46038</v>
      </c>
      <c r="C201" s="44">
        <v>46038</v>
      </c>
      <c r="D201" s="3" t="s">
        <v>55</v>
      </c>
      <c r="E201" s="44">
        <v>46041</v>
      </c>
      <c r="F201" s="44">
        <v>46041</v>
      </c>
      <c r="G201" s="3" t="s">
        <v>55</v>
      </c>
      <c r="H201" s="3" t="s">
        <v>55</v>
      </c>
      <c r="I201" s="3" t="s">
        <v>55</v>
      </c>
      <c r="J201" s="3" t="s">
        <v>55</v>
      </c>
      <c r="K201" s="3" t="s">
        <v>55</v>
      </c>
      <c r="L201" s="3" t="s">
        <v>55</v>
      </c>
      <c r="M201" s="3" t="s">
        <v>55</v>
      </c>
      <c r="N201" s="30">
        <v>46049</v>
      </c>
      <c r="O201" s="16">
        <v>46049</v>
      </c>
      <c r="P201" s="16">
        <v>46049</v>
      </c>
      <c r="Q201" s="30">
        <v>46055</v>
      </c>
      <c r="R201" s="16">
        <v>46055</v>
      </c>
      <c r="S201" s="3">
        <f t="shared" si="11"/>
        <v>2</v>
      </c>
    </row>
    <row r="202" spans="1:19" x14ac:dyDescent="0.25">
      <c r="A202" s="403" t="str">
        <f t="shared" si="10"/>
        <v>46038460380000-00-000000-00-000000-00-000000-00-000000-00-000000-00-000000-00-000000-00-000000-00-000000-00-0046044460504605046052460552</v>
      </c>
      <c r="B202" s="44">
        <v>46038</v>
      </c>
      <c r="C202" s="44">
        <v>46038</v>
      </c>
      <c r="D202" s="2" t="s">
        <v>55</v>
      </c>
      <c r="E202" s="2" t="s">
        <v>55</v>
      </c>
      <c r="F202" s="2" t="s">
        <v>55</v>
      </c>
      <c r="G202" s="2" t="s">
        <v>55</v>
      </c>
      <c r="H202" s="2" t="s">
        <v>55</v>
      </c>
      <c r="I202" s="2" t="s">
        <v>55</v>
      </c>
      <c r="J202" s="2" t="s">
        <v>55</v>
      </c>
      <c r="K202" s="2" t="s">
        <v>55</v>
      </c>
      <c r="L202" s="2" t="s">
        <v>55</v>
      </c>
      <c r="M202" s="3" t="s">
        <v>55</v>
      </c>
      <c r="N202" s="16">
        <v>46044</v>
      </c>
      <c r="O202" s="28">
        <v>46050</v>
      </c>
      <c r="P202" s="28">
        <v>46050</v>
      </c>
      <c r="Q202" s="16">
        <v>46052</v>
      </c>
      <c r="R202" s="16">
        <v>46055</v>
      </c>
      <c r="S202" s="3">
        <f t="shared" si="11"/>
        <v>2</v>
      </c>
    </row>
    <row r="203" spans="1:19" x14ac:dyDescent="0.25">
      <c r="A203" s="403" t="str">
        <f t="shared" si="10"/>
        <v>46041460410000-00-0046042460420000-00-000000-00-000000-00-000000-00-000000-00-000000-00-000000-00-0046045460584605846063460632</v>
      </c>
      <c r="B203" s="37">
        <v>46041</v>
      </c>
      <c r="C203" s="37">
        <v>46041</v>
      </c>
      <c r="D203" s="18" t="s">
        <v>55</v>
      </c>
      <c r="E203" s="44">
        <v>46042</v>
      </c>
      <c r="F203" s="44">
        <v>46042</v>
      </c>
      <c r="G203" s="18" t="s">
        <v>55</v>
      </c>
      <c r="H203" s="18" t="s">
        <v>55</v>
      </c>
      <c r="I203" s="18" t="s">
        <v>55</v>
      </c>
      <c r="J203" s="18" t="s">
        <v>55</v>
      </c>
      <c r="K203" s="18" t="s">
        <v>55</v>
      </c>
      <c r="L203" s="18" t="s">
        <v>55</v>
      </c>
      <c r="M203" s="3" t="s">
        <v>55</v>
      </c>
      <c r="N203" s="30">
        <v>46045</v>
      </c>
      <c r="O203" s="30">
        <v>46058</v>
      </c>
      <c r="P203" s="30">
        <v>46058</v>
      </c>
      <c r="Q203" s="37">
        <v>46063</v>
      </c>
      <c r="R203" s="37">
        <v>46063</v>
      </c>
      <c r="S203" s="3">
        <f t="shared" si="11"/>
        <v>2</v>
      </c>
    </row>
    <row r="204" spans="1:19" x14ac:dyDescent="0.25">
      <c r="A204" s="403" t="str">
        <f t="shared" si="10"/>
        <v>46038460410000-00-0046042460420000-00-000000-00-000000-00-000000-00-000000-00-000000-00-000000-00-0046042460574606446073460762</v>
      </c>
      <c r="B204" s="30">
        <v>46038</v>
      </c>
      <c r="C204" s="30">
        <v>46041</v>
      </c>
      <c r="D204" s="3" t="s">
        <v>55</v>
      </c>
      <c r="E204" s="16">
        <v>46042</v>
      </c>
      <c r="F204" s="16">
        <v>46042</v>
      </c>
      <c r="G204" s="3" t="s">
        <v>55</v>
      </c>
      <c r="H204" s="3" t="s">
        <v>55</v>
      </c>
      <c r="I204" s="3" t="s">
        <v>55</v>
      </c>
      <c r="J204" s="3" t="s">
        <v>55</v>
      </c>
      <c r="K204" s="3" t="s">
        <v>55</v>
      </c>
      <c r="L204" s="3" t="s">
        <v>55</v>
      </c>
      <c r="M204" s="3" t="s">
        <v>55</v>
      </c>
      <c r="N204" s="30">
        <v>46042</v>
      </c>
      <c r="O204" s="30">
        <v>46057</v>
      </c>
      <c r="P204" s="30">
        <v>46064</v>
      </c>
      <c r="Q204" s="16">
        <v>46073</v>
      </c>
      <c r="R204" s="140">
        <v>46076</v>
      </c>
      <c r="S204" s="3">
        <f t="shared" si="11"/>
        <v>2</v>
      </c>
    </row>
    <row r="205" spans="1:19" x14ac:dyDescent="0.25">
      <c r="A205" s="403" t="str">
        <f t="shared" si="10"/>
        <v>46042460420000-00-000000-00-000000-00-000000-00-000000-00-000000-00-000000-00-000000-00-000000-00-000000-00-0046050460504605146065460652</v>
      </c>
      <c r="B205" s="30">
        <v>46042</v>
      </c>
      <c r="C205" s="30">
        <v>46042</v>
      </c>
      <c r="D205" s="3" t="s">
        <v>55</v>
      </c>
      <c r="E205" s="3" t="s">
        <v>55</v>
      </c>
      <c r="F205" s="3" t="s">
        <v>55</v>
      </c>
      <c r="G205" s="3" t="s">
        <v>55</v>
      </c>
      <c r="H205" s="3" t="s">
        <v>55</v>
      </c>
      <c r="I205" s="3" t="s">
        <v>55</v>
      </c>
      <c r="J205" s="3" t="s">
        <v>55</v>
      </c>
      <c r="K205" s="3" t="s">
        <v>55</v>
      </c>
      <c r="L205" s="3" t="s">
        <v>55</v>
      </c>
      <c r="M205" s="3" t="s">
        <v>55</v>
      </c>
      <c r="N205" s="30">
        <v>46050</v>
      </c>
      <c r="O205" s="28">
        <v>46050</v>
      </c>
      <c r="P205" s="30">
        <v>46051</v>
      </c>
      <c r="Q205" s="30">
        <v>46065</v>
      </c>
      <c r="R205" s="30">
        <v>46065</v>
      </c>
      <c r="S205" s="3">
        <f t="shared" si="11"/>
        <v>2</v>
      </c>
    </row>
    <row r="206" spans="1:19" x14ac:dyDescent="0.25">
      <c r="A206" s="403" t="str">
        <f t="shared" si="10"/>
        <v>46035460420000-00-0046044460450000-00-000000-00-000000-00-000000-00-000000-00-000000-00-000000-00-0046052460644606446070460762</v>
      </c>
      <c r="B206" s="15">
        <v>46035</v>
      </c>
      <c r="C206" s="16">
        <v>46042</v>
      </c>
      <c r="D206" s="21" t="s">
        <v>55</v>
      </c>
      <c r="E206" s="16">
        <v>46044</v>
      </c>
      <c r="F206" s="16">
        <v>46045</v>
      </c>
      <c r="G206" s="36" t="s">
        <v>55</v>
      </c>
      <c r="H206" s="36" t="s">
        <v>55</v>
      </c>
      <c r="I206" s="36" t="s">
        <v>55</v>
      </c>
      <c r="J206" s="36" t="s">
        <v>55</v>
      </c>
      <c r="K206" s="36" t="s">
        <v>55</v>
      </c>
      <c r="L206" s="36" t="s">
        <v>55</v>
      </c>
      <c r="M206" s="3" t="s">
        <v>55</v>
      </c>
      <c r="N206" s="16">
        <v>46052</v>
      </c>
      <c r="O206" s="16">
        <v>46064</v>
      </c>
      <c r="P206" s="16">
        <v>46064</v>
      </c>
      <c r="Q206" s="16">
        <v>46070</v>
      </c>
      <c r="R206" s="140">
        <v>46076</v>
      </c>
      <c r="S206" s="3">
        <f t="shared" si="11"/>
        <v>2</v>
      </c>
    </row>
    <row r="207" spans="1:19" x14ac:dyDescent="0.25">
      <c r="A207" s="403" t="str">
        <f t="shared" si="10"/>
        <v>46042460420000-00-0046043460430000-00-000000-00-000000-00-000000-00-000000-00-000000-00-000000-00-0046045460654606546073460762</v>
      </c>
      <c r="B207" s="37">
        <v>46042</v>
      </c>
      <c r="C207" s="37">
        <v>46042</v>
      </c>
      <c r="D207" s="18" t="s">
        <v>55</v>
      </c>
      <c r="E207" s="30">
        <v>46043</v>
      </c>
      <c r="F207" s="30">
        <v>46043</v>
      </c>
      <c r="G207" s="18" t="s">
        <v>55</v>
      </c>
      <c r="H207" s="18" t="s">
        <v>55</v>
      </c>
      <c r="I207" s="18" t="s">
        <v>55</v>
      </c>
      <c r="J207" s="18" t="s">
        <v>55</v>
      </c>
      <c r="K207" s="18" t="s">
        <v>55</v>
      </c>
      <c r="L207" s="18" t="s">
        <v>55</v>
      </c>
      <c r="M207" s="3" t="s">
        <v>55</v>
      </c>
      <c r="N207" s="30">
        <v>46045</v>
      </c>
      <c r="O207" s="30">
        <v>46065</v>
      </c>
      <c r="P207" s="30">
        <v>46065</v>
      </c>
      <c r="Q207" s="16">
        <v>46073</v>
      </c>
      <c r="R207" s="140">
        <v>46076</v>
      </c>
      <c r="S207" s="3">
        <f t="shared" si="11"/>
        <v>2</v>
      </c>
    </row>
    <row r="208" spans="1:19" x14ac:dyDescent="0.25">
      <c r="A208" s="403" t="str">
        <f t="shared" si="10"/>
        <v>46042460420000-00-0046044460480000-00-000000-00-000000-00-000000-00-000000-00-000000-00-000000-00-0046050460514605246062460652</v>
      </c>
      <c r="B208" s="28">
        <v>46042</v>
      </c>
      <c r="C208" s="28">
        <v>46042</v>
      </c>
      <c r="D208" s="21" t="s">
        <v>55</v>
      </c>
      <c r="E208" s="28">
        <v>46044</v>
      </c>
      <c r="F208" s="28">
        <v>46048</v>
      </c>
      <c r="G208" s="36" t="s">
        <v>55</v>
      </c>
      <c r="H208" s="36" t="s">
        <v>55</v>
      </c>
      <c r="I208" s="36" t="s">
        <v>55</v>
      </c>
      <c r="J208" s="36" t="s">
        <v>55</v>
      </c>
      <c r="K208" s="36" t="s">
        <v>55</v>
      </c>
      <c r="L208" s="36" t="s">
        <v>55</v>
      </c>
      <c r="M208" s="3" t="s">
        <v>55</v>
      </c>
      <c r="N208" s="28">
        <v>46050</v>
      </c>
      <c r="O208" s="28">
        <v>46051</v>
      </c>
      <c r="P208" s="28">
        <v>46052</v>
      </c>
      <c r="Q208" s="28">
        <v>46062</v>
      </c>
      <c r="R208" s="28">
        <v>46065</v>
      </c>
      <c r="S208" s="3">
        <f t="shared" si="11"/>
        <v>2</v>
      </c>
    </row>
    <row r="209" spans="1:19" x14ac:dyDescent="0.25">
      <c r="A209" s="403" t="str">
        <f t="shared" si="10"/>
        <v>46044460420000-00-000000-00-000000-00-000000-00-000000-00-000000-00-000000-00-000000-00-000000-00-000000-00-0046049460494604946052460552</v>
      </c>
      <c r="B209" s="15">
        <v>46044</v>
      </c>
      <c r="C209" s="16">
        <v>46042</v>
      </c>
      <c r="D209" s="2" t="s">
        <v>55</v>
      </c>
      <c r="E209" s="2" t="s">
        <v>55</v>
      </c>
      <c r="F209" s="2" t="s">
        <v>55</v>
      </c>
      <c r="G209" s="18" t="s">
        <v>55</v>
      </c>
      <c r="H209" s="18" t="s">
        <v>55</v>
      </c>
      <c r="I209" s="18" t="s">
        <v>55</v>
      </c>
      <c r="J209" s="18" t="s">
        <v>55</v>
      </c>
      <c r="K209" s="18" t="s">
        <v>55</v>
      </c>
      <c r="L209" s="18" t="s">
        <v>55</v>
      </c>
      <c r="M209" s="3" t="s">
        <v>55</v>
      </c>
      <c r="N209" s="16">
        <v>46049</v>
      </c>
      <c r="O209" s="16">
        <v>46049</v>
      </c>
      <c r="P209" s="16">
        <v>46049</v>
      </c>
      <c r="Q209" s="16">
        <v>46052</v>
      </c>
      <c r="R209" s="16">
        <v>46055</v>
      </c>
      <c r="S209" s="3">
        <f t="shared" si="11"/>
        <v>2</v>
      </c>
    </row>
    <row r="210" spans="1:19" x14ac:dyDescent="0.25">
      <c r="A210" s="403" t="str">
        <f t="shared" si="10"/>
        <v>46043460420000-00-0046055460580000-00-000000-00-000000-00-000000-00-000000-00-000000-00-000000-00-0046058460584605846071460762</v>
      </c>
      <c r="B210" s="15">
        <v>46043</v>
      </c>
      <c r="C210" s="16">
        <v>46042</v>
      </c>
      <c r="D210" s="2" t="s">
        <v>55</v>
      </c>
      <c r="E210" s="16">
        <v>46055</v>
      </c>
      <c r="F210" s="16">
        <v>46058</v>
      </c>
      <c r="G210" s="2" t="s">
        <v>55</v>
      </c>
      <c r="H210" s="2" t="s">
        <v>55</v>
      </c>
      <c r="I210" s="2" t="s">
        <v>55</v>
      </c>
      <c r="J210" s="2" t="s">
        <v>55</v>
      </c>
      <c r="K210" s="2" t="s">
        <v>55</v>
      </c>
      <c r="L210" s="2" t="s">
        <v>55</v>
      </c>
      <c r="M210" s="3" t="s">
        <v>55</v>
      </c>
      <c r="N210" s="16">
        <v>46058</v>
      </c>
      <c r="O210" s="16">
        <v>46058</v>
      </c>
      <c r="P210" s="16">
        <v>46058</v>
      </c>
      <c r="Q210" s="16">
        <v>46071</v>
      </c>
      <c r="R210" s="140">
        <v>46076</v>
      </c>
      <c r="S210" s="3">
        <f t="shared" si="11"/>
        <v>2</v>
      </c>
    </row>
    <row r="211" spans="1:19" x14ac:dyDescent="0.25">
      <c r="A211" s="403" t="str">
        <f t="shared" si="10"/>
        <v>46043460430000-00-0046057460570000-00-000000-00-000000-00-000000-00-000000-00-000000-00-000000-00-0046071460714606946073460762</v>
      </c>
      <c r="B211" s="30">
        <v>46043</v>
      </c>
      <c r="C211" s="30">
        <v>46043</v>
      </c>
      <c r="D211" s="3" t="s">
        <v>55</v>
      </c>
      <c r="E211" s="30">
        <v>46057</v>
      </c>
      <c r="F211" s="30">
        <v>46057</v>
      </c>
      <c r="G211" s="3" t="s">
        <v>55</v>
      </c>
      <c r="H211" s="3" t="s">
        <v>55</v>
      </c>
      <c r="I211" s="3" t="s">
        <v>55</v>
      </c>
      <c r="J211" s="3" t="s">
        <v>55</v>
      </c>
      <c r="K211" s="3" t="s">
        <v>55</v>
      </c>
      <c r="L211" s="3" t="s">
        <v>55</v>
      </c>
      <c r="M211" s="3" t="s">
        <v>55</v>
      </c>
      <c r="N211" s="30">
        <v>46071</v>
      </c>
      <c r="O211" s="16">
        <v>46071</v>
      </c>
      <c r="P211" s="30">
        <v>46069</v>
      </c>
      <c r="Q211" s="16">
        <v>46073</v>
      </c>
      <c r="R211" s="140">
        <v>46076</v>
      </c>
      <c r="S211" s="3">
        <f t="shared" si="11"/>
        <v>2</v>
      </c>
    </row>
    <row r="212" spans="1:19" x14ac:dyDescent="0.25">
      <c r="A212" s="403" t="str">
        <f t="shared" si="10"/>
        <v>46043460430000-00-0046062460620000-00-000000-00-000000-00-000000-00-000000-00-000000-00-000000-00-0046065460664606646073460762</v>
      </c>
      <c r="B212" s="37">
        <v>46043</v>
      </c>
      <c r="C212" s="37">
        <v>46043</v>
      </c>
      <c r="D212" s="18" t="s">
        <v>55</v>
      </c>
      <c r="E212" s="30">
        <v>46062</v>
      </c>
      <c r="F212" s="30">
        <v>46062</v>
      </c>
      <c r="G212" s="18" t="s">
        <v>55</v>
      </c>
      <c r="H212" s="18" t="s">
        <v>55</v>
      </c>
      <c r="I212" s="18" t="s">
        <v>55</v>
      </c>
      <c r="J212" s="18" t="s">
        <v>55</v>
      </c>
      <c r="K212" s="18" t="s">
        <v>55</v>
      </c>
      <c r="L212" s="18" t="s">
        <v>55</v>
      </c>
      <c r="M212" s="3" t="s">
        <v>55</v>
      </c>
      <c r="N212" s="30">
        <v>46065</v>
      </c>
      <c r="O212" s="30">
        <v>46066</v>
      </c>
      <c r="P212" s="28">
        <v>46066</v>
      </c>
      <c r="Q212" s="16">
        <v>46073</v>
      </c>
      <c r="R212" s="140">
        <v>46076</v>
      </c>
      <c r="S212" s="3">
        <f t="shared" si="11"/>
        <v>2</v>
      </c>
    </row>
    <row r="213" spans="1:19" x14ac:dyDescent="0.25">
      <c r="A213" s="403" t="str">
        <f t="shared" si="10"/>
        <v>46044460430000-00-000000-00-000000-00-000000-00-000000-00-000000-00-000000-00-000000-00-000000-00-000000-00-0046052460524605246058460652</v>
      </c>
      <c r="B213" s="15">
        <v>46044</v>
      </c>
      <c r="C213" s="16">
        <v>46043</v>
      </c>
      <c r="D213" s="2" t="s">
        <v>55</v>
      </c>
      <c r="E213" s="2" t="s">
        <v>55</v>
      </c>
      <c r="F213" s="2" t="s">
        <v>55</v>
      </c>
      <c r="G213" s="2" t="s">
        <v>55</v>
      </c>
      <c r="H213" s="2" t="s">
        <v>55</v>
      </c>
      <c r="I213" s="2" t="s">
        <v>55</v>
      </c>
      <c r="J213" s="2" t="s">
        <v>55</v>
      </c>
      <c r="K213" s="2" t="s">
        <v>55</v>
      </c>
      <c r="L213" s="2" t="s">
        <v>55</v>
      </c>
      <c r="M213" s="3" t="s">
        <v>55</v>
      </c>
      <c r="N213" s="16">
        <v>46052</v>
      </c>
      <c r="O213" s="16">
        <v>46052</v>
      </c>
      <c r="P213" s="16">
        <v>46052</v>
      </c>
      <c r="Q213" s="16">
        <v>46058</v>
      </c>
      <c r="R213" s="16">
        <v>46065</v>
      </c>
      <c r="S213" s="3">
        <f t="shared" si="11"/>
        <v>2</v>
      </c>
    </row>
    <row r="214" spans="1:19" x14ac:dyDescent="0.25">
      <c r="A214" s="403" t="str">
        <f t="shared" si="10"/>
        <v>46043460430000-00-000000-00-000000-00-000000-00-000000-00-000000-00-000000-00-000000-00-000000-00-000000-00-0046052460524605646063460652</v>
      </c>
      <c r="B214" s="15">
        <v>46043</v>
      </c>
      <c r="C214" s="15">
        <v>46043</v>
      </c>
      <c r="D214" s="18" t="s">
        <v>55</v>
      </c>
      <c r="E214" s="2" t="s">
        <v>55</v>
      </c>
      <c r="F214" s="2" t="s">
        <v>55</v>
      </c>
      <c r="G214" s="18" t="s">
        <v>55</v>
      </c>
      <c r="H214" s="18" t="s">
        <v>55</v>
      </c>
      <c r="I214" s="18" t="s">
        <v>55</v>
      </c>
      <c r="J214" s="18" t="s">
        <v>55</v>
      </c>
      <c r="K214" s="18" t="s">
        <v>55</v>
      </c>
      <c r="L214" s="18" t="s">
        <v>55</v>
      </c>
      <c r="M214" s="3" t="s">
        <v>55</v>
      </c>
      <c r="N214" s="16">
        <v>46052</v>
      </c>
      <c r="O214" s="16">
        <v>46052</v>
      </c>
      <c r="P214" s="16">
        <v>46056</v>
      </c>
      <c r="Q214" s="16">
        <v>46063</v>
      </c>
      <c r="R214" s="140">
        <v>46065</v>
      </c>
      <c r="S214" s="3">
        <f t="shared" si="11"/>
        <v>2</v>
      </c>
    </row>
    <row r="215" spans="1:19" x14ac:dyDescent="0.25">
      <c r="A215" s="403" t="str">
        <f t="shared" si="10"/>
        <v>46035460430000-00-0046044460450000-00-000000-00-000000-00-000000-00-000000-00-000000-00-000000-00-0046048460484604846052460552</v>
      </c>
      <c r="B215" s="15">
        <v>46035</v>
      </c>
      <c r="C215" s="16">
        <v>46043</v>
      </c>
      <c r="D215" s="21" t="s">
        <v>55</v>
      </c>
      <c r="E215" s="16">
        <v>46044</v>
      </c>
      <c r="F215" s="16">
        <v>46045</v>
      </c>
      <c r="G215" s="36" t="s">
        <v>55</v>
      </c>
      <c r="H215" s="36" t="s">
        <v>55</v>
      </c>
      <c r="I215" s="36" t="s">
        <v>55</v>
      </c>
      <c r="J215" s="36" t="s">
        <v>55</v>
      </c>
      <c r="K215" s="36" t="s">
        <v>55</v>
      </c>
      <c r="L215" s="36" t="s">
        <v>55</v>
      </c>
      <c r="M215" s="3" t="s">
        <v>55</v>
      </c>
      <c r="N215" s="16">
        <v>46048</v>
      </c>
      <c r="O215" s="16">
        <v>46048</v>
      </c>
      <c r="P215" s="16">
        <v>46048</v>
      </c>
      <c r="Q215" s="16">
        <v>46052</v>
      </c>
      <c r="R215" s="16">
        <v>46055</v>
      </c>
      <c r="S215" s="3">
        <f t="shared" si="11"/>
        <v>2</v>
      </c>
    </row>
    <row r="216" spans="1:19" x14ac:dyDescent="0.25">
      <c r="A216" s="403" t="str">
        <f t="shared" si="10"/>
        <v>46044460430000-00-000000-00-000000-00-000000-00-000000-00-000000-00-000000-00-000000-00-000000-00-000000-00-0046048460484604846055460552</v>
      </c>
      <c r="B216" s="28">
        <v>46044</v>
      </c>
      <c r="C216" s="28">
        <v>46043</v>
      </c>
      <c r="D216" s="21" t="s">
        <v>55</v>
      </c>
      <c r="E216" s="21" t="s">
        <v>55</v>
      </c>
      <c r="F216" s="21" t="s">
        <v>55</v>
      </c>
      <c r="G216" s="36" t="s">
        <v>55</v>
      </c>
      <c r="H216" s="36" t="s">
        <v>55</v>
      </c>
      <c r="I216" s="36" t="s">
        <v>55</v>
      </c>
      <c r="J216" s="36" t="s">
        <v>55</v>
      </c>
      <c r="K216" s="36" t="s">
        <v>55</v>
      </c>
      <c r="L216" s="36" t="s">
        <v>55</v>
      </c>
      <c r="M216" s="3" t="s">
        <v>55</v>
      </c>
      <c r="N216" s="28">
        <v>46048</v>
      </c>
      <c r="O216" s="28">
        <v>46048</v>
      </c>
      <c r="P216" s="28">
        <v>46048</v>
      </c>
      <c r="Q216" s="28">
        <v>46055</v>
      </c>
      <c r="R216" s="16">
        <v>46055</v>
      </c>
      <c r="S216" s="3">
        <f t="shared" si="11"/>
        <v>2</v>
      </c>
    </row>
    <row r="217" spans="1:19" x14ac:dyDescent="0.25">
      <c r="A217" s="403" t="str">
        <f t="shared" si="10"/>
        <v>46044460440000-00-0046048460480000-00-000000-00-000000-00-000000-00-000000-00-000000-00-000000-00-0046049460514605146064460642</v>
      </c>
      <c r="B217" s="37">
        <v>46044</v>
      </c>
      <c r="C217" s="37">
        <v>46044</v>
      </c>
      <c r="D217" s="18" t="s">
        <v>55</v>
      </c>
      <c r="E217" s="30">
        <v>46048</v>
      </c>
      <c r="F217" s="30">
        <v>46048</v>
      </c>
      <c r="G217" s="3" t="s">
        <v>55</v>
      </c>
      <c r="H217" s="18" t="s">
        <v>55</v>
      </c>
      <c r="I217" s="18" t="s">
        <v>55</v>
      </c>
      <c r="J217" s="18" t="s">
        <v>55</v>
      </c>
      <c r="K217" s="18" t="s">
        <v>55</v>
      </c>
      <c r="L217" s="18" t="s">
        <v>55</v>
      </c>
      <c r="M217" s="3" t="s">
        <v>55</v>
      </c>
      <c r="N217" s="30">
        <v>46049</v>
      </c>
      <c r="O217" s="30">
        <v>46051</v>
      </c>
      <c r="P217" s="30">
        <v>46051</v>
      </c>
      <c r="Q217" s="37">
        <v>46064</v>
      </c>
      <c r="R217" s="37">
        <v>46064</v>
      </c>
      <c r="S217" s="3">
        <f t="shared" si="11"/>
        <v>2</v>
      </c>
    </row>
    <row r="218" spans="1:19" x14ac:dyDescent="0.25">
      <c r="A218" s="403" t="str">
        <f t="shared" si="10"/>
        <v>46001460440000-00-0046003460030000-00-000000-00-000000-00-000000-00-000000-00-000000-00-000000-00-0046037460484604846055460552</v>
      </c>
      <c r="B218" s="30">
        <v>46001</v>
      </c>
      <c r="C218" s="30">
        <v>46044</v>
      </c>
      <c r="D218" s="3" t="s">
        <v>55</v>
      </c>
      <c r="E218" s="30">
        <v>46003</v>
      </c>
      <c r="F218" s="30">
        <v>46003</v>
      </c>
      <c r="G218" s="3" t="s">
        <v>55</v>
      </c>
      <c r="H218" s="3" t="s">
        <v>55</v>
      </c>
      <c r="I218" s="3" t="s">
        <v>55</v>
      </c>
      <c r="J218" s="3" t="s">
        <v>55</v>
      </c>
      <c r="K218" s="3" t="s">
        <v>55</v>
      </c>
      <c r="L218" s="3" t="s">
        <v>55</v>
      </c>
      <c r="M218" s="3" t="s">
        <v>55</v>
      </c>
      <c r="N218" s="30">
        <v>46037</v>
      </c>
      <c r="O218" s="30">
        <v>46048</v>
      </c>
      <c r="P218" s="30">
        <v>46048</v>
      </c>
      <c r="Q218" s="30">
        <v>46055</v>
      </c>
      <c r="R218" s="16">
        <v>46055</v>
      </c>
      <c r="S218" s="3">
        <f t="shared" si="11"/>
        <v>2</v>
      </c>
    </row>
    <row r="219" spans="1:19" x14ac:dyDescent="0.25">
      <c r="A219" s="403" t="str">
        <f t="shared" si="10"/>
        <v>46044460440000-00-0046049460490000-00-000000-00-000000-00-000000-00-000000-00-000000-00-000000-00-0046056460634606446076460762</v>
      </c>
      <c r="B219" s="30">
        <v>46044</v>
      </c>
      <c r="C219" s="30">
        <v>46044</v>
      </c>
      <c r="D219" s="3" t="s">
        <v>55</v>
      </c>
      <c r="E219" s="30">
        <v>46049</v>
      </c>
      <c r="F219" s="30">
        <v>46049</v>
      </c>
      <c r="G219" s="3" t="s">
        <v>55</v>
      </c>
      <c r="H219" s="3" t="s">
        <v>55</v>
      </c>
      <c r="I219" s="3" t="s">
        <v>55</v>
      </c>
      <c r="J219" s="3" t="s">
        <v>55</v>
      </c>
      <c r="K219" s="3" t="s">
        <v>55</v>
      </c>
      <c r="L219" s="3" t="s">
        <v>55</v>
      </c>
      <c r="M219" s="3" t="s">
        <v>55</v>
      </c>
      <c r="N219" s="30">
        <v>46056</v>
      </c>
      <c r="O219" s="30">
        <v>46063</v>
      </c>
      <c r="P219" s="30">
        <v>46064</v>
      </c>
      <c r="Q219" s="30">
        <v>46076</v>
      </c>
      <c r="R219" s="140">
        <v>46076</v>
      </c>
      <c r="S219" s="3">
        <f t="shared" si="11"/>
        <v>2</v>
      </c>
    </row>
    <row r="220" spans="1:19" x14ac:dyDescent="0.25">
      <c r="A220" s="403" t="str">
        <f t="shared" si="10"/>
        <v>46045460450000-00-000000-00-000000-00-000000-00-000000-00-000000-00-000000-00-000000-00-000000-00-000000-00-0046050460504605046065460652</v>
      </c>
      <c r="B220" s="30">
        <v>46045</v>
      </c>
      <c r="C220" s="30">
        <v>46045</v>
      </c>
      <c r="D220" s="3" t="s">
        <v>55</v>
      </c>
      <c r="E220" s="3" t="s">
        <v>55</v>
      </c>
      <c r="F220" s="3" t="s">
        <v>55</v>
      </c>
      <c r="G220" s="3" t="s">
        <v>55</v>
      </c>
      <c r="H220" s="3" t="s">
        <v>55</v>
      </c>
      <c r="I220" s="3" t="s">
        <v>55</v>
      </c>
      <c r="J220" s="3" t="s">
        <v>55</v>
      </c>
      <c r="K220" s="3" t="s">
        <v>55</v>
      </c>
      <c r="L220" s="3" t="s">
        <v>55</v>
      </c>
      <c r="M220" s="3" t="s">
        <v>55</v>
      </c>
      <c r="N220" s="30">
        <v>46050</v>
      </c>
      <c r="O220" s="28">
        <v>46050</v>
      </c>
      <c r="P220" s="28">
        <v>46050</v>
      </c>
      <c r="Q220" s="30">
        <v>46065</v>
      </c>
      <c r="R220" s="30">
        <v>46065</v>
      </c>
      <c r="S220" s="3">
        <f t="shared" si="11"/>
        <v>2</v>
      </c>
    </row>
    <row r="221" spans="1:19" x14ac:dyDescent="0.25">
      <c r="A221" s="403" t="str">
        <f t="shared" si="10"/>
        <v>46048460470000-00-000000-00-000000-00-000000-00-000000-00-000000-00-000000-00-000000-00-000000-00-000000-00-0046052460524605546064460652</v>
      </c>
      <c r="B221" s="28">
        <v>46048</v>
      </c>
      <c r="C221" s="28">
        <v>46047</v>
      </c>
      <c r="D221" s="21" t="s">
        <v>55</v>
      </c>
      <c r="E221" s="21" t="s">
        <v>55</v>
      </c>
      <c r="F221" s="21" t="s">
        <v>55</v>
      </c>
      <c r="G221" s="36" t="s">
        <v>55</v>
      </c>
      <c r="H221" s="36" t="s">
        <v>55</v>
      </c>
      <c r="I221" s="36" t="s">
        <v>55</v>
      </c>
      <c r="J221" s="36" t="s">
        <v>55</v>
      </c>
      <c r="K221" s="36" t="s">
        <v>55</v>
      </c>
      <c r="L221" s="36" t="s">
        <v>55</v>
      </c>
      <c r="M221" s="3" t="s">
        <v>55</v>
      </c>
      <c r="N221" s="28">
        <v>46052</v>
      </c>
      <c r="O221" s="28">
        <v>46052</v>
      </c>
      <c r="P221" s="28">
        <v>46055</v>
      </c>
      <c r="Q221" s="28">
        <v>46064</v>
      </c>
      <c r="R221" s="28">
        <v>46065</v>
      </c>
      <c r="S221" s="3">
        <f t="shared" si="11"/>
        <v>2</v>
      </c>
    </row>
    <row r="222" spans="1:19" x14ac:dyDescent="0.25">
      <c r="A222" s="403" t="str">
        <f t="shared" si="10"/>
        <v>46048460480000-00-004605246052460484604846058460590000-00-000000-00-004606446057460654606546072460762</v>
      </c>
      <c r="B222" s="28">
        <v>46048</v>
      </c>
      <c r="C222" s="28">
        <v>46048</v>
      </c>
      <c r="D222" s="2" t="s">
        <v>55</v>
      </c>
      <c r="E222" s="44">
        <v>46052</v>
      </c>
      <c r="F222" s="44">
        <v>46052</v>
      </c>
      <c r="G222" s="44">
        <v>46048</v>
      </c>
      <c r="H222" s="44">
        <v>46048</v>
      </c>
      <c r="I222" s="44">
        <v>46058</v>
      </c>
      <c r="J222" s="44">
        <v>46059</v>
      </c>
      <c r="K222" s="2" t="s">
        <v>55</v>
      </c>
      <c r="L222" s="2" t="s">
        <v>55</v>
      </c>
      <c r="M222" s="44">
        <v>46064</v>
      </c>
      <c r="N222" s="44">
        <v>46057</v>
      </c>
      <c r="O222" s="44">
        <v>46065</v>
      </c>
      <c r="P222" s="44">
        <v>46065</v>
      </c>
      <c r="Q222" s="30">
        <v>46072</v>
      </c>
      <c r="R222" s="140">
        <v>46076</v>
      </c>
      <c r="S222" s="3">
        <f t="shared" si="11"/>
        <v>2</v>
      </c>
    </row>
    <row r="223" spans="1:19" x14ac:dyDescent="0.25">
      <c r="A223" s="403" t="str">
        <f t="shared" si="10"/>
        <v>46049460480000-00-000000-00-000000-00-000000-00-000000-00-000000-00-000000-00-000000-00-000000-00-000000-00-0046051460524605246071460762</v>
      </c>
      <c r="B223" s="28">
        <v>46049</v>
      </c>
      <c r="C223" s="28">
        <v>46048</v>
      </c>
      <c r="D223" s="21" t="s">
        <v>55</v>
      </c>
      <c r="E223" s="21" t="s">
        <v>55</v>
      </c>
      <c r="F223" s="21" t="s">
        <v>55</v>
      </c>
      <c r="G223" s="36" t="s">
        <v>55</v>
      </c>
      <c r="H223" s="36" t="s">
        <v>55</v>
      </c>
      <c r="I223" s="36" t="s">
        <v>55</v>
      </c>
      <c r="J223" s="36" t="s">
        <v>55</v>
      </c>
      <c r="K223" s="36" t="s">
        <v>55</v>
      </c>
      <c r="L223" s="36" t="s">
        <v>55</v>
      </c>
      <c r="M223" s="3" t="s">
        <v>55</v>
      </c>
      <c r="N223" s="28">
        <v>46051</v>
      </c>
      <c r="O223" s="28">
        <v>46052</v>
      </c>
      <c r="P223" s="28">
        <v>46052</v>
      </c>
      <c r="Q223" s="28">
        <v>46071</v>
      </c>
      <c r="R223" s="140">
        <v>46076</v>
      </c>
      <c r="S223" s="3">
        <f t="shared" si="11"/>
        <v>2</v>
      </c>
    </row>
    <row r="224" spans="1:19" x14ac:dyDescent="0.25">
      <c r="A224" s="403" t="str">
        <f t="shared" si="10"/>
        <v>45940460440000-00-0045944459440000-00-000000-00-000000-00-000000-00-000000-00-000000-00-000000-00-0045946460484604946076460762</v>
      </c>
      <c r="B224" s="30">
        <v>45940</v>
      </c>
      <c r="C224" s="30">
        <v>46044</v>
      </c>
      <c r="D224" s="3" t="s">
        <v>55</v>
      </c>
      <c r="E224" s="30">
        <v>45944</v>
      </c>
      <c r="F224" s="30">
        <v>45944</v>
      </c>
      <c r="G224" s="3" t="s">
        <v>55</v>
      </c>
      <c r="H224" s="3" t="s">
        <v>55</v>
      </c>
      <c r="I224" s="3" t="s">
        <v>55</v>
      </c>
      <c r="J224" s="3" t="s">
        <v>55</v>
      </c>
      <c r="K224" s="3" t="s">
        <v>55</v>
      </c>
      <c r="L224" s="3" t="s">
        <v>55</v>
      </c>
      <c r="M224" s="3" t="s">
        <v>55</v>
      </c>
      <c r="N224" s="30">
        <v>45946</v>
      </c>
      <c r="O224" s="30">
        <v>46048</v>
      </c>
      <c r="P224" s="16">
        <v>46049</v>
      </c>
      <c r="Q224" s="30">
        <v>46076</v>
      </c>
      <c r="R224" s="140">
        <v>46076</v>
      </c>
      <c r="S224" s="3">
        <f t="shared" si="11"/>
        <v>2</v>
      </c>
    </row>
    <row r="225" spans="1:19" x14ac:dyDescent="0.25">
      <c r="A225" s="403" t="str">
        <f t="shared" si="10"/>
        <v>46048460480000-00-0046062460620000-00-000000-00-000000-00-000000-00-000000-00-000000-00-000000-00-0046069460694606946073460762</v>
      </c>
      <c r="B225" s="28">
        <v>46048</v>
      </c>
      <c r="C225" s="28">
        <v>46048</v>
      </c>
      <c r="D225" s="3" t="s">
        <v>55</v>
      </c>
      <c r="E225" s="30">
        <v>46062</v>
      </c>
      <c r="F225" s="30">
        <v>46062</v>
      </c>
      <c r="G225" s="3" t="s">
        <v>55</v>
      </c>
      <c r="H225" s="3" t="s">
        <v>55</v>
      </c>
      <c r="I225" s="3" t="s">
        <v>55</v>
      </c>
      <c r="J225" s="3" t="s">
        <v>55</v>
      </c>
      <c r="K225" s="3" t="s">
        <v>55</v>
      </c>
      <c r="L225" s="3" t="s">
        <v>55</v>
      </c>
      <c r="M225" s="3" t="s">
        <v>55</v>
      </c>
      <c r="N225" s="30">
        <v>46069</v>
      </c>
      <c r="O225" s="73">
        <v>46069</v>
      </c>
      <c r="P225" s="73">
        <v>46069</v>
      </c>
      <c r="Q225" s="16">
        <v>46073</v>
      </c>
      <c r="R225" s="140">
        <v>46076</v>
      </c>
      <c r="S225" s="3">
        <f t="shared" si="11"/>
        <v>2</v>
      </c>
    </row>
    <row r="226" spans="1:19" x14ac:dyDescent="0.25">
      <c r="A226" s="403" t="str">
        <f t="shared" si="10"/>
        <v>46038460490000-00-0046041460410000-00-000000-00-000000-00-000000-00-000000-00-000000-00-000000-00-0046051460554605546063460632</v>
      </c>
      <c r="B226" s="37">
        <v>46038</v>
      </c>
      <c r="C226" s="37">
        <v>46049</v>
      </c>
      <c r="D226" s="18" t="s">
        <v>55</v>
      </c>
      <c r="E226" s="44">
        <v>46041</v>
      </c>
      <c r="F226" s="44">
        <v>46041</v>
      </c>
      <c r="G226" s="18" t="s">
        <v>55</v>
      </c>
      <c r="H226" s="18" t="s">
        <v>55</v>
      </c>
      <c r="I226" s="18" t="s">
        <v>55</v>
      </c>
      <c r="J226" s="18" t="s">
        <v>55</v>
      </c>
      <c r="K226" s="18" t="s">
        <v>55</v>
      </c>
      <c r="L226" s="18" t="s">
        <v>55</v>
      </c>
      <c r="M226" s="3" t="s">
        <v>55</v>
      </c>
      <c r="N226" s="30">
        <v>46051</v>
      </c>
      <c r="O226" s="30">
        <v>46055</v>
      </c>
      <c r="P226" s="30">
        <v>46055</v>
      </c>
      <c r="Q226" s="37">
        <v>46063</v>
      </c>
      <c r="R226" s="37">
        <v>46063</v>
      </c>
      <c r="S226" s="3">
        <f t="shared" ref="S226:S257" si="12">MONTH(R226)</f>
        <v>2</v>
      </c>
    </row>
    <row r="227" spans="1:19" x14ac:dyDescent="0.25">
      <c r="A227" s="403" t="str">
        <f t="shared" si="10"/>
        <v>46050460490000-00-000000-00-000000-00-000000-00-000000-00-000000-00-000000-00-000000-00-000000-00-000000-00-0046055460554605546063460652</v>
      </c>
      <c r="B227" s="15">
        <v>46050</v>
      </c>
      <c r="C227" s="28">
        <v>46049</v>
      </c>
      <c r="D227" s="21" t="s">
        <v>55</v>
      </c>
      <c r="E227" s="21" t="s">
        <v>55</v>
      </c>
      <c r="F227" s="21" t="s">
        <v>55</v>
      </c>
      <c r="G227" s="36" t="s">
        <v>55</v>
      </c>
      <c r="H227" s="36" t="s">
        <v>55</v>
      </c>
      <c r="I227" s="36" t="s">
        <v>55</v>
      </c>
      <c r="J227" s="36" t="s">
        <v>55</v>
      </c>
      <c r="K227" s="36" t="s">
        <v>55</v>
      </c>
      <c r="L227" s="36" t="s">
        <v>55</v>
      </c>
      <c r="M227" s="3" t="s">
        <v>55</v>
      </c>
      <c r="N227" s="28">
        <v>46055</v>
      </c>
      <c r="O227" s="28">
        <v>46055</v>
      </c>
      <c r="P227" s="28">
        <v>46055</v>
      </c>
      <c r="Q227" s="28">
        <v>46063</v>
      </c>
      <c r="R227" s="28">
        <v>46065</v>
      </c>
      <c r="S227" s="3">
        <f t="shared" si="12"/>
        <v>2</v>
      </c>
    </row>
    <row r="228" spans="1:19" x14ac:dyDescent="0.25">
      <c r="A228" s="403" t="str">
        <f t="shared" si="10"/>
        <v>46050460500000-00-0046058460580000-00-000000-00-000000-00-000000-00-000000-00-000000-00-000000-00-0046066460694606946073460762</v>
      </c>
      <c r="B228" s="15">
        <v>46050</v>
      </c>
      <c r="C228" s="15">
        <v>46050</v>
      </c>
      <c r="D228" s="2" t="s">
        <v>55</v>
      </c>
      <c r="E228" s="44">
        <v>46058</v>
      </c>
      <c r="F228" s="44">
        <v>46058</v>
      </c>
      <c r="G228" s="2" t="s">
        <v>55</v>
      </c>
      <c r="H228" s="2" t="s">
        <v>55</v>
      </c>
      <c r="I228" s="2" t="s">
        <v>55</v>
      </c>
      <c r="J228" s="2" t="s">
        <v>55</v>
      </c>
      <c r="K228" s="2" t="s">
        <v>55</v>
      </c>
      <c r="L228" s="2" t="s">
        <v>55</v>
      </c>
      <c r="M228" s="3" t="s">
        <v>55</v>
      </c>
      <c r="N228" s="28">
        <v>46066</v>
      </c>
      <c r="O228" s="44">
        <v>46069</v>
      </c>
      <c r="P228" s="44">
        <v>46069</v>
      </c>
      <c r="Q228" s="16">
        <v>46073</v>
      </c>
      <c r="R228" s="140">
        <v>46076</v>
      </c>
      <c r="S228" s="3">
        <f t="shared" si="12"/>
        <v>2</v>
      </c>
    </row>
    <row r="229" spans="1:19" x14ac:dyDescent="0.25">
      <c r="A229" s="403" t="str">
        <f t="shared" si="10"/>
        <v>46050460500000-00-0046052460520000-00-000000-00-000000-00-000000-00-000000-00-000000-00-000000-00-0046057460574605746064460652</v>
      </c>
      <c r="B229" s="15">
        <v>46050</v>
      </c>
      <c r="C229" s="15">
        <v>46050</v>
      </c>
      <c r="D229" s="2" t="s">
        <v>55</v>
      </c>
      <c r="E229" s="44">
        <v>46052</v>
      </c>
      <c r="F229" s="44">
        <v>46052</v>
      </c>
      <c r="G229" s="2" t="s">
        <v>55</v>
      </c>
      <c r="H229" s="2" t="s">
        <v>55</v>
      </c>
      <c r="I229" s="2" t="s">
        <v>55</v>
      </c>
      <c r="J229" s="2" t="s">
        <v>55</v>
      </c>
      <c r="K229" s="2" t="s">
        <v>55</v>
      </c>
      <c r="L229" s="2" t="s">
        <v>55</v>
      </c>
      <c r="M229" s="3" t="s">
        <v>55</v>
      </c>
      <c r="N229" s="44">
        <v>46057</v>
      </c>
      <c r="O229" s="44">
        <v>46057</v>
      </c>
      <c r="P229" s="44">
        <v>46057</v>
      </c>
      <c r="Q229" s="44">
        <v>46064</v>
      </c>
      <c r="R229" s="44">
        <v>46065</v>
      </c>
      <c r="S229" s="3">
        <f t="shared" si="12"/>
        <v>2</v>
      </c>
    </row>
    <row r="230" spans="1:19" x14ac:dyDescent="0.25">
      <c r="A230" s="403" t="str">
        <f t="shared" si="10"/>
        <v>46001460510000-00-0046024460240000-00-000000-00-000000-00-000000-00-000000-00-000000-00-000000-00-0046042460504605046065460652</v>
      </c>
      <c r="B230" s="30">
        <v>46001</v>
      </c>
      <c r="C230" s="30">
        <v>46051</v>
      </c>
      <c r="D230" s="3" t="s">
        <v>55</v>
      </c>
      <c r="E230" s="30">
        <v>46024</v>
      </c>
      <c r="F230" s="30">
        <v>46024</v>
      </c>
      <c r="G230" s="3" t="s">
        <v>55</v>
      </c>
      <c r="H230" s="3" t="s">
        <v>55</v>
      </c>
      <c r="I230" s="3" t="s">
        <v>55</v>
      </c>
      <c r="J230" s="3" t="s">
        <v>55</v>
      </c>
      <c r="K230" s="3" t="s">
        <v>55</v>
      </c>
      <c r="L230" s="3" t="s">
        <v>55</v>
      </c>
      <c r="M230" s="3" t="s">
        <v>55</v>
      </c>
      <c r="N230" s="30">
        <v>46042</v>
      </c>
      <c r="O230" s="28">
        <v>46050</v>
      </c>
      <c r="P230" s="28">
        <v>46050</v>
      </c>
      <c r="Q230" s="30">
        <v>46065</v>
      </c>
      <c r="R230" s="30">
        <v>46065</v>
      </c>
      <c r="S230" s="3">
        <f t="shared" si="12"/>
        <v>2</v>
      </c>
    </row>
    <row r="231" spans="1:19" x14ac:dyDescent="0.25">
      <c r="A231" s="403" t="str">
        <f t="shared" si="10"/>
        <v>46052460520000-00-0046056460630000-00-000000-00-000000-00-000000-00-000000-00-000000-00-000000-00-0046069460694606946073460762</v>
      </c>
      <c r="B231" s="15">
        <v>46052</v>
      </c>
      <c r="C231" s="16">
        <v>46052</v>
      </c>
      <c r="D231" s="21" t="s">
        <v>55</v>
      </c>
      <c r="E231" s="16">
        <v>46056</v>
      </c>
      <c r="F231" s="16">
        <v>46063</v>
      </c>
      <c r="G231" s="36" t="s">
        <v>55</v>
      </c>
      <c r="H231" s="36" t="s">
        <v>55</v>
      </c>
      <c r="I231" s="36" t="s">
        <v>55</v>
      </c>
      <c r="J231" s="36" t="s">
        <v>55</v>
      </c>
      <c r="K231" s="36" t="s">
        <v>55</v>
      </c>
      <c r="L231" s="36" t="s">
        <v>55</v>
      </c>
      <c r="M231" s="3" t="s">
        <v>55</v>
      </c>
      <c r="N231" s="28">
        <v>46069</v>
      </c>
      <c r="O231" s="28">
        <v>46069</v>
      </c>
      <c r="P231" s="16">
        <v>46069</v>
      </c>
      <c r="Q231" s="16">
        <v>46073</v>
      </c>
      <c r="R231" s="140">
        <v>46076</v>
      </c>
      <c r="S231" s="3">
        <f t="shared" si="12"/>
        <v>2</v>
      </c>
    </row>
    <row r="232" spans="1:19" x14ac:dyDescent="0.25">
      <c r="A232" s="403" t="str">
        <f t="shared" si="10"/>
        <v>46052460520000-00-0046062460620000-00-000000-00-000000-00-000000-00-000000-00-000000-00-000000-00-0046069460694606946073460762</v>
      </c>
      <c r="B232" s="30">
        <v>46052</v>
      </c>
      <c r="C232" s="30">
        <v>46052</v>
      </c>
      <c r="D232" s="3" t="s">
        <v>55</v>
      </c>
      <c r="E232" s="30">
        <v>46062</v>
      </c>
      <c r="F232" s="30">
        <v>46062</v>
      </c>
      <c r="G232" s="3" t="s">
        <v>55</v>
      </c>
      <c r="H232" s="3" t="s">
        <v>55</v>
      </c>
      <c r="I232" s="3" t="s">
        <v>55</v>
      </c>
      <c r="J232" s="3" t="s">
        <v>55</v>
      </c>
      <c r="K232" s="3" t="s">
        <v>55</v>
      </c>
      <c r="L232" s="3" t="s">
        <v>55</v>
      </c>
      <c r="M232" s="3" t="s">
        <v>55</v>
      </c>
      <c r="N232" s="30">
        <v>46069</v>
      </c>
      <c r="O232" s="30">
        <v>46069</v>
      </c>
      <c r="P232" s="30">
        <v>46069</v>
      </c>
      <c r="Q232" s="16">
        <v>46073</v>
      </c>
      <c r="R232" s="140">
        <v>46076</v>
      </c>
      <c r="S232" s="3">
        <f t="shared" si="12"/>
        <v>2</v>
      </c>
    </row>
    <row r="233" spans="1:19" x14ac:dyDescent="0.25">
      <c r="A233" s="403" t="str">
        <f t="shared" si="10"/>
        <v>46055460560000-00-000000-00-000000-00-000000-00-000000-00-000000-00-000000-00-000000-00-000000-00-000000-00-0046063460644606546070460762</v>
      </c>
      <c r="B233" s="15">
        <v>46055</v>
      </c>
      <c r="C233" s="16">
        <v>46056</v>
      </c>
      <c r="D233" s="2" t="s">
        <v>55</v>
      </c>
      <c r="E233" s="2" t="s">
        <v>55</v>
      </c>
      <c r="F233" s="2" t="s">
        <v>55</v>
      </c>
      <c r="G233" s="2" t="s">
        <v>55</v>
      </c>
      <c r="H233" s="2" t="s">
        <v>55</v>
      </c>
      <c r="I233" s="2" t="s">
        <v>55</v>
      </c>
      <c r="J233" s="2" t="s">
        <v>55</v>
      </c>
      <c r="K233" s="2" t="s">
        <v>55</v>
      </c>
      <c r="L233" s="2" t="s">
        <v>55</v>
      </c>
      <c r="M233" s="3" t="s">
        <v>55</v>
      </c>
      <c r="N233" s="16">
        <v>46063</v>
      </c>
      <c r="O233" s="16">
        <v>46064</v>
      </c>
      <c r="P233" s="16">
        <v>46065</v>
      </c>
      <c r="Q233" s="16">
        <v>46070</v>
      </c>
      <c r="R233" s="140">
        <v>46076</v>
      </c>
      <c r="S233" s="3">
        <f t="shared" si="12"/>
        <v>2</v>
      </c>
    </row>
    <row r="234" spans="1:19" x14ac:dyDescent="0.25">
      <c r="A234" s="403" t="str">
        <f t="shared" si="10"/>
        <v>46056460560000-00-0046062460620000-00-000000-00-000000-00-000000-00-000000-00-000000-00-000000-00-0046069460694606946073460762</v>
      </c>
      <c r="B234" s="30">
        <v>46056</v>
      </c>
      <c r="C234" s="30">
        <v>46056</v>
      </c>
      <c r="D234" s="3" t="s">
        <v>55</v>
      </c>
      <c r="E234" s="30">
        <v>46062</v>
      </c>
      <c r="F234" s="30">
        <v>46062</v>
      </c>
      <c r="G234" s="3" t="s">
        <v>55</v>
      </c>
      <c r="H234" s="3" t="s">
        <v>55</v>
      </c>
      <c r="I234" s="3" t="s">
        <v>55</v>
      </c>
      <c r="J234" s="3" t="s">
        <v>55</v>
      </c>
      <c r="K234" s="3" t="s">
        <v>55</v>
      </c>
      <c r="L234" s="3" t="s">
        <v>55</v>
      </c>
      <c r="M234" s="3" t="s">
        <v>55</v>
      </c>
      <c r="N234" s="30">
        <v>46069</v>
      </c>
      <c r="O234" s="73">
        <v>46069</v>
      </c>
      <c r="P234" s="73">
        <v>46069</v>
      </c>
      <c r="Q234" s="16">
        <v>46073</v>
      </c>
      <c r="R234" s="140">
        <v>46076</v>
      </c>
      <c r="S234" s="3">
        <f t="shared" si="12"/>
        <v>2</v>
      </c>
    </row>
    <row r="235" spans="1:19" x14ac:dyDescent="0.25">
      <c r="A235" s="403" t="str">
        <f t="shared" si="10"/>
        <v>46057460570000-00-000000-00-000000-00-000000-00-000000-00-000000-00-000000-00-000000-00-000000-00-000000-00-0046069460694606946073460762</v>
      </c>
      <c r="B235" s="44">
        <v>46057</v>
      </c>
      <c r="C235" s="44">
        <v>46057</v>
      </c>
      <c r="D235" s="2" t="s">
        <v>55</v>
      </c>
      <c r="E235" s="2" t="s">
        <v>55</v>
      </c>
      <c r="F235" s="2" t="s">
        <v>55</v>
      </c>
      <c r="G235" s="2" t="s">
        <v>55</v>
      </c>
      <c r="H235" s="2" t="s">
        <v>55</v>
      </c>
      <c r="I235" s="2" t="s">
        <v>55</v>
      </c>
      <c r="J235" s="2" t="s">
        <v>55</v>
      </c>
      <c r="K235" s="2" t="s">
        <v>55</v>
      </c>
      <c r="L235" s="2" t="s">
        <v>55</v>
      </c>
      <c r="M235" s="3" t="s">
        <v>55</v>
      </c>
      <c r="N235" s="28">
        <v>46069</v>
      </c>
      <c r="O235" s="28">
        <v>46069</v>
      </c>
      <c r="P235" s="28">
        <v>46069</v>
      </c>
      <c r="Q235" s="16">
        <v>46073</v>
      </c>
      <c r="R235" s="140">
        <v>46076</v>
      </c>
      <c r="S235" s="3">
        <f t="shared" si="12"/>
        <v>2</v>
      </c>
    </row>
    <row r="236" spans="1:19" x14ac:dyDescent="0.25">
      <c r="A236" s="403" t="str">
        <f t="shared" si="10"/>
        <v>46058460580000-00-000000-00-000000-00-000000-00-000000-00-000000-00-000000-00-000000-00-000000-00-000000-00-0046066460664606646073460762</v>
      </c>
      <c r="B236" s="44">
        <v>46058</v>
      </c>
      <c r="C236" s="44">
        <v>46058</v>
      </c>
      <c r="D236" s="2" t="s">
        <v>55</v>
      </c>
      <c r="E236" s="2" t="s">
        <v>55</v>
      </c>
      <c r="F236" s="2" t="s">
        <v>55</v>
      </c>
      <c r="G236" s="2" t="s">
        <v>55</v>
      </c>
      <c r="H236" s="2" t="s">
        <v>55</v>
      </c>
      <c r="I236" s="2" t="s">
        <v>55</v>
      </c>
      <c r="J236" s="2" t="s">
        <v>55</v>
      </c>
      <c r="K236" s="2" t="s">
        <v>55</v>
      </c>
      <c r="L236" s="2" t="s">
        <v>55</v>
      </c>
      <c r="M236" s="3" t="s">
        <v>55</v>
      </c>
      <c r="N236" s="28">
        <v>46066</v>
      </c>
      <c r="O236" s="28">
        <v>46066</v>
      </c>
      <c r="P236" s="28">
        <v>46066</v>
      </c>
      <c r="Q236" s="16">
        <v>46073</v>
      </c>
      <c r="R236" s="140">
        <v>46076</v>
      </c>
      <c r="S236" s="3">
        <f t="shared" si="12"/>
        <v>2</v>
      </c>
    </row>
    <row r="237" spans="1:19" x14ac:dyDescent="0.25">
      <c r="A237" s="403" t="str">
        <f t="shared" si="10"/>
        <v>46057460570000-00-000000-00-000000-00-000000-00-000000-00-000000-00-000000-00-000000-00-000000-00-000000-00-0046059460594605946064460652</v>
      </c>
      <c r="B237" s="44">
        <v>46057</v>
      </c>
      <c r="C237" s="44">
        <v>46057</v>
      </c>
      <c r="D237" s="2" t="s">
        <v>55</v>
      </c>
      <c r="E237" s="2" t="s">
        <v>55</v>
      </c>
      <c r="F237" s="2" t="s">
        <v>55</v>
      </c>
      <c r="G237" s="2" t="s">
        <v>55</v>
      </c>
      <c r="H237" s="2" t="s">
        <v>55</v>
      </c>
      <c r="I237" s="2" t="s">
        <v>55</v>
      </c>
      <c r="J237" s="2" t="s">
        <v>55</v>
      </c>
      <c r="K237" s="2" t="s">
        <v>55</v>
      </c>
      <c r="L237" s="2" t="s">
        <v>55</v>
      </c>
      <c r="M237" s="3" t="s">
        <v>55</v>
      </c>
      <c r="N237" s="44">
        <v>46059</v>
      </c>
      <c r="O237" s="44">
        <v>46059</v>
      </c>
      <c r="P237" s="44">
        <v>46059</v>
      </c>
      <c r="Q237" s="44">
        <v>46064</v>
      </c>
      <c r="R237" s="44">
        <v>46065</v>
      </c>
      <c r="S237" s="3">
        <f t="shared" si="12"/>
        <v>2</v>
      </c>
    </row>
    <row r="238" spans="1:19" x14ac:dyDescent="0.25">
      <c r="A238" s="403" t="str">
        <f t="shared" si="10"/>
        <v>46058460580000-00-0046062460620000-00-000000-00-000000-00-000000-00-000000-00-000000-00-000000-00-0046066460664606646073460762</v>
      </c>
      <c r="B238" s="44">
        <v>46058</v>
      </c>
      <c r="C238" s="44">
        <v>46058</v>
      </c>
      <c r="D238" s="2" t="s">
        <v>55</v>
      </c>
      <c r="E238" s="44">
        <v>46062</v>
      </c>
      <c r="F238" s="44">
        <v>46062</v>
      </c>
      <c r="G238" s="2" t="s">
        <v>55</v>
      </c>
      <c r="H238" s="2" t="s">
        <v>55</v>
      </c>
      <c r="I238" s="2" t="s">
        <v>55</v>
      </c>
      <c r="J238" s="2" t="s">
        <v>55</v>
      </c>
      <c r="K238" s="2" t="s">
        <v>55</v>
      </c>
      <c r="L238" s="2" t="s">
        <v>55</v>
      </c>
      <c r="M238" s="3" t="s">
        <v>55</v>
      </c>
      <c r="N238" s="28">
        <v>46066</v>
      </c>
      <c r="O238" s="28">
        <v>46066</v>
      </c>
      <c r="P238" s="28">
        <v>46066</v>
      </c>
      <c r="Q238" s="16">
        <v>46073</v>
      </c>
      <c r="R238" s="140">
        <v>46076</v>
      </c>
      <c r="S238" s="3">
        <f t="shared" si="12"/>
        <v>2</v>
      </c>
    </row>
    <row r="239" spans="1:19" x14ac:dyDescent="0.25">
      <c r="A239" s="403" t="str">
        <f t="shared" si="10"/>
        <v>46058460580000-00-0046068460680000-00-000000-00-000000-00-000000-00-000000-00-000000-00-000000-00-0046066460664606646072460762</v>
      </c>
      <c r="B239" s="30">
        <v>46058</v>
      </c>
      <c r="C239" s="30">
        <v>46058</v>
      </c>
      <c r="D239" s="3" t="s">
        <v>55</v>
      </c>
      <c r="E239" s="30">
        <v>46068</v>
      </c>
      <c r="F239" s="30">
        <v>46068</v>
      </c>
      <c r="G239" s="3" t="s">
        <v>55</v>
      </c>
      <c r="H239" s="3" t="s">
        <v>55</v>
      </c>
      <c r="I239" s="3" t="s">
        <v>55</v>
      </c>
      <c r="J239" s="3" t="s">
        <v>55</v>
      </c>
      <c r="K239" s="3" t="s">
        <v>55</v>
      </c>
      <c r="L239" s="3" t="s">
        <v>55</v>
      </c>
      <c r="M239" s="3" t="s">
        <v>55</v>
      </c>
      <c r="N239" s="30">
        <v>46066</v>
      </c>
      <c r="O239" s="30">
        <v>46066</v>
      </c>
      <c r="P239" s="30">
        <v>46066</v>
      </c>
      <c r="Q239" s="30">
        <v>46072</v>
      </c>
      <c r="R239" s="140">
        <v>46076</v>
      </c>
      <c r="S239" s="3">
        <f t="shared" si="12"/>
        <v>2</v>
      </c>
    </row>
    <row r="240" spans="1:19" x14ac:dyDescent="0.25">
      <c r="A240" s="403" t="str">
        <f t="shared" si="10"/>
        <v>46062460620000-00-000000-00-000000-00-000000-00-000000-00-000000-00-000000-00-000000-00-000000-00-000000-00-0046062460634606446073460762</v>
      </c>
      <c r="B240" s="28">
        <v>46062</v>
      </c>
      <c r="C240" s="28">
        <v>46062</v>
      </c>
      <c r="D240" s="21" t="s">
        <v>55</v>
      </c>
      <c r="E240" s="21" t="s">
        <v>55</v>
      </c>
      <c r="F240" s="21" t="s">
        <v>55</v>
      </c>
      <c r="G240" s="36" t="s">
        <v>55</v>
      </c>
      <c r="H240" s="36" t="s">
        <v>55</v>
      </c>
      <c r="I240" s="36" t="s">
        <v>55</v>
      </c>
      <c r="J240" s="36" t="s">
        <v>55</v>
      </c>
      <c r="K240" s="36" t="s">
        <v>55</v>
      </c>
      <c r="L240" s="36" t="s">
        <v>55</v>
      </c>
      <c r="M240" s="3" t="s">
        <v>55</v>
      </c>
      <c r="N240" s="28">
        <v>46062</v>
      </c>
      <c r="O240" s="28">
        <v>46063</v>
      </c>
      <c r="P240" s="28">
        <v>46064</v>
      </c>
      <c r="Q240" s="16">
        <v>46073</v>
      </c>
      <c r="R240" s="140">
        <v>46076</v>
      </c>
      <c r="S240" s="3">
        <f t="shared" si="12"/>
        <v>2</v>
      </c>
    </row>
    <row r="241" spans="1:19" x14ac:dyDescent="0.25">
      <c r="A241" s="403" t="str">
        <f t="shared" si="10"/>
        <v>46063460630000-00-000000-00-000000-00-000000-00-000000-00-000000-00-000000-00-000000-00-000000-00-000000-00-0046065460664606646072460762</v>
      </c>
      <c r="B241" s="28">
        <v>46063</v>
      </c>
      <c r="C241" s="28">
        <v>46063</v>
      </c>
      <c r="D241" s="21" t="s">
        <v>55</v>
      </c>
      <c r="E241" s="21" t="s">
        <v>55</v>
      </c>
      <c r="F241" s="21" t="s">
        <v>55</v>
      </c>
      <c r="G241" s="36" t="s">
        <v>55</v>
      </c>
      <c r="H241" s="36" t="s">
        <v>55</v>
      </c>
      <c r="I241" s="36" t="s">
        <v>55</v>
      </c>
      <c r="J241" s="36" t="s">
        <v>55</v>
      </c>
      <c r="K241" s="36" t="s">
        <v>55</v>
      </c>
      <c r="L241" s="36" t="s">
        <v>55</v>
      </c>
      <c r="M241" s="3" t="s">
        <v>55</v>
      </c>
      <c r="N241" s="28">
        <v>46065</v>
      </c>
      <c r="O241" s="28">
        <v>46066</v>
      </c>
      <c r="P241" s="28">
        <v>46066</v>
      </c>
      <c r="Q241" s="30">
        <v>46072</v>
      </c>
      <c r="R241" s="140">
        <v>46076</v>
      </c>
      <c r="S241" s="3">
        <f t="shared" si="12"/>
        <v>2</v>
      </c>
    </row>
    <row r="242" spans="1:19" x14ac:dyDescent="0.25">
      <c r="A242" s="403" t="str">
        <f t="shared" si="10"/>
        <v>46063460630000-00-000000-00-000000-00-000000-00-000000-00-000000-00-000000-00-000000-00-000000-00-000000-00-0046066460664606946072460762</v>
      </c>
      <c r="B242" s="131">
        <v>46063</v>
      </c>
      <c r="C242" s="131">
        <v>46063</v>
      </c>
      <c r="D242" s="72" t="s">
        <v>55</v>
      </c>
      <c r="E242" s="72" t="s">
        <v>55</v>
      </c>
      <c r="F242" s="72" t="s">
        <v>55</v>
      </c>
      <c r="G242" s="407" t="s">
        <v>55</v>
      </c>
      <c r="H242" s="407" t="s">
        <v>55</v>
      </c>
      <c r="I242" s="407" t="s">
        <v>55</v>
      </c>
      <c r="J242" s="407" t="s">
        <v>55</v>
      </c>
      <c r="K242" s="407" t="s">
        <v>55</v>
      </c>
      <c r="L242" s="407" t="s">
        <v>55</v>
      </c>
      <c r="M242" s="89" t="s">
        <v>55</v>
      </c>
      <c r="N242" s="131">
        <v>46066</v>
      </c>
      <c r="O242" s="131">
        <v>46066</v>
      </c>
      <c r="P242" s="131">
        <v>46069</v>
      </c>
      <c r="Q242" s="130">
        <v>46072</v>
      </c>
      <c r="R242" s="135">
        <v>46076</v>
      </c>
      <c r="S242" s="89">
        <f t="shared" si="12"/>
        <v>2</v>
      </c>
    </row>
    <row r="243" spans="1:19" x14ac:dyDescent="0.25">
      <c r="A243" s="403" t="str">
        <f t="shared" si="10"/>
        <v>46063460630000-00-000000-00-000000-00-000000-00-000000-00-000000-00-000000-00-000000-00-000000-00-000000-00-0046064460644606346064460652</v>
      </c>
      <c r="B243" s="28">
        <v>46063</v>
      </c>
      <c r="C243" s="28">
        <v>46063</v>
      </c>
      <c r="D243" s="21" t="s">
        <v>55</v>
      </c>
      <c r="E243" s="21" t="s">
        <v>55</v>
      </c>
      <c r="F243" s="21" t="s">
        <v>55</v>
      </c>
      <c r="G243" s="36" t="s">
        <v>55</v>
      </c>
      <c r="H243" s="36" t="s">
        <v>55</v>
      </c>
      <c r="I243" s="36" t="s">
        <v>55</v>
      </c>
      <c r="J243" s="36" t="s">
        <v>55</v>
      </c>
      <c r="K243" s="36" t="s">
        <v>55</v>
      </c>
      <c r="L243" s="36" t="s">
        <v>55</v>
      </c>
      <c r="M243" s="3" t="s">
        <v>55</v>
      </c>
      <c r="N243" s="28">
        <v>46064</v>
      </c>
      <c r="O243" s="28">
        <v>46064</v>
      </c>
      <c r="P243" s="28">
        <v>46063</v>
      </c>
      <c r="Q243" s="28">
        <v>46064</v>
      </c>
      <c r="R243" s="28">
        <v>46065</v>
      </c>
      <c r="S243" s="3">
        <f t="shared" si="12"/>
        <v>2</v>
      </c>
    </row>
    <row r="244" spans="1:19" x14ac:dyDescent="0.25">
      <c r="A244" s="403" t="str">
        <f t="shared" si="10"/>
        <v>46063460630000-00-000000-00-000000-00-000000-00-000000-00-000000-00-000000-00-000000-00-000000-00-000000-00-0046066460664606646073460762</v>
      </c>
      <c r="B244" s="15">
        <v>46063</v>
      </c>
      <c r="C244" s="16">
        <v>46063</v>
      </c>
      <c r="D244" s="21" t="s">
        <v>55</v>
      </c>
      <c r="E244" s="16" t="s">
        <v>55</v>
      </c>
      <c r="F244" s="16" t="s">
        <v>55</v>
      </c>
      <c r="G244" s="36" t="s">
        <v>55</v>
      </c>
      <c r="H244" s="36" t="s">
        <v>55</v>
      </c>
      <c r="I244" s="36" t="s">
        <v>55</v>
      </c>
      <c r="J244" s="36" t="s">
        <v>55</v>
      </c>
      <c r="K244" s="36" t="s">
        <v>55</v>
      </c>
      <c r="L244" s="36" t="s">
        <v>55</v>
      </c>
      <c r="M244" s="3" t="s">
        <v>55</v>
      </c>
      <c r="N244" s="28">
        <v>46066</v>
      </c>
      <c r="O244" s="28">
        <v>46066</v>
      </c>
      <c r="P244" s="28">
        <v>46066</v>
      </c>
      <c r="Q244" s="16">
        <v>46073</v>
      </c>
      <c r="R244" s="140">
        <v>46076</v>
      </c>
      <c r="S244" s="3">
        <f t="shared" si="12"/>
        <v>2</v>
      </c>
    </row>
    <row r="245" spans="1:19" x14ac:dyDescent="0.25">
      <c r="A245" s="403" t="str">
        <f t="shared" si="10"/>
        <v>46064460640000-00-0046068460680000-00-000000-00-000000-00-000000-00-000000-00-000000-00-000000-00-0046069460694606946073460762</v>
      </c>
      <c r="B245" s="30">
        <v>46064</v>
      </c>
      <c r="C245" s="30">
        <v>46064</v>
      </c>
      <c r="D245" s="3" t="s">
        <v>55</v>
      </c>
      <c r="E245" s="30">
        <v>46068</v>
      </c>
      <c r="F245" s="30">
        <v>46068</v>
      </c>
      <c r="G245" s="3" t="s">
        <v>55</v>
      </c>
      <c r="H245" s="3" t="s">
        <v>55</v>
      </c>
      <c r="I245" s="3" t="s">
        <v>55</v>
      </c>
      <c r="J245" s="3" t="s">
        <v>55</v>
      </c>
      <c r="K245" s="3" t="s">
        <v>55</v>
      </c>
      <c r="L245" s="3" t="s">
        <v>55</v>
      </c>
      <c r="M245" s="3" t="s">
        <v>55</v>
      </c>
      <c r="N245" s="30">
        <v>46069</v>
      </c>
      <c r="O245" s="73">
        <v>46069</v>
      </c>
      <c r="P245" s="73">
        <v>46069</v>
      </c>
      <c r="Q245" s="16">
        <v>46073</v>
      </c>
      <c r="R245" s="140">
        <v>46076</v>
      </c>
      <c r="S245" s="3">
        <f t="shared" si="12"/>
        <v>2</v>
      </c>
    </row>
    <row r="246" spans="1:19" x14ac:dyDescent="0.25">
      <c r="A246" s="403" t="str">
        <f t="shared" si="10"/>
        <v>46058460640000-00-000000-00-000000-00-000000-00-000000-00-000000-00-000000-00-000000-00-000000-00-000000-00-000000-00-00460584605846064460652</v>
      </c>
      <c r="B246" s="38">
        <v>46058</v>
      </c>
      <c r="C246" s="28">
        <v>46064</v>
      </c>
      <c r="D246" s="21" t="s">
        <v>55</v>
      </c>
      <c r="E246" s="21" t="s">
        <v>55</v>
      </c>
      <c r="F246" s="21" t="s">
        <v>55</v>
      </c>
      <c r="G246" s="21" t="s">
        <v>55</v>
      </c>
      <c r="H246" s="21" t="s">
        <v>55</v>
      </c>
      <c r="I246" s="21" t="s">
        <v>55</v>
      </c>
      <c r="J246" s="21" t="s">
        <v>55</v>
      </c>
      <c r="K246" s="21" t="s">
        <v>55</v>
      </c>
      <c r="L246" s="21" t="s">
        <v>55</v>
      </c>
      <c r="M246" s="3" t="s">
        <v>55</v>
      </c>
      <c r="N246" s="36" t="s">
        <v>55</v>
      </c>
      <c r="O246" s="28">
        <v>46058</v>
      </c>
      <c r="P246" s="28">
        <v>46058</v>
      </c>
      <c r="Q246" s="53">
        <v>46064</v>
      </c>
      <c r="R246" s="28">
        <v>46065</v>
      </c>
      <c r="S246" s="3">
        <f t="shared" si="12"/>
        <v>2</v>
      </c>
    </row>
    <row r="247" spans="1:19" x14ac:dyDescent="0.25">
      <c r="A247" s="403" t="str">
        <f t="shared" si="10"/>
        <v>46064460640000-00-000000-00-000000-00-000000-00-000000-00-000000-00-000000-00-000000-00-000000-00-000000-00-0046069460694606946073460762</v>
      </c>
      <c r="B247" s="15">
        <v>46064</v>
      </c>
      <c r="C247" s="16">
        <v>46064</v>
      </c>
      <c r="D247" s="21" t="s">
        <v>55</v>
      </c>
      <c r="E247" s="16" t="s">
        <v>55</v>
      </c>
      <c r="F247" s="16" t="s">
        <v>55</v>
      </c>
      <c r="G247" s="36" t="s">
        <v>55</v>
      </c>
      <c r="H247" s="36" t="s">
        <v>55</v>
      </c>
      <c r="I247" s="36" t="s">
        <v>55</v>
      </c>
      <c r="J247" s="36" t="s">
        <v>55</v>
      </c>
      <c r="K247" s="36" t="s">
        <v>55</v>
      </c>
      <c r="L247" s="36" t="s">
        <v>55</v>
      </c>
      <c r="M247" s="3" t="s">
        <v>55</v>
      </c>
      <c r="N247" s="28">
        <v>46069</v>
      </c>
      <c r="O247" s="28">
        <v>46069</v>
      </c>
      <c r="P247" s="28">
        <v>46069</v>
      </c>
      <c r="Q247" s="16">
        <v>46073</v>
      </c>
      <c r="R247" s="140">
        <v>46076</v>
      </c>
      <c r="S247" s="3">
        <f t="shared" si="12"/>
        <v>2</v>
      </c>
    </row>
    <row r="248" spans="1:19" x14ac:dyDescent="0.25">
      <c r="A248" s="403" t="str">
        <f t="shared" si="10"/>
        <v>46055460660000-00-0046059460590000-00-000000-00-000000-00-000000-00-000000-00-000000-00-000000-00-0046066460660000-00-0046076460762</v>
      </c>
      <c r="B248" s="30">
        <v>46055</v>
      </c>
      <c r="C248" s="30">
        <v>46066</v>
      </c>
      <c r="D248" s="3" t="s">
        <v>55</v>
      </c>
      <c r="E248" s="30">
        <v>46059</v>
      </c>
      <c r="F248" s="30">
        <v>46059</v>
      </c>
      <c r="G248" s="3" t="s">
        <v>55</v>
      </c>
      <c r="H248" s="3" t="s">
        <v>55</v>
      </c>
      <c r="I248" s="3" t="s">
        <v>55</v>
      </c>
      <c r="J248" s="3" t="s">
        <v>55</v>
      </c>
      <c r="K248" s="3" t="s">
        <v>55</v>
      </c>
      <c r="L248" s="3" t="s">
        <v>55</v>
      </c>
      <c r="M248" s="3" t="s">
        <v>55</v>
      </c>
      <c r="N248" s="28">
        <v>46066</v>
      </c>
      <c r="O248" s="28">
        <v>46066</v>
      </c>
      <c r="P248" s="3" t="s">
        <v>55</v>
      </c>
      <c r="Q248" s="30">
        <v>46076</v>
      </c>
      <c r="R248" s="30">
        <v>46076</v>
      </c>
      <c r="S248" s="3">
        <f t="shared" si="12"/>
        <v>2</v>
      </c>
    </row>
    <row r="249" spans="1:19" x14ac:dyDescent="0.25">
      <c r="A249" s="403" t="str">
        <f t="shared" si="10"/>
        <v>46055460760000-00-0046059460590000-00-000000-00-000000-00-000000-00-000000-00-000000-00-000000-00-0046066460660000-00-0046076460762</v>
      </c>
      <c r="B249" s="30">
        <v>46055</v>
      </c>
      <c r="C249" s="30">
        <v>46076</v>
      </c>
      <c r="D249" s="3" t="s">
        <v>55</v>
      </c>
      <c r="E249" s="30">
        <v>46059</v>
      </c>
      <c r="F249" s="30">
        <v>46059</v>
      </c>
      <c r="G249" s="3" t="s">
        <v>55</v>
      </c>
      <c r="H249" s="3" t="s">
        <v>55</v>
      </c>
      <c r="I249" s="3" t="s">
        <v>55</v>
      </c>
      <c r="J249" s="3" t="s">
        <v>55</v>
      </c>
      <c r="K249" s="3" t="s">
        <v>55</v>
      </c>
      <c r="L249" s="3" t="s">
        <v>55</v>
      </c>
      <c r="M249" s="3" t="s">
        <v>55</v>
      </c>
      <c r="N249" s="28">
        <v>46066</v>
      </c>
      <c r="O249" s="28">
        <v>46066</v>
      </c>
      <c r="P249" s="3" t="s">
        <v>55</v>
      </c>
      <c r="Q249" s="30">
        <v>46076</v>
      </c>
      <c r="R249" s="30">
        <v>46076</v>
      </c>
      <c r="S249" s="3">
        <f t="shared" si="12"/>
        <v>2</v>
      </c>
    </row>
    <row r="250" spans="1:19" x14ac:dyDescent="0.25">
      <c r="A250" s="403" t="str">
        <f t="shared" si="10"/>
        <v>45986459860000-00-0045992460450000-00-000000-00-000000-00-000000-00-000000-00-000000-00-000000-00-0046049460504605246063460652</v>
      </c>
      <c r="B250" s="28">
        <v>45986</v>
      </c>
      <c r="C250" s="15">
        <v>45986</v>
      </c>
      <c r="D250" s="21" t="s">
        <v>55</v>
      </c>
      <c r="E250" s="28">
        <v>45992</v>
      </c>
      <c r="F250" s="28">
        <v>46045</v>
      </c>
      <c r="G250" s="36" t="s">
        <v>55</v>
      </c>
      <c r="H250" s="36" t="s">
        <v>55</v>
      </c>
      <c r="I250" s="36" t="s">
        <v>55</v>
      </c>
      <c r="J250" s="36" t="s">
        <v>55</v>
      </c>
      <c r="K250" s="36" t="s">
        <v>55</v>
      </c>
      <c r="L250" s="36" t="s">
        <v>55</v>
      </c>
      <c r="M250" s="3" t="s">
        <v>55</v>
      </c>
      <c r="N250" s="28">
        <v>46049</v>
      </c>
      <c r="O250" s="28">
        <v>46050</v>
      </c>
      <c r="P250" s="28">
        <v>46052</v>
      </c>
      <c r="Q250" s="28">
        <v>46063</v>
      </c>
      <c r="R250" s="28">
        <v>46065</v>
      </c>
      <c r="S250" s="3">
        <f t="shared" si="12"/>
        <v>2</v>
      </c>
    </row>
    <row r="251" spans="1:19" x14ac:dyDescent="0.25">
      <c r="A251" s="403" t="str">
        <f t="shared" si="10"/>
        <v>46048458810000-00-0046048460480000-00-000000-00-000000-00-000000-00-000000-00-000000-00-000000-00-0046073460734607346087460903</v>
      </c>
      <c r="B251" s="142">
        <v>46048</v>
      </c>
      <c r="C251" s="142">
        <v>45881</v>
      </c>
      <c r="D251" s="2" t="s">
        <v>55</v>
      </c>
      <c r="E251" s="37">
        <v>46048</v>
      </c>
      <c r="F251" s="37">
        <v>46048</v>
      </c>
      <c r="G251" s="18" t="s">
        <v>55</v>
      </c>
      <c r="H251" s="18" t="s">
        <v>55</v>
      </c>
      <c r="I251" s="18" t="s">
        <v>55</v>
      </c>
      <c r="J251" s="18" t="s">
        <v>55</v>
      </c>
      <c r="K251" s="18" t="s">
        <v>55</v>
      </c>
      <c r="L251" s="18" t="s">
        <v>55</v>
      </c>
      <c r="M251" s="18" t="s">
        <v>55</v>
      </c>
      <c r="N251" s="28">
        <v>46073</v>
      </c>
      <c r="O251" s="28">
        <v>46073</v>
      </c>
      <c r="P251" s="28">
        <v>46073</v>
      </c>
      <c r="Q251" s="28">
        <v>46087</v>
      </c>
      <c r="R251" s="28">
        <v>46090</v>
      </c>
      <c r="S251" s="33">
        <f t="shared" si="12"/>
        <v>3</v>
      </c>
    </row>
    <row r="252" spans="1:19" x14ac:dyDescent="0.25">
      <c r="A252" s="403" t="str">
        <f t="shared" si="10"/>
        <v>46043459790000-00-0046049460490000-00-000000-00-000000-00-000000-00-000000-00-000000-00-000000-00-0046050460654606546101461063</v>
      </c>
      <c r="B252" s="142">
        <v>46043</v>
      </c>
      <c r="C252" s="142">
        <v>45979</v>
      </c>
      <c r="D252" s="3" t="s">
        <v>55</v>
      </c>
      <c r="E252" s="30">
        <v>46049</v>
      </c>
      <c r="F252" s="30">
        <v>46049</v>
      </c>
      <c r="G252" s="3" t="s">
        <v>55</v>
      </c>
      <c r="H252" s="3" t="s">
        <v>55</v>
      </c>
      <c r="I252" s="3" t="s">
        <v>55</v>
      </c>
      <c r="J252" s="3" t="s">
        <v>55</v>
      </c>
      <c r="K252" s="3" t="s">
        <v>55</v>
      </c>
      <c r="L252" s="3" t="s">
        <v>55</v>
      </c>
      <c r="M252" s="3" t="s">
        <v>55</v>
      </c>
      <c r="N252" s="28">
        <v>46050</v>
      </c>
      <c r="O252" s="28">
        <v>46065</v>
      </c>
      <c r="P252" s="28">
        <v>46065</v>
      </c>
      <c r="Q252" s="28">
        <v>46101</v>
      </c>
      <c r="R252" s="140">
        <v>46106</v>
      </c>
      <c r="S252" s="33">
        <f t="shared" si="12"/>
        <v>3</v>
      </c>
    </row>
    <row r="253" spans="1:19" x14ac:dyDescent="0.25">
      <c r="A253" s="403" t="str">
        <f t="shared" si="10"/>
        <v>45912459120000-00-0045917459170000-00-000000-00-000000-00-000000-00-000000-00-000000-00-000000-00-0046073460734607346087460903</v>
      </c>
      <c r="B253" s="222">
        <v>45912</v>
      </c>
      <c r="C253" s="222">
        <v>45912</v>
      </c>
      <c r="D253" s="110" t="s">
        <v>55</v>
      </c>
      <c r="E253" s="405">
        <v>45917</v>
      </c>
      <c r="F253" s="405">
        <v>45917</v>
      </c>
      <c r="G253" s="110" t="s">
        <v>55</v>
      </c>
      <c r="H253" s="110" t="s">
        <v>55</v>
      </c>
      <c r="I253" s="110" t="s">
        <v>55</v>
      </c>
      <c r="J253" s="110" t="s">
        <v>55</v>
      </c>
      <c r="K253" s="110" t="s">
        <v>55</v>
      </c>
      <c r="L253" s="110" t="s">
        <v>55</v>
      </c>
      <c r="M253" s="110" t="s">
        <v>55</v>
      </c>
      <c r="N253" s="131">
        <v>46073</v>
      </c>
      <c r="O253" s="131">
        <v>46073</v>
      </c>
      <c r="P253" s="131">
        <v>46073</v>
      </c>
      <c r="Q253" s="131">
        <v>46087</v>
      </c>
      <c r="R253" s="411">
        <v>46090</v>
      </c>
      <c r="S253" s="110">
        <f t="shared" si="12"/>
        <v>3</v>
      </c>
    </row>
    <row r="254" spans="1:19" x14ac:dyDescent="0.25">
      <c r="A254" s="403" t="str">
        <f t="shared" si="10"/>
        <v>46065459110000-00-0046066460660000-00-000000-00-000000-00-000000-00-000000-00-000000-00-000000-00-0046073460734607346080460833</v>
      </c>
      <c r="B254" s="142">
        <v>46065</v>
      </c>
      <c r="C254" s="142">
        <v>45911</v>
      </c>
      <c r="D254" s="18" t="s">
        <v>55</v>
      </c>
      <c r="E254" s="30">
        <v>46066</v>
      </c>
      <c r="F254" s="30">
        <v>46066</v>
      </c>
      <c r="G254" s="18" t="s">
        <v>55</v>
      </c>
      <c r="H254" s="18" t="s">
        <v>55</v>
      </c>
      <c r="I254" s="18" t="s">
        <v>55</v>
      </c>
      <c r="J254" s="18" t="s">
        <v>55</v>
      </c>
      <c r="K254" s="18" t="s">
        <v>55</v>
      </c>
      <c r="L254" s="18" t="s">
        <v>55</v>
      </c>
      <c r="M254" s="18" t="s">
        <v>55</v>
      </c>
      <c r="N254" s="30">
        <v>46073</v>
      </c>
      <c r="O254" s="30">
        <v>46073</v>
      </c>
      <c r="P254" s="30">
        <v>46073</v>
      </c>
      <c r="Q254" s="28">
        <v>46080</v>
      </c>
      <c r="R254" s="37">
        <v>46083</v>
      </c>
      <c r="S254" s="33">
        <f t="shared" si="12"/>
        <v>3</v>
      </c>
    </row>
    <row r="255" spans="1:19" x14ac:dyDescent="0.25">
      <c r="A255" s="403" t="str">
        <f t="shared" si="10"/>
        <v>46051459790000-00-0046056460560000-00-000000-00-000000-00-000000-00-000000-00-000000-00-000000-00-0046065460904609046092460933</v>
      </c>
      <c r="B255" s="142">
        <v>46051</v>
      </c>
      <c r="C255" s="142">
        <v>45979</v>
      </c>
      <c r="D255" s="3" t="s">
        <v>55</v>
      </c>
      <c r="E255" s="28">
        <v>46056</v>
      </c>
      <c r="F255" s="28">
        <v>46056</v>
      </c>
      <c r="G255" s="3" t="s">
        <v>55</v>
      </c>
      <c r="H255" s="3" t="s">
        <v>55</v>
      </c>
      <c r="I255" s="3" t="s">
        <v>55</v>
      </c>
      <c r="J255" s="3" t="s">
        <v>55</v>
      </c>
      <c r="K255" s="3" t="s">
        <v>55</v>
      </c>
      <c r="L255" s="3" t="s">
        <v>55</v>
      </c>
      <c r="M255" s="3" t="s">
        <v>55</v>
      </c>
      <c r="N255" s="28">
        <v>46065</v>
      </c>
      <c r="O255" s="28">
        <v>46090</v>
      </c>
      <c r="P255" s="28">
        <v>46090</v>
      </c>
      <c r="Q255" s="28">
        <v>46092</v>
      </c>
      <c r="R255" s="140">
        <v>46093</v>
      </c>
      <c r="S255" s="33">
        <f t="shared" si="12"/>
        <v>3</v>
      </c>
    </row>
    <row r="256" spans="1:19" x14ac:dyDescent="0.25">
      <c r="A256" s="403" t="str">
        <f t="shared" si="10"/>
        <v>46078459400000-00-0046080460800000-00-000000-00-000000-00-000000-00-000000-00-000000-00-000000-00-0046086460904609146106461063</v>
      </c>
      <c r="B256" s="142">
        <v>46078</v>
      </c>
      <c r="C256" s="142">
        <v>45940</v>
      </c>
      <c r="D256" s="3" t="s">
        <v>55</v>
      </c>
      <c r="E256" s="30">
        <v>46080</v>
      </c>
      <c r="F256" s="30">
        <v>46080</v>
      </c>
      <c r="G256" s="3" t="s">
        <v>55</v>
      </c>
      <c r="H256" s="3" t="s">
        <v>55</v>
      </c>
      <c r="I256" s="3" t="s">
        <v>55</v>
      </c>
      <c r="J256" s="3" t="s">
        <v>55</v>
      </c>
      <c r="K256" s="3" t="s">
        <v>55</v>
      </c>
      <c r="L256" s="3" t="s">
        <v>55</v>
      </c>
      <c r="M256" s="18" t="s">
        <v>55</v>
      </c>
      <c r="N256" s="30">
        <v>46086</v>
      </c>
      <c r="O256" s="28">
        <v>46090</v>
      </c>
      <c r="P256" s="28">
        <v>46091</v>
      </c>
      <c r="Q256" s="28">
        <v>46106</v>
      </c>
      <c r="R256" s="140">
        <v>46106</v>
      </c>
      <c r="S256" s="33">
        <f t="shared" si="12"/>
        <v>3</v>
      </c>
    </row>
    <row r="257" spans="1:19" x14ac:dyDescent="0.25">
      <c r="A257" s="403" t="str">
        <f t="shared" si="10"/>
        <v>46036459440000-00-0046048460480000-00-000000-00-000000-00-000000-00-000000-00-000000-00-000000-00-0046073460734607346087460903</v>
      </c>
      <c r="B257" s="142">
        <v>46036</v>
      </c>
      <c r="C257" s="142">
        <v>45944</v>
      </c>
      <c r="D257" s="2" t="s">
        <v>55</v>
      </c>
      <c r="E257" s="37">
        <v>46048</v>
      </c>
      <c r="F257" s="37">
        <v>46048</v>
      </c>
      <c r="G257" s="18" t="s">
        <v>55</v>
      </c>
      <c r="H257" s="18" t="s">
        <v>55</v>
      </c>
      <c r="I257" s="18" t="s">
        <v>55</v>
      </c>
      <c r="J257" s="18" t="s">
        <v>55</v>
      </c>
      <c r="K257" s="18" t="s">
        <v>55</v>
      </c>
      <c r="L257" s="18" t="s">
        <v>55</v>
      </c>
      <c r="M257" s="18" t="s">
        <v>55</v>
      </c>
      <c r="N257" s="28">
        <v>46073</v>
      </c>
      <c r="O257" s="28">
        <v>46073</v>
      </c>
      <c r="P257" s="28">
        <v>46073</v>
      </c>
      <c r="Q257" s="28">
        <v>46087</v>
      </c>
      <c r="R257" s="28">
        <v>46090</v>
      </c>
      <c r="S257" s="33">
        <f t="shared" si="12"/>
        <v>3</v>
      </c>
    </row>
    <row r="258" spans="1:19" x14ac:dyDescent="0.25">
      <c r="A258" s="403" t="str">
        <f t="shared" ref="A258:A321" si="13">+B258&amp;C258&amp;D258&amp;E258&amp;F258&amp;G258&amp;H258&amp;I258&amp;J258&amp;K258&amp;L258&amp;M258&amp;N258&amp;O258&amp;P258&amp;Q258&amp;R258&amp;S258</f>
        <v>45946459460000-00-0045966459710000-00-000000-00-000000-00-000000-00-000000-00-000000-00-000000-00-0046073460734607346087460903</v>
      </c>
      <c r="B258" s="142">
        <v>45946</v>
      </c>
      <c r="C258" s="142">
        <v>45946</v>
      </c>
      <c r="D258" s="33" t="s">
        <v>55</v>
      </c>
      <c r="E258" s="142">
        <v>45966</v>
      </c>
      <c r="F258" s="142">
        <v>45971</v>
      </c>
      <c r="G258" s="33" t="s">
        <v>55</v>
      </c>
      <c r="H258" s="33" t="s">
        <v>55</v>
      </c>
      <c r="I258" s="33" t="s">
        <v>55</v>
      </c>
      <c r="J258" s="33" t="s">
        <v>55</v>
      </c>
      <c r="K258" s="33" t="s">
        <v>55</v>
      </c>
      <c r="L258" s="33" t="s">
        <v>55</v>
      </c>
      <c r="M258" s="33" t="s">
        <v>55</v>
      </c>
      <c r="N258" s="28">
        <v>46073</v>
      </c>
      <c r="O258" s="28">
        <v>46073</v>
      </c>
      <c r="P258" s="28">
        <v>46073</v>
      </c>
      <c r="Q258" s="28">
        <v>46087</v>
      </c>
      <c r="R258" s="16">
        <v>46090</v>
      </c>
      <c r="S258" s="33">
        <f t="shared" ref="S258:S261" si="14">MONTH(R258)</f>
        <v>3</v>
      </c>
    </row>
    <row r="259" spans="1:19" x14ac:dyDescent="0.25">
      <c r="A259" s="403" t="str">
        <f t="shared" si="13"/>
        <v>46049459470000-00-0046066460660000-00-000000-00-000000-00-000000-00-000000-00-000000-00-000000-00-0046073460734607346080460833</v>
      </c>
      <c r="B259" s="142">
        <v>46049</v>
      </c>
      <c r="C259" s="142">
        <v>45947</v>
      </c>
      <c r="D259" s="18" t="s">
        <v>55</v>
      </c>
      <c r="E259" s="30">
        <v>46066</v>
      </c>
      <c r="F259" s="30">
        <v>46066</v>
      </c>
      <c r="G259" s="18" t="s">
        <v>55</v>
      </c>
      <c r="H259" s="18" t="s">
        <v>55</v>
      </c>
      <c r="I259" s="18" t="s">
        <v>55</v>
      </c>
      <c r="J259" s="18" t="s">
        <v>55</v>
      </c>
      <c r="K259" s="18" t="s">
        <v>55</v>
      </c>
      <c r="L259" s="18" t="s">
        <v>55</v>
      </c>
      <c r="M259" s="18" t="s">
        <v>55</v>
      </c>
      <c r="N259" s="30">
        <v>46073</v>
      </c>
      <c r="O259" s="30">
        <v>46073</v>
      </c>
      <c r="P259" s="30">
        <v>46073</v>
      </c>
      <c r="Q259" s="28">
        <v>46080</v>
      </c>
      <c r="R259" s="37">
        <v>46083</v>
      </c>
      <c r="S259" s="33">
        <f t="shared" si="14"/>
        <v>3</v>
      </c>
    </row>
    <row r="260" spans="1:19" x14ac:dyDescent="0.25">
      <c r="A260" s="403" t="str">
        <f t="shared" si="13"/>
        <v>45989459470000-00-0046066460660000-00-000000-00-000000-00-000000-00-000000-00-000000-00-000000-00-0046074460744607446086460933</v>
      </c>
      <c r="B260" s="142">
        <v>45989</v>
      </c>
      <c r="C260" s="142">
        <v>45947</v>
      </c>
      <c r="D260" s="33" t="s">
        <v>55</v>
      </c>
      <c r="E260" s="142">
        <v>46066</v>
      </c>
      <c r="F260" s="142">
        <v>46066</v>
      </c>
      <c r="G260" s="33" t="s">
        <v>55</v>
      </c>
      <c r="H260" s="33" t="s">
        <v>55</v>
      </c>
      <c r="I260" s="33" t="s">
        <v>55</v>
      </c>
      <c r="J260" s="33" t="s">
        <v>55</v>
      </c>
      <c r="K260" s="33" t="s">
        <v>55</v>
      </c>
      <c r="L260" s="33" t="s">
        <v>55</v>
      </c>
      <c r="M260" s="18" t="s">
        <v>55</v>
      </c>
      <c r="N260" s="28">
        <v>46074</v>
      </c>
      <c r="O260" s="28">
        <v>46074</v>
      </c>
      <c r="P260" s="28">
        <v>46074</v>
      </c>
      <c r="Q260" s="28">
        <v>46086</v>
      </c>
      <c r="R260" s="28">
        <v>46093</v>
      </c>
      <c r="S260" s="33">
        <f t="shared" si="14"/>
        <v>3</v>
      </c>
    </row>
    <row r="261" spans="1:19" x14ac:dyDescent="0.25">
      <c r="A261" s="403" t="str">
        <f t="shared" si="13"/>
        <v>46077459520000-00-0046081460810000-00-000000-00-000000-00-000000-00-000000-00-000000-00-000000-00-0046086460874609046100461003</v>
      </c>
      <c r="B261" s="142">
        <v>46077</v>
      </c>
      <c r="C261" s="142">
        <v>45952</v>
      </c>
      <c r="D261" s="3" t="s">
        <v>55</v>
      </c>
      <c r="E261" s="30">
        <v>46081</v>
      </c>
      <c r="F261" s="30">
        <v>46081</v>
      </c>
      <c r="G261" s="3" t="s">
        <v>55</v>
      </c>
      <c r="H261" s="3" t="s">
        <v>55</v>
      </c>
      <c r="I261" s="3" t="s">
        <v>55</v>
      </c>
      <c r="J261" s="3" t="s">
        <v>55</v>
      </c>
      <c r="K261" s="3" t="s">
        <v>55</v>
      </c>
      <c r="L261" s="3" t="s">
        <v>55</v>
      </c>
      <c r="M261" s="18" t="s">
        <v>55</v>
      </c>
      <c r="N261" s="30">
        <v>46086</v>
      </c>
      <c r="O261" s="28">
        <v>46087</v>
      </c>
      <c r="P261" s="28">
        <v>46090</v>
      </c>
      <c r="Q261" s="28">
        <v>46100</v>
      </c>
      <c r="R261" s="30">
        <v>46100</v>
      </c>
      <c r="S261" s="33">
        <f t="shared" si="14"/>
        <v>3</v>
      </c>
    </row>
    <row r="262" spans="1:19" x14ac:dyDescent="0.25">
      <c r="A262" s="403" t="str">
        <f t="shared" si="13"/>
        <v>45966459660000-00-000000-00-000000-00-000000-00-000000-00-000000-00-000000-00-000000-00-000000-00-000000-00-000000-00-000000-00-004607846084460853</v>
      </c>
      <c r="B262" s="142">
        <v>45966</v>
      </c>
      <c r="C262" s="142">
        <v>45966</v>
      </c>
      <c r="D262" s="3" t="s">
        <v>55</v>
      </c>
      <c r="E262" s="3" t="s">
        <v>55</v>
      </c>
      <c r="F262" s="3" t="s">
        <v>55</v>
      </c>
      <c r="G262" s="3" t="s">
        <v>55</v>
      </c>
      <c r="H262" s="3" t="s">
        <v>55</v>
      </c>
      <c r="I262" s="3" t="s">
        <v>55</v>
      </c>
      <c r="J262" s="3" t="s">
        <v>55</v>
      </c>
      <c r="K262" s="3" t="s">
        <v>55</v>
      </c>
      <c r="L262" s="3" t="s">
        <v>55</v>
      </c>
      <c r="M262" s="3" t="s">
        <v>55</v>
      </c>
      <c r="N262" s="28" t="s">
        <v>55</v>
      </c>
      <c r="O262" s="28" t="s">
        <v>55</v>
      </c>
      <c r="P262" s="28">
        <v>46078</v>
      </c>
      <c r="Q262" s="28">
        <v>46084</v>
      </c>
      <c r="R262" s="140">
        <v>46085</v>
      </c>
      <c r="S262" s="33">
        <v>3</v>
      </c>
    </row>
    <row r="263" spans="1:19" x14ac:dyDescent="0.25">
      <c r="A263" s="403" t="str">
        <f t="shared" si="13"/>
        <v>46048459650000-00-0046059460650000-00-000000-00-000000-00-000000-00-000000-00-000000-00-000000-00-0046073460734607646080460833</v>
      </c>
      <c r="B263" s="142">
        <v>46048</v>
      </c>
      <c r="C263" s="142">
        <v>45965</v>
      </c>
      <c r="D263" s="2" t="s">
        <v>55</v>
      </c>
      <c r="E263" s="30">
        <v>46059</v>
      </c>
      <c r="F263" s="30">
        <v>46065</v>
      </c>
      <c r="G263" s="18" t="s">
        <v>55</v>
      </c>
      <c r="H263" s="18" t="s">
        <v>55</v>
      </c>
      <c r="I263" s="18" t="s">
        <v>55</v>
      </c>
      <c r="J263" s="18" t="s">
        <v>55</v>
      </c>
      <c r="K263" s="18" t="s">
        <v>55</v>
      </c>
      <c r="L263" s="18" t="s">
        <v>55</v>
      </c>
      <c r="M263" s="18" t="s">
        <v>55</v>
      </c>
      <c r="N263" s="28">
        <v>46073</v>
      </c>
      <c r="O263" s="28">
        <v>46073</v>
      </c>
      <c r="P263" s="28">
        <v>46076</v>
      </c>
      <c r="Q263" s="28">
        <v>46080</v>
      </c>
      <c r="R263" s="38">
        <v>46083</v>
      </c>
      <c r="S263" s="33">
        <f>MONTH(R263)</f>
        <v>3</v>
      </c>
    </row>
    <row r="264" spans="1:19" x14ac:dyDescent="0.25">
      <c r="A264" s="403" t="str">
        <f t="shared" si="13"/>
        <v>46048459670000-00-000000-00-000000-00-000000-00-000000-00-000000-00-000000-00-000000-00-000000-00-000000-00-0046052460714607246080460833</v>
      </c>
      <c r="B264" s="142">
        <v>46048</v>
      </c>
      <c r="C264" s="142">
        <v>45967</v>
      </c>
      <c r="D264" s="33" t="s">
        <v>55</v>
      </c>
      <c r="E264" s="142" t="s">
        <v>55</v>
      </c>
      <c r="F264" s="142" t="s">
        <v>55</v>
      </c>
      <c r="G264" s="33" t="s">
        <v>55</v>
      </c>
      <c r="H264" s="33" t="s">
        <v>55</v>
      </c>
      <c r="I264" s="33" t="s">
        <v>55</v>
      </c>
      <c r="J264" s="33" t="s">
        <v>55</v>
      </c>
      <c r="K264" s="33" t="s">
        <v>55</v>
      </c>
      <c r="L264" s="33" t="s">
        <v>55</v>
      </c>
      <c r="M264" s="33" t="s">
        <v>55</v>
      </c>
      <c r="N264" s="28">
        <v>46052</v>
      </c>
      <c r="O264" s="28">
        <v>46071</v>
      </c>
      <c r="P264" s="28">
        <v>46072</v>
      </c>
      <c r="Q264" s="28">
        <v>46080</v>
      </c>
      <c r="R264" s="38">
        <v>46083</v>
      </c>
      <c r="S264" s="33">
        <f>MONTH(R264)</f>
        <v>3</v>
      </c>
    </row>
    <row r="265" spans="1:19" x14ac:dyDescent="0.25">
      <c r="A265" s="403" t="str">
        <f t="shared" si="13"/>
        <v>45974459740000-00-0045986460064597445975459850000-00-000000-00-000000-00-004602446029460504605246079460833</v>
      </c>
      <c r="B265" s="142">
        <v>45974</v>
      </c>
      <c r="C265" s="142">
        <v>45974</v>
      </c>
      <c r="D265" s="18" t="s">
        <v>55</v>
      </c>
      <c r="E265" s="30">
        <v>45986</v>
      </c>
      <c r="F265" s="30">
        <v>46006</v>
      </c>
      <c r="G265" s="142">
        <v>45974</v>
      </c>
      <c r="H265" s="37">
        <v>45975</v>
      </c>
      <c r="I265" s="37">
        <v>45985</v>
      </c>
      <c r="J265" s="18" t="s">
        <v>55</v>
      </c>
      <c r="K265" s="18" t="s">
        <v>55</v>
      </c>
      <c r="L265" s="18" t="s">
        <v>55</v>
      </c>
      <c r="M265" s="37">
        <v>46024</v>
      </c>
      <c r="N265" s="28">
        <v>46029</v>
      </c>
      <c r="O265" s="28">
        <v>46050</v>
      </c>
      <c r="P265" s="28">
        <v>46052</v>
      </c>
      <c r="Q265" s="28">
        <v>46079</v>
      </c>
      <c r="R265" s="28">
        <v>46083</v>
      </c>
      <c r="S265" s="3">
        <v>3</v>
      </c>
    </row>
    <row r="266" spans="1:19" x14ac:dyDescent="0.25">
      <c r="A266" s="403" t="str">
        <f t="shared" si="13"/>
        <v>45980459800000-00-0046065460650000-00-000000-00-000000-00-000000-00-000000-00-000000-00-000000-00-0046073460734607346080460833</v>
      </c>
      <c r="B266" s="142">
        <v>45980</v>
      </c>
      <c r="C266" s="142">
        <v>45980</v>
      </c>
      <c r="D266" s="18" t="s">
        <v>55</v>
      </c>
      <c r="E266" s="30">
        <v>46065</v>
      </c>
      <c r="F266" s="30">
        <v>46065</v>
      </c>
      <c r="G266" s="18" t="s">
        <v>55</v>
      </c>
      <c r="H266" s="18" t="s">
        <v>55</v>
      </c>
      <c r="I266" s="18" t="s">
        <v>55</v>
      </c>
      <c r="J266" s="18" t="s">
        <v>55</v>
      </c>
      <c r="K266" s="18" t="s">
        <v>55</v>
      </c>
      <c r="L266" s="18" t="s">
        <v>55</v>
      </c>
      <c r="M266" s="18" t="s">
        <v>55</v>
      </c>
      <c r="N266" s="30">
        <v>46073</v>
      </c>
      <c r="O266" s="30">
        <v>46073</v>
      </c>
      <c r="P266" s="30">
        <v>46073</v>
      </c>
      <c r="Q266" s="28">
        <v>46080</v>
      </c>
      <c r="R266" s="37">
        <v>46083</v>
      </c>
      <c r="S266" s="33">
        <f t="shared" ref="S266:S284" si="15">MONTH(R266)</f>
        <v>3</v>
      </c>
    </row>
    <row r="267" spans="1:19" x14ac:dyDescent="0.25">
      <c r="A267" s="403" t="str">
        <f t="shared" si="13"/>
        <v>46064459800000-00-0046069460690000-00-000000-00-000000-00-000000-00-000000-00-000000-00-000000-00-0046072460724607246080460833</v>
      </c>
      <c r="B267" s="142">
        <v>46064</v>
      </c>
      <c r="C267" s="142">
        <v>45980</v>
      </c>
      <c r="D267" s="18" t="s">
        <v>55</v>
      </c>
      <c r="E267" s="30">
        <v>46069</v>
      </c>
      <c r="F267" s="30">
        <v>46069</v>
      </c>
      <c r="G267" s="18" t="s">
        <v>55</v>
      </c>
      <c r="H267" s="18" t="s">
        <v>55</v>
      </c>
      <c r="I267" s="18" t="s">
        <v>55</v>
      </c>
      <c r="J267" s="18" t="s">
        <v>55</v>
      </c>
      <c r="K267" s="18" t="s">
        <v>55</v>
      </c>
      <c r="L267" s="18" t="s">
        <v>55</v>
      </c>
      <c r="M267" s="18" t="s">
        <v>55</v>
      </c>
      <c r="N267" s="30">
        <v>46072</v>
      </c>
      <c r="O267" s="30">
        <v>46072</v>
      </c>
      <c r="P267" s="28">
        <v>46072</v>
      </c>
      <c r="Q267" s="28">
        <v>46080</v>
      </c>
      <c r="R267" s="37">
        <v>46083</v>
      </c>
      <c r="S267" s="33">
        <f t="shared" si="15"/>
        <v>3</v>
      </c>
    </row>
    <row r="268" spans="1:19" x14ac:dyDescent="0.25">
      <c r="A268" s="403" t="str">
        <f t="shared" si="13"/>
        <v>46020459890000-00-0046066460660000-00-000000-00-000000-00-000000-00-000000-00-000000-00-000000-00-0046071460714607246083460833</v>
      </c>
      <c r="B268" s="142">
        <v>46020</v>
      </c>
      <c r="C268" s="142">
        <v>45989</v>
      </c>
      <c r="D268" s="3" t="s">
        <v>55</v>
      </c>
      <c r="E268" s="30">
        <v>46066</v>
      </c>
      <c r="F268" s="30">
        <v>46066</v>
      </c>
      <c r="G268" s="3" t="s">
        <v>55</v>
      </c>
      <c r="H268" s="3" t="s">
        <v>55</v>
      </c>
      <c r="I268" s="3" t="s">
        <v>55</v>
      </c>
      <c r="J268" s="3" t="s">
        <v>55</v>
      </c>
      <c r="K268" s="3" t="s">
        <v>55</v>
      </c>
      <c r="L268" s="3" t="s">
        <v>55</v>
      </c>
      <c r="M268" s="18" t="s">
        <v>55</v>
      </c>
      <c r="N268" s="30">
        <v>46071</v>
      </c>
      <c r="O268" s="28">
        <v>46071</v>
      </c>
      <c r="P268" s="28">
        <v>46072</v>
      </c>
      <c r="Q268" s="28">
        <v>46083</v>
      </c>
      <c r="R268" s="37">
        <v>46083</v>
      </c>
      <c r="S268" s="33">
        <f t="shared" si="15"/>
        <v>3</v>
      </c>
    </row>
    <row r="269" spans="1:19" x14ac:dyDescent="0.25">
      <c r="A269" s="403" t="str">
        <f t="shared" si="13"/>
        <v>45994459940000-00-0046056460560000-00-000000-00-000000-00-000000-00-000000-00-000000-00-000000-00-0046076460764607846084460853</v>
      </c>
      <c r="B269" s="142">
        <v>45994</v>
      </c>
      <c r="C269" s="142">
        <v>45994</v>
      </c>
      <c r="D269" s="3" t="s">
        <v>55</v>
      </c>
      <c r="E269" s="73">
        <v>46056</v>
      </c>
      <c r="F269" s="73">
        <v>46056</v>
      </c>
      <c r="G269" s="3" t="s">
        <v>55</v>
      </c>
      <c r="H269" s="3" t="s">
        <v>55</v>
      </c>
      <c r="I269" s="3" t="s">
        <v>55</v>
      </c>
      <c r="J269" s="3" t="s">
        <v>55</v>
      </c>
      <c r="K269" s="3" t="s">
        <v>55</v>
      </c>
      <c r="L269" s="3" t="s">
        <v>55</v>
      </c>
      <c r="M269" s="3" t="s">
        <v>55</v>
      </c>
      <c r="N269" s="28">
        <v>46076</v>
      </c>
      <c r="O269" s="28">
        <v>46076</v>
      </c>
      <c r="P269" s="28">
        <v>46078</v>
      </c>
      <c r="Q269" s="28">
        <v>46084</v>
      </c>
      <c r="R269" s="140">
        <v>46085</v>
      </c>
      <c r="S269" s="33">
        <f t="shared" si="15"/>
        <v>3</v>
      </c>
    </row>
    <row r="270" spans="1:19" x14ac:dyDescent="0.25">
      <c r="A270" s="403" t="str">
        <f t="shared" si="13"/>
        <v>45993460150000-00-0046071460710000-00-000000-00-000000-00-000000-00-000000-00-000000-00-000000-00-0046083460834608346091460933</v>
      </c>
      <c r="B270" s="142">
        <v>45993</v>
      </c>
      <c r="C270" s="142">
        <v>46015</v>
      </c>
      <c r="D270" s="2" t="s">
        <v>55</v>
      </c>
      <c r="E270" s="104">
        <v>46071</v>
      </c>
      <c r="F270" s="104">
        <v>46071</v>
      </c>
      <c r="G270" s="2" t="s">
        <v>55</v>
      </c>
      <c r="H270" s="2" t="s">
        <v>55</v>
      </c>
      <c r="I270" s="2" t="s">
        <v>55</v>
      </c>
      <c r="J270" s="2" t="s">
        <v>55</v>
      </c>
      <c r="K270" s="2" t="s">
        <v>55</v>
      </c>
      <c r="L270" s="2" t="s">
        <v>55</v>
      </c>
      <c r="M270" s="2" t="s">
        <v>55</v>
      </c>
      <c r="N270" s="44">
        <v>46083</v>
      </c>
      <c r="O270" s="44">
        <v>46083</v>
      </c>
      <c r="P270" s="44">
        <v>46083</v>
      </c>
      <c r="Q270" s="28">
        <v>46091</v>
      </c>
      <c r="R270" s="104">
        <v>46093</v>
      </c>
      <c r="S270" s="33">
        <f t="shared" si="15"/>
        <v>3</v>
      </c>
    </row>
    <row r="271" spans="1:19" x14ac:dyDescent="0.25">
      <c r="A271" s="403" t="str">
        <f t="shared" si="13"/>
        <v>46000460000000-00-0046007460710000-00-000000-00-000000-00-000000-00-000000-00-000000-00-000000-00-0046073460734607346080460833</v>
      </c>
      <c r="B271" s="142">
        <v>46000</v>
      </c>
      <c r="C271" s="142">
        <v>46000</v>
      </c>
      <c r="D271" s="3" t="s">
        <v>55</v>
      </c>
      <c r="E271" s="153">
        <v>46007</v>
      </c>
      <c r="F271" s="104">
        <v>46071</v>
      </c>
      <c r="G271" s="3" t="s">
        <v>55</v>
      </c>
      <c r="H271" s="3" t="s">
        <v>55</v>
      </c>
      <c r="I271" s="3" t="s">
        <v>55</v>
      </c>
      <c r="J271" s="3" t="s">
        <v>55</v>
      </c>
      <c r="K271" s="3" t="s">
        <v>55</v>
      </c>
      <c r="L271" s="3" t="s">
        <v>55</v>
      </c>
      <c r="M271" s="3" t="s">
        <v>55</v>
      </c>
      <c r="N271" s="30">
        <v>46073</v>
      </c>
      <c r="O271" s="30">
        <v>46073</v>
      </c>
      <c r="P271" s="30">
        <v>46073</v>
      </c>
      <c r="Q271" s="28">
        <v>46080</v>
      </c>
      <c r="R271" s="37">
        <v>46083</v>
      </c>
      <c r="S271" s="33">
        <f t="shared" si="15"/>
        <v>3</v>
      </c>
    </row>
    <row r="272" spans="1:19" x14ac:dyDescent="0.25">
      <c r="A272" s="403" t="str">
        <f t="shared" si="13"/>
        <v>46002460020000-00-0046050460500000-00-000000-00-000000-00-000000-00-000000-00-000000-00-000000-00-0046071460764607746083460833</v>
      </c>
      <c r="B272" s="142">
        <v>46002</v>
      </c>
      <c r="C272" s="142">
        <v>46002</v>
      </c>
      <c r="D272" s="3" t="s">
        <v>55</v>
      </c>
      <c r="E272" s="30">
        <v>46050</v>
      </c>
      <c r="F272" s="30">
        <v>46050</v>
      </c>
      <c r="G272" s="3" t="s">
        <v>55</v>
      </c>
      <c r="H272" s="3" t="s">
        <v>55</v>
      </c>
      <c r="I272" s="3" t="s">
        <v>55</v>
      </c>
      <c r="J272" s="3" t="s">
        <v>55</v>
      </c>
      <c r="K272" s="3" t="s">
        <v>55</v>
      </c>
      <c r="L272" s="3" t="s">
        <v>55</v>
      </c>
      <c r="M272" s="18" t="s">
        <v>55</v>
      </c>
      <c r="N272" s="30">
        <v>46071</v>
      </c>
      <c r="O272" s="28">
        <v>46076</v>
      </c>
      <c r="P272" s="28">
        <v>46077</v>
      </c>
      <c r="Q272" s="28">
        <v>46083</v>
      </c>
      <c r="R272" s="37">
        <v>46083</v>
      </c>
      <c r="S272" s="33">
        <f t="shared" si="15"/>
        <v>3</v>
      </c>
    </row>
    <row r="273" spans="1:19" x14ac:dyDescent="0.25">
      <c r="A273" s="403" t="str">
        <f t="shared" si="13"/>
        <v>46003460030000-00-0046059460590000-00-000000-00-000000-00-000000-00-000000-00-000000-00-000000-00-0046072460724607346083460833</v>
      </c>
      <c r="B273" s="142">
        <v>46003</v>
      </c>
      <c r="C273" s="142">
        <v>46003</v>
      </c>
      <c r="D273" s="3" t="s">
        <v>55</v>
      </c>
      <c r="E273" s="30">
        <v>46059</v>
      </c>
      <c r="F273" s="30">
        <v>46059</v>
      </c>
      <c r="G273" s="3" t="s">
        <v>55</v>
      </c>
      <c r="H273" s="3" t="s">
        <v>55</v>
      </c>
      <c r="I273" s="3" t="s">
        <v>55</v>
      </c>
      <c r="J273" s="3" t="s">
        <v>55</v>
      </c>
      <c r="K273" s="3" t="s">
        <v>55</v>
      </c>
      <c r="L273" s="3" t="s">
        <v>55</v>
      </c>
      <c r="M273" s="18" t="s">
        <v>55</v>
      </c>
      <c r="N273" s="30">
        <v>46072</v>
      </c>
      <c r="O273" s="30">
        <v>46072</v>
      </c>
      <c r="P273" s="28">
        <v>46073</v>
      </c>
      <c r="Q273" s="28">
        <v>46083</v>
      </c>
      <c r="R273" s="37">
        <v>46083</v>
      </c>
      <c r="S273" s="33">
        <f t="shared" si="15"/>
        <v>3</v>
      </c>
    </row>
    <row r="274" spans="1:19" x14ac:dyDescent="0.25">
      <c r="A274" s="403" t="str">
        <f t="shared" si="13"/>
        <v>46021460060000-00-0046058460580000-00-000000-00-000000-00-000000-00-000000-00-000000-00-000000-00-0046073460734607346087460903</v>
      </c>
      <c r="B274" s="142">
        <v>46021</v>
      </c>
      <c r="C274" s="142">
        <v>46006</v>
      </c>
      <c r="D274" s="2" t="s">
        <v>55</v>
      </c>
      <c r="E274" s="142">
        <v>46058</v>
      </c>
      <c r="F274" s="142">
        <v>46058</v>
      </c>
      <c r="G274" s="18" t="s">
        <v>55</v>
      </c>
      <c r="H274" s="18" t="s">
        <v>55</v>
      </c>
      <c r="I274" s="18" t="s">
        <v>55</v>
      </c>
      <c r="J274" s="18" t="s">
        <v>55</v>
      </c>
      <c r="K274" s="18" t="s">
        <v>55</v>
      </c>
      <c r="L274" s="18" t="s">
        <v>55</v>
      </c>
      <c r="M274" s="18" t="s">
        <v>55</v>
      </c>
      <c r="N274" s="28">
        <v>46073</v>
      </c>
      <c r="O274" s="28">
        <v>46073</v>
      </c>
      <c r="P274" s="28">
        <v>46073</v>
      </c>
      <c r="Q274" s="28">
        <v>46087</v>
      </c>
      <c r="R274" s="28">
        <v>46090</v>
      </c>
      <c r="S274" s="33">
        <f t="shared" si="15"/>
        <v>3</v>
      </c>
    </row>
    <row r="275" spans="1:19" x14ac:dyDescent="0.25">
      <c r="A275" s="403" t="str">
        <f t="shared" si="13"/>
        <v>46055460060000-00-000000-00-000000-00-000000-00-000000-00-000000-00-000000-00-000000-00-000000-00-000000-00-0046297460714608746101461063</v>
      </c>
      <c r="B275" s="142">
        <v>46055</v>
      </c>
      <c r="C275" s="142">
        <v>46006</v>
      </c>
      <c r="D275" s="33" t="s">
        <v>55</v>
      </c>
      <c r="E275" s="142" t="s">
        <v>55</v>
      </c>
      <c r="F275" s="142" t="s">
        <v>55</v>
      </c>
      <c r="G275" s="33" t="s">
        <v>55</v>
      </c>
      <c r="H275" s="33" t="s">
        <v>55</v>
      </c>
      <c r="I275" s="33" t="s">
        <v>55</v>
      </c>
      <c r="J275" s="33" t="s">
        <v>55</v>
      </c>
      <c r="K275" s="33" t="s">
        <v>55</v>
      </c>
      <c r="L275" s="33" t="s">
        <v>55</v>
      </c>
      <c r="M275" s="33" t="s">
        <v>55</v>
      </c>
      <c r="N275" s="28">
        <v>46297</v>
      </c>
      <c r="O275" s="28">
        <v>46071</v>
      </c>
      <c r="P275" s="154">
        <v>46087</v>
      </c>
      <c r="Q275" s="28">
        <v>46101</v>
      </c>
      <c r="R275" s="140">
        <v>46106</v>
      </c>
      <c r="S275" s="33">
        <f t="shared" si="15"/>
        <v>3</v>
      </c>
    </row>
    <row r="276" spans="1:19" x14ac:dyDescent="0.25">
      <c r="A276" s="403" t="str">
        <f t="shared" si="13"/>
        <v>46008460080000-00-0046015460200000-00-000000-00-000000-00-000000-00-000000-00-000000-00-000000-00-0046063460664606646080460833</v>
      </c>
      <c r="B276" s="142">
        <v>46008</v>
      </c>
      <c r="C276" s="142">
        <v>46008</v>
      </c>
      <c r="D276" s="3" t="s">
        <v>55</v>
      </c>
      <c r="E276" s="155">
        <v>46015</v>
      </c>
      <c r="F276" s="155">
        <v>46020</v>
      </c>
      <c r="G276" s="3" t="s">
        <v>55</v>
      </c>
      <c r="H276" s="3" t="s">
        <v>55</v>
      </c>
      <c r="I276" s="3" t="s">
        <v>55</v>
      </c>
      <c r="J276" s="3" t="s">
        <v>55</v>
      </c>
      <c r="K276" s="3" t="s">
        <v>55</v>
      </c>
      <c r="L276" s="3" t="s">
        <v>55</v>
      </c>
      <c r="M276" s="3" t="s">
        <v>55</v>
      </c>
      <c r="N276" s="28">
        <v>46063</v>
      </c>
      <c r="O276" s="28">
        <v>46066</v>
      </c>
      <c r="P276" s="28">
        <v>46066</v>
      </c>
      <c r="Q276" s="28">
        <v>46080</v>
      </c>
      <c r="R276" s="38">
        <v>46083</v>
      </c>
      <c r="S276" s="33">
        <f t="shared" si="15"/>
        <v>3</v>
      </c>
    </row>
    <row r="277" spans="1:19" x14ac:dyDescent="0.25">
      <c r="A277" s="403" t="str">
        <f t="shared" si="13"/>
        <v>46008460080000-00-0046014460150000-00-000000-00-000000-00-000000-00-000000-00-000000-00-000000-00-0046071460714607146080460833</v>
      </c>
      <c r="B277" s="142">
        <v>46008</v>
      </c>
      <c r="C277" s="142">
        <v>46008</v>
      </c>
      <c r="D277" s="3" t="s">
        <v>55</v>
      </c>
      <c r="E277" s="147">
        <v>46014</v>
      </c>
      <c r="F277" s="147">
        <v>46015</v>
      </c>
      <c r="G277" s="3" t="s">
        <v>55</v>
      </c>
      <c r="H277" s="3" t="s">
        <v>55</v>
      </c>
      <c r="I277" s="3" t="s">
        <v>55</v>
      </c>
      <c r="J277" s="3" t="s">
        <v>55</v>
      </c>
      <c r="K277" s="3" t="s">
        <v>55</v>
      </c>
      <c r="L277" s="3" t="s">
        <v>55</v>
      </c>
      <c r="M277" s="3" t="s">
        <v>55</v>
      </c>
      <c r="N277" s="28">
        <v>46071</v>
      </c>
      <c r="O277" s="28">
        <v>46071</v>
      </c>
      <c r="P277" s="28">
        <v>46071</v>
      </c>
      <c r="Q277" s="28">
        <v>46080</v>
      </c>
      <c r="R277" s="38">
        <v>46083</v>
      </c>
      <c r="S277" s="33">
        <f t="shared" si="15"/>
        <v>3</v>
      </c>
    </row>
    <row r="278" spans="1:19" x14ac:dyDescent="0.25">
      <c r="A278" s="403" t="str">
        <f t="shared" si="13"/>
        <v>46092460070000-00-000000-00-000000-00-000000-00-000000-00-000000-00-000000-00-000000-00-000000-00-000000-00-0046097460974609746105461063</v>
      </c>
      <c r="B278" s="142">
        <v>46092</v>
      </c>
      <c r="C278" s="142">
        <v>46007</v>
      </c>
      <c r="D278" s="18" t="s">
        <v>55</v>
      </c>
      <c r="E278" s="2" t="s">
        <v>55</v>
      </c>
      <c r="F278" s="2" t="s">
        <v>55</v>
      </c>
      <c r="G278" s="18" t="s">
        <v>55</v>
      </c>
      <c r="H278" s="18" t="s">
        <v>55</v>
      </c>
      <c r="I278" s="18" t="s">
        <v>55</v>
      </c>
      <c r="J278" s="18" t="s">
        <v>55</v>
      </c>
      <c r="K278" s="18" t="s">
        <v>55</v>
      </c>
      <c r="L278" s="18" t="s">
        <v>55</v>
      </c>
      <c r="M278" s="18" t="s">
        <v>55</v>
      </c>
      <c r="N278" s="28">
        <v>46097</v>
      </c>
      <c r="O278" s="28">
        <v>46097</v>
      </c>
      <c r="P278" s="28">
        <v>46097</v>
      </c>
      <c r="Q278" s="28">
        <v>46105</v>
      </c>
      <c r="R278" s="140">
        <v>46106</v>
      </c>
      <c r="S278" s="33">
        <f t="shared" si="15"/>
        <v>3</v>
      </c>
    </row>
    <row r="279" spans="1:19" x14ac:dyDescent="0.25">
      <c r="A279" s="403" t="str">
        <f t="shared" si="13"/>
        <v>46008460070000-00-0046048460490000-00-000000-00-000000-00-000000-00-000000-00-000000-00-000000-00-0046073460734607346080460833</v>
      </c>
      <c r="B279" s="142">
        <v>46008</v>
      </c>
      <c r="C279" s="142">
        <v>46007</v>
      </c>
      <c r="D279" s="2" t="s">
        <v>55</v>
      </c>
      <c r="E279" s="37">
        <v>46048</v>
      </c>
      <c r="F279" s="37">
        <v>46049</v>
      </c>
      <c r="G279" s="18" t="s">
        <v>55</v>
      </c>
      <c r="H279" s="18" t="s">
        <v>55</v>
      </c>
      <c r="I279" s="18" t="s">
        <v>55</v>
      </c>
      <c r="J279" s="18" t="s">
        <v>55</v>
      </c>
      <c r="K279" s="18" t="s">
        <v>55</v>
      </c>
      <c r="L279" s="18" t="s">
        <v>55</v>
      </c>
      <c r="M279" s="18" t="s">
        <v>55</v>
      </c>
      <c r="N279" s="28">
        <v>46073</v>
      </c>
      <c r="O279" s="28">
        <v>46073</v>
      </c>
      <c r="P279" s="28">
        <v>46073</v>
      </c>
      <c r="Q279" s="28">
        <v>46080</v>
      </c>
      <c r="R279" s="38">
        <v>46083</v>
      </c>
      <c r="S279" s="33">
        <f t="shared" si="15"/>
        <v>3</v>
      </c>
    </row>
    <row r="280" spans="1:19" x14ac:dyDescent="0.25">
      <c r="A280" s="403" t="str">
        <f t="shared" si="13"/>
        <v>46010460090000-00-0046017460630000-00-000000-00-000000-00-000000-00-000000-00-000000-00-000000-00-0046070460704607346080460833</v>
      </c>
      <c r="B280" s="142">
        <v>46010</v>
      </c>
      <c r="C280" s="142">
        <v>46009</v>
      </c>
      <c r="D280" s="2" t="s">
        <v>55</v>
      </c>
      <c r="E280" s="30">
        <v>46017</v>
      </c>
      <c r="F280" s="30">
        <v>46063</v>
      </c>
      <c r="G280" s="18" t="s">
        <v>55</v>
      </c>
      <c r="H280" s="18" t="s">
        <v>55</v>
      </c>
      <c r="I280" s="18" t="s">
        <v>55</v>
      </c>
      <c r="J280" s="18" t="s">
        <v>55</v>
      </c>
      <c r="K280" s="18" t="s">
        <v>55</v>
      </c>
      <c r="L280" s="18" t="s">
        <v>55</v>
      </c>
      <c r="M280" s="18" t="s">
        <v>55</v>
      </c>
      <c r="N280" s="28">
        <v>46070</v>
      </c>
      <c r="O280" s="28">
        <v>46070</v>
      </c>
      <c r="P280" s="28">
        <v>46073</v>
      </c>
      <c r="Q280" s="28">
        <v>46080</v>
      </c>
      <c r="R280" s="38">
        <v>46083</v>
      </c>
      <c r="S280" s="33">
        <f t="shared" si="15"/>
        <v>3</v>
      </c>
    </row>
    <row r="281" spans="1:19" x14ac:dyDescent="0.25">
      <c r="A281" s="403" t="str">
        <f t="shared" si="13"/>
        <v>46015460150000-00-0046057460570000-00-000000-00-000000-00-000000-00-000000-00-000000-00-000000-00-0046072460734607346080460833</v>
      </c>
      <c r="B281" s="142">
        <v>46015</v>
      </c>
      <c r="C281" s="142">
        <v>46015</v>
      </c>
      <c r="D281" s="2" t="s">
        <v>55</v>
      </c>
      <c r="E281" s="104">
        <v>46057</v>
      </c>
      <c r="F281" s="104">
        <v>46057</v>
      </c>
      <c r="G281" s="2" t="s">
        <v>55</v>
      </c>
      <c r="H281" s="2" t="s">
        <v>55</v>
      </c>
      <c r="I281" s="2" t="s">
        <v>55</v>
      </c>
      <c r="J281" s="2" t="s">
        <v>55</v>
      </c>
      <c r="K281" s="2" t="s">
        <v>55</v>
      </c>
      <c r="L281" s="2" t="s">
        <v>55</v>
      </c>
      <c r="M281" s="2" t="s">
        <v>55</v>
      </c>
      <c r="N281" s="30">
        <v>46072</v>
      </c>
      <c r="O281" s="30">
        <v>46073</v>
      </c>
      <c r="P281" s="30">
        <v>46073</v>
      </c>
      <c r="Q281" s="28">
        <v>46080</v>
      </c>
      <c r="R281" s="37">
        <v>46083</v>
      </c>
      <c r="S281" s="33">
        <f t="shared" si="15"/>
        <v>3</v>
      </c>
    </row>
    <row r="282" spans="1:19" x14ac:dyDescent="0.25">
      <c r="A282" s="403" t="str">
        <f t="shared" si="13"/>
        <v>46044460090000-00-0046048460480000-00-000000-00-000000-00-000000-00-000000-00-000000-00-000000-00-0046073460734607346087460903</v>
      </c>
      <c r="B282" s="142">
        <v>46044</v>
      </c>
      <c r="C282" s="142">
        <v>46009</v>
      </c>
      <c r="D282" s="2" t="s">
        <v>55</v>
      </c>
      <c r="E282" s="142">
        <v>46048</v>
      </c>
      <c r="F282" s="142">
        <v>46048</v>
      </c>
      <c r="G282" s="18" t="s">
        <v>55</v>
      </c>
      <c r="H282" s="18" t="s">
        <v>55</v>
      </c>
      <c r="I282" s="18" t="s">
        <v>55</v>
      </c>
      <c r="J282" s="18" t="s">
        <v>55</v>
      </c>
      <c r="K282" s="18" t="s">
        <v>55</v>
      </c>
      <c r="L282" s="18" t="s">
        <v>55</v>
      </c>
      <c r="M282" s="18" t="s">
        <v>55</v>
      </c>
      <c r="N282" s="28">
        <v>46073</v>
      </c>
      <c r="O282" s="28">
        <v>46073</v>
      </c>
      <c r="P282" s="28">
        <v>46073</v>
      </c>
      <c r="Q282" s="28">
        <v>46087</v>
      </c>
      <c r="R282" s="28">
        <v>46090</v>
      </c>
      <c r="S282" s="33">
        <f t="shared" si="15"/>
        <v>3</v>
      </c>
    </row>
    <row r="283" spans="1:19" x14ac:dyDescent="0.25">
      <c r="A283" s="403" t="str">
        <f t="shared" si="13"/>
        <v>46009460090000-00-0046058460580000-00-000000-00-000000-00-000000-00-000000-00-000000-00-000000-00-0046073460734607346087460903</v>
      </c>
      <c r="B283" s="142">
        <v>46009</v>
      </c>
      <c r="C283" s="142">
        <v>46009</v>
      </c>
      <c r="D283" s="2" t="s">
        <v>55</v>
      </c>
      <c r="E283" s="37">
        <v>46058</v>
      </c>
      <c r="F283" s="37">
        <v>46058</v>
      </c>
      <c r="G283" s="18" t="s">
        <v>55</v>
      </c>
      <c r="H283" s="18" t="s">
        <v>55</v>
      </c>
      <c r="I283" s="18" t="s">
        <v>55</v>
      </c>
      <c r="J283" s="18" t="s">
        <v>55</v>
      </c>
      <c r="K283" s="18" t="s">
        <v>55</v>
      </c>
      <c r="L283" s="18" t="s">
        <v>55</v>
      </c>
      <c r="M283" s="18" t="s">
        <v>55</v>
      </c>
      <c r="N283" s="28">
        <v>46073</v>
      </c>
      <c r="O283" s="28">
        <v>46073</v>
      </c>
      <c r="P283" s="28">
        <v>46073</v>
      </c>
      <c r="Q283" s="28">
        <v>46087</v>
      </c>
      <c r="R283" s="28">
        <v>46090</v>
      </c>
      <c r="S283" s="33">
        <f t="shared" si="15"/>
        <v>3</v>
      </c>
    </row>
    <row r="284" spans="1:19" x14ac:dyDescent="0.25">
      <c r="A284" s="403" t="str">
        <f t="shared" si="13"/>
        <v>46036460100000-00-000000-00-000000-00-000000-00-000000-00-000000-00-000000-00-000000-00-000000-00-000000-00-0046041460770000-00-0046112461123</v>
      </c>
      <c r="B284" s="142">
        <v>46036</v>
      </c>
      <c r="C284" s="142">
        <v>46010</v>
      </c>
      <c r="D284" s="33" t="s">
        <v>55</v>
      </c>
      <c r="E284" s="142" t="s">
        <v>55</v>
      </c>
      <c r="F284" s="142" t="s">
        <v>55</v>
      </c>
      <c r="G284" s="33" t="s">
        <v>55</v>
      </c>
      <c r="H284" s="33" t="s">
        <v>55</v>
      </c>
      <c r="I284" s="33" t="s">
        <v>55</v>
      </c>
      <c r="J284" s="33" t="s">
        <v>55</v>
      </c>
      <c r="K284" s="33" t="s">
        <v>55</v>
      </c>
      <c r="L284" s="33" t="s">
        <v>55</v>
      </c>
      <c r="M284" s="33" t="s">
        <v>55</v>
      </c>
      <c r="N284" s="28">
        <v>46041</v>
      </c>
      <c r="O284" s="28">
        <v>46077</v>
      </c>
      <c r="P284" s="28" t="s">
        <v>55</v>
      </c>
      <c r="Q284" s="148">
        <v>46112</v>
      </c>
      <c r="R284" s="148">
        <v>46112</v>
      </c>
      <c r="S284" s="33">
        <f t="shared" si="15"/>
        <v>3</v>
      </c>
    </row>
    <row r="285" spans="1:19" x14ac:dyDescent="0.25">
      <c r="A285" s="403" t="str">
        <f t="shared" si="13"/>
        <v>46083460130000-00-000000-00-000000-00-000000-00-000000-00-000000-00-000000-00-000000-00-000000-00-000000-00-0046087460900000-00-0046090460903</v>
      </c>
      <c r="B285" s="142">
        <v>46083</v>
      </c>
      <c r="C285" s="142">
        <v>46013</v>
      </c>
      <c r="D285" s="33" t="s">
        <v>55</v>
      </c>
      <c r="E285" s="142" t="s">
        <v>55</v>
      </c>
      <c r="F285" s="142" t="s">
        <v>55</v>
      </c>
      <c r="G285" s="33" t="s">
        <v>55</v>
      </c>
      <c r="H285" s="33" t="s">
        <v>55</v>
      </c>
      <c r="I285" s="33" t="s">
        <v>55</v>
      </c>
      <c r="J285" s="33" t="s">
        <v>55</v>
      </c>
      <c r="K285" s="33" t="s">
        <v>55</v>
      </c>
      <c r="L285" s="33" t="s">
        <v>55</v>
      </c>
      <c r="M285" s="33" t="s">
        <v>55</v>
      </c>
      <c r="N285" s="28">
        <v>46087</v>
      </c>
      <c r="O285" s="28">
        <v>46090</v>
      </c>
      <c r="P285" s="28" t="s">
        <v>55</v>
      </c>
      <c r="Q285" s="28">
        <v>46090</v>
      </c>
      <c r="R285" s="28">
        <v>46090</v>
      </c>
      <c r="S285" s="33">
        <v>3</v>
      </c>
    </row>
    <row r="286" spans="1:19" x14ac:dyDescent="0.25">
      <c r="A286" s="403" t="str">
        <f t="shared" si="13"/>
        <v>46013460130000-00-0046083460840000-00-000000-00-000000-00-000000-00-000000-00-000000-00-000000-00-0046091460914609746101461063</v>
      </c>
      <c r="B286" s="142">
        <v>46013</v>
      </c>
      <c r="C286" s="142">
        <v>46013</v>
      </c>
      <c r="D286" s="3" t="s">
        <v>55</v>
      </c>
      <c r="E286" s="73">
        <v>46083</v>
      </c>
      <c r="F286" s="73">
        <v>46084</v>
      </c>
      <c r="G286" s="3" t="s">
        <v>55</v>
      </c>
      <c r="H286" s="3" t="s">
        <v>55</v>
      </c>
      <c r="I286" s="3" t="s">
        <v>55</v>
      </c>
      <c r="J286" s="3" t="s">
        <v>55</v>
      </c>
      <c r="K286" s="3" t="s">
        <v>55</v>
      </c>
      <c r="L286" s="3" t="s">
        <v>55</v>
      </c>
      <c r="M286" s="3" t="s">
        <v>55</v>
      </c>
      <c r="N286" s="28">
        <v>46091</v>
      </c>
      <c r="O286" s="28">
        <v>46091</v>
      </c>
      <c r="P286" s="28">
        <v>46097</v>
      </c>
      <c r="Q286" s="28">
        <v>46101</v>
      </c>
      <c r="R286" s="140">
        <v>46106</v>
      </c>
      <c r="S286" s="33">
        <f>MONTH(R286)</f>
        <v>3</v>
      </c>
    </row>
    <row r="287" spans="1:19" x14ac:dyDescent="0.25">
      <c r="A287" s="403" t="str">
        <f t="shared" si="13"/>
        <v>46077460140000-00-000000-00-000000-00-000000-00-000000-00-000000-00-000000-00-000000-00-000000-00-000000-00-0046083460864608646098461063</v>
      </c>
      <c r="B287" s="142">
        <v>46077</v>
      </c>
      <c r="C287" s="142">
        <v>46014</v>
      </c>
      <c r="D287" s="3" t="s">
        <v>55</v>
      </c>
      <c r="E287" s="155" t="s">
        <v>55</v>
      </c>
      <c r="F287" s="155" t="s">
        <v>55</v>
      </c>
      <c r="G287" s="3" t="s">
        <v>55</v>
      </c>
      <c r="H287" s="3" t="s">
        <v>55</v>
      </c>
      <c r="I287" s="3" t="s">
        <v>55</v>
      </c>
      <c r="J287" s="3" t="s">
        <v>55</v>
      </c>
      <c r="K287" s="3" t="s">
        <v>55</v>
      </c>
      <c r="L287" s="3" t="s">
        <v>55</v>
      </c>
      <c r="M287" s="3" t="s">
        <v>55</v>
      </c>
      <c r="N287" s="28">
        <v>46083</v>
      </c>
      <c r="O287" s="28">
        <v>46086</v>
      </c>
      <c r="P287" s="28">
        <v>46086</v>
      </c>
      <c r="Q287" s="28">
        <v>46098</v>
      </c>
      <c r="R287" s="140">
        <v>46106</v>
      </c>
      <c r="S287" s="33">
        <f>MONTH(R287)</f>
        <v>3</v>
      </c>
    </row>
    <row r="288" spans="1:19" x14ac:dyDescent="0.25">
      <c r="A288" s="403" t="str">
        <f t="shared" si="13"/>
        <v>46015460150000-00-0046027460280000-00-000000-00-000000-00-000000-00-000000-00-000000-00-000000-00-0046059460774607846091460933</v>
      </c>
      <c r="B288" s="142">
        <v>46015</v>
      </c>
      <c r="C288" s="142">
        <v>46015</v>
      </c>
      <c r="D288" s="33" t="s">
        <v>55</v>
      </c>
      <c r="E288" s="142">
        <v>46027</v>
      </c>
      <c r="F288" s="142">
        <v>46028</v>
      </c>
      <c r="G288" s="33" t="s">
        <v>55</v>
      </c>
      <c r="H288" s="33" t="s">
        <v>55</v>
      </c>
      <c r="I288" s="33" t="s">
        <v>55</v>
      </c>
      <c r="J288" s="33" t="s">
        <v>55</v>
      </c>
      <c r="K288" s="33" t="s">
        <v>55</v>
      </c>
      <c r="L288" s="33" t="s">
        <v>55</v>
      </c>
      <c r="M288" s="33" t="s">
        <v>55</v>
      </c>
      <c r="N288" s="28">
        <v>46059</v>
      </c>
      <c r="O288" s="28">
        <v>46077</v>
      </c>
      <c r="P288" s="28">
        <v>46078</v>
      </c>
      <c r="Q288" s="28">
        <v>46091</v>
      </c>
      <c r="R288" s="140">
        <v>46093</v>
      </c>
      <c r="S288" s="33">
        <f>MONTH(R288)</f>
        <v>3</v>
      </c>
    </row>
    <row r="289" spans="1:19" x14ac:dyDescent="0.25">
      <c r="A289" s="403" t="str">
        <f t="shared" si="13"/>
        <v>46021460210000-00-0046059460590000-00-000000-00-000000-00-000000-00-000000-00-000000-00-000000-00-0046087460964609646106461063</v>
      </c>
      <c r="B289" s="142">
        <v>46021</v>
      </c>
      <c r="C289" s="142">
        <v>46021</v>
      </c>
      <c r="D289" s="18" t="s">
        <v>55</v>
      </c>
      <c r="E289" s="30">
        <v>46059</v>
      </c>
      <c r="F289" s="30">
        <v>46059</v>
      </c>
      <c r="G289" s="18" t="s">
        <v>55</v>
      </c>
      <c r="H289" s="18" t="s">
        <v>55</v>
      </c>
      <c r="I289" s="18" t="s">
        <v>55</v>
      </c>
      <c r="J289" s="18" t="s">
        <v>55</v>
      </c>
      <c r="K289" s="18" t="s">
        <v>55</v>
      </c>
      <c r="L289" s="18" t="s">
        <v>55</v>
      </c>
      <c r="M289" s="18" t="s">
        <v>55</v>
      </c>
      <c r="N289" s="30">
        <v>46087</v>
      </c>
      <c r="O289" s="28">
        <v>46096</v>
      </c>
      <c r="P289" s="28">
        <v>46096</v>
      </c>
      <c r="Q289" s="28">
        <v>46106</v>
      </c>
      <c r="R289" s="140">
        <v>46106</v>
      </c>
      <c r="S289" s="33">
        <f>MONTH(R289)</f>
        <v>3</v>
      </c>
    </row>
    <row r="290" spans="1:19" x14ac:dyDescent="0.25">
      <c r="A290" s="403" t="str">
        <f t="shared" si="13"/>
        <v>46064460860000-00-000000-00-000000-00-000000-00-000000-00-000000-00-000000-00-000000-00-000000-00-000000-00-0046066460660000-00-0046083460833</v>
      </c>
      <c r="B290" s="142">
        <v>46064</v>
      </c>
      <c r="C290" s="142">
        <v>46086</v>
      </c>
      <c r="D290" s="33" t="s">
        <v>55</v>
      </c>
      <c r="E290" s="142" t="s">
        <v>55</v>
      </c>
      <c r="F290" s="142" t="s">
        <v>55</v>
      </c>
      <c r="G290" s="33" t="s">
        <v>55</v>
      </c>
      <c r="H290" s="33" t="s">
        <v>55</v>
      </c>
      <c r="I290" s="33" t="s">
        <v>55</v>
      </c>
      <c r="J290" s="33" t="s">
        <v>55</v>
      </c>
      <c r="K290" s="33" t="s">
        <v>55</v>
      </c>
      <c r="L290" s="33" t="s">
        <v>55</v>
      </c>
      <c r="M290" s="33" t="s">
        <v>55</v>
      </c>
      <c r="N290" s="16">
        <v>46066</v>
      </c>
      <c r="O290" s="28">
        <v>46066</v>
      </c>
      <c r="P290" s="28" t="s">
        <v>55</v>
      </c>
      <c r="Q290" s="16">
        <v>46083</v>
      </c>
      <c r="R290" s="16">
        <v>46083</v>
      </c>
      <c r="S290" s="33">
        <v>3</v>
      </c>
    </row>
    <row r="291" spans="1:19" x14ac:dyDescent="0.25">
      <c r="A291" s="403" t="str">
        <f t="shared" si="13"/>
        <v>46027460270000-00-0046030460550000-00-000000-00-000000-00-000000-00-000000-00-000000-00-000000-00-000000-00-00460554605646076460833</v>
      </c>
      <c r="B291" s="142">
        <v>46027</v>
      </c>
      <c r="C291" s="142">
        <v>46027</v>
      </c>
      <c r="D291" s="3" t="s">
        <v>55</v>
      </c>
      <c r="E291" s="116">
        <v>46030</v>
      </c>
      <c r="F291" s="116">
        <v>46055</v>
      </c>
      <c r="G291" s="3" t="s">
        <v>55</v>
      </c>
      <c r="H291" s="3" t="s">
        <v>55</v>
      </c>
      <c r="I291" s="3" t="s">
        <v>55</v>
      </c>
      <c r="J291" s="3" t="s">
        <v>55</v>
      </c>
      <c r="K291" s="3" t="s">
        <v>55</v>
      </c>
      <c r="L291" s="3" t="s">
        <v>55</v>
      </c>
      <c r="M291" s="3" t="s">
        <v>55</v>
      </c>
      <c r="N291" s="16" t="s">
        <v>55</v>
      </c>
      <c r="O291" s="28">
        <v>46055</v>
      </c>
      <c r="P291" s="28">
        <v>46056</v>
      </c>
      <c r="Q291" s="28">
        <v>46076</v>
      </c>
      <c r="R291" s="140">
        <v>46083</v>
      </c>
      <c r="S291" s="33">
        <v>3</v>
      </c>
    </row>
    <row r="292" spans="1:19" x14ac:dyDescent="0.25">
      <c r="A292" s="403" t="str">
        <f t="shared" si="13"/>
        <v>46057460300000-00-0046086460860000-00-000000-00-000000-00-000000-00-000000-00-000000-00-000000-00-0046097460974609746101461063</v>
      </c>
      <c r="B292" s="142">
        <v>46057</v>
      </c>
      <c r="C292" s="142">
        <v>46030</v>
      </c>
      <c r="D292" s="2" t="s">
        <v>55</v>
      </c>
      <c r="E292" s="104">
        <v>46086</v>
      </c>
      <c r="F292" s="104">
        <v>46086</v>
      </c>
      <c r="G292" s="2" t="s">
        <v>55</v>
      </c>
      <c r="H292" s="2" t="s">
        <v>55</v>
      </c>
      <c r="I292" s="2" t="s">
        <v>55</v>
      </c>
      <c r="J292" s="2" t="s">
        <v>55</v>
      </c>
      <c r="K292" s="2" t="s">
        <v>55</v>
      </c>
      <c r="L292" s="2" t="s">
        <v>55</v>
      </c>
      <c r="M292" s="2" t="s">
        <v>55</v>
      </c>
      <c r="N292" s="30">
        <v>46097</v>
      </c>
      <c r="O292" s="30">
        <v>46097</v>
      </c>
      <c r="P292" s="30">
        <v>46097</v>
      </c>
      <c r="Q292" s="28">
        <v>46101</v>
      </c>
      <c r="R292" s="140">
        <v>46106</v>
      </c>
      <c r="S292" s="33">
        <f t="shared" ref="S292:S312" si="16">MONTH(R292)</f>
        <v>3</v>
      </c>
    </row>
    <row r="293" spans="1:19" x14ac:dyDescent="0.25">
      <c r="A293" s="403" t="str">
        <f t="shared" si="13"/>
        <v>46030460300000-00-000000-00-000000-00-000000-00-000000-00-000000-00-000000-00-000000-00-000000-00-000000-00-0046091460914609246101461063</v>
      </c>
      <c r="B293" s="142">
        <v>46030</v>
      </c>
      <c r="C293" s="142">
        <v>46030</v>
      </c>
      <c r="D293" s="18" t="s">
        <v>55</v>
      </c>
      <c r="E293" s="2" t="s">
        <v>55</v>
      </c>
      <c r="F293" s="2" t="s">
        <v>55</v>
      </c>
      <c r="G293" s="18" t="s">
        <v>55</v>
      </c>
      <c r="H293" s="18" t="s">
        <v>55</v>
      </c>
      <c r="I293" s="18" t="s">
        <v>55</v>
      </c>
      <c r="J293" s="18" t="s">
        <v>55</v>
      </c>
      <c r="K293" s="18" t="s">
        <v>55</v>
      </c>
      <c r="L293" s="18" t="s">
        <v>55</v>
      </c>
      <c r="M293" s="18" t="s">
        <v>55</v>
      </c>
      <c r="N293" s="28">
        <v>46091</v>
      </c>
      <c r="O293" s="28">
        <v>46091</v>
      </c>
      <c r="P293" s="28">
        <v>46092</v>
      </c>
      <c r="Q293" s="28">
        <v>46101</v>
      </c>
      <c r="R293" s="140">
        <v>46106</v>
      </c>
      <c r="S293" s="33">
        <f t="shared" si="16"/>
        <v>3</v>
      </c>
    </row>
    <row r="294" spans="1:19" x14ac:dyDescent="0.25">
      <c r="A294" s="403" t="str">
        <f t="shared" si="13"/>
        <v>46030460300000-00-0046057460570000-00-000000-00-000000-00-000000-00-000000-00-000000-00-000000-00-0046072460734607346080460833</v>
      </c>
      <c r="B294" s="142">
        <v>46030</v>
      </c>
      <c r="C294" s="142">
        <v>46030</v>
      </c>
      <c r="D294" s="2" t="s">
        <v>55</v>
      </c>
      <c r="E294" s="104">
        <v>46057</v>
      </c>
      <c r="F294" s="104">
        <v>46057</v>
      </c>
      <c r="G294" s="2" t="s">
        <v>55</v>
      </c>
      <c r="H294" s="2" t="s">
        <v>55</v>
      </c>
      <c r="I294" s="2" t="s">
        <v>55</v>
      </c>
      <c r="J294" s="2" t="s">
        <v>55</v>
      </c>
      <c r="K294" s="2" t="s">
        <v>55</v>
      </c>
      <c r="L294" s="2" t="s">
        <v>55</v>
      </c>
      <c r="M294" s="2" t="s">
        <v>55</v>
      </c>
      <c r="N294" s="30">
        <v>46072</v>
      </c>
      <c r="O294" s="30">
        <v>46073</v>
      </c>
      <c r="P294" s="30">
        <v>46073</v>
      </c>
      <c r="Q294" s="28">
        <v>46080</v>
      </c>
      <c r="R294" s="37">
        <v>46083</v>
      </c>
      <c r="S294" s="33">
        <f t="shared" si="16"/>
        <v>3</v>
      </c>
    </row>
    <row r="295" spans="1:19" x14ac:dyDescent="0.25">
      <c r="A295" s="403" t="str">
        <f t="shared" si="13"/>
        <v>46030460300000-00-0046058460580000-00-000000-00-000000-00-000000-00-000000-00-000000-00-000000-00-0046077460774607746080460833</v>
      </c>
      <c r="B295" s="142">
        <v>46030</v>
      </c>
      <c r="C295" s="142">
        <v>46030</v>
      </c>
      <c r="D295" s="2" t="s">
        <v>55</v>
      </c>
      <c r="E295" s="104">
        <v>46058</v>
      </c>
      <c r="F295" s="104">
        <v>46058</v>
      </c>
      <c r="G295" s="2" t="s">
        <v>55</v>
      </c>
      <c r="H295" s="2" t="s">
        <v>55</v>
      </c>
      <c r="I295" s="2" t="s">
        <v>55</v>
      </c>
      <c r="J295" s="2" t="s">
        <v>55</v>
      </c>
      <c r="K295" s="2" t="s">
        <v>55</v>
      </c>
      <c r="L295" s="2" t="s">
        <v>55</v>
      </c>
      <c r="M295" s="2" t="s">
        <v>55</v>
      </c>
      <c r="N295" s="28">
        <v>46077</v>
      </c>
      <c r="O295" s="28">
        <v>46077</v>
      </c>
      <c r="P295" s="28">
        <v>46077</v>
      </c>
      <c r="Q295" s="28">
        <v>46080</v>
      </c>
      <c r="R295" s="262">
        <v>46083</v>
      </c>
      <c r="S295" s="33">
        <f t="shared" si="16"/>
        <v>3</v>
      </c>
    </row>
    <row r="296" spans="1:19" x14ac:dyDescent="0.25">
      <c r="A296" s="403" t="str">
        <f t="shared" si="13"/>
        <v>46035460350000-00-000000-00-000000-00-000000-00-000000-00-000000-00-000000-00-000000-00-000000-00-000000-00-0046076460764607646086460933</v>
      </c>
      <c r="B296" s="142">
        <v>46035</v>
      </c>
      <c r="C296" s="142">
        <v>46035</v>
      </c>
      <c r="D296" s="2" t="s">
        <v>55</v>
      </c>
      <c r="E296" s="2" t="s">
        <v>55</v>
      </c>
      <c r="F296" s="2" t="s">
        <v>55</v>
      </c>
      <c r="G296" s="2" t="s">
        <v>55</v>
      </c>
      <c r="H296" s="2" t="s">
        <v>55</v>
      </c>
      <c r="I296" s="2" t="s">
        <v>55</v>
      </c>
      <c r="J296" s="2" t="s">
        <v>55</v>
      </c>
      <c r="K296" s="2" t="s">
        <v>55</v>
      </c>
      <c r="L296" s="2" t="s">
        <v>55</v>
      </c>
      <c r="M296" s="2" t="s">
        <v>55</v>
      </c>
      <c r="N296" s="104">
        <v>46076</v>
      </c>
      <c r="O296" s="104">
        <v>46076</v>
      </c>
      <c r="P296" s="104">
        <v>46076</v>
      </c>
      <c r="Q296" s="28">
        <v>46086</v>
      </c>
      <c r="R296" s="104">
        <v>46093</v>
      </c>
      <c r="S296" s="33">
        <f t="shared" si="16"/>
        <v>3</v>
      </c>
    </row>
    <row r="297" spans="1:19" x14ac:dyDescent="0.25">
      <c r="A297" s="403" t="str">
        <f t="shared" si="13"/>
        <v>46091460380000-00-000000-00-000000-00-000000-00-000000-00-000000-00-000000-00-000000-00-000000-00-000000-00-0046094460944609446101461063</v>
      </c>
      <c r="B297" s="142">
        <v>46091</v>
      </c>
      <c r="C297" s="142">
        <v>46038</v>
      </c>
      <c r="D297" s="33" t="s">
        <v>55</v>
      </c>
      <c r="E297" s="142" t="s">
        <v>55</v>
      </c>
      <c r="F297" s="142" t="s">
        <v>55</v>
      </c>
      <c r="G297" s="33" t="s">
        <v>55</v>
      </c>
      <c r="H297" s="33" t="s">
        <v>55</v>
      </c>
      <c r="I297" s="33" t="s">
        <v>55</v>
      </c>
      <c r="J297" s="33" t="s">
        <v>55</v>
      </c>
      <c r="K297" s="33" t="s">
        <v>55</v>
      </c>
      <c r="L297" s="33" t="s">
        <v>55</v>
      </c>
      <c r="M297" s="33" t="s">
        <v>55</v>
      </c>
      <c r="N297" s="28">
        <v>46094</v>
      </c>
      <c r="O297" s="28">
        <v>46094</v>
      </c>
      <c r="P297" s="28">
        <v>46094</v>
      </c>
      <c r="Q297" s="28">
        <v>46101</v>
      </c>
      <c r="R297" s="140">
        <v>46106</v>
      </c>
      <c r="S297" s="33">
        <f t="shared" si="16"/>
        <v>3</v>
      </c>
    </row>
    <row r="298" spans="1:19" x14ac:dyDescent="0.25">
      <c r="A298" s="403" t="str">
        <f t="shared" si="13"/>
        <v>46041460410000-00-0046051460520000-00-000000-00-000000-00-000000-00-000000-00-000000-00-000000-00-0046072460724607246080460833</v>
      </c>
      <c r="B298" s="142">
        <v>46041</v>
      </c>
      <c r="C298" s="142">
        <v>46041</v>
      </c>
      <c r="D298" s="3" t="s">
        <v>55</v>
      </c>
      <c r="E298" s="142">
        <v>46051</v>
      </c>
      <c r="F298" s="142">
        <v>46052</v>
      </c>
      <c r="G298" s="3" t="s">
        <v>55</v>
      </c>
      <c r="H298" s="3" t="s">
        <v>55</v>
      </c>
      <c r="I298" s="3" t="s">
        <v>55</v>
      </c>
      <c r="J298" s="3" t="s">
        <v>55</v>
      </c>
      <c r="K298" s="3" t="s">
        <v>55</v>
      </c>
      <c r="L298" s="3" t="s">
        <v>55</v>
      </c>
      <c r="M298" s="3" t="s">
        <v>55</v>
      </c>
      <c r="N298" s="28">
        <v>46072</v>
      </c>
      <c r="O298" s="28">
        <v>46072</v>
      </c>
      <c r="P298" s="28">
        <v>46072</v>
      </c>
      <c r="Q298" s="28">
        <v>46080</v>
      </c>
      <c r="R298" s="38">
        <v>46083</v>
      </c>
      <c r="S298" s="33">
        <f t="shared" si="16"/>
        <v>3</v>
      </c>
    </row>
    <row r="299" spans="1:19" x14ac:dyDescent="0.25">
      <c r="A299" s="403" t="str">
        <f t="shared" si="13"/>
        <v>46042460420000-00-0046044460440000-00-000000-00-000000-00-000000-00-000000-00-000000-00-000000-00-0046071460724607346087460903</v>
      </c>
      <c r="B299" s="142">
        <v>46042</v>
      </c>
      <c r="C299" s="142">
        <v>46042</v>
      </c>
      <c r="D299" s="33" t="s">
        <v>55</v>
      </c>
      <c r="E299" s="147">
        <v>46044</v>
      </c>
      <c r="F299" s="147">
        <v>46044</v>
      </c>
      <c r="G299" s="33" t="s">
        <v>55</v>
      </c>
      <c r="H299" s="33" t="s">
        <v>55</v>
      </c>
      <c r="I299" s="33" t="s">
        <v>55</v>
      </c>
      <c r="J299" s="33" t="s">
        <v>55</v>
      </c>
      <c r="K299" s="33" t="s">
        <v>55</v>
      </c>
      <c r="L299" s="33" t="s">
        <v>55</v>
      </c>
      <c r="M299" s="18" t="s">
        <v>55</v>
      </c>
      <c r="N299" s="28">
        <v>46071</v>
      </c>
      <c r="O299" s="28">
        <v>46072</v>
      </c>
      <c r="P299" s="28">
        <v>46073</v>
      </c>
      <c r="Q299" s="28">
        <v>46087</v>
      </c>
      <c r="R299" s="28">
        <v>46090</v>
      </c>
      <c r="S299" s="33">
        <f t="shared" si="16"/>
        <v>3</v>
      </c>
    </row>
    <row r="300" spans="1:19" x14ac:dyDescent="0.25">
      <c r="A300" s="403" t="str">
        <f t="shared" si="13"/>
        <v>46041460420000-00-000000-00-000000-00-000000-00-000000-00-000000-00-000000-00-000000-00-000000-00-000000-00-0046073460734607346083460833</v>
      </c>
      <c r="B300" s="174">
        <v>46041</v>
      </c>
      <c r="C300" s="174">
        <v>46042</v>
      </c>
      <c r="D300" s="175" t="s">
        <v>55</v>
      </c>
      <c r="E300" s="137" t="s">
        <v>55</v>
      </c>
      <c r="F300" s="137" t="s">
        <v>55</v>
      </c>
      <c r="G300" s="175" t="s">
        <v>55</v>
      </c>
      <c r="H300" s="175" t="s">
        <v>55</v>
      </c>
      <c r="I300" s="175" t="s">
        <v>55</v>
      </c>
      <c r="J300" s="175" t="s">
        <v>55</v>
      </c>
      <c r="K300" s="175" t="s">
        <v>55</v>
      </c>
      <c r="L300" s="175" t="s">
        <v>55</v>
      </c>
      <c r="M300" s="175" t="s">
        <v>55</v>
      </c>
      <c r="N300" s="178">
        <v>46073</v>
      </c>
      <c r="O300" s="178">
        <v>46073</v>
      </c>
      <c r="P300" s="178">
        <v>46073</v>
      </c>
      <c r="Q300" s="178">
        <v>46083</v>
      </c>
      <c r="R300" s="229">
        <v>46083</v>
      </c>
      <c r="S300" s="99">
        <f t="shared" si="16"/>
        <v>3</v>
      </c>
    </row>
    <row r="301" spans="1:19" x14ac:dyDescent="0.25">
      <c r="A301" s="403" t="str">
        <f t="shared" si="13"/>
        <v>46042460420000-00-0046083460830000-00-000000-00-000000-00-000000-00-000000-00-000000-00-000000-00-0046087460874608746101461063</v>
      </c>
      <c r="B301" s="142">
        <v>46042</v>
      </c>
      <c r="C301" s="142">
        <v>46042</v>
      </c>
      <c r="D301" s="33" t="s">
        <v>55</v>
      </c>
      <c r="E301" s="142">
        <v>46083</v>
      </c>
      <c r="F301" s="142">
        <v>46083</v>
      </c>
      <c r="G301" s="33" t="s">
        <v>55</v>
      </c>
      <c r="H301" s="33" t="s">
        <v>55</v>
      </c>
      <c r="I301" s="33" t="s">
        <v>55</v>
      </c>
      <c r="J301" s="33" t="s">
        <v>55</v>
      </c>
      <c r="K301" s="33" t="s">
        <v>55</v>
      </c>
      <c r="L301" s="33" t="s">
        <v>55</v>
      </c>
      <c r="M301" s="18" t="s">
        <v>55</v>
      </c>
      <c r="N301" s="28">
        <v>46087</v>
      </c>
      <c r="O301" s="28">
        <v>46087</v>
      </c>
      <c r="P301" s="28">
        <v>46087</v>
      </c>
      <c r="Q301" s="28">
        <v>46101</v>
      </c>
      <c r="R301" s="28">
        <v>46106</v>
      </c>
      <c r="S301" s="33">
        <f t="shared" si="16"/>
        <v>3</v>
      </c>
    </row>
    <row r="302" spans="1:19" x14ac:dyDescent="0.25">
      <c r="A302" s="403" t="str">
        <f t="shared" si="13"/>
        <v>46043460430000-00-0046055460660000-00-000000-00-000000-00-000000-00-000000-00-000000-00-000000-00-0046070460704607346080460833</v>
      </c>
      <c r="B302" s="142">
        <v>46043</v>
      </c>
      <c r="C302" s="142">
        <v>46043</v>
      </c>
      <c r="D302" s="2" t="s">
        <v>55</v>
      </c>
      <c r="E302" s="30">
        <v>46055</v>
      </c>
      <c r="F302" s="30">
        <v>46066</v>
      </c>
      <c r="G302" s="18" t="s">
        <v>55</v>
      </c>
      <c r="H302" s="18" t="s">
        <v>55</v>
      </c>
      <c r="I302" s="18" t="s">
        <v>55</v>
      </c>
      <c r="J302" s="18" t="s">
        <v>55</v>
      </c>
      <c r="K302" s="18" t="s">
        <v>55</v>
      </c>
      <c r="L302" s="18" t="s">
        <v>55</v>
      </c>
      <c r="M302" s="18" t="s">
        <v>55</v>
      </c>
      <c r="N302" s="28">
        <v>46070</v>
      </c>
      <c r="O302" s="28">
        <v>46070</v>
      </c>
      <c r="P302" s="28">
        <v>46073</v>
      </c>
      <c r="Q302" s="28">
        <v>46080</v>
      </c>
      <c r="R302" s="38">
        <v>46083</v>
      </c>
      <c r="S302" s="33">
        <f t="shared" si="16"/>
        <v>3</v>
      </c>
    </row>
    <row r="303" spans="1:19" x14ac:dyDescent="0.25">
      <c r="A303" s="403" t="str">
        <f t="shared" si="13"/>
        <v>46044460440000-00-0046059460590000-00-000000-00-000000-00-000000-00-000000-00-000000-00-000000-00-0046065460654606546080460833</v>
      </c>
      <c r="B303" s="142">
        <v>46044</v>
      </c>
      <c r="C303" s="142">
        <v>46044</v>
      </c>
      <c r="D303" s="18" t="s">
        <v>55</v>
      </c>
      <c r="E303" s="30">
        <v>46059</v>
      </c>
      <c r="F303" s="30">
        <v>46059</v>
      </c>
      <c r="G303" s="18" t="s">
        <v>55</v>
      </c>
      <c r="H303" s="18" t="s">
        <v>55</v>
      </c>
      <c r="I303" s="18" t="s">
        <v>55</v>
      </c>
      <c r="J303" s="18" t="s">
        <v>55</v>
      </c>
      <c r="K303" s="18" t="s">
        <v>55</v>
      </c>
      <c r="L303" s="18" t="s">
        <v>55</v>
      </c>
      <c r="M303" s="18" t="s">
        <v>55</v>
      </c>
      <c r="N303" s="30">
        <v>46065</v>
      </c>
      <c r="O303" s="28">
        <v>46065</v>
      </c>
      <c r="P303" s="28">
        <v>46065</v>
      </c>
      <c r="Q303" s="28">
        <v>46080</v>
      </c>
      <c r="R303" s="37">
        <v>46083</v>
      </c>
      <c r="S303" s="33">
        <f t="shared" si="16"/>
        <v>3</v>
      </c>
    </row>
    <row r="304" spans="1:19" x14ac:dyDescent="0.25">
      <c r="A304" s="403" t="str">
        <f t="shared" si="13"/>
        <v>46056460440000-00-0046059460690000-00-000000-00-000000-00-000000-00-000000-00-000000-00-000000-00-0046073460734607346080460833</v>
      </c>
      <c r="B304" s="142">
        <v>46056</v>
      </c>
      <c r="C304" s="142">
        <v>46044</v>
      </c>
      <c r="D304" s="2" t="s">
        <v>55</v>
      </c>
      <c r="E304" s="30">
        <v>46059</v>
      </c>
      <c r="F304" s="30">
        <v>46069</v>
      </c>
      <c r="G304" s="18" t="s">
        <v>55</v>
      </c>
      <c r="H304" s="18" t="s">
        <v>55</v>
      </c>
      <c r="I304" s="18" t="s">
        <v>55</v>
      </c>
      <c r="J304" s="18" t="s">
        <v>55</v>
      </c>
      <c r="K304" s="18" t="s">
        <v>55</v>
      </c>
      <c r="L304" s="18" t="s">
        <v>55</v>
      </c>
      <c r="M304" s="18" t="s">
        <v>55</v>
      </c>
      <c r="N304" s="28">
        <v>46073</v>
      </c>
      <c r="O304" s="28">
        <v>46073</v>
      </c>
      <c r="P304" s="28">
        <v>46073</v>
      </c>
      <c r="Q304" s="28">
        <v>46080</v>
      </c>
      <c r="R304" s="38">
        <v>46083</v>
      </c>
      <c r="S304" s="33">
        <f t="shared" si="16"/>
        <v>3</v>
      </c>
    </row>
    <row r="305" spans="1:19" x14ac:dyDescent="0.25">
      <c r="A305" s="403" t="str">
        <f t="shared" si="13"/>
        <v>46044460440000-00-0046058460580000-00-000000-00-000000-00-000000-00-000000-00-000000-00-000000-00-0046071460764607746083460833</v>
      </c>
      <c r="B305" s="222">
        <v>46044</v>
      </c>
      <c r="C305" s="222">
        <v>46044</v>
      </c>
      <c r="D305" s="89" t="s">
        <v>55</v>
      </c>
      <c r="E305" s="130">
        <v>46058</v>
      </c>
      <c r="F305" s="130">
        <v>46058</v>
      </c>
      <c r="G305" s="89" t="s">
        <v>55</v>
      </c>
      <c r="H305" s="89" t="s">
        <v>55</v>
      </c>
      <c r="I305" s="89" t="s">
        <v>55</v>
      </c>
      <c r="J305" s="89" t="s">
        <v>55</v>
      </c>
      <c r="K305" s="89" t="s">
        <v>55</v>
      </c>
      <c r="L305" s="89" t="s">
        <v>55</v>
      </c>
      <c r="M305" s="408" t="s">
        <v>55</v>
      </c>
      <c r="N305" s="130">
        <v>46071</v>
      </c>
      <c r="O305" s="131">
        <v>46076</v>
      </c>
      <c r="P305" s="131">
        <v>46077</v>
      </c>
      <c r="Q305" s="131">
        <v>46083</v>
      </c>
      <c r="R305" s="410">
        <v>46083</v>
      </c>
      <c r="S305" s="110">
        <f t="shared" si="16"/>
        <v>3</v>
      </c>
    </row>
    <row r="306" spans="1:19" x14ac:dyDescent="0.25">
      <c r="A306" s="403" t="str">
        <f t="shared" si="13"/>
        <v>46085460450000-00-000000-00-000000-00-000000-00-000000-00-000000-00-000000-00-000000-00-000000-00-000000-00-0046090460914609246100461063</v>
      </c>
      <c r="B306" s="142">
        <v>46085</v>
      </c>
      <c r="C306" s="142">
        <v>46045</v>
      </c>
      <c r="D306" s="33" t="s">
        <v>55</v>
      </c>
      <c r="E306" s="142" t="s">
        <v>55</v>
      </c>
      <c r="F306" s="142" t="s">
        <v>55</v>
      </c>
      <c r="G306" s="33" t="s">
        <v>55</v>
      </c>
      <c r="H306" s="33" t="s">
        <v>55</v>
      </c>
      <c r="I306" s="33" t="s">
        <v>55</v>
      </c>
      <c r="J306" s="33" t="s">
        <v>55</v>
      </c>
      <c r="K306" s="33" t="s">
        <v>55</v>
      </c>
      <c r="L306" s="33" t="s">
        <v>55</v>
      </c>
      <c r="M306" s="33" t="s">
        <v>55</v>
      </c>
      <c r="N306" s="28">
        <v>46090</v>
      </c>
      <c r="O306" s="28">
        <v>46091</v>
      </c>
      <c r="P306" s="28">
        <v>46092</v>
      </c>
      <c r="Q306" s="28">
        <v>46100</v>
      </c>
      <c r="R306" s="140">
        <v>46106</v>
      </c>
      <c r="S306" s="33">
        <f t="shared" si="16"/>
        <v>3</v>
      </c>
    </row>
    <row r="307" spans="1:19" x14ac:dyDescent="0.25">
      <c r="A307" s="403" t="str">
        <f t="shared" si="13"/>
        <v>46045460450000-00-0046049460490000-00-000000-00-000000-00-000000-00-000000-00-000000-00-000000-00-0046071460724607346087460903</v>
      </c>
      <c r="B307" s="142">
        <v>46045</v>
      </c>
      <c r="C307" s="142">
        <v>46045</v>
      </c>
      <c r="D307" s="33" t="s">
        <v>55</v>
      </c>
      <c r="E307" s="142">
        <v>46049</v>
      </c>
      <c r="F307" s="142">
        <v>46049</v>
      </c>
      <c r="G307" s="33" t="s">
        <v>55</v>
      </c>
      <c r="H307" s="33" t="s">
        <v>55</v>
      </c>
      <c r="I307" s="33" t="s">
        <v>55</v>
      </c>
      <c r="J307" s="33" t="s">
        <v>55</v>
      </c>
      <c r="K307" s="33" t="s">
        <v>55</v>
      </c>
      <c r="L307" s="33" t="s">
        <v>55</v>
      </c>
      <c r="M307" s="18" t="s">
        <v>55</v>
      </c>
      <c r="N307" s="53">
        <v>46071</v>
      </c>
      <c r="O307" s="28">
        <v>46072</v>
      </c>
      <c r="P307" s="28">
        <v>46073</v>
      </c>
      <c r="Q307" s="28">
        <v>46087</v>
      </c>
      <c r="R307" s="53">
        <v>46090</v>
      </c>
      <c r="S307" s="33">
        <f t="shared" si="16"/>
        <v>3</v>
      </c>
    </row>
    <row r="308" spans="1:19" x14ac:dyDescent="0.25">
      <c r="A308" s="403" t="str">
        <f t="shared" si="13"/>
        <v>46078460450000-00-0046080460850000-00-000000-00-000000-00-000000-00-000000-00-000000-00-000000-00-0046091460914609446101461063</v>
      </c>
      <c r="B308" s="142">
        <v>46078</v>
      </c>
      <c r="C308" s="142">
        <v>46045</v>
      </c>
      <c r="D308" s="33" t="s">
        <v>55</v>
      </c>
      <c r="E308" s="142">
        <v>46080</v>
      </c>
      <c r="F308" s="142">
        <v>46085</v>
      </c>
      <c r="G308" s="33" t="s">
        <v>55</v>
      </c>
      <c r="H308" s="33" t="s">
        <v>55</v>
      </c>
      <c r="I308" s="33" t="s">
        <v>55</v>
      </c>
      <c r="J308" s="33" t="s">
        <v>55</v>
      </c>
      <c r="K308" s="33" t="s">
        <v>55</v>
      </c>
      <c r="L308" s="33" t="s">
        <v>55</v>
      </c>
      <c r="M308" s="18" t="s">
        <v>55</v>
      </c>
      <c r="N308" s="28">
        <v>46091</v>
      </c>
      <c r="O308" s="28">
        <v>46091</v>
      </c>
      <c r="P308" s="28">
        <v>46094</v>
      </c>
      <c r="Q308" s="28">
        <v>46101</v>
      </c>
      <c r="R308" s="140">
        <v>46106</v>
      </c>
      <c r="S308" s="33">
        <f t="shared" si="16"/>
        <v>3</v>
      </c>
    </row>
    <row r="309" spans="1:19" x14ac:dyDescent="0.25">
      <c r="A309" s="403" t="str">
        <f t="shared" si="13"/>
        <v>46045460450000-00-0046048460480000-00-000000-00-000000-00-000000-00-000000-00-000000-00-000000-00-0046073460734607346087460903</v>
      </c>
      <c r="B309" s="142">
        <v>46045</v>
      </c>
      <c r="C309" s="142">
        <v>46045</v>
      </c>
      <c r="D309" s="2" t="s">
        <v>55</v>
      </c>
      <c r="E309" s="142">
        <v>46048</v>
      </c>
      <c r="F309" s="142">
        <v>46048</v>
      </c>
      <c r="G309" s="18" t="s">
        <v>55</v>
      </c>
      <c r="H309" s="18" t="s">
        <v>55</v>
      </c>
      <c r="I309" s="18" t="s">
        <v>55</v>
      </c>
      <c r="J309" s="18" t="s">
        <v>55</v>
      </c>
      <c r="K309" s="18" t="s">
        <v>55</v>
      </c>
      <c r="L309" s="18" t="s">
        <v>55</v>
      </c>
      <c r="M309" s="18" t="s">
        <v>55</v>
      </c>
      <c r="N309" s="28">
        <v>46073</v>
      </c>
      <c r="O309" s="28">
        <v>46073</v>
      </c>
      <c r="P309" s="28">
        <v>46073</v>
      </c>
      <c r="Q309" s="28">
        <v>46087</v>
      </c>
      <c r="R309" s="28">
        <v>46090</v>
      </c>
      <c r="S309" s="33">
        <f t="shared" si="16"/>
        <v>3</v>
      </c>
    </row>
    <row r="310" spans="1:19" x14ac:dyDescent="0.25">
      <c r="A310" s="403" t="str">
        <f t="shared" si="13"/>
        <v>46048460480000-00-0046058460690000-00-000000-00-000000-00-000000-00-000000-00-000000-00-000000-00-0046077460784608046091460933</v>
      </c>
      <c r="B310" s="142">
        <v>46048</v>
      </c>
      <c r="C310" s="142">
        <v>46048</v>
      </c>
      <c r="D310" s="3" t="s">
        <v>55</v>
      </c>
      <c r="E310" s="155">
        <v>46058</v>
      </c>
      <c r="F310" s="155">
        <v>46069</v>
      </c>
      <c r="G310" s="3" t="s">
        <v>55</v>
      </c>
      <c r="H310" s="3" t="s">
        <v>55</v>
      </c>
      <c r="I310" s="3" t="s">
        <v>55</v>
      </c>
      <c r="J310" s="3" t="s">
        <v>55</v>
      </c>
      <c r="K310" s="3" t="s">
        <v>55</v>
      </c>
      <c r="L310" s="3" t="s">
        <v>55</v>
      </c>
      <c r="M310" s="3" t="s">
        <v>55</v>
      </c>
      <c r="N310" s="16">
        <v>46077</v>
      </c>
      <c r="O310" s="28">
        <v>46078</v>
      </c>
      <c r="P310" s="28">
        <v>46080</v>
      </c>
      <c r="Q310" s="28">
        <v>46091</v>
      </c>
      <c r="R310" s="16">
        <v>46093</v>
      </c>
      <c r="S310" s="33">
        <f t="shared" si="16"/>
        <v>3</v>
      </c>
    </row>
    <row r="311" spans="1:19" x14ac:dyDescent="0.25">
      <c r="A311" s="403" t="str">
        <f t="shared" si="13"/>
        <v>46048460480000-00-0046058460580000-00-000000-00-000000-00-000000-00-000000-00-000000-00-000000-00-0046078460784607946093460933</v>
      </c>
      <c r="B311" s="142">
        <v>46048</v>
      </c>
      <c r="C311" s="142">
        <v>46048</v>
      </c>
      <c r="D311" s="3" t="s">
        <v>55</v>
      </c>
      <c r="E311" s="30">
        <v>46058</v>
      </c>
      <c r="F311" s="30">
        <v>46058</v>
      </c>
      <c r="G311" s="3" t="s">
        <v>55</v>
      </c>
      <c r="H311" s="3" t="s">
        <v>55</v>
      </c>
      <c r="I311" s="3" t="s">
        <v>55</v>
      </c>
      <c r="J311" s="3" t="s">
        <v>55</v>
      </c>
      <c r="K311" s="3" t="s">
        <v>55</v>
      </c>
      <c r="L311" s="3" t="s">
        <v>55</v>
      </c>
      <c r="M311" s="18" t="s">
        <v>55</v>
      </c>
      <c r="N311" s="30">
        <v>46078</v>
      </c>
      <c r="O311" s="30">
        <v>46078</v>
      </c>
      <c r="P311" s="28">
        <v>46079</v>
      </c>
      <c r="Q311" s="28">
        <v>46093</v>
      </c>
      <c r="R311" s="30">
        <v>46093</v>
      </c>
      <c r="S311" s="33">
        <f t="shared" si="16"/>
        <v>3</v>
      </c>
    </row>
    <row r="312" spans="1:19" x14ac:dyDescent="0.25">
      <c r="A312" s="403" t="str">
        <f t="shared" si="13"/>
        <v>46078460480000-00-0046091460930000-00-000000-00-000000-00-000000-00-000000-00-000000-00-000000-00-0046094460944609446101461063</v>
      </c>
      <c r="B312" s="142">
        <v>46078</v>
      </c>
      <c r="C312" s="142">
        <v>46048</v>
      </c>
      <c r="D312" s="3" t="s">
        <v>55</v>
      </c>
      <c r="E312" s="116">
        <v>46091</v>
      </c>
      <c r="F312" s="116">
        <v>46093</v>
      </c>
      <c r="G312" s="3" t="s">
        <v>55</v>
      </c>
      <c r="H312" s="3" t="s">
        <v>55</v>
      </c>
      <c r="I312" s="3" t="s">
        <v>55</v>
      </c>
      <c r="J312" s="3" t="s">
        <v>55</v>
      </c>
      <c r="K312" s="3" t="s">
        <v>55</v>
      </c>
      <c r="L312" s="3" t="s">
        <v>55</v>
      </c>
      <c r="M312" s="3" t="s">
        <v>55</v>
      </c>
      <c r="N312" s="16">
        <v>46094</v>
      </c>
      <c r="O312" s="16">
        <v>46094</v>
      </c>
      <c r="P312" s="28">
        <v>46094</v>
      </c>
      <c r="Q312" s="28">
        <v>46101</v>
      </c>
      <c r="R312" s="140">
        <v>46106</v>
      </c>
      <c r="S312" s="33">
        <f t="shared" si="16"/>
        <v>3</v>
      </c>
    </row>
    <row r="313" spans="1:19" x14ac:dyDescent="0.25">
      <c r="A313" s="403" t="str">
        <f t="shared" si="13"/>
        <v>46048460480000-00-000000-00-000000-00-000000-00-000000-00-000000-00-000000-00-000000-00-000000-00-000000-00-0046077460710000-00-0046077460833</v>
      </c>
      <c r="B313" s="142">
        <v>46048</v>
      </c>
      <c r="C313" s="142">
        <v>46048</v>
      </c>
      <c r="D313" s="3" t="s">
        <v>55</v>
      </c>
      <c r="E313" s="116" t="s">
        <v>55</v>
      </c>
      <c r="F313" s="116" t="s">
        <v>55</v>
      </c>
      <c r="G313" s="3" t="s">
        <v>55</v>
      </c>
      <c r="H313" s="3" t="s">
        <v>55</v>
      </c>
      <c r="I313" s="3" t="s">
        <v>55</v>
      </c>
      <c r="J313" s="3" t="s">
        <v>55</v>
      </c>
      <c r="K313" s="3" t="s">
        <v>55</v>
      </c>
      <c r="L313" s="3" t="s">
        <v>55</v>
      </c>
      <c r="M313" s="3" t="s">
        <v>55</v>
      </c>
      <c r="N313" s="16">
        <v>46077</v>
      </c>
      <c r="O313" s="28">
        <v>46071</v>
      </c>
      <c r="P313" s="28" t="s">
        <v>55</v>
      </c>
      <c r="Q313" s="28">
        <v>46077</v>
      </c>
      <c r="R313" s="140">
        <v>46083</v>
      </c>
      <c r="S313" s="33">
        <v>3</v>
      </c>
    </row>
    <row r="314" spans="1:19" x14ac:dyDescent="0.25">
      <c r="A314" s="403" t="str">
        <f t="shared" si="13"/>
        <v>46065460480000-00-0046071460710000-00-000000-00-000000-00-000000-00-000000-00-000000-00-000000-00-0046086460864608646092460933</v>
      </c>
      <c r="B314" s="142">
        <v>46065</v>
      </c>
      <c r="C314" s="142">
        <v>46048</v>
      </c>
      <c r="D314" s="3" t="s">
        <v>55</v>
      </c>
      <c r="E314" s="73">
        <v>46071</v>
      </c>
      <c r="F314" s="73">
        <v>46071</v>
      </c>
      <c r="G314" s="3" t="s">
        <v>55</v>
      </c>
      <c r="H314" s="3" t="s">
        <v>55</v>
      </c>
      <c r="I314" s="3" t="s">
        <v>55</v>
      </c>
      <c r="J314" s="3" t="s">
        <v>55</v>
      </c>
      <c r="K314" s="3" t="s">
        <v>55</v>
      </c>
      <c r="L314" s="3" t="s">
        <v>55</v>
      </c>
      <c r="M314" s="3" t="s">
        <v>55</v>
      </c>
      <c r="N314" s="28">
        <v>46086</v>
      </c>
      <c r="O314" s="28">
        <v>46086</v>
      </c>
      <c r="P314" s="28">
        <v>46086</v>
      </c>
      <c r="Q314" s="28">
        <v>46092</v>
      </c>
      <c r="R314" s="140">
        <v>46093</v>
      </c>
      <c r="S314" s="33">
        <f t="shared" ref="S314:S325" si="17">MONTH(R314)</f>
        <v>3</v>
      </c>
    </row>
    <row r="315" spans="1:19" x14ac:dyDescent="0.25">
      <c r="A315" s="403" t="str">
        <f t="shared" si="13"/>
        <v>46049460490000-00-0046052460580000-00-000000-00-000000-00-000000-00-000000-00-000000-00-000000-00-0046072460734607646079460833</v>
      </c>
      <c r="B315" s="142">
        <v>46049</v>
      </c>
      <c r="C315" s="142">
        <v>46049</v>
      </c>
      <c r="D315" s="3" t="s">
        <v>55</v>
      </c>
      <c r="E315" s="116">
        <v>46052</v>
      </c>
      <c r="F315" s="155">
        <v>46058</v>
      </c>
      <c r="G315" s="3" t="s">
        <v>55</v>
      </c>
      <c r="H315" s="3" t="s">
        <v>55</v>
      </c>
      <c r="I315" s="3" t="s">
        <v>55</v>
      </c>
      <c r="J315" s="3" t="s">
        <v>55</v>
      </c>
      <c r="K315" s="3" t="s">
        <v>55</v>
      </c>
      <c r="L315" s="3" t="s">
        <v>55</v>
      </c>
      <c r="M315" s="3" t="s">
        <v>55</v>
      </c>
      <c r="N315" s="28">
        <v>46072</v>
      </c>
      <c r="O315" s="28">
        <v>46073</v>
      </c>
      <c r="P315" s="28">
        <v>46076</v>
      </c>
      <c r="Q315" s="28">
        <v>46079</v>
      </c>
      <c r="R315" s="38">
        <v>46083</v>
      </c>
      <c r="S315" s="33">
        <f t="shared" si="17"/>
        <v>3</v>
      </c>
    </row>
    <row r="316" spans="1:19" x14ac:dyDescent="0.25">
      <c r="A316" s="403" t="str">
        <f t="shared" si="13"/>
        <v>46049460490000-00-000000-00-000000-00-000000-00-000000-00-000000-00-000000-00-000000-00-000000-00-000000-00-0046073460734607346080460833</v>
      </c>
      <c r="B316" s="142">
        <v>46049</v>
      </c>
      <c r="C316" s="142">
        <v>46049</v>
      </c>
      <c r="D316" s="33" t="s">
        <v>55</v>
      </c>
      <c r="E316" s="142" t="s">
        <v>55</v>
      </c>
      <c r="F316" s="142" t="s">
        <v>55</v>
      </c>
      <c r="G316" s="33" t="s">
        <v>55</v>
      </c>
      <c r="H316" s="33" t="s">
        <v>55</v>
      </c>
      <c r="I316" s="33" t="s">
        <v>55</v>
      </c>
      <c r="J316" s="33" t="s">
        <v>55</v>
      </c>
      <c r="K316" s="33" t="s">
        <v>55</v>
      </c>
      <c r="L316" s="33" t="s">
        <v>55</v>
      </c>
      <c r="M316" s="33" t="s">
        <v>55</v>
      </c>
      <c r="N316" s="28">
        <v>46073</v>
      </c>
      <c r="O316" s="28">
        <v>46073</v>
      </c>
      <c r="P316" s="28">
        <v>46073</v>
      </c>
      <c r="Q316" s="28">
        <v>46080</v>
      </c>
      <c r="R316" s="38">
        <v>46083</v>
      </c>
      <c r="S316" s="33">
        <f t="shared" si="17"/>
        <v>3</v>
      </c>
    </row>
    <row r="317" spans="1:19" x14ac:dyDescent="0.25">
      <c r="A317" s="403" t="str">
        <f t="shared" si="13"/>
        <v>46049460490000-00-0046051460510000-00-000000-00-000000-00-000000-00-000000-00-000000-00-000000-00-0046066460664606946078460833</v>
      </c>
      <c r="B317" s="142">
        <v>46049</v>
      </c>
      <c r="C317" s="142">
        <v>46049</v>
      </c>
      <c r="D317" s="33" t="s">
        <v>55</v>
      </c>
      <c r="E317" s="147">
        <v>46051</v>
      </c>
      <c r="F317" s="147">
        <v>46051</v>
      </c>
      <c r="G317" s="33" t="s">
        <v>55</v>
      </c>
      <c r="H317" s="33" t="s">
        <v>55</v>
      </c>
      <c r="I317" s="33" t="s">
        <v>55</v>
      </c>
      <c r="J317" s="33" t="s">
        <v>55</v>
      </c>
      <c r="K317" s="33" t="s">
        <v>55</v>
      </c>
      <c r="L317" s="33" t="s">
        <v>55</v>
      </c>
      <c r="M317" s="18" t="s">
        <v>55</v>
      </c>
      <c r="N317" s="53">
        <v>46066</v>
      </c>
      <c r="O317" s="28">
        <v>46066</v>
      </c>
      <c r="P317" s="28">
        <v>46069</v>
      </c>
      <c r="Q317" s="28">
        <v>46078</v>
      </c>
      <c r="R317" s="38">
        <v>46083</v>
      </c>
      <c r="S317" s="33">
        <f t="shared" si="17"/>
        <v>3</v>
      </c>
    </row>
    <row r="318" spans="1:19" x14ac:dyDescent="0.25">
      <c r="A318" s="403" t="str">
        <f t="shared" si="13"/>
        <v>46050460500000-00-0046091460910000-00-000000-00-000000-00-000000-00-000000-00-000000-00-000000-00-0046094460944609446101461063</v>
      </c>
      <c r="B318" s="142">
        <v>46050</v>
      </c>
      <c r="C318" s="142">
        <v>46050</v>
      </c>
      <c r="D318" s="2" t="s">
        <v>55</v>
      </c>
      <c r="E318" s="104">
        <v>46091</v>
      </c>
      <c r="F318" s="104">
        <v>46091</v>
      </c>
      <c r="G318" s="2" t="s">
        <v>55</v>
      </c>
      <c r="H318" s="2" t="s">
        <v>55</v>
      </c>
      <c r="I318" s="2" t="s">
        <v>55</v>
      </c>
      <c r="J318" s="2" t="s">
        <v>55</v>
      </c>
      <c r="K318" s="2" t="s">
        <v>55</v>
      </c>
      <c r="L318" s="2" t="s">
        <v>55</v>
      </c>
      <c r="M318" s="2" t="s">
        <v>55</v>
      </c>
      <c r="N318" s="28">
        <v>46094</v>
      </c>
      <c r="O318" s="28">
        <v>46094</v>
      </c>
      <c r="P318" s="28">
        <v>46094</v>
      </c>
      <c r="Q318" s="28">
        <v>46101</v>
      </c>
      <c r="R318" s="140">
        <v>46106</v>
      </c>
      <c r="S318" s="33">
        <f t="shared" si="17"/>
        <v>3</v>
      </c>
    </row>
    <row r="319" spans="1:19" x14ac:dyDescent="0.25">
      <c r="A319" s="403" t="str">
        <f t="shared" si="13"/>
        <v>46051460510000-00-0046055460550000-00-000000-00-000000-00-000000-00-000000-00-000000-00-000000-00-0046078460794607946090460933</v>
      </c>
      <c r="B319" s="142">
        <v>46051</v>
      </c>
      <c r="C319" s="142">
        <v>46051</v>
      </c>
      <c r="D319" s="2" t="s">
        <v>55</v>
      </c>
      <c r="E319" s="104">
        <v>46055</v>
      </c>
      <c r="F319" s="104">
        <v>46055</v>
      </c>
      <c r="G319" s="2" t="s">
        <v>55</v>
      </c>
      <c r="H319" s="2" t="s">
        <v>55</v>
      </c>
      <c r="I319" s="2" t="s">
        <v>55</v>
      </c>
      <c r="J319" s="2" t="s">
        <v>55</v>
      </c>
      <c r="K319" s="2" t="s">
        <v>55</v>
      </c>
      <c r="L319" s="2" t="s">
        <v>55</v>
      </c>
      <c r="M319" s="2" t="s">
        <v>55</v>
      </c>
      <c r="N319" s="30">
        <v>46078</v>
      </c>
      <c r="O319" s="28">
        <v>46079</v>
      </c>
      <c r="P319" s="28">
        <v>46079</v>
      </c>
      <c r="Q319" s="28">
        <v>46090</v>
      </c>
      <c r="R319" s="104">
        <v>46093</v>
      </c>
      <c r="S319" s="33">
        <f t="shared" si="17"/>
        <v>3</v>
      </c>
    </row>
    <row r="320" spans="1:19" x14ac:dyDescent="0.25">
      <c r="A320" s="403" t="str">
        <f t="shared" si="13"/>
        <v>46050460500000-00-0046059460590000-00-000000-00-000000-00-000000-00-000000-00-000000-00-000000-00-0046079460844608546092460933</v>
      </c>
      <c r="B320" s="142">
        <v>46050</v>
      </c>
      <c r="C320" s="142">
        <v>46050</v>
      </c>
      <c r="D320" s="33" t="s">
        <v>55</v>
      </c>
      <c r="E320" s="142">
        <v>46059</v>
      </c>
      <c r="F320" s="142">
        <v>46059</v>
      </c>
      <c r="G320" s="33" t="s">
        <v>55</v>
      </c>
      <c r="H320" s="33" t="s">
        <v>55</v>
      </c>
      <c r="I320" s="33" t="s">
        <v>55</v>
      </c>
      <c r="J320" s="33" t="s">
        <v>55</v>
      </c>
      <c r="K320" s="33" t="s">
        <v>55</v>
      </c>
      <c r="L320" s="33" t="s">
        <v>55</v>
      </c>
      <c r="M320" s="33" t="s">
        <v>55</v>
      </c>
      <c r="N320" s="28">
        <v>46079</v>
      </c>
      <c r="O320" s="28">
        <v>46084</v>
      </c>
      <c r="P320" s="28">
        <v>46085</v>
      </c>
      <c r="Q320" s="28">
        <v>46092</v>
      </c>
      <c r="R320" s="16">
        <v>46093</v>
      </c>
      <c r="S320" s="33">
        <f t="shared" si="17"/>
        <v>3</v>
      </c>
    </row>
    <row r="321" spans="1:19" x14ac:dyDescent="0.25">
      <c r="A321" s="403" t="str">
        <f t="shared" si="13"/>
        <v>46055460520000-00-0046078460780000-00-000000-00-000000-00-000000-00-000000-00-000000-00-000000-00-0046086460864608646092460933</v>
      </c>
      <c r="B321" s="158">
        <v>46055</v>
      </c>
      <c r="C321" s="142">
        <v>46052</v>
      </c>
      <c r="D321" s="3" t="s">
        <v>55</v>
      </c>
      <c r="E321" s="73">
        <v>46078</v>
      </c>
      <c r="F321" s="73">
        <v>46078</v>
      </c>
      <c r="G321" s="3" t="s">
        <v>55</v>
      </c>
      <c r="H321" s="3" t="s">
        <v>55</v>
      </c>
      <c r="I321" s="3" t="s">
        <v>55</v>
      </c>
      <c r="J321" s="3" t="s">
        <v>55</v>
      </c>
      <c r="K321" s="3" t="s">
        <v>55</v>
      </c>
      <c r="L321" s="3" t="s">
        <v>55</v>
      </c>
      <c r="M321" s="3" t="s">
        <v>55</v>
      </c>
      <c r="N321" s="28">
        <v>46086</v>
      </c>
      <c r="O321" s="28">
        <v>46086</v>
      </c>
      <c r="P321" s="28">
        <v>46086</v>
      </c>
      <c r="Q321" s="28">
        <v>46092</v>
      </c>
      <c r="R321" s="140">
        <v>46093</v>
      </c>
      <c r="S321" s="33">
        <f t="shared" si="17"/>
        <v>3</v>
      </c>
    </row>
    <row r="322" spans="1:19" x14ac:dyDescent="0.25">
      <c r="A322" s="403" t="str">
        <f t="shared" ref="A322:A385" si="18">+B322&amp;C322&amp;D322&amp;E322&amp;F322&amp;G322&amp;H322&amp;I322&amp;J322&amp;K322&amp;L322&amp;M322&amp;N322&amp;O322&amp;P322&amp;Q322&amp;R322&amp;S322</f>
        <v>46055460520000-00-0046078460780000-00-000000-00-000000-00-000000-00-000000-00-000000-00-000000-00-0046093460934609746101461063</v>
      </c>
      <c r="B322" s="142">
        <v>46055</v>
      </c>
      <c r="C322" s="142">
        <v>46052</v>
      </c>
      <c r="D322" s="3" t="s">
        <v>55</v>
      </c>
      <c r="E322" s="73">
        <v>46078</v>
      </c>
      <c r="F322" s="73">
        <v>46078</v>
      </c>
      <c r="G322" s="3" t="s">
        <v>55</v>
      </c>
      <c r="H322" s="3" t="s">
        <v>55</v>
      </c>
      <c r="I322" s="3" t="s">
        <v>55</v>
      </c>
      <c r="J322" s="3" t="s">
        <v>55</v>
      </c>
      <c r="K322" s="3" t="s">
        <v>55</v>
      </c>
      <c r="L322" s="3" t="s">
        <v>55</v>
      </c>
      <c r="M322" s="3" t="s">
        <v>55</v>
      </c>
      <c r="N322" s="30">
        <v>46093</v>
      </c>
      <c r="O322" s="30">
        <v>46093</v>
      </c>
      <c r="P322" s="30">
        <v>46097</v>
      </c>
      <c r="Q322" s="28">
        <v>46101</v>
      </c>
      <c r="R322" s="140">
        <v>46106</v>
      </c>
      <c r="S322" s="33">
        <f t="shared" si="17"/>
        <v>3</v>
      </c>
    </row>
    <row r="323" spans="1:19" x14ac:dyDescent="0.25">
      <c r="A323" s="403" t="str">
        <f t="shared" si="18"/>
        <v>46055460550000-00-0046057460640000-00-000000-00-000000-00-000000-00-000000-00-000000-00-000000-00-0046085460854608546091460933</v>
      </c>
      <c r="B323" s="142">
        <v>46055</v>
      </c>
      <c r="C323" s="142">
        <v>46055</v>
      </c>
      <c r="D323" s="33" t="s">
        <v>55</v>
      </c>
      <c r="E323" s="142">
        <v>46057</v>
      </c>
      <c r="F323" s="142">
        <v>46064</v>
      </c>
      <c r="G323" s="33" t="s">
        <v>55</v>
      </c>
      <c r="H323" s="33" t="s">
        <v>55</v>
      </c>
      <c r="I323" s="33" t="s">
        <v>55</v>
      </c>
      <c r="J323" s="33" t="s">
        <v>55</v>
      </c>
      <c r="K323" s="33" t="s">
        <v>55</v>
      </c>
      <c r="L323" s="33" t="s">
        <v>55</v>
      </c>
      <c r="M323" s="33" t="s">
        <v>55</v>
      </c>
      <c r="N323" s="28">
        <v>46085</v>
      </c>
      <c r="O323" s="28">
        <v>46085</v>
      </c>
      <c r="P323" s="28">
        <v>46085</v>
      </c>
      <c r="Q323" s="28">
        <v>46091</v>
      </c>
      <c r="R323" s="140">
        <v>46093</v>
      </c>
      <c r="S323" s="33">
        <f t="shared" si="17"/>
        <v>3</v>
      </c>
    </row>
    <row r="324" spans="1:19" x14ac:dyDescent="0.25">
      <c r="A324" s="403" t="str">
        <f t="shared" si="18"/>
        <v>46055460550000-00-0046087460870000-00-000000-00-000000-00-000000-00-000000-00-000000-00-000000-00-0046094460944609446101461063</v>
      </c>
      <c r="B324" s="142">
        <v>46055</v>
      </c>
      <c r="C324" s="142">
        <v>46055</v>
      </c>
      <c r="D324" s="18" t="s">
        <v>55</v>
      </c>
      <c r="E324" s="30">
        <v>46087</v>
      </c>
      <c r="F324" s="30">
        <v>46087</v>
      </c>
      <c r="G324" s="18" t="s">
        <v>55</v>
      </c>
      <c r="H324" s="18" t="s">
        <v>55</v>
      </c>
      <c r="I324" s="18" t="s">
        <v>55</v>
      </c>
      <c r="J324" s="18" t="s">
        <v>55</v>
      </c>
      <c r="K324" s="18" t="s">
        <v>55</v>
      </c>
      <c r="L324" s="18" t="s">
        <v>55</v>
      </c>
      <c r="M324" s="18" t="s">
        <v>55</v>
      </c>
      <c r="N324" s="28">
        <v>46094</v>
      </c>
      <c r="O324" s="28">
        <v>46094</v>
      </c>
      <c r="P324" s="28">
        <v>46094</v>
      </c>
      <c r="Q324" s="28">
        <v>46101</v>
      </c>
      <c r="R324" s="140">
        <v>46106</v>
      </c>
      <c r="S324" s="33">
        <f t="shared" si="17"/>
        <v>3</v>
      </c>
    </row>
    <row r="325" spans="1:19" x14ac:dyDescent="0.25">
      <c r="A325" s="403" t="str">
        <f t="shared" si="18"/>
        <v>46055460550000-00-0046057460570000-00-000000-00-000000-00-000000-00-000000-00-000000-00-000000-00-0046064460714607646080460833</v>
      </c>
      <c r="B325" s="142">
        <v>46055</v>
      </c>
      <c r="C325" s="142">
        <v>46055</v>
      </c>
      <c r="D325" s="3" t="s">
        <v>55</v>
      </c>
      <c r="E325" s="73">
        <v>46057</v>
      </c>
      <c r="F325" s="73">
        <v>46057</v>
      </c>
      <c r="G325" s="3" t="s">
        <v>55</v>
      </c>
      <c r="H325" s="3" t="s">
        <v>55</v>
      </c>
      <c r="I325" s="3" t="s">
        <v>55</v>
      </c>
      <c r="J325" s="3" t="s">
        <v>55</v>
      </c>
      <c r="K325" s="3" t="s">
        <v>55</v>
      </c>
      <c r="L325" s="3" t="s">
        <v>55</v>
      </c>
      <c r="M325" s="3" t="s">
        <v>55</v>
      </c>
      <c r="N325" s="28">
        <v>46064</v>
      </c>
      <c r="O325" s="28">
        <v>46071</v>
      </c>
      <c r="P325" s="28">
        <v>46076</v>
      </c>
      <c r="Q325" s="28">
        <v>46080</v>
      </c>
      <c r="R325" s="37">
        <v>46083</v>
      </c>
      <c r="S325" s="33">
        <f t="shared" si="17"/>
        <v>3</v>
      </c>
    </row>
    <row r="326" spans="1:19" x14ac:dyDescent="0.25">
      <c r="A326" s="403" t="str">
        <f t="shared" si="18"/>
        <v>46055460550000-00-000000-00-000000-00-000000-00-000000-00-000000-00-000000-00-000000-00-000000-00-000000-00-000000-00-00460554605646083460833</v>
      </c>
      <c r="B326" s="142">
        <v>46055</v>
      </c>
      <c r="C326" s="142">
        <v>46055</v>
      </c>
      <c r="D326" s="3" t="s">
        <v>55</v>
      </c>
      <c r="E326" s="116" t="s">
        <v>55</v>
      </c>
      <c r="F326" s="116" t="s">
        <v>55</v>
      </c>
      <c r="G326" s="3" t="s">
        <v>55</v>
      </c>
      <c r="H326" s="3" t="s">
        <v>55</v>
      </c>
      <c r="I326" s="3" t="s">
        <v>55</v>
      </c>
      <c r="J326" s="3" t="s">
        <v>55</v>
      </c>
      <c r="K326" s="3" t="s">
        <v>55</v>
      </c>
      <c r="L326" s="3" t="s">
        <v>55</v>
      </c>
      <c r="M326" s="3" t="s">
        <v>55</v>
      </c>
      <c r="N326" s="16" t="s">
        <v>55</v>
      </c>
      <c r="O326" s="28">
        <v>46055</v>
      </c>
      <c r="P326" s="28">
        <v>46056</v>
      </c>
      <c r="Q326" s="28">
        <v>46083</v>
      </c>
      <c r="R326" s="16">
        <v>46083</v>
      </c>
      <c r="S326" s="33">
        <v>3</v>
      </c>
    </row>
    <row r="327" spans="1:19" x14ac:dyDescent="0.25">
      <c r="A327" s="403" t="str">
        <f t="shared" si="18"/>
        <v>46056460550000-00-0046065460784605846059460650000-00-000000-00-000000-00-004607846093460934609446100461063</v>
      </c>
      <c r="B327" s="142">
        <v>46056</v>
      </c>
      <c r="C327" s="142">
        <v>46055</v>
      </c>
      <c r="D327" s="3" t="s">
        <v>55</v>
      </c>
      <c r="E327" s="155">
        <v>46065</v>
      </c>
      <c r="F327" s="155">
        <v>46078</v>
      </c>
      <c r="G327" s="30">
        <v>46058</v>
      </c>
      <c r="H327" s="30">
        <v>46059</v>
      </c>
      <c r="I327" s="30">
        <v>46065</v>
      </c>
      <c r="J327" s="3" t="s">
        <v>55</v>
      </c>
      <c r="K327" s="3" t="s">
        <v>55</v>
      </c>
      <c r="L327" s="3" t="s">
        <v>55</v>
      </c>
      <c r="M327" s="37">
        <v>46078</v>
      </c>
      <c r="N327" s="28">
        <v>46093</v>
      </c>
      <c r="O327" s="28">
        <v>46093</v>
      </c>
      <c r="P327" s="28">
        <v>46094</v>
      </c>
      <c r="Q327" s="28">
        <v>46100</v>
      </c>
      <c r="R327" s="140">
        <v>46106</v>
      </c>
      <c r="S327" s="33">
        <f t="shared" ref="S327:S360" si="19">MONTH(R327)</f>
        <v>3</v>
      </c>
    </row>
    <row r="328" spans="1:19" x14ac:dyDescent="0.25">
      <c r="A328" s="403" t="str">
        <f t="shared" si="18"/>
        <v>46064460550000-00-000000-00-000000-00-000000-00-000000-00-000000-00-000000-00-000000-00-000000-00-000000-00-0046076460764607646080460833</v>
      </c>
      <c r="B328" s="142">
        <v>46064</v>
      </c>
      <c r="C328" s="142">
        <v>46055</v>
      </c>
      <c r="D328" s="2" t="s">
        <v>55</v>
      </c>
      <c r="E328" s="18" t="s">
        <v>55</v>
      </c>
      <c r="F328" s="18" t="s">
        <v>55</v>
      </c>
      <c r="G328" s="18" t="s">
        <v>55</v>
      </c>
      <c r="H328" s="18" t="s">
        <v>55</v>
      </c>
      <c r="I328" s="18" t="s">
        <v>55</v>
      </c>
      <c r="J328" s="18" t="s">
        <v>55</v>
      </c>
      <c r="K328" s="18" t="s">
        <v>55</v>
      </c>
      <c r="L328" s="18" t="s">
        <v>55</v>
      </c>
      <c r="M328" s="18" t="s">
        <v>55</v>
      </c>
      <c r="N328" s="148">
        <v>46076</v>
      </c>
      <c r="O328" s="148">
        <v>46076</v>
      </c>
      <c r="P328" s="148">
        <v>46076</v>
      </c>
      <c r="Q328" s="28">
        <v>46080</v>
      </c>
      <c r="R328" s="38">
        <v>46083</v>
      </c>
      <c r="S328" s="33">
        <f t="shared" si="19"/>
        <v>3</v>
      </c>
    </row>
    <row r="329" spans="1:19" x14ac:dyDescent="0.25">
      <c r="A329" s="403" t="str">
        <f t="shared" si="18"/>
        <v>46055460550000-00-000000-00-000000-00-000000-00-000000-00-000000-00-000000-00-000000-00-000000-00-000000-00-0046076460764607646080460833</v>
      </c>
      <c r="B329" s="142">
        <v>46055</v>
      </c>
      <c r="C329" s="142">
        <v>46055</v>
      </c>
      <c r="D329" s="18" t="s">
        <v>55</v>
      </c>
      <c r="E329" s="2" t="s">
        <v>55</v>
      </c>
      <c r="F329" s="2" t="s">
        <v>55</v>
      </c>
      <c r="G329" s="18" t="s">
        <v>55</v>
      </c>
      <c r="H329" s="18" t="s">
        <v>55</v>
      </c>
      <c r="I329" s="18" t="s">
        <v>55</v>
      </c>
      <c r="J329" s="18" t="s">
        <v>55</v>
      </c>
      <c r="K329" s="18" t="s">
        <v>55</v>
      </c>
      <c r="L329" s="18" t="s">
        <v>55</v>
      </c>
      <c r="M329" s="18" t="s">
        <v>55</v>
      </c>
      <c r="N329" s="148">
        <v>46076</v>
      </c>
      <c r="O329" s="148">
        <v>46076</v>
      </c>
      <c r="P329" s="148">
        <v>46076</v>
      </c>
      <c r="Q329" s="28">
        <v>46080</v>
      </c>
      <c r="R329" s="38">
        <v>46083</v>
      </c>
      <c r="S329" s="33">
        <f t="shared" si="19"/>
        <v>3</v>
      </c>
    </row>
    <row r="330" spans="1:19" x14ac:dyDescent="0.25">
      <c r="A330" s="403" t="str">
        <f t="shared" si="18"/>
        <v>46056460560000-00-000000-00-000000-00-000000-00-000000-00-000000-00-000000-00-000000-00-000000-00-000000-00-0046063460654606546073460833</v>
      </c>
      <c r="B330" s="142">
        <v>46056</v>
      </c>
      <c r="C330" s="142">
        <v>46056</v>
      </c>
      <c r="D330" s="18" t="s">
        <v>55</v>
      </c>
      <c r="E330" s="18" t="s">
        <v>55</v>
      </c>
      <c r="F330" s="18" t="s">
        <v>55</v>
      </c>
      <c r="G330" s="18" t="s">
        <v>55</v>
      </c>
      <c r="H330" s="18" t="s">
        <v>55</v>
      </c>
      <c r="I330" s="18" t="s">
        <v>55</v>
      </c>
      <c r="J330" s="18" t="s">
        <v>55</v>
      </c>
      <c r="K330" s="18" t="s">
        <v>55</v>
      </c>
      <c r="L330" s="18" t="s">
        <v>55</v>
      </c>
      <c r="M330" s="18" t="s">
        <v>55</v>
      </c>
      <c r="N330" s="30">
        <v>46063</v>
      </c>
      <c r="O330" s="28">
        <v>46065</v>
      </c>
      <c r="P330" s="28">
        <v>46065</v>
      </c>
      <c r="Q330" s="28">
        <v>46073</v>
      </c>
      <c r="R330" s="37">
        <v>46083</v>
      </c>
      <c r="S330" s="33">
        <f t="shared" si="19"/>
        <v>3</v>
      </c>
    </row>
    <row r="331" spans="1:19" x14ac:dyDescent="0.25">
      <c r="A331" s="403" t="str">
        <f t="shared" si="18"/>
        <v>46056460560000-00-0046084460840000-00-000000-00-000000-00-000000-00-000000-00-000000-00-000000-00-0046091460914609146100461003</v>
      </c>
      <c r="B331" s="142">
        <v>46056</v>
      </c>
      <c r="C331" s="142">
        <v>46056</v>
      </c>
      <c r="D331" s="3" t="s">
        <v>55</v>
      </c>
      <c r="E331" s="30">
        <v>46084</v>
      </c>
      <c r="F331" s="30">
        <v>46084</v>
      </c>
      <c r="G331" s="3" t="s">
        <v>55</v>
      </c>
      <c r="H331" s="3" t="s">
        <v>55</v>
      </c>
      <c r="I331" s="3" t="s">
        <v>55</v>
      </c>
      <c r="J331" s="3" t="s">
        <v>55</v>
      </c>
      <c r="K331" s="3" t="s">
        <v>55</v>
      </c>
      <c r="L331" s="3" t="s">
        <v>55</v>
      </c>
      <c r="M331" s="18" t="s">
        <v>55</v>
      </c>
      <c r="N331" s="30">
        <v>46091</v>
      </c>
      <c r="O331" s="28">
        <v>46091</v>
      </c>
      <c r="P331" s="28">
        <v>46091</v>
      </c>
      <c r="Q331" s="28">
        <v>46100</v>
      </c>
      <c r="R331" s="30">
        <v>46100</v>
      </c>
      <c r="S331" s="33">
        <f t="shared" si="19"/>
        <v>3</v>
      </c>
    </row>
    <row r="332" spans="1:19" x14ac:dyDescent="0.25">
      <c r="A332" s="403" t="str">
        <f t="shared" si="18"/>
        <v>46085460570000-00-0046090460900000-00-000000-00-000000-00-000000-00-000000-00-000000-00-000000-00-0046097460974609746101461063</v>
      </c>
      <c r="B332" s="142">
        <v>46085</v>
      </c>
      <c r="C332" s="142">
        <v>46057</v>
      </c>
      <c r="D332" s="3" t="s">
        <v>55</v>
      </c>
      <c r="E332" s="73">
        <v>46090</v>
      </c>
      <c r="F332" s="73">
        <v>46090</v>
      </c>
      <c r="G332" s="3" t="s">
        <v>55</v>
      </c>
      <c r="H332" s="3" t="s">
        <v>55</v>
      </c>
      <c r="I332" s="3" t="s">
        <v>55</v>
      </c>
      <c r="J332" s="3" t="s">
        <v>55</v>
      </c>
      <c r="K332" s="3" t="s">
        <v>55</v>
      </c>
      <c r="L332" s="3" t="s">
        <v>55</v>
      </c>
      <c r="M332" s="3" t="s">
        <v>55</v>
      </c>
      <c r="N332" s="30">
        <v>46097</v>
      </c>
      <c r="O332" s="30">
        <v>46097</v>
      </c>
      <c r="P332" s="30">
        <v>46097</v>
      </c>
      <c r="Q332" s="28">
        <v>46101</v>
      </c>
      <c r="R332" s="140">
        <v>46106</v>
      </c>
      <c r="S332" s="33">
        <f t="shared" si="19"/>
        <v>3</v>
      </c>
    </row>
    <row r="333" spans="1:19" x14ac:dyDescent="0.25">
      <c r="A333" s="403" t="str">
        <f t="shared" si="18"/>
        <v>46058460580000-00-000000-00-000000-00-000000-00-000000-00-000000-00-000000-00-000000-00-000000-00-000000-00-0046069460694606946079460833</v>
      </c>
      <c r="B333" s="142">
        <v>46058</v>
      </c>
      <c r="C333" s="142">
        <v>46058</v>
      </c>
      <c r="D333" s="2" t="s">
        <v>55</v>
      </c>
      <c r="E333" s="2" t="s">
        <v>55</v>
      </c>
      <c r="F333" s="2" t="s">
        <v>55</v>
      </c>
      <c r="G333" s="2" t="s">
        <v>55</v>
      </c>
      <c r="H333" s="2" t="s">
        <v>55</v>
      </c>
      <c r="I333" s="2" t="s">
        <v>55</v>
      </c>
      <c r="J333" s="2" t="s">
        <v>55</v>
      </c>
      <c r="K333" s="2" t="s">
        <v>55</v>
      </c>
      <c r="L333" s="2" t="s">
        <v>55</v>
      </c>
      <c r="M333" s="2" t="s">
        <v>55</v>
      </c>
      <c r="N333" s="104">
        <v>46069</v>
      </c>
      <c r="O333" s="104">
        <v>46069</v>
      </c>
      <c r="P333" s="104">
        <v>46069</v>
      </c>
      <c r="Q333" s="28">
        <v>46079</v>
      </c>
      <c r="R333" s="37">
        <v>46083</v>
      </c>
      <c r="S333" s="33">
        <f t="shared" si="19"/>
        <v>3</v>
      </c>
    </row>
    <row r="334" spans="1:19" x14ac:dyDescent="0.25">
      <c r="A334" s="403" t="str">
        <f t="shared" si="18"/>
        <v>46057460570000-00-0046063460730000-00-000000-00-000000-00-000000-00-000000-00-000000-00-000000-00-0046076460764607646080460833</v>
      </c>
      <c r="B334" s="142">
        <v>46057</v>
      </c>
      <c r="C334" s="142">
        <v>46057</v>
      </c>
      <c r="D334" s="3" t="s">
        <v>55</v>
      </c>
      <c r="E334" s="153">
        <v>46063</v>
      </c>
      <c r="F334" s="153">
        <v>46073</v>
      </c>
      <c r="G334" s="3" t="s">
        <v>55</v>
      </c>
      <c r="H334" s="3" t="s">
        <v>55</v>
      </c>
      <c r="I334" s="3" t="s">
        <v>55</v>
      </c>
      <c r="J334" s="3" t="s">
        <v>55</v>
      </c>
      <c r="K334" s="3" t="s">
        <v>55</v>
      </c>
      <c r="L334" s="3" t="s">
        <v>55</v>
      </c>
      <c r="M334" s="3" t="s">
        <v>55</v>
      </c>
      <c r="N334" s="104">
        <v>46076</v>
      </c>
      <c r="O334" s="104">
        <v>46076</v>
      </c>
      <c r="P334" s="104">
        <v>46076</v>
      </c>
      <c r="Q334" s="28">
        <v>46080</v>
      </c>
      <c r="R334" s="37">
        <v>46083</v>
      </c>
      <c r="S334" s="33">
        <f t="shared" si="19"/>
        <v>3</v>
      </c>
    </row>
    <row r="335" spans="1:19" x14ac:dyDescent="0.25">
      <c r="A335" s="403" t="str">
        <f t="shared" si="18"/>
        <v>46065460540000-00-000000-00-000000-00-000000-00-000000-00-000000-00-000000-00-000000-00-000000-00-000000-00-0046079460804608046091460933</v>
      </c>
      <c r="B335" s="142">
        <v>46065</v>
      </c>
      <c r="C335" s="142">
        <v>46054</v>
      </c>
      <c r="D335" s="2" t="s">
        <v>55</v>
      </c>
      <c r="E335" s="2" t="s">
        <v>55</v>
      </c>
      <c r="F335" s="2" t="s">
        <v>55</v>
      </c>
      <c r="G335" s="2" t="s">
        <v>55</v>
      </c>
      <c r="H335" s="2" t="s">
        <v>55</v>
      </c>
      <c r="I335" s="2" t="s">
        <v>55</v>
      </c>
      <c r="J335" s="2" t="s">
        <v>55</v>
      </c>
      <c r="K335" s="2" t="s">
        <v>55</v>
      </c>
      <c r="L335" s="2" t="s">
        <v>55</v>
      </c>
      <c r="M335" s="2" t="s">
        <v>55</v>
      </c>
      <c r="N335" s="28">
        <v>46079</v>
      </c>
      <c r="O335" s="28">
        <v>46080</v>
      </c>
      <c r="P335" s="28">
        <v>46080</v>
      </c>
      <c r="Q335" s="28">
        <v>46091</v>
      </c>
      <c r="R335" s="104">
        <v>46093</v>
      </c>
      <c r="S335" s="33">
        <f t="shared" si="19"/>
        <v>3</v>
      </c>
    </row>
    <row r="336" spans="1:19" x14ac:dyDescent="0.25">
      <c r="A336" s="403" t="str">
        <f t="shared" si="18"/>
        <v>46079460580000-00-000000-00-000000-00-000000-00-000000-00-000000-00-000000-00-000000-00-000000-00-000000-00-0046086460864608646092460933</v>
      </c>
      <c r="B336" s="142">
        <v>46079</v>
      </c>
      <c r="C336" s="142">
        <v>46058</v>
      </c>
      <c r="D336" s="2" t="s">
        <v>55</v>
      </c>
      <c r="E336" s="2" t="s">
        <v>55</v>
      </c>
      <c r="F336" s="2" t="s">
        <v>55</v>
      </c>
      <c r="G336" s="2" t="s">
        <v>55</v>
      </c>
      <c r="H336" s="2" t="s">
        <v>55</v>
      </c>
      <c r="I336" s="2" t="s">
        <v>55</v>
      </c>
      <c r="J336" s="2" t="s">
        <v>55</v>
      </c>
      <c r="K336" s="2" t="s">
        <v>55</v>
      </c>
      <c r="L336" s="2" t="s">
        <v>55</v>
      </c>
      <c r="M336" s="2" t="s">
        <v>55</v>
      </c>
      <c r="N336" s="104">
        <v>46086</v>
      </c>
      <c r="O336" s="104">
        <v>46086</v>
      </c>
      <c r="P336" s="104">
        <v>46086</v>
      </c>
      <c r="Q336" s="28">
        <v>46092</v>
      </c>
      <c r="R336" s="28">
        <v>46093</v>
      </c>
      <c r="S336" s="33">
        <f t="shared" si="19"/>
        <v>3</v>
      </c>
    </row>
    <row r="337" spans="1:19" x14ac:dyDescent="0.25">
      <c r="A337" s="403" t="str">
        <f t="shared" si="18"/>
        <v>46057460570000-00-0046069460790000-00-0046058460694608446086460864607846087460944609746101461063</v>
      </c>
      <c r="B337" s="142">
        <v>46057</v>
      </c>
      <c r="C337" s="142">
        <v>46057</v>
      </c>
      <c r="D337" s="18" t="s">
        <v>55</v>
      </c>
      <c r="E337" s="44">
        <v>46069</v>
      </c>
      <c r="F337" s="44">
        <v>46079</v>
      </c>
      <c r="G337" s="18" t="s">
        <v>55</v>
      </c>
      <c r="H337" s="37">
        <v>46058</v>
      </c>
      <c r="I337" s="37">
        <v>46069</v>
      </c>
      <c r="J337" s="37">
        <v>46084</v>
      </c>
      <c r="K337" s="37">
        <v>46086</v>
      </c>
      <c r="L337" s="37">
        <v>46086</v>
      </c>
      <c r="M337" s="37">
        <v>46078</v>
      </c>
      <c r="N337" s="28">
        <v>46087</v>
      </c>
      <c r="O337" s="28">
        <v>46094</v>
      </c>
      <c r="P337" s="28">
        <v>46097</v>
      </c>
      <c r="Q337" s="28">
        <v>46101</v>
      </c>
      <c r="R337" s="140">
        <v>46106</v>
      </c>
      <c r="S337" s="33">
        <f t="shared" si="19"/>
        <v>3</v>
      </c>
    </row>
    <row r="338" spans="1:19" x14ac:dyDescent="0.25">
      <c r="A338" s="403" t="str">
        <f t="shared" si="18"/>
        <v>46058460580000-00-0046063460630000-00-000000-00-000000-00-000000-00-000000-00-000000-00-000000-00-0046071460764607746083460833</v>
      </c>
      <c r="B338" s="142">
        <v>46058</v>
      </c>
      <c r="C338" s="142">
        <v>46058</v>
      </c>
      <c r="D338" s="3" t="s">
        <v>55</v>
      </c>
      <c r="E338" s="30">
        <v>46063</v>
      </c>
      <c r="F338" s="30">
        <v>46063</v>
      </c>
      <c r="G338" s="3" t="s">
        <v>55</v>
      </c>
      <c r="H338" s="3" t="s">
        <v>55</v>
      </c>
      <c r="I338" s="3" t="s">
        <v>55</v>
      </c>
      <c r="J338" s="3" t="s">
        <v>55</v>
      </c>
      <c r="K338" s="3" t="s">
        <v>55</v>
      </c>
      <c r="L338" s="3" t="s">
        <v>55</v>
      </c>
      <c r="M338" s="18" t="s">
        <v>55</v>
      </c>
      <c r="N338" s="30">
        <v>46071</v>
      </c>
      <c r="O338" s="28">
        <v>46076</v>
      </c>
      <c r="P338" s="28">
        <v>46077</v>
      </c>
      <c r="Q338" s="28">
        <v>46083</v>
      </c>
      <c r="R338" s="37">
        <v>46083</v>
      </c>
      <c r="S338" s="33">
        <f t="shared" si="19"/>
        <v>3</v>
      </c>
    </row>
    <row r="339" spans="1:19" x14ac:dyDescent="0.25">
      <c r="A339" s="403" t="str">
        <f t="shared" si="18"/>
        <v>46059460590000-00-000000-00-000000-00-000000-00-000000-00-000000-00-000000-00-000000-00-000000-00-000000-00-0046076460784607946087460933</v>
      </c>
      <c r="B339" s="142">
        <v>46059</v>
      </c>
      <c r="C339" s="142">
        <v>46059</v>
      </c>
      <c r="D339" s="33" t="s">
        <v>55</v>
      </c>
      <c r="E339" s="142" t="s">
        <v>55</v>
      </c>
      <c r="F339" s="142" t="s">
        <v>55</v>
      </c>
      <c r="G339" s="33" t="s">
        <v>55</v>
      </c>
      <c r="H339" s="33" t="s">
        <v>55</v>
      </c>
      <c r="I339" s="33" t="s">
        <v>55</v>
      </c>
      <c r="J339" s="33" t="s">
        <v>55</v>
      </c>
      <c r="K339" s="33" t="s">
        <v>55</v>
      </c>
      <c r="L339" s="33" t="s">
        <v>55</v>
      </c>
      <c r="M339" s="33" t="s">
        <v>55</v>
      </c>
      <c r="N339" s="148">
        <v>46076</v>
      </c>
      <c r="O339" s="28">
        <v>46078</v>
      </c>
      <c r="P339" s="28">
        <v>46079</v>
      </c>
      <c r="Q339" s="28">
        <v>46087</v>
      </c>
      <c r="R339" s="140">
        <v>46093</v>
      </c>
      <c r="S339" s="33">
        <f t="shared" si="19"/>
        <v>3</v>
      </c>
    </row>
    <row r="340" spans="1:19" x14ac:dyDescent="0.25">
      <c r="A340" s="403" t="str">
        <f t="shared" si="18"/>
        <v>46062460620000-00-000000-00-000000-00-000000-00-000000-00-000000-00-000000-00-000000-00-000000-00-000000-00-0046076460764607646080460833</v>
      </c>
      <c r="B340" s="142">
        <v>46062</v>
      </c>
      <c r="C340" s="142">
        <v>46062</v>
      </c>
      <c r="D340" s="33" t="s">
        <v>55</v>
      </c>
      <c r="E340" s="142" t="s">
        <v>55</v>
      </c>
      <c r="F340" s="142" t="s">
        <v>55</v>
      </c>
      <c r="G340" s="33" t="s">
        <v>55</v>
      </c>
      <c r="H340" s="33" t="s">
        <v>55</v>
      </c>
      <c r="I340" s="33" t="s">
        <v>55</v>
      </c>
      <c r="J340" s="33" t="s">
        <v>55</v>
      </c>
      <c r="K340" s="33" t="s">
        <v>55</v>
      </c>
      <c r="L340" s="33" t="s">
        <v>55</v>
      </c>
      <c r="M340" s="33" t="s">
        <v>55</v>
      </c>
      <c r="N340" s="148">
        <v>46076</v>
      </c>
      <c r="O340" s="148">
        <v>46076</v>
      </c>
      <c r="P340" s="148">
        <v>46076</v>
      </c>
      <c r="Q340" s="28">
        <v>46080</v>
      </c>
      <c r="R340" s="38">
        <v>46083</v>
      </c>
      <c r="S340" s="33">
        <f t="shared" si="19"/>
        <v>3</v>
      </c>
    </row>
    <row r="341" spans="1:19" x14ac:dyDescent="0.25">
      <c r="A341" s="403" t="str">
        <f t="shared" si="18"/>
        <v>46062460620000-00-0046069460780000-00-000000-00-000000-00-000000-00-000000-00-000000-00-000000-00-0046085460904609046098461063</v>
      </c>
      <c r="B341" s="142">
        <v>46062</v>
      </c>
      <c r="C341" s="142">
        <v>46062</v>
      </c>
      <c r="D341" s="3" t="s">
        <v>55</v>
      </c>
      <c r="E341" s="155">
        <v>46069</v>
      </c>
      <c r="F341" s="155">
        <v>46078</v>
      </c>
      <c r="G341" s="3" t="s">
        <v>55</v>
      </c>
      <c r="H341" s="3" t="s">
        <v>55</v>
      </c>
      <c r="I341" s="3" t="s">
        <v>55</v>
      </c>
      <c r="J341" s="3" t="s">
        <v>55</v>
      </c>
      <c r="K341" s="3" t="s">
        <v>55</v>
      </c>
      <c r="L341" s="3" t="s">
        <v>55</v>
      </c>
      <c r="M341" s="3" t="s">
        <v>55</v>
      </c>
      <c r="N341" s="28">
        <v>46085</v>
      </c>
      <c r="O341" s="28">
        <v>46090</v>
      </c>
      <c r="P341" s="28">
        <v>46090</v>
      </c>
      <c r="Q341" s="28">
        <v>46098</v>
      </c>
      <c r="R341" s="140">
        <v>46106</v>
      </c>
      <c r="S341" s="33">
        <f t="shared" si="19"/>
        <v>3</v>
      </c>
    </row>
    <row r="342" spans="1:19" x14ac:dyDescent="0.25">
      <c r="A342" s="403" t="str">
        <f t="shared" si="18"/>
        <v>46062460650000-00-0046064460730000-00-000000-00-000000-00-000000-00-000000-00-000000-00-000000-00-0046076460764607646080460833</v>
      </c>
      <c r="B342" s="142">
        <v>46062</v>
      </c>
      <c r="C342" s="142">
        <v>46065</v>
      </c>
      <c r="D342" s="3" t="s">
        <v>55</v>
      </c>
      <c r="E342" s="153">
        <v>46064</v>
      </c>
      <c r="F342" s="153">
        <v>46073</v>
      </c>
      <c r="G342" s="3" t="s">
        <v>55</v>
      </c>
      <c r="H342" s="3" t="s">
        <v>55</v>
      </c>
      <c r="I342" s="3" t="s">
        <v>55</v>
      </c>
      <c r="J342" s="3" t="s">
        <v>55</v>
      </c>
      <c r="K342" s="3" t="s">
        <v>55</v>
      </c>
      <c r="L342" s="3" t="s">
        <v>55</v>
      </c>
      <c r="M342" s="3" t="s">
        <v>55</v>
      </c>
      <c r="N342" s="104">
        <v>46076</v>
      </c>
      <c r="O342" s="104">
        <v>46076</v>
      </c>
      <c r="P342" s="104">
        <v>46076</v>
      </c>
      <c r="Q342" s="28">
        <v>46080</v>
      </c>
      <c r="R342" s="37">
        <v>46083</v>
      </c>
      <c r="S342" s="33">
        <f t="shared" si="19"/>
        <v>3</v>
      </c>
    </row>
    <row r="343" spans="1:19" x14ac:dyDescent="0.25">
      <c r="A343" s="403" t="str">
        <f t="shared" si="18"/>
        <v>46062460620000-00-000000-00-000000-00-000000-00-000000-00-000000-00-000000-00-000000-00-000000-00-000000-00-0046070460714607146079460833</v>
      </c>
      <c r="B343" s="142">
        <v>46062</v>
      </c>
      <c r="C343" s="142">
        <v>46062</v>
      </c>
      <c r="D343" s="33" t="s">
        <v>55</v>
      </c>
      <c r="E343" s="142" t="s">
        <v>55</v>
      </c>
      <c r="F343" s="142" t="s">
        <v>55</v>
      </c>
      <c r="G343" s="33" t="s">
        <v>55</v>
      </c>
      <c r="H343" s="33" t="s">
        <v>55</v>
      </c>
      <c r="I343" s="33" t="s">
        <v>55</v>
      </c>
      <c r="J343" s="33" t="s">
        <v>55</v>
      </c>
      <c r="K343" s="33" t="s">
        <v>55</v>
      </c>
      <c r="L343" s="33" t="s">
        <v>55</v>
      </c>
      <c r="M343" s="33" t="s">
        <v>55</v>
      </c>
      <c r="N343" s="28">
        <v>46070</v>
      </c>
      <c r="O343" s="28">
        <v>46071</v>
      </c>
      <c r="P343" s="28">
        <v>46071</v>
      </c>
      <c r="Q343" s="28">
        <v>46079</v>
      </c>
      <c r="R343" s="38">
        <v>46083</v>
      </c>
      <c r="S343" s="33">
        <f t="shared" si="19"/>
        <v>3</v>
      </c>
    </row>
    <row r="344" spans="1:19" x14ac:dyDescent="0.25">
      <c r="A344" s="403" t="str">
        <f t="shared" si="18"/>
        <v>46063460630000-00-000000-00-000000-00-000000-00-000000-00-000000-00-000000-00-000000-00-000000-00-000000-00-0046069460714607246080460833</v>
      </c>
      <c r="B344" s="174">
        <v>46063</v>
      </c>
      <c r="C344" s="174">
        <v>46063</v>
      </c>
      <c r="D344" s="99" t="s">
        <v>55</v>
      </c>
      <c r="E344" s="174" t="s">
        <v>55</v>
      </c>
      <c r="F344" s="174" t="s">
        <v>55</v>
      </c>
      <c r="G344" s="99" t="s">
        <v>55</v>
      </c>
      <c r="H344" s="99" t="s">
        <v>55</v>
      </c>
      <c r="I344" s="99" t="s">
        <v>55</v>
      </c>
      <c r="J344" s="99" t="s">
        <v>55</v>
      </c>
      <c r="K344" s="99" t="s">
        <v>55</v>
      </c>
      <c r="L344" s="99" t="s">
        <v>55</v>
      </c>
      <c r="M344" s="99" t="s">
        <v>55</v>
      </c>
      <c r="N344" s="404">
        <v>46069</v>
      </c>
      <c r="O344" s="178">
        <v>46071</v>
      </c>
      <c r="P344" s="178">
        <v>46072</v>
      </c>
      <c r="Q344" s="178">
        <v>46080</v>
      </c>
      <c r="R344" s="229">
        <v>46083</v>
      </c>
      <c r="S344" s="99">
        <f t="shared" si="19"/>
        <v>3</v>
      </c>
    </row>
    <row r="345" spans="1:19" x14ac:dyDescent="0.25">
      <c r="A345" s="403" t="str">
        <f t="shared" si="18"/>
        <v>46063460630000-00-0046064460640000-00-000000-00-000000-00-000000-00-000000-00-000000-00-000000-00-0046073460734607346087460903</v>
      </c>
      <c r="B345" s="142">
        <v>46063</v>
      </c>
      <c r="C345" s="142">
        <v>46063</v>
      </c>
      <c r="D345" s="2" t="s">
        <v>55</v>
      </c>
      <c r="E345" s="37">
        <v>46064</v>
      </c>
      <c r="F345" s="37">
        <v>46064</v>
      </c>
      <c r="G345" s="18" t="s">
        <v>55</v>
      </c>
      <c r="H345" s="18" t="s">
        <v>55</v>
      </c>
      <c r="I345" s="18" t="s">
        <v>55</v>
      </c>
      <c r="J345" s="18" t="s">
        <v>55</v>
      </c>
      <c r="K345" s="18" t="s">
        <v>55</v>
      </c>
      <c r="L345" s="18" t="s">
        <v>55</v>
      </c>
      <c r="M345" s="18" t="s">
        <v>55</v>
      </c>
      <c r="N345" s="28">
        <v>46073</v>
      </c>
      <c r="O345" s="28">
        <v>46073</v>
      </c>
      <c r="P345" s="28">
        <v>46073</v>
      </c>
      <c r="Q345" s="28">
        <v>46087</v>
      </c>
      <c r="R345" s="28">
        <v>46090</v>
      </c>
      <c r="S345" s="33">
        <f t="shared" si="19"/>
        <v>3</v>
      </c>
    </row>
    <row r="346" spans="1:19" x14ac:dyDescent="0.25">
      <c r="A346" s="403" t="str">
        <f t="shared" si="18"/>
        <v>46065460640000-00-000000-00-000000-00-000000-00-000000-00-000000-00-000000-00-000000-00-000000-00-000000-00-0046073460774607746080460833</v>
      </c>
      <c r="B346" s="142">
        <v>46065</v>
      </c>
      <c r="C346" s="142">
        <v>46064</v>
      </c>
      <c r="D346" s="3" t="s">
        <v>55</v>
      </c>
      <c r="E346" s="3" t="s">
        <v>55</v>
      </c>
      <c r="F346" s="3" t="s">
        <v>55</v>
      </c>
      <c r="G346" s="3" t="s">
        <v>55</v>
      </c>
      <c r="H346" s="3" t="s">
        <v>55</v>
      </c>
      <c r="I346" s="3" t="s">
        <v>55</v>
      </c>
      <c r="J346" s="3" t="s">
        <v>55</v>
      </c>
      <c r="K346" s="3" t="s">
        <v>55</v>
      </c>
      <c r="L346" s="3" t="s">
        <v>55</v>
      </c>
      <c r="M346" s="3" t="s">
        <v>55</v>
      </c>
      <c r="N346" s="28">
        <v>46073</v>
      </c>
      <c r="O346" s="28">
        <v>46077</v>
      </c>
      <c r="P346" s="28">
        <v>46077</v>
      </c>
      <c r="Q346" s="28">
        <v>46080</v>
      </c>
      <c r="R346" s="38">
        <v>46083</v>
      </c>
      <c r="S346" s="33">
        <f t="shared" si="19"/>
        <v>3</v>
      </c>
    </row>
    <row r="347" spans="1:19" x14ac:dyDescent="0.25">
      <c r="A347" s="403" t="str">
        <f t="shared" si="18"/>
        <v>46064460640000-00-0046071460720000-00-000000-00-000000-00-000000-00-000000-00-000000-00-000000-00-0046078460784608546099461063</v>
      </c>
      <c r="B347" s="142">
        <v>46064</v>
      </c>
      <c r="C347" s="142">
        <v>46064</v>
      </c>
      <c r="D347" s="33" t="s">
        <v>55</v>
      </c>
      <c r="E347" s="44">
        <v>46071</v>
      </c>
      <c r="F347" s="142">
        <v>46072</v>
      </c>
      <c r="G347" s="33" t="s">
        <v>55</v>
      </c>
      <c r="H347" s="33" t="s">
        <v>55</v>
      </c>
      <c r="I347" s="33" t="s">
        <v>55</v>
      </c>
      <c r="J347" s="33" t="s">
        <v>55</v>
      </c>
      <c r="K347" s="33" t="s">
        <v>55</v>
      </c>
      <c r="L347" s="33" t="s">
        <v>55</v>
      </c>
      <c r="M347" s="33" t="s">
        <v>55</v>
      </c>
      <c r="N347" s="28">
        <v>46078</v>
      </c>
      <c r="O347" s="28">
        <v>46078</v>
      </c>
      <c r="P347" s="28">
        <v>46085</v>
      </c>
      <c r="Q347" s="28">
        <v>46099</v>
      </c>
      <c r="R347" s="140">
        <v>46106</v>
      </c>
      <c r="S347" s="33">
        <f t="shared" si="19"/>
        <v>3</v>
      </c>
    </row>
    <row r="348" spans="1:19" x14ac:dyDescent="0.25">
      <c r="A348" s="403" t="str">
        <f t="shared" si="18"/>
        <v>46064460630000-00-0046071461000000-00-000000-00-000000-00-000000-00-000000-00-000000-00-000000-00-0046083460854608546098461063</v>
      </c>
      <c r="B348" s="142">
        <v>46064</v>
      </c>
      <c r="C348" s="142">
        <v>46063</v>
      </c>
      <c r="D348" s="33" t="s">
        <v>55</v>
      </c>
      <c r="E348" s="44">
        <v>46071</v>
      </c>
      <c r="F348" s="116">
        <v>46100</v>
      </c>
      <c r="G348" s="33" t="s">
        <v>55</v>
      </c>
      <c r="H348" s="33" t="s">
        <v>55</v>
      </c>
      <c r="I348" s="33" t="s">
        <v>55</v>
      </c>
      <c r="J348" s="33" t="s">
        <v>55</v>
      </c>
      <c r="K348" s="33" t="s">
        <v>55</v>
      </c>
      <c r="L348" s="33" t="s">
        <v>55</v>
      </c>
      <c r="M348" s="33" t="s">
        <v>55</v>
      </c>
      <c r="N348" s="28">
        <v>46083</v>
      </c>
      <c r="O348" s="28">
        <v>46085</v>
      </c>
      <c r="P348" s="28">
        <v>46085</v>
      </c>
      <c r="Q348" s="28">
        <v>46098</v>
      </c>
      <c r="R348" s="140">
        <v>46106</v>
      </c>
      <c r="S348" s="33">
        <f t="shared" si="19"/>
        <v>3</v>
      </c>
    </row>
    <row r="349" spans="1:19" x14ac:dyDescent="0.25">
      <c r="A349" s="403" t="str">
        <f t="shared" si="18"/>
        <v>46063460630000-00-0046073460730000-00-000000-00-000000-00-000000-00-000000-00-000000-00-000000-00-0046077460774607746080460833</v>
      </c>
      <c r="B349" s="142">
        <v>46063</v>
      </c>
      <c r="C349" s="142">
        <v>46063</v>
      </c>
      <c r="D349" s="33" t="s">
        <v>55</v>
      </c>
      <c r="E349" s="160">
        <v>46073</v>
      </c>
      <c r="F349" s="160">
        <v>46073</v>
      </c>
      <c r="G349" s="33" t="s">
        <v>55</v>
      </c>
      <c r="H349" s="33" t="s">
        <v>55</v>
      </c>
      <c r="I349" s="33" t="s">
        <v>55</v>
      </c>
      <c r="J349" s="33" t="s">
        <v>55</v>
      </c>
      <c r="K349" s="33" t="s">
        <v>55</v>
      </c>
      <c r="L349" s="33" t="s">
        <v>55</v>
      </c>
      <c r="M349" s="33" t="s">
        <v>55</v>
      </c>
      <c r="N349" s="28">
        <v>46077</v>
      </c>
      <c r="O349" s="28">
        <v>46077</v>
      </c>
      <c r="P349" s="28">
        <v>46077</v>
      </c>
      <c r="Q349" s="28">
        <v>46080</v>
      </c>
      <c r="R349" s="37">
        <v>46083</v>
      </c>
      <c r="S349" s="33">
        <f t="shared" si="19"/>
        <v>3</v>
      </c>
    </row>
    <row r="350" spans="1:19" x14ac:dyDescent="0.25">
      <c r="A350" s="403" t="str">
        <f t="shared" si="18"/>
        <v>46063460630000-00-0046078460780000-00-000000-00-000000-00-000000-00-000000-00-000000-00-000000-00-0046083460844608646092460933</v>
      </c>
      <c r="B350" s="142">
        <v>46063</v>
      </c>
      <c r="C350" s="142">
        <v>46063</v>
      </c>
      <c r="D350" s="3" t="s">
        <v>55</v>
      </c>
      <c r="E350" s="160">
        <v>46078</v>
      </c>
      <c r="F350" s="160">
        <v>46078</v>
      </c>
      <c r="G350" s="3" t="s">
        <v>55</v>
      </c>
      <c r="H350" s="3" t="s">
        <v>55</v>
      </c>
      <c r="I350" s="3" t="s">
        <v>55</v>
      </c>
      <c r="J350" s="3" t="s">
        <v>55</v>
      </c>
      <c r="K350" s="3" t="s">
        <v>55</v>
      </c>
      <c r="L350" s="3" t="s">
        <v>55</v>
      </c>
      <c r="M350" s="3" t="s">
        <v>55</v>
      </c>
      <c r="N350" s="44">
        <v>46083</v>
      </c>
      <c r="O350" s="28">
        <v>46084</v>
      </c>
      <c r="P350" s="28">
        <v>46086</v>
      </c>
      <c r="Q350" s="28">
        <v>46092</v>
      </c>
      <c r="R350" s="16">
        <v>46093</v>
      </c>
      <c r="S350" s="33">
        <f t="shared" si="19"/>
        <v>3</v>
      </c>
    </row>
    <row r="351" spans="1:19" x14ac:dyDescent="0.25">
      <c r="A351" s="403" t="str">
        <f t="shared" si="18"/>
        <v>46063460630000-00-0046066460660000-00-000000-00-000000-00-000000-00-000000-00-000000-00-000000-00-0046071460724607246083460833</v>
      </c>
      <c r="B351" s="142">
        <v>46063</v>
      </c>
      <c r="C351" s="142">
        <v>46063</v>
      </c>
      <c r="D351" s="33" t="s">
        <v>55</v>
      </c>
      <c r="E351" s="30">
        <v>46066</v>
      </c>
      <c r="F351" s="30">
        <v>46066</v>
      </c>
      <c r="G351" s="33" t="s">
        <v>55</v>
      </c>
      <c r="H351" s="33" t="s">
        <v>55</v>
      </c>
      <c r="I351" s="33" t="s">
        <v>55</v>
      </c>
      <c r="J351" s="33" t="s">
        <v>55</v>
      </c>
      <c r="K351" s="33" t="s">
        <v>55</v>
      </c>
      <c r="L351" s="33" t="s">
        <v>55</v>
      </c>
      <c r="M351" s="33" t="s">
        <v>55</v>
      </c>
      <c r="N351" s="28">
        <v>46071</v>
      </c>
      <c r="O351" s="28">
        <v>46072</v>
      </c>
      <c r="P351" s="28">
        <v>46072</v>
      </c>
      <c r="Q351" s="28">
        <v>46083</v>
      </c>
      <c r="R351" s="37">
        <v>46083</v>
      </c>
      <c r="S351" s="33">
        <f t="shared" si="19"/>
        <v>3</v>
      </c>
    </row>
    <row r="352" spans="1:19" x14ac:dyDescent="0.25">
      <c r="A352" s="403" t="str">
        <f t="shared" si="18"/>
        <v>46063460630000-00-000000-00-000000-00-000000-00-000000-00-000000-00-000000-00-000000-00-000000-00-000000-00-0046071460724607246080460833</v>
      </c>
      <c r="B352" s="142">
        <v>46063</v>
      </c>
      <c r="C352" s="142">
        <v>46063</v>
      </c>
      <c r="D352" s="33" t="s">
        <v>55</v>
      </c>
      <c r="E352" s="142" t="s">
        <v>55</v>
      </c>
      <c r="F352" s="142" t="s">
        <v>55</v>
      </c>
      <c r="G352" s="33" t="s">
        <v>55</v>
      </c>
      <c r="H352" s="33" t="s">
        <v>55</v>
      </c>
      <c r="I352" s="33" t="s">
        <v>55</v>
      </c>
      <c r="J352" s="33" t="s">
        <v>55</v>
      </c>
      <c r="K352" s="33" t="s">
        <v>55</v>
      </c>
      <c r="L352" s="33" t="s">
        <v>55</v>
      </c>
      <c r="M352" s="33" t="s">
        <v>55</v>
      </c>
      <c r="N352" s="28">
        <v>46071</v>
      </c>
      <c r="O352" s="28">
        <v>46072</v>
      </c>
      <c r="P352" s="28">
        <v>46072</v>
      </c>
      <c r="Q352" s="28">
        <v>46080</v>
      </c>
      <c r="R352" s="37">
        <v>46083</v>
      </c>
      <c r="S352" s="33">
        <f t="shared" si="19"/>
        <v>3</v>
      </c>
    </row>
    <row r="353" spans="1:19" x14ac:dyDescent="0.25">
      <c r="A353" s="403" t="str">
        <f t="shared" si="18"/>
        <v>46063460630000-00-000000-00-000000-00-000000-00-000000-00-000000-00-000000-00-000000-00-000000-00-000000-00-0046073460734607646080460833</v>
      </c>
      <c r="B353" s="142">
        <v>46063</v>
      </c>
      <c r="C353" s="142">
        <v>46063</v>
      </c>
      <c r="D353" s="33" t="s">
        <v>55</v>
      </c>
      <c r="E353" s="142" t="s">
        <v>55</v>
      </c>
      <c r="F353" s="142" t="s">
        <v>55</v>
      </c>
      <c r="G353" s="33" t="s">
        <v>55</v>
      </c>
      <c r="H353" s="33" t="s">
        <v>55</v>
      </c>
      <c r="I353" s="33" t="s">
        <v>55</v>
      </c>
      <c r="J353" s="33" t="s">
        <v>55</v>
      </c>
      <c r="K353" s="33" t="s">
        <v>55</v>
      </c>
      <c r="L353" s="33" t="s">
        <v>55</v>
      </c>
      <c r="M353" s="33" t="s">
        <v>55</v>
      </c>
      <c r="N353" s="28">
        <v>46073</v>
      </c>
      <c r="O353" s="28">
        <v>46073</v>
      </c>
      <c r="P353" s="28">
        <v>46076</v>
      </c>
      <c r="Q353" s="28">
        <v>46080</v>
      </c>
      <c r="R353" s="38">
        <v>46083</v>
      </c>
      <c r="S353" s="33">
        <f t="shared" si="19"/>
        <v>3</v>
      </c>
    </row>
    <row r="354" spans="1:19" x14ac:dyDescent="0.25">
      <c r="A354" s="403" t="str">
        <f t="shared" si="18"/>
        <v>46063460630000-00-000000-00-000000-00-000000-00-000000-00-000000-00-000000-00-000000-00-000000-00-000000-00-0046080460804608046092460933</v>
      </c>
      <c r="B354" s="142">
        <v>46063</v>
      </c>
      <c r="C354" s="142">
        <v>46063</v>
      </c>
      <c r="D354" s="33" t="s">
        <v>55</v>
      </c>
      <c r="E354" s="142" t="s">
        <v>55</v>
      </c>
      <c r="F354" s="142" t="s">
        <v>55</v>
      </c>
      <c r="G354" s="33" t="s">
        <v>55</v>
      </c>
      <c r="H354" s="33" t="s">
        <v>55</v>
      </c>
      <c r="I354" s="33" t="s">
        <v>55</v>
      </c>
      <c r="J354" s="33" t="s">
        <v>55</v>
      </c>
      <c r="K354" s="33" t="s">
        <v>55</v>
      </c>
      <c r="L354" s="33" t="s">
        <v>55</v>
      </c>
      <c r="M354" s="33" t="s">
        <v>55</v>
      </c>
      <c r="N354" s="28">
        <v>46080</v>
      </c>
      <c r="O354" s="28">
        <v>46080</v>
      </c>
      <c r="P354" s="28">
        <v>46080</v>
      </c>
      <c r="Q354" s="28">
        <v>46092</v>
      </c>
      <c r="R354" s="53">
        <v>46093</v>
      </c>
      <c r="S354" s="33">
        <f t="shared" si="19"/>
        <v>3</v>
      </c>
    </row>
    <row r="355" spans="1:19" x14ac:dyDescent="0.25">
      <c r="A355" s="403" t="str">
        <f t="shared" si="18"/>
        <v>46064460640000-00-000000-00-000000-00-000000-00-000000-00-000000-00-000000-00-000000-00-000000-00-000000-00-0046076460764607646080460833</v>
      </c>
      <c r="B355" s="142">
        <v>46064</v>
      </c>
      <c r="C355" s="142">
        <v>46064</v>
      </c>
      <c r="D355" s="3" t="s">
        <v>55</v>
      </c>
      <c r="E355" s="155" t="s">
        <v>55</v>
      </c>
      <c r="F355" s="155" t="s">
        <v>55</v>
      </c>
      <c r="G355" s="3" t="s">
        <v>55</v>
      </c>
      <c r="H355" s="3" t="s">
        <v>55</v>
      </c>
      <c r="I355" s="3" t="s">
        <v>55</v>
      </c>
      <c r="J355" s="3" t="s">
        <v>55</v>
      </c>
      <c r="K355" s="3" t="s">
        <v>55</v>
      </c>
      <c r="L355" s="3" t="s">
        <v>55</v>
      </c>
      <c r="M355" s="3" t="s">
        <v>55</v>
      </c>
      <c r="N355" s="148">
        <v>46076</v>
      </c>
      <c r="O355" s="148">
        <v>46076</v>
      </c>
      <c r="P355" s="148">
        <v>46076</v>
      </c>
      <c r="Q355" s="28">
        <v>46080</v>
      </c>
      <c r="R355" s="38">
        <v>46083</v>
      </c>
      <c r="S355" s="33">
        <f t="shared" si="19"/>
        <v>3</v>
      </c>
    </row>
    <row r="356" spans="1:19" x14ac:dyDescent="0.25">
      <c r="A356" s="403" t="str">
        <f t="shared" si="18"/>
        <v>46073460650000-00-0046086460860000-00-000000-00-000000-00-000000-00-000000-00-000000-00-000000-00-0046094460944609446106461063</v>
      </c>
      <c r="B356" s="142">
        <v>46073</v>
      </c>
      <c r="C356" s="142">
        <v>46065</v>
      </c>
      <c r="D356" s="3" t="s">
        <v>55</v>
      </c>
      <c r="E356" s="30">
        <v>46086</v>
      </c>
      <c r="F356" s="30">
        <v>46086</v>
      </c>
      <c r="G356" s="3" t="s">
        <v>55</v>
      </c>
      <c r="H356" s="3" t="s">
        <v>55</v>
      </c>
      <c r="I356" s="3" t="s">
        <v>55</v>
      </c>
      <c r="J356" s="3" t="s">
        <v>55</v>
      </c>
      <c r="K356" s="3" t="s">
        <v>55</v>
      </c>
      <c r="L356" s="3" t="s">
        <v>55</v>
      </c>
      <c r="M356" s="18" t="s">
        <v>55</v>
      </c>
      <c r="N356" s="28">
        <v>46094</v>
      </c>
      <c r="O356" s="28">
        <v>46094</v>
      </c>
      <c r="P356" s="28">
        <v>46094</v>
      </c>
      <c r="Q356" s="28">
        <v>46106</v>
      </c>
      <c r="R356" s="140">
        <v>46106</v>
      </c>
      <c r="S356" s="33">
        <f t="shared" si="19"/>
        <v>3</v>
      </c>
    </row>
    <row r="357" spans="1:19" x14ac:dyDescent="0.25">
      <c r="A357" s="403" t="str">
        <f t="shared" si="18"/>
        <v>46065460650000-00-000000-00-000000-00-000000-00-000000-00-000000-00-000000-00-000000-00-000000-00-000000-00-0046076460764607746091460933</v>
      </c>
      <c r="B357" s="142">
        <v>46065</v>
      </c>
      <c r="C357" s="142">
        <v>46065</v>
      </c>
      <c r="D357" s="33" t="s">
        <v>55</v>
      </c>
      <c r="E357" s="142" t="s">
        <v>55</v>
      </c>
      <c r="F357" s="142" t="s">
        <v>55</v>
      </c>
      <c r="G357" s="33" t="s">
        <v>55</v>
      </c>
      <c r="H357" s="33" t="s">
        <v>55</v>
      </c>
      <c r="I357" s="33" t="s">
        <v>55</v>
      </c>
      <c r="J357" s="33" t="s">
        <v>55</v>
      </c>
      <c r="K357" s="33" t="s">
        <v>55</v>
      </c>
      <c r="L357" s="33" t="s">
        <v>55</v>
      </c>
      <c r="M357" s="33" t="s">
        <v>55</v>
      </c>
      <c r="N357" s="28">
        <v>46076</v>
      </c>
      <c r="O357" s="28">
        <v>46076</v>
      </c>
      <c r="P357" s="28">
        <v>46077</v>
      </c>
      <c r="Q357" s="28">
        <v>46091</v>
      </c>
      <c r="R357" s="38">
        <v>46093</v>
      </c>
      <c r="S357" s="33">
        <f t="shared" si="19"/>
        <v>3</v>
      </c>
    </row>
    <row r="358" spans="1:19" x14ac:dyDescent="0.25">
      <c r="A358" s="403" t="str">
        <f t="shared" si="18"/>
        <v>46065460650000-00-000000-00-000000-00-000000-00-000000-00-000000-00-000000-00-000000-00-000000-00-000000-00-0046077460774607746086460933</v>
      </c>
      <c r="B358" s="142">
        <v>46065</v>
      </c>
      <c r="C358" s="142">
        <v>46065</v>
      </c>
      <c r="D358" s="33" t="s">
        <v>55</v>
      </c>
      <c r="E358" s="142" t="s">
        <v>55</v>
      </c>
      <c r="F358" s="142" t="s">
        <v>55</v>
      </c>
      <c r="G358" s="33" t="s">
        <v>55</v>
      </c>
      <c r="H358" s="33" t="s">
        <v>55</v>
      </c>
      <c r="I358" s="33" t="s">
        <v>55</v>
      </c>
      <c r="J358" s="33" t="s">
        <v>55</v>
      </c>
      <c r="K358" s="33" t="s">
        <v>55</v>
      </c>
      <c r="L358" s="33" t="s">
        <v>55</v>
      </c>
      <c r="M358" s="33" t="s">
        <v>55</v>
      </c>
      <c r="N358" s="28">
        <v>46077</v>
      </c>
      <c r="O358" s="28">
        <v>46077</v>
      </c>
      <c r="P358" s="28">
        <v>46077</v>
      </c>
      <c r="Q358" s="28">
        <v>46086</v>
      </c>
      <c r="R358" s="53">
        <v>46093</v>
      </c>
      <c r="S358" s="33">
        <f t="shared" si="19"/>
        <v>3</v>
      </c>
    </row>
    <row r="359" spans="1:19" x14ac:dyDescent="0.25">
      <c r="A359" s="403" t="str">
        <f t="shared" si="18"/>
        <v>46065460650000-00-000000-00-000000-00-000000-00-000000-00-000000-00-000000-00-000000-00-000000-00-000000-00-0046087460904609146100461063</v>
      </c>
      <c r="B359" s="142">
        <v>46065</v>
      </c>
      <c r="C359" s="142">
        <v>46065</v>
      </c>
      <c r="D359" s="33" t="s">
        <v>55</v>
      </c>
      <c r="E359" s="142" t="s">
        <v>55</v>
      </c>
      <c r="F359" s="142" t="s">
        <v>55</v>
      </c>
      <c r="G359" s="33" t="s">
        <v>55</v>
      </c>
      <c r="H359" s="33" t="s">
        <v>55</v>
      </c>
      <c r="I359" s="33" t="s">
        <v>55</v>
      </c>
      <c r="J359" s="33" t="s">
        <v>55</v>
      </c>
      <c r="K359" s="33" t="s">
        <v>55</v>
      </c>
      <c r="L359" s="33" t="s">
        <v>55</v>
      </c>
      <c r="M359" s="33" t="s">
        <v>55</v>
      </c>
      <c r="N359" s="28">
        <v>46087</v>
      </c>
      <c r="O359" s="28">
        <v>46090</v>
      </c>
      <c r="P359" s="28">
        <v>46091</v>
      </c>
      <c r="Q359" s="28">
        <v>46100</v>
      </c>
      <c r="R359" s="140">
        <v>46106</v>
      </c>
      <c r="S359" s="33">
        <f t="shared" si="19"/>
        <v>3</v>
      </c>
    </row>
    <row r="360" spans="1:19" x14ac:dyDescent="0.25">
      <c r="A360" s="403" t="str">
        <f t="shared" si="18"/>
        <v>46065460650000-00-0046070460930000-00-000000-00-000000-00-000000-00-000000-00-000000-00-000000-00-0046094460934609446101461063</v>
      </c>
      <c r="B360" s="142">
        <v>46065</v>
      </c>
      <c r="C360" s="142">
        <v>46065</v>
      </c>
      <c r="D360" s="3" t="s">
        <v>55</v>
      </c>
      <c r="E360" s="116">
        <v>46070</v>
      </c>
      <c r="F360" s="116">
        <v>46093</v>
      </c>
      <c r="G360" s="3" t="s">
        <v>55</v>
      </c>
      <c r="H360" s="3" t="s">
        <v>55</v>
      </c>
      <c r="I360" s="3" t="s">
        <v>55</v>
      </c>
      <c r="J360" s="3" t="s">
        <v>55</v>
      </c>
      <c r="K360" s="3" t="s">
        <v>55</v>
      </c>
      <c r="L360" s="3" t="s">
        <v>55</v>
      </c>
      <c r="M360" s="3" t="s">
        <v>55</v>
      </c>
      <c r="N360" s="28">
        <v>46094</v>
      </c>
      <c r="O360" s="28">
        <v>46093</v>
      </c>
      <c r="P360" s="28">
        <v>46094</v>
      </c>
      <c r="Q360" s="28">
        <v>46101</v>
      </c>
      <c r="R360" s="140">
        <v>46106</v>
      </c>
      <c r="S360" s="33">
        <f t="shared" si="19"/>
        <v>3</v>
      </c>
    </row>
    <row r="361" spans="1:19" x14ac:dyDescent="0.25">
      <c r="A361" s="403" t="str">
        <f t="shared" si="18"/>
        <v>46065460650000-00-0046073460804606646069460770000-00-000000-00-000000-00-004607946090460924609246099461063</v>
      </c>
      <c r="B361" s="142">
        <v>46065</v>
      </c>
      <c r="C361" s="142">
        <v>46065</v>
      </c>
      <c r="D361" s="18" t="s">
        <v>55</v>
      </c>
      <c r="E361" s="160">
        <v>46073</v>
      </c>
      <c r="F361" s="30">
        <v>46080</v>
      </c>
      <c r="G361" s="142">
        <v>46066</v>
      </c>
      <c r="H361" s="37">
        <v>46069</v>
      </c>
      <c r="I361" s="37">
        <v>46077</v>
      </c>
      <c r="J361" s="18" t="s">
        <v>55</v>
      </c>
      <c r="K361" s="18" t="s">
        <v>55</v>
      </c>
      <c r="L361" s="18" t="s">
        <v>55</v>
      </c>
      <c r="M361" s="37">
        <v>46079</v>
      </c>
      <c r="N361" s="28">
        <v>46090</v>
      </c>
      <c r="O361" s="28">
        <v>46092</v>
      </c>
      <c r="P361" s="28">
        <v>46092</v>
      </c>
      <c r="Q361" s="28">
        <v>46099</v>
      </c>
      <c r="R361" s="28">
        <v>46106</v>
      </c>
      <c r="S361" s="3">
        <v>3</v>
      </c>
    </row>
    <row r="362" spans="1:19" x14ac:dyDescent="0.25">
      <c r="A362" s="403" t="str">
        <f t="shared" si="18"/>
        <v>46066460660000-00-0046100461000000-00-000000-00-000000-00-000000-00-000000-00-000000-00-000000-00-0046083460870000-00-00460870000-00-003</v>
      </c>
      <c r="B362" s="142">
        <v>46066</v>
      </c>
      <c r="C362" s="142">
        <v>46066</v>
      </c>
      <c r="D362" s="3" t="s">
        <v>55</v>
      </c>
      <c r="E362" s="30">
        <v>46100</v>
      </c>
      <c r="F362" s="30">
        <v>46100</v>
      </c>
      <c r="G362" s="3" t="s">
        <v>55</v>
      </c>
      <c r="H362" s="3" t="s">
        <v>55</v>
      </c>
      <c r="I362" s="3" t="s">
        <v>55</v>
      </c>
      <c r="J362" s="3" t="s">
        <v>55</v>
      </c>
      <c r="K362" s="3" t="s">
        <v>55</v>
      </c>
      <c r="L362" s="3" t="s">
        <v>55</v>
      </c>
      <c r="M362" s="18" t="s">
        <v>55</v>
      </c>
      <c r="N362" s="30">
        <v>46083</v>
      </c>
      <c r="O362" s="28">
        <v>46087</v>
      </c>
      <c r="P362" s="28" t="s">
        <v>55</v>
      </c>
      <c r="Q362" s="28">
        <v>46087</v>
      </c>
      <c r="R362" s="3" t="s">
        <v>55</v>
      </c>
      <c r="S362" s="33">
        <v>3</v>
      </c>
    </row>
    <row r="363" spans="1:19" x14ac:dyDescent="0.25">
      <c r="A363" s="403" t="str">
        <f t="shared" si="18"/>
        <v>46090460720000-00-000000-00-000000-00-000000-00-000000-00-000000-00-000000-00-000000-00-000000-00-000000-00-0046094460944609446100461063</v>
      </c>
      <c r="B363" s="142">
        <v>46090</v>
      </c>
      <c r="C363" s="142">
        <v>46072</v>
      </c>
      <c r="D363" s="2" t="s">
        <v>55</v>
      </c>
      <c r="E363" s="2" t="s">
        <v>55</v>
      </c>
      <c r="F363" s="2" t="s">
        <v>55</v>
      </c>
      <c r="G363" s="2" t="s">
        <v>55</v>
      </c>
      <c r="H363" s="2" t="s">
        <v>55</v>
      </c>
      <c r="I363" s="2" t="s">
        <v>55</v>
      </c>
      <c r="J363" s="2" t="s">
        <v>55</v>
      </c>
      <c r="K363" s="2" t="s">
        <v>55</v>
      </c>
      <c r="L363" s="2" t="s">
        <v>55</v>
      </c>
      <c r="M363" s="2" t="s">
        <v>55</v>
      </c>
      <c r="N363" s="28">
        <v>46094</v>
      </c>
      <c r="O363" s="28">
        <v>46094</v>
      </c>
      <c r="P363" s="28">
        <v>46094</v>
      </c>
      <c r="Q363" s="28">
        <v>46100</v>
      </c>
      <c r="R363" s="140">
        <v>46106</v>
      </c>
      <c r="S363" s="33">
        <f>MONTH(R363)</f>
        <v>3</v>
      </c>
    </row>
    <row r="364" spans="1:19" x14ac:dyDescent="0.25">
      <c r="A364" s="403" t="str">
        <f t="shared" si="18"/>
        <v>46069460690000-00-0046078460930000-00-0046070460780000-00-000000-00-000000-00-000000-00-0046094460944609446100461063</v>
      </c>
      <c r="B364" s="142">
        <v>46069</v>
      </c>
      <c r="C364" s="142">
        <v>46069</v>
      </c>
      <c r="D364" s="3" t="s">
        <v>55</v>
      </c>
      <c r="E364" s="116">
        <v>46078</v>
      </c>
      <c r="F364" s="147">
        <v>46093</v>
      </c>
      <c r="G364" s="3" t="s">
        <v>55</v>
      </c>
      <c r="H364" s="30">
        <v>46070</v>
      </c>
      <c r="I364" s="30">
        <v>46078</v>
      </c>
      <c r="J364" s="3" t="s">
        <v>55</v>
      </c>
      <c r="K364" s="3" t="s">
        <v>55</v>
      </c>
      <c r="L364" s="3" t="s">
        <v>55</v>
      </c>
      <c r="M364" s="3" t="s">
        <v>55</v>
      </c>
      <c r="N364" s="28">
        <v>46094</v>
      </c>
      <c r="O364" s="28">
        <v>46094</v>
      </c>
      <c r="P364" s="28">
        <v>46094</v>
      </c>
      <c r="Q364" s="28">
        <v>46100</v>
      </c>
      <c r="R364" s="140">
        <v>46106</v>
      </c>
      <c r="S364" s="33">
        <v>3</v>
      </c>
    </row>
    <row r="365" spans="1:19" x14ac:dyDescent="0.25">
      <c r="A365" s="403" t="str">
        <f t="shared" si="18"/>
        <v>46069460690000-00-000000-00-000000-00-000000-00-000000-00-000000-00-000000-00-000000-00-000000-00-000000-00-0046076460764607646080460833</v>
      </c>
      <c r="B365" s="142">
        <v>46069</v>
      </c>
      <c r="C365" s="142">
        <v>46069</v>
      </c>
      <c r="D365" s="33" t="s">
        <v>55</v>
      </c>
      <c r="E365" s="142" t="s">
        <v>55</v>
      </c>
      <c r="F365" s="142" t="s">
        <v>55</v>
      </c>
      <c r="G365" s="33" t="s">
        <v>55</v>
      </c>
      <c r="H365" s="33" t="s">
        <v>55</v>
      </c>
      <c r="I365" s="33" t="s">
        <v>55</v>
      </c>
      <c r="J365" s="33" t="s">
        <v>55</v>
      </c>
      <c r="K365" s="33" t="s">
        <v>55</v>
      </c>
      <c r="L365" s="33" t="s">
        <v>55</v>
      </c>
      <c r="M365" s="33" t="s">
        <v>55</v>
      </c>
      <c r="N365" s="53">
        <v>46076</v>
      </c>
      <c r="O365" s="53">
        <v>46076</v>
      </c>
      <c r="P365" s="53">
        <v>46076</v>
      </c>
      <c r="Q365" s="28">
        <v>46080</v>
      </c>
      <c r="R365" s="38">
        <v>46083</v>
      </c>
      <c r="S365" s="33">
        <f>MONTH(R365)</f>
        <v>3</v>
      </c>
    </row>
    <row r="366" spans="1:19" x14ac:dyDescent="0.25">
      <c r="A366" s="403" t="str">
        <f t="shared" si="18"/>
        <v>46069460690000-00-000000-00-000000-00-000000-00-000000-00-000000-00-000000-00-000000-00-000000-00-000000-00-0046099460990000-00-0046107461073</v>
      </c>
      <c r="B366" s="142">
        <v>46069</v>
      </c>
      <c r="C366" s="142">
        <v>46069</v>
      </c>
      <c r="D366" s="3" t="s">
        <v>55</v>
      </c>
      <c r="E366" s="3" t="s">
        <v>55</v>
      </c>
      <c r="F366" s="3" t="s">
        <v>55</v>
      </c>
      <c r="G366" s="3" t="s">
        <v>55</v>
      </c>
      <c r="H366" s="3" t="s">
        <v>55</v>
      </c>
      <c r="I366" s="3" t="s">
        <v>55</v>
      </c>
      <c r="J366" s="3" t="s">
        <v>55</v>
      </c>
      <c r="K366" s="3" t="s">
        <v>55</v>
      </c>
      <c r="L366" s="3" t="s">
        <v>55</v>
      </c>
      <c r="M366" s="3" t="s">
        <v>55</v>
      </c>
      <c r="N366" s="28">
        <v>46099</v>
      </c>
      <c r="O366" s="28">
        <v>46099</v>
      </c>
      <c r="P366" s="28" t="s">
        <v>55</v>
      </c>
      <c r="Q366" s="140">
        <v>46107</v>
      </c>
      <c r="R366" s="140">
        <v>46107</v>
      </c>
      <c r="S366" s="33">
        <v>3</v>
      </c>
    </row>
    <row r="367" spans="1:19" x14ac:dyDescent="0.25">
      <c r="A367" s="403" t="str">
        <f t="shared" si="18"/>
        <v>46069460690000-00-000000-00-000000-00-000000-00-000000-00-000000-00-000000-00-000000-00-000000-00-000000-00-0046097460970000-00-0046108461083</v>
      </c>
      <c r="B367" s="142">
        <v>46069</v>
      </c>
      <c r="C367" s="142">
        <v>46069</v>
      </c>
      <c r="D367" s="3" t="s">
        <v>55</v>
      </c>
      <c r="E367" s="3" t="s">
        <v>55</v>
      </c>
      <c r="F367" s="3" t="s">
        <v>55</v>
      </c>
      <c r="G367" s="3" t="s">
        <v>55</v>
      </c>
      <c r="H367" s="3" t="s">
        <v>55</v>
      </c>
      <c r="I367" s="3" t="s">
        <v>55</v>
      </c>
      <c r="J367" s="3" t="s">
        <v>55</v>
      </c>
      <c r="K367" s="3" t="s">
        <v>55</v>
      </c>
      <c r="L367" s="3" t="s">
        <v>55</v>
      </c>
      <c r="M367" s="3" t="s">
        <v>55</v>
      </c>
      <c r="N367" s="28">
        <v>46097</v>
      </c>
      <c r="O367" s="28">
        <v>46097</v>
      </c>
      <c r="P367" s="28" t="s">
        <v>55</v>
      </c>
      <c r="Q367" s="140">
        <v>46108</v>
      </c>
      <c r="R367" s="140">
        <v>46108</v>
      </c>
      <c r="S367" s="33">
        <v>3</v>
      </c>
    </row>
    <row r="368" spans="1:19" x14ac:dyDescent="0.25">
      <c r="A368" s="403" t="str">
        <f t="shared" si="18"/>
        <v>46069460690000-00-0046071460710000-00-000000-00-000000-00-000000-00-000000-00-000000-00-000000-00-0046071460794609146097461063</v>
      </c>
      <c r="B368" s="142">
        <v>46069</v>
      </c>
      <c r="C368" s="142">
        <v>46069</v>
      </c>
      <c r="D368" s="3" t="s">
        <v>55</v>
      </c>
      <c r="E368" s="73">
        <v>46071</v>
      </c>
      <c r="F368" s="73">
        <v>46071</v>
      </c>
      <c r="G368" s="3" t="s">
        <v>55</v>
      </c>
      <c r="H368" s="3" t="s">
        <v>55</v>
      </c>
      <c r="I368" s="3" t="s">
        <v>55</v>
      </c>
      <c r="J368" s="3" t="s">
        <v>55</v>
      </c>
      <c r="K368" s="3" t="s">
        <v>55</v>
      </c>
      <c r="L368" s="3" t="s">
        <v>55</v>
      </c>
      <c r="M368" s="3" t="s">
        <v>55</v>
      </c>
      <c r="N368" s="28">
        <v>46071</v>
      </c>
      <c r="O368" s="28">
        <v>46079</v>
      </c>
      <c r="P368" s="28">
        <v>46091</v>
      </c>
      <c r="Q368" s="28">
        <v>46097</v>
      </c>
      <c r="R368" s="140">
        <v>46106</v>
      </c>
      <c r="S368" s="33">
        <f t="shared" ref="S368:S376" si="20">MONTH(R368)</f>
        <v>3</v>
      </c>
    </row>
    <row r="369" spans="1:19" x14ac:dyDescent="0.25">
      <c r="A369" s="403" t="str">
        <f t="shared" si="18"/>
        <v>46070460700000-00-0046073460730000-00-000000-00-000000-00-000000-00-000000-00-000000-00-000000-00-0046084460844608446097461063</v>
      </c>
      <c r="B369" s="142">
        <v>46070</v>
      </c>
      <c r="C369" s="142">
        <v>46070</v>
      </c>
      <c r="D369" s="2" t="s">
        <v>55</v>
      </c>
      <c r="E369" s="160">
        <v>46073</v>
      </c>
      <c r="F369" s="160">
        <v>46073</v>
      </c>
      <c r="G369" s="2" t="s">
        <v>55</v>
      </c>
      <c r="H369" s="2" t="s">
        <v>55</v>
      </c>
      <c r="I369" s="2" t="s">
        <v>55</v>
      </c>
      <c r="J369" s="2" t="s">
        <v>55</v>
      </c>
      <c r="K369" s="2" t="s">
        <v>55</v>
      </c>
      <c r="L369" s="2" t="s">
        <v>55</v>
      </c>
      <c r="M369" s="2" t="s">
        <v>55</v>
      </c>
      <c r="N369" s="104">
        <v>46084</v>
      </c>
      <c r="O369" s="28">
        <v>46084</v>
      </c>
      <c r="P369" s="28">
        <v>46084</v>
      </c>
      <c r="Q369" s="28">
        <v>46097</v>
      </c>
      <c r="R369" s="262">
        <v>46106</v>
      </c>
      <c r="S369" s="33">
        <f t="shared" si="20"/>
        <v>3</v>
      </c>
    </row>
    <row r="370" spans="1:19" x14ac:dyDescent="0.25">
      <c r="A370" s="403" t="str">
        <f t="shared" si="18"/>
        <v>46070460700000-00-0046079460790000-00-000000-00-000000-00-000000-00-000000-00-000000-00-000000-00-0046094460944609446101461063</v>
      </c>
      <c r="B370" s="142">
        <v>46070</v>
      </c>
      <c r="C370" s="142">
        <v>46070</v>
      </c>
      <c r="D370" s="2" t="s">
        <v>55</v>
      </c>
      <c r="E370" s="104">
        <v>46079</v>
      </c>
      <c r="F370" s="104">
        <v>46079</v>
      </c>
      <c r="G370" s="2" t="s">
        <v>55</v>
      </c>
      <c r="H370" s="2" t="s">
        <v>55</v>
      </c>
      <c r="I370" s="2" t="s">
        <v>55</v>
      </c>
      <c r="J370" s="2" t="s">
        <v>55</v>
      </c>
      <c r="K370" s="2" t="s">
        <v>55</v>
      </c>
      <c r="L370" s="2" t="s">
        <v>55</v>
      </c>
      <c r="M370" s="2" t="s">
        <v>55</v>
      </c>
      <c r="N370" s="28">
        <v>46094</v>
      </c>
      <c r="O370" s="28">
        <v>46094</v>
      </c>
      <c r="P370" s="28">
        <v>46094</v>
      </c>
      <c r="Q370" s="262">
        <v>46101</v>
      </c>
      <c r="R370" s="140">
        <v>46106</v>
      </c>
      <c r="S370" s="33">
        <f t="shared" si="20"/>
        <v>3</v>
      </c>
    </row>
    <row r="371" spans="1:19" x14ac:dyDescent="0.25">
      <c r="A371" s="403" t="str">
        <f t="shared" si="18"/>
        <v>46070460700000-00-0046079460790000-00-000000-00-000000-00-000000-00-000000-00-000000-00-000000-00-0046086460864608646092460933</v>
      </c>
      <c r="B371" s="161">
        <v>46070</v>
      </c>
      <c r="C371" s="142">
        <v>46070</v>
      </c>
      <c r="D371" s="3" t="s">
        <v>55</v>
      </c>
      <c r="E371" s="73">
        <v>46079</v>
      </c>
      <c r="F371" s="73">
        <v>46079</v>
      </c>
      <c r="G371" s="3" t="s">
        <v>55</v>
      </c>
      <c r="H371" s="3" t="s">
        <v>55</v>
      </c>
      <c r="I371" s="3" t="s">
        <v>55</v>
      </c>
      <c r="J371" s="3" t="s">
        <v>55</v>
      </c>
      <c r="K371" s="3" t="s">
        <v>55</v>
      </c>
      <c r="L371" s="3" t="s">
        <v>55</v>
      </c>
      <c r="M371" s="3" t="s">
        <v>55</v>
      </c>
      <c r="N371" s="28">
        <v>46086</v>
      </c>
      <c r="O371" s="28">
        <v>46086</v>
      </c>
      <c r="P371" s="28">
        <v>46086</v>
      </c>
      <c r="Q371" s="28">
        <v>46092</v>
      </c>
      <c r="R371" s="140">
        <v>46093</v>
      </c>
      <c r="S371" s="33">
        <f t="shared" si="20"/>
        <v>3</v>
      </c>
    </row>
    <row r="372" spans="1:19" x14ac:dyDescent="0.25">
      <c r="A372" s="403" t="str">
        <f t="shared" si="18"/>
        <v>46070460700000-00-000000-00-000000-00-000000-00-000000-00-000000-00-000000-00-000000-00-000000-00-000000-00-0046071460714607246080460833</v>
      </c>
      <c r="B372" s="222">
        <v>46070</v>
      </c>
      <c r="C372" s="222">
        <v>46070</v>
      </c>
      <c r="D372" s="110" t="s">
        <v>55</v>
      </c>
      <c r="E372" s="222" t="s">
        <v>55</v>
      </c>
      <c r="F372" s="222" t="s">
        <v>55</v>
      </c>
      <c r="G372" s="110" t="s">
        <v>55</v>
      </c>
      <c r="H372" s="110" t="s">
        <v>55</v>
      </c>
      <c r="I372" s="110" t="s">
        <v>55</v>
      </c>
      <c r="J372" s="110" t="s">
        <v>55</v>
      </c>
      <c r="K372" s="110" t="s">
        <v>55</v>
      </c>
      <c r="L372" s="110" t="s">
        <v>55</v>
      </c>
      <c r="M372" s="110" t="s">
        <v>55</v>
      </c>
      <c r="N372" s="131">
        <v>46071</v>
      </c>
      <c r="O372" s="131">
        <v>46071</v>
      </c>
      <c r="P372" s="131">
        <v>46072</v>
      </c>
      <c r="Q372" s="131">
        <v>46080</v>
      </c>
      <c r="R372" s="412">
        <v>46083</v>
      </c>
      <c r="S372" s="110">
        <f t="shared" si="20"/>
        <v>3</v>
      </c>
    </row>
    <row r="373" spans="1:19" x14ac:dyDescent="0.25">
      <c r="A373" s="403" t="str">
        <f t="shared" si="18"/>
        <v>46070460700000-00-000000-00-000000-00-000000-00-000000-00-000000-00-000000-00-000000-00-000000-00-000000-00-0046077460784607946085460933</v>
      </c>
      <c r="B373" s="142">
        <v>46070</v>
      </c>
      <c r="C373" s="142">
        <v>46070</v>
      </c>
      <c r="D373" s="33" t="s">
        <v>55</v>
      </c>
      <c r="E373" s="142" t="s">
        <v>55</v>
      </c>
      <c r="F373" s="142" t="s">
        <v>55</v>
      </c>
      <c r="G373" s="33" t="s">
        <v>55</v>
      </c>
      <c r="H373" s="33" t="s">
        <v>55</v>
      </c>
      <c r="I373" s="33" t="s">
        <v>55</v>
      </c>
      <c r="J373" s="33" t="s">
        <v>55</v>
      </c>
      <c r="K373" s="33" t="s">
        <v>55</v>
      </c>
      <c r="L373" s="33" t="s">
        <v>55</v>
      </c>
      <c r="M373" s="33" t="s">
        <v>55</v>
      </c>
      <c r="N373" s="28">
        <v>46077</v>
      </c>
      <c r="O373" s="28">
        <v>46078</v>
      </c>
      <c r="P373" s="28">
        <v>46079</v>
      </c>
      <c r="Q373" s="28">
        <v>46085</v>
      </c>
      <c r="R373" s="28">
        <v>46093</v>
      </c>
      <c r="S373" s="33">
        <f t="shared" si="20"/>
        <v>3</v>
      </c>
    </row>
    <row r="374" spans="1:19" x14ac:dyDescent="0.25">
      <c r="A374" s="403" t="str">
        <f t="shared" si="18"/>
        <v>46071460710000-00-0046073460730000-00-000000-00-000000-00-000000-00-000000-00-000000-00-000000-00-0046085460854608546091460933</v>
      </c>
      <c r="B374" s="142">
        <v>46071</v>
      </c>
      <c r="C374" s="142">
        <v>46071</v>
      </c>
      <c r="D374" s="2" t="s">
        <v>55</v>
      </c>
      <c r="E374" s="160">
        <v>46073</v>
      </c>
      <c r="F374" s="160">
        <v>46073</v>
      </c>
      <c r="G374" s="2" t="s">
        <v>55</v>
      </c>
      <c r="H374" s="2" t="s">
        <v>55</v>
      </c>
      <c r="I374" s="2" t="s">
        <v>55</v>
      </c>
      <c r="J374" s="2" t="s">
        <v>55</v>
      </c>
      <c r="K374" s="2" t="s">
        <v>55</v>
      </c>
      <c r="L374" s="2" t="s">
        <v>55</v>
      </c>
      <c r="M374" s="2" t="s">
        <v>55</v>
      </c>
      <c r="N374" s="104">
        <v>46085</v>
      </c>
      <c r="O374" s="104">
        <v>46085</v>
      </c>
      <c r="P374" s="104">
        <v>46085</v>
      </c>
      <c r="Q374" s="28">
        <v>46091</v>
      </c>
      <c r="R374" s="104">
        <v>46093</v>
      </c>
      <c r="S374" s="33">
        <f t="shared" si="20"/>
        <v>3</v>
      </c>
    </row>
    <row r="375" spans="1:19" x14ac:dyDescent="0.25">
      <c r="A375" s="403" t="str">
        <f t="shared" si="18"/>
        <v>46070460700000-00-000000-00-000000-00-000000-00-000000-00-000000-00-000000-00-000000-00-000000-00-000000-00-0046077460784607946090460933</v>
      </c>
      <c r="B375" s="142">
        <v>46070</v>
      </c>
      <c r="C375" s="142">
        <v>46070</v>
      </c>
      <c r="D375" s="33" t="s">
        <v>55</v>
      </c>
      <c r="E375" s="142" t="s">
        <v>55</v>
      </c>
      <c r="F375" s="142" t="s">
        <v>55</v>
      </c>
      <c r="G375" s="33" t="s">
        <v>55</v>
      </c>
      <c r="H375" s="33" t="s">
        <v>55</v>
      </c>
      <c r="I375" s="33" t="s">
        <v>55</v>
      </c>
      <c r="J375" s="33" t="s">
        <v>55</v>
      </c>
      <c r="K375" s="33" t="s">
        <v>55</v>
      </c>
      <c r="L375" s="33" t="s">
        <v>55</v>
      </c>
      <c r="M375" s="33" t="s">
        <v>55</v>
      </c>
      <c r="N375" s="28">
        <v>46077</v>
      </c>
      <c r="O375" s="28">
        <v>46078</v>
      </c>
      <c r="P375" s="28">
        <v>46079</v>
      </c>
      <c r="Q375" s="28">
        <v>46090</v>
      </c>
      <c r="R375" s="53">
        <v>46093</v>
      </c>
      <c r="S375" s="33">
        <f t="shared" si="20"/>
        <v>3</v>
      </c>
    </row>
    <row r="376" spans="1:19" x14ac:dyDescent="0.25">
      <c r="A376" s="403" t="str">
        <f t="shared" si="18"/>
        <v>46071460710000-00-000000-00-000000-00-000000-00-000000-00-000000-00-000000-00-000000-00-000000-00-000000-00-0046077460784607946091460933</v>
      </c>
      <c r="B376" s="142">
        <v>46071</v>
      </c>
      <c r="C376" s="142">
        <v>46071</v>
      </c>
      <c r="D376" s="33" t="s">
        <v>55</v>
      </c>
      <c r="E376" s="142" t="s">
        <v>55</v>
      </c>
      <c r="F376" s="142" t="s">
        <v>55</v>
      </c>
      <c r="G376" s="33" t="s">
        <v>55</v>
      </c>
      <c r="H376" s="33" t="s">
        <v>55</v>
      </c>
      <c r="I376" s="33" t="s">
        <v>55</v>
      </c>
      <c r="J376" s="33" t="s">
        <v>55</v>
      </c>
      <c r="K376" s="33" t="s">
        <v>55</v>
      </c>
      <c r="L376" s="33" t="s">
        <v>55</v>
      </c>
      <c r="M376" s="33" t="s">
        <v>55</v>
      </c>
      <c r="N376" s="28">
        <v>46077</v>
      </c>
      <c r="O376" s="28">
        <v>46078</v>
      </c>
      <c r="P376" s="28">
        <v>46079</v>
      </c>
      <c r="Q376" s="28">
        <v>46091</v>
      </c>
      <c r="R376" s="53">
        <v>46093</v>
      </c>
      <c r="S376" s="33">
        <f t="shared" si="20"/>
        <v>3</v>
      </c>
    </row>
    <row r="377" spans="1:19" x14ac:dyDescent="0.25">
      <c r="A377" s="403" t="str">
        <f t="shared" si="18"/>
        <v>46071460710000-00-000000-00-000000-00-000000-00-000000-00-000000-00-000000-00-000000-00-000000-00-000000-00-0046077460770000-00-0046083460833</v>
      </c>
      <c r="B377" s="142">
        <v>46071</v>
      </c>
      <c r="C377" s="142">
        <v>46071</v>
      </c>
      <c r="D377" s="3" t="s">
        <v>55</v>
      </c>
      <c r="E377" s="3" t="s">
        <v>55</v>
      </c>
      <c r="F377" s="3" t="s">
        <v>55</v>
      </c>
      <c r="G377" s="3" t="s">
        <v>55</v>
      </c>
      <c r="H377" s="3" t="s">
        <v>55</v>
      </c>
      <c r="I377" s="3" t="s">
        <v>55</v>
      </c>
      <c r="J377" s="3" t="s">
        <v>55</v>
      </c>
      <c r="K377" s="3" t="s">
        <v>55</v>
      </c>
      <c r="L377" s="3" t="s">
        <v>55</v>
      </c>
      <c r="M377" s="3" t="s">
        <v>55</v>
      </c>
      <c r="N377" s="28">
        <v>46077</v>
      </c>
      <c r="O377" s="28">
        <v>46077</v>
      </c>
      <c r="P377" s="28" t="s">
        <v>55</v>
      </c>
      <c r="Q377" s="140">
        <v>46083</v>
      </c>
      <c r="R377" s="140">
        <v>46083</v>
      </c>
      <c r="S377" s="33">
        <v>3</v>
      </c>
    </row>
    <row r="378" spans="1:19" x14ac:dyDescent="0.25">
      <c r="A378" s="403" t="str">
        <f t="shared" si="18"/>
        <v>46071460710000-00-000000-00-000000-00-000000-00-000000-00-000000-00-000000-00-000000-00-000000-00-000000-00-0046086460934609446105461063</v>
      </c>
      <c r="B378" s="142">
        <v>46071</v>
      </c>
      <c r="C378" s="142">
        <v>46071</v>
      </c>
      <c r="D378" s="33" t="s">
        <v>55</v>
      </c>
      <c r="E378" s="142" t="s">
        <v>55</v>
      </c>
      <c r="F378" s="142" t="s">
        <v>55</v>
      </c>
      <c r="G378" s="33" t="s">
        <v>55</v>
      </c>
      <c r="H378" s="33" t="s">
        <v>55</v>
      </c>
      <c r="I378" s="33" t="s">
        <v>55</v>
      </c>
      <c r="J378" s="33" t="s">
        <v>55</v>
      </c>
      <c r="K378" s="33" t="s">
        <v>55</v>
      </c>
      <c r="L378" s="33" t="s">
        <v>55</v>
      </c>
      <c r="M378" s="33" t="s">
        <v>55</v>
      </c>
      <c r="N378" s="28">
        <v>46086</v>
      </c>
      <c r="O378" s="28">
        <v>46093</v>
      </c>
      <c r="P378" s="28">
        <v>46094</v>
      </c>
      <c r="Q378" s="28">
        <v>46105</v>
      </c>
      <c r="R378" s="140">
        <v>46106</v>
      </c>
      <c r="S378" s="33">
        <f>MONTH(R378)</f>
        <v>3</v>
      </c>
    </row>
    <row r="379" spans="1:19" x14ac:dyDescent="0.25">
      <c r="A379" s="403" t="str">
        <f t="shared" si="18"/>
        <v>46071460710000-00-0046072460720000-00-000000-00-000000-00-000000-00-000000-00-000000-00-000000-00-0046084460860000-00-00460860000-00-003</v>
      </c>
      <c r="B379" s="142">
        <v>46071</v>
      </c>
      <c r="C379" s="142">
        <v>46071</v>
      </c>
      <c r="D379" s="3" t="s">
        <v>55</v>
      </c>
      <c r="E379" s="30">
        <v>46072</v>
      </c>
      <c r="F379" s="30">
        <v>46072</v>
      </c>
      <c r="G379" s="3" t="s">
        <v>55</v>
      </c>
      <c r="H379" s="3" t="s">
        <v>55</v>
      </c>
      <c r="I379" s="3" t="s">
        <v>55</v>
      </c>
      <c r="J379" s="3" t="s">
        <v>55</v>
      </c>
      <c r="K379" s="3" t="s">
        <v>55</v>
      </c>
      <c r="L379" s="3" t="s">
        <v>55</v>
      </c>
      <c r="M379" s="18" t="s">
        <v>55</v>
      </c>
      <c r="N379" s="30">
        <v>46084</v>
      </c>
      <c r="O379" s="28">
        <v>46086</v>
      </c>
      <c r="P379" s="28" t="s">
        <v>55</v>
      </c>
      <c r="Q379" s="28">
        <v>46086</v>
      </c>
      <c r="R379" s="3" t="s">
        <v>55</v>
      </c>
      <c r="S379" s="33">
        <v>3</v>
      </c>
    </row>
    <row r="380" spans="1:19" x14ac:dyDescent="0.25">
      <c r="A380" s="403" t="str">
        <f t="shared" si="18"/>
        <v>46058460710000-00-0046063460630000-00-000000-00-000000-00-000000-00-000000-00-000000-00-000000-00-0046071460764607746083460833</v>
      </c>
      <c r="B380" s="142">
        <v>46058</v>
      </c>
      <c r="C380" s="142">
        <v>46071</v>
      </c>
      <c r="D380" s="3" t="s">
        <v>55</v>
      </c>
      <c r="E380" s="30">
        <v>46063</v>
      </c>
      <c r="F380" s="30">
        <v>46063</v>
      </c>
      <c r="G380" s="3" t="s">
        <v>55</v>
      </c>
      <c r="H380" s="3" t="s">
        <v>55</v>
      </c>
      <c r="I380" s="3" t="s">
        <v>55</v>
      </c>
      <c r="J380" s="3" t="s">
        <v>55</v>
      </c>
      <c r="K380" s="3" t="s">
        <v>55</v>
      </c>
      <c r="L380" s="3" t="s">
        <v>55</v>
      </c>
      <c r="M380" s="18" t="s">
        <v>55</v>
      </c>
      <c r="N380" s="30">
        <v>46071</v>
      </c>
      <c r="O380" s="28">
        <v>46076</v>
      </c>
      <c r="P380" s="28">
        <v>46077</v>
      </c>
      <c r="Q380" s="28">
        <v>46083</v>
      </c>
      <c r="R380" s="37">
        <v>46083</v>
      </c>
      <c r="S380" s="33">
        <f>MONTH(R380)</f>
        <v>3</v>
      </c>
    </row>
    <row r="381" spans="1:19" x14ac:dyDescent="0.25">
      <c r="A381" s="403" t="str">
        <f t="shared" si="18"/>
        <v>46071460710000-00-0046083460830000-00-000000-00-000000-00-000000-00-000000-00-000000-00-000000-00-0046090460924609446106461063</v>
      </c>
      <c r="B381" s="142">
        <v>46071</v>
      </c>
      <c r="C381" s="142">
        <v>46071</v>
      </c>
      <c r="D381" s="3" t="s">
        <v>55</v>
      </c>
      <c r="E381" s="30">
        <v>46083</v>
      </c>
      <c r="F381" s="30">
        <v>46083</v>
      </c>
      <c r="G381" s="3" t="s">
        <v>55</v>
      </c>
      <c r="H381" s="3" t="s">
        <v>55</v>
      </c>
      <c r="I381" s="3" t="s">
        <v>55</v>
      </c>
      <c r="J381" s="3" t="s">
        <v>55</v>
      </c>
      <c r="K381" s="3" t="s">
        <v>55</v>
      </c>
      <c r="L381" s="3" t="s">
        <v>55</v>
      </c>
      <c r="M381" s="18" t="s">
        <v>55</v>
      </c>
      <c r="N381" s="30">
        <v>46090</v>
      </c>
      <c r="O381" s="28">
        <v>46092</v>
      </c>
      <c r="P381" s="28">
        <v>46094</v>
      </c>
      <c r="Q381" s="28">
        <v>46106</v>
      </c>
      <c r="R381" s="140">
        <v>46106</v>
      </c>
      <c r="S381" s="33">
        <f>MONTH(R381)</f>
        <v>3</v>
      </c>
    </row>
    <row r="382" spans="1:19" x14ac:dyDescent="0.25">
      <c r="A382" s="403" t="str">
        <f t="shared" si="18"/>
        <v>46071460710000-00-0046078460780000-00-000000-00-000000-00-000000-00-000000-00-000000-00-000000-00-0046090460924609446106461063</v>
      </c>
      <c r="B382" s="142">
        <v>46071</v>
      </c>
      <c r="C382" s="142">
        <v>46071</v>
      </c>
      <c r="D382" s="3" t="s">
        <v>55</v>
      </c>
      <c r="E382" s="30">
        <v>46078</v>
      </c>
      <c r="F382" s="30">
        <v>46078</v>
      </c>
      <c r="G382" s="3" t="s">
        <v>55</v>
      </c>
      <c r="H382" s="3" t="s">
        <v>55</v>
      </c>
      <c r="I382" s="3" t="s">
        <v>55</v>
      </c>
      <c r="J382" s="3" t="s">
        <v>55</v>
      </c>
      <c r="K382" s="3" t="s">
        <v>55</v>
      </c>
      <c r="L382" s="3" t="s">
        <v>55</v>
      </c>
      <c r="M382" s="18" t="s">
        <v>55</v>
      </c>
      <c r="N382" s="30">
        <v>46090</v>
      </c>
      <c r="O382" s="28">
        <v>46092</v>
      </c>
      <c r="P382" s="28">
        <v>46094</v>
      </c>
      <c r="Q382" s="28">
        <v>46106</v>
      </c>
      <c r="R382" s="140">
        <v>46106</v>
      </c>
      <c r="S382" s="33">
        <f>MONTH(R382)</f>
        <v>3</v>
      </c>
    </row>
    <row r="383" spans="1:19" x14ac:dyDescent="0.25">
      <c r="A383" s="403" t="str">
        <f t="shared" si="18"/>
        <v>46045460710000-00-0046057460570000-00-000000-00-000000-00-000000-00-000000-00-000000-00-000000-00-0046078460850000-00-00460850000-00-003</v>
      </c>
      <c r="B383" s="142">
        <v>46045</v>
      </c>
      <c r="C383" s="142">
        <v>46071</v>
      </c>
      <c r="D383" s="3" t="s">
        <v>55</v>
      </c>
      <c r="E383" s="30">
        <v>46057</v>
      </c>
      <c r="F383" s="30">
        <v>46057</v>
      </c>
      <c r="G383" s="3" t="s">
        <v>55</v>
      </c>
      <c r="H383" s="3" t="s">
        <v>55</v>
      </c>
      <c r="I383" s="3" t="s">
        <v>55</v>
      </c>
      <c r="J383" s="3" t="s">
        <v>55</v>
      </c>
      <c r="K383" s="3" t="s">
        <v>55</v>
      </c>
      <c r="L383" s="3" t="s">
        <v>55</v>
      </c>
      <c r="M383" s="18" t="s">
        <v>55</v>
      </c>
      <c r="N383" s="30">
        <v>46078</v>
      </c>
      <c r="O383" s="28">
        <v>46085</v>
      </c>
      <c r="P383" s="28" t="s">
        <v>55</v>
      </c>
      <c r="Q383" s="28">
        <v>46085</v>
      </c>
      <c r="R383" s="3" t="s">
        <v>55</v>
      </c>
      <c r="S383" s="33">
        <v>3</v>
      </c>
    </row>
    <row r="384" spans="1:19" x14ac:dyDescent="0.25">
      <c r="A384" s="403" t="str">
        <f t="shared" si="18"/>
        <v>46078460710000-00-0046080460860000-00-000000-00-000000-00-000000-00-000000-00-000000-00-000000-00-0046092460934609746101461063</v>
      </c>
      <c r="B384" s="142">
        <v>46078</v>
      </c>
      <c r="C384" s="142">
        <v>46071</v>
      </c>
      <c r="D384" s="33" t="s">
        <v>55</v>
      </c>
      <c r="E384" s="142">
        <v>46080</v>
      </c>
      <c r="F384" s="142">
        <v>46086</v>
      </c>
      <c r="G384" s="33" t="s">
        <v>55</v>
      </c>
      <c r="H384" s="33" t="s">
        <v>55</v>
      </c>
      <c r="I384" s="33" t="s">
        <v>55</v>
      </c>
      <c r="J384" s="33" t="s">
        <v>55</v>
      </c>
      <c r="K384" s="33" t="s">
        <v>55</v>
      </c>
      <c r="L384" s="33" t="s">
        <v>55</v>
      </c>
      <c r="M384" s="18" t="s">
        <v>55</v>
      </c>
      <c r="N384" s="28">
        <v>46092</v>
      </c>
      <c r="O384" s="28">
        <v>46093</v>
      </c>
      <c r="P384" s="28">
        <v>46097</v>
      </c>
      <c r="Q384" s="28">
        <v>46101</v>
      </c>
      <c r="R384" s="140">
        <v>46106</v>
      </c>
      <c r="S384" s="33">
        <f>MONTH(R384)</f>
        <v>3</v>
      </c>
    </row>
    <row r="385" spans="1:19" x14ac:dyDescent="0.25">
      <c r="A385" s="403" t="str">
        <f t="shared" si="18"/>
        <v>46072460720000-00-000000-00-000000-00-000000-00-000000-00-000000-00-000000-00-000000-00-000000-00-000000-00-0046078460794608046091460933</v>
      </c>
      <c r="B385" s="142">
        <v>46072</v>
      </c>
      <c r="C385" s="142">
        <v>46072</v>
      </c>
      <c r="D385" s="33" t="s">
        <v>55</v>
      </c>
      <c r="E385" s="142" t="s">
        <v>55</v>
      </c>
      <c r="F385" s="142" t="s">
        <v>55</v>
      </c>
      <c r="G385" s="33" t="s">
        <v>55</v>
      </c>
      <c r="H385" s="33" t="s">
        <v>55</v>
      </c>
      <c r="I385" s="33" t="s">
        <v>55</v>
      </c>
      <c r="J385" s="33" t="s">
        <v>55</v>
      </c>
      <c r="K385" s="33" t="s">
        <v>55</v>
      </c>
      <c r="L385" s="33" t="s">
        <v>55</v>
      </c>
      <c r="M385" s="33" t="s">
        <v>55</v>
      </c>
      <c r="N385" s="28">
        <v>46078</v>
      </c>
      <c r="O385" s="28">
        <v>46079</v>
      </c>
      <c r="P385" s="28">
        <v>46080</v>
      </c>
      <c r="Q385" s="28">
        <v>46091</v>
      </c>
      <c r="R385" s="38">
        <v>46093</v>
      </c>
      <c r="S385" s="33">
        <f>MONTH(R385)</f>
        <v>3</v>
      </c>
    </row>
    <row r="386" spans="1:19" x14ac:dyDescent="0.25">
      <c r="A386" s="403" t="str">
        <f t="shared" ref="A386:A449" si="21">+B386&amp;C386&amp;D386&amp;E386&amp;F386&amp;G386&amp;H386&amp;I386&amp;J386&amp;K386&amp;L386&amp;M386&amp;N386&amp;O386&amp;P386&amp;Q386&amp;R386&amp;S386</f>
        <v>46072460720000-00-0046097460970000-00-000000-00-000000-00-000000-00-000000-00-000000-00-000000-00-0046111461120000-00-00461120000-00-003</v>
      </c>
      <c r="B386" s="142">
        <v>46072</v>
      </c>
      <c r="C386" s="142">
        <v>46072</v>
      </c>
      <c r="D386" s="3" t="s">
        <v>55</v>
      </c>
      <c r="E386" s="30">
        <v>46097</v>
      </c>
      <c r="F386" s="30">
        <v>46097</v>
      </c>
      <c r="G386" s="3" t="s">
        <v>55</v>
      </c>
      <c r="H386" s="3" t="s">
        <v>55</v>
      </c>
      <c r="I386" s="3" t="s">
        <v>55</v>
      </c>
      <c r="J386" s="3" t="s">
        <v>55</v>
      </c>
      <c r="K386" s="3" t="s">
        <v>55</v>
      </c>
      <c r="L386" s="3" t="s">
        <v>55</v>
      </c>
      <c r="M386" s="18" t="s">
        <v>55</v>
      </c>
      <c r="N386" s="30">
        <v>46111</v>
      </c>
      <c r="O386" s="28">
        <v>46112</v>
      </c>
      <c r="P386" s="28" t="s">
        <v>55</v>
      </c>
      <c r="Q386" s="28">
        <v>46112</v>
      </c>
      <c r="R386" s="3" t="s">
        <v>55</v>
      </c>
      <c r="S386" s="33">
        <v>3</v>
      </c>
    </row>
    <row r="387" spans="1:19" x14ac:dyDescent="0.25">
      <c r="A387" s="403" t="str">
        <f t="shared" si="21"/>
        <v>46072460720000-00-0046084460840000-00-000000-00-000000-00-000000-00-000000-00-000000-00-000000-00-0046090460914609246100461003</v>
      </c>
      <c r="B387" s="142">
        <v>46072</v>
      </c>
      <c r="C387" s="142">
        <v>46072</v>
      </c>
      <c r="D387" s="3" t="s">
        <v>55</v>
      </c>
      <c r="E387" s="30">
        <v>46084</v>
      </c>
      <c r="F387" s="30">
        <v>46084</v>
      </c>
      <c r="G387" s="3" t="s">
        <v>55</v>
      </c>
      <c r="H387" s="3" t="s">
        <v>55</v>
      </c>
      <c r="I387" s="3" t="s">
        <v>55</v>
      </c>
      <c r="J387" s="3" t="s">
        <v>55</v>
      </c>
      <c r="K387" s="3" t="s">
        <v>55</v>
      </c>
      <c r="L387" s="3" t="s">
        <v>55</v>
      </c>
      <c r="M387" s="18" t="s">
        <v>55</v>
      </c>
      <c r="N387" s="30">
        <v>46090</v>
      </c>
      <c r="O387" s="28">
        <v>46091</v>
      </c>
      <c r="P387" s="28">
        <v>46092</v>
      </c>
      <c r="Q387" s="28">
        <v>46100</v>
      </c>
      <c r="R387" s="30">
        <v>46100</v>
      </c>
      <c r="S387" s="33">
        <f t="shared" ref="S387:S407" si="22">MONTH(R387)</f>
        <v>3</v>
      </c>
    </row>
    <row r="388" spans="1:19" x14ac:dyDescent="0.25">
      <c r="A388" s="403" t="str">
        <f t="shared" si="21"/>
        <v>46073460720000-00-000000-00-000000-00-000000-00-000000-00-000000-00-000000-00-000000-00-000000-00-000000-00-0046085460854608546092460933</v>
      </c>
      <c r="B388" s="142">
        <v>46073</v>
      </c>
      <c r="C388" s="142">
        <v>46072</v>
      </c>
      <c r="D388" s="2" t="s">
        <v>55</v>
      </c>
      <c r="E388" s="18" t="s">
        <v>55</v>
      </c>
      <c r="F388" s="18" t="s">
        <v>55</v>
      </c>
      <c r="G388" s="18" t="s">
        <v>55</v>
      </c>
      <c r="H388" s="18" t="s">
        <v>55</v>
      </c>
      <c r="I388" s="18" t="s">
        <v>55</v>
      </c>
      <c r="J388" s="18" t="s">
        <v>55</v>
      </c>
      <c r="K388" s="18" t="s">
        <v>55</v>
      </c>
      <c r="L388" s="18" t="s">
        <v>55</v>
      </c>
      <c r="M388" s="18" t="s">
        <v>55</v>
      </c>
      <c r="N388" s="28">
        <v>46085</v>
      </c>
      <c r="O388" s="28">
        <v>46085</v>
      </c>
      <c r="P388" s="28">
        <v>46085</v>
      </c>
      <c r="Q388" s="28">
        <v>46092</v>
      </c>
      <c r="R388" s="28">
        <v>46093</v>
      </c>
      <c r="S388" s="33">
        <f t="shared" si="22"/>
        <v>3</v>
      </c>
    </row>
    <row r="389" spans="1:19" x14ac:dyDescent="0.25">
      <c r="A389" s="403" t="str">
        <f t="shared" si="21"/>
        <v>46073460730000-00-000000-00-000000-00-000000-00-000000-00-000000-00-000000-00-000000-00-000000-00-000000-00-0046076460764607646080460833</v>
      </c>
      <c r="B389" s="174">
        <v>46073</v>
      </c>
      <c r="C389" s="174">
        <v>46073</v>
      </c>
      <c r="D389" s="175" t="s">
        <v>55</v>
      </c>
      <c r="E389" s="137" t="s">
        <v>55</v>
      </c>
      <c r="F389" s="137" t="s">
        <v>55</v>
      </c>
      <c r="G389" s="175" t="s">
        <v>55</v>
      </c>
      <c r="H389" s="175" t="s">
        <v>55</v>
      </c>
      <c r="I389" s="175" t="s">
        <v>55</v>
      </c>
      <c r="J389" s="175" t="s">
        <v>55</v>
      </c>
      <c r="K389" s="175" t="s">
        <v>55</v>
      </c>
      <c r="L389" s="175" t="s">
        <v>55</v>
      </c>
      <c r="M389" s="175" t="s">
        <v>55</v>
      </c>
      <c r="N389" s="409">
        <v>46076</v>
      </c>
      <c r="O389" s="409">
        <v>46076</v>
      </c>
      <c r="P389" s="409">
        <v>46076</v>
      </c>
      <c r="Q389" s="178">
        <v>46080</v>
      </c>
      <c r="R389" s="229">
        <v>46083</v>
      </c>
      <c r="S389" s="99">
        <f t="shared" si="22"/>
        <v>3</v>
      </c>
    </row>
    <row r="390" spans="1:19" x14ac:dyDescent="0.25">
      <c r="A390" s="403" t="str">
        <f t="shared" si="21"/>
        <v>46073460730000-00-000000-00-000000-00-000000-00-000000-00-000000-00-000000-00-000000-00-000000-00-000000-00-0046078460784608546091460933</v>
      </c>
      <c r="B390" s="142">
        <v>46073</v>
      </c>
      <c r="C390" s="142">
        <v>46073</v>
      </c>
      <c r="D390" s="3" t="s">
        <v>55</v>
      </c>
      <c r="E390" s="3" t="s">
        <v>55</v>
      </c>
      <c r="F390" s="3" t="s">
        <v>55</v>
      </c>
      <c r="G390" s="3" t="s">
        <v>55</v>
      </c>
      <c r="H390" s="3" t="s">
        <v>55</v>
      </c>
      <c r="I390" s="3" t="s">
        <v>55</v>
      </c>
      <c r="J390" s="3" t="s">
        <v>55</v>
      </c>
      <c r="K390" s="3" t="s">
        <v>55</v>
      </c>
      <c r="L390" s="3" t="s">
        <v>55</v>
      </c>
      <c r="M390" s="3" t="s">
        <v>55</v>
      </c>
      <c r="N390" s="104">
        <v>46078</v>
      </c>
      <c r="O390" s="104">
        <v>46078</v>
      </c>
      <c r="P390" s="28">
        <v>46085</v>
      </c>
      <c r="Q390" s="28">
        <v>46091</v>
      </c>
      <c r="R390" s="140">
        <v>46093</v>
      </c>
      <c r="S390" s="33">
        <f t="shared" si="22"/>
        <v>3</v>
      </c>
    </row>
    <row r="391" spans="1:19" x14ac:dyDescent="0.25">
      <c r="A391" s="403" t="str">
        <f t="shared" si="21"/>
        <v>46065460730000-00-0046066460700000-00-000000-00-000000-00-000000-00-000000-00-000000-00-000000-00-0046073460734607346079460833</v>
      </c>
      <c r="B391" s="142">
        <v>46065</v>
      </c>
      <c r="C391" s="142">
        <v>46073</v>
      </c>
      <c r="D391" s="2" t="s">
        <v>55</v>
      </c>
      <c r="E391" s="30">
        <v>46066</v>
      </c>
      <c r="F391" s="44">
        <v>46070</v>
      </c>
      <c r="G391" s="18" t="s">
        <v>55</v>
      </c>
      <c r="H391" s="18" t="s">
        <v>55</v>
      </c>
      <c r="I391" s="18" t="s">
        <v>55</v>
      </c>
      <c r="J391" s="18" t="s">
        <v>55</v>
      </c>
      <c r="K391" s="18" t="s">
        <v>55</v>
      </c>
      <c r="L391" s="18" t="s">
        <v>55</v>
      </c>
      <c r="M391" s="18" t="s">
        <v>55</v>
      </c>
      <c r="N391" s="28">
        <v>46073</v>
      </c>
      <c r="O391" s="28">
        <v>46073</v>
      </c>
      <c r="P391" s="28">
        <v>46073</v>
      </c>
      <c r="Q391" s="28">
        <v>46079</v>
      </c>
      <c r="R391" s="38">
        <v>46083</v>
      </c>
      <c r="S391" s="33">
        <f t="shared" si="22"/>
        <v>3</v>
      </c>
    </row>
    <row r="392" spans="1:19" x14ac:dyDescent="0.25">
      <c r="A392" s="403" t="str">
        <f t="shared" si="21"/>
        <v>46073460730000-00-000000-00-000000-00-000000-00-000000-00-000000-00-000000-00-000000-00-000000-00-000000-00-0046093460934609346101461063</v>
      </c>
      <c r="B392" s="142">
        <v>46073</v>
      </c>
      <c r="C392" s="142">
        <v>46073</v>
      </c>
      <c r="D392" s="2" t="s">
        <v>55</v>
      </c>
      <c r="E392" s="18" t="s">
        <v>55</v>
      </c>
      <c r="F392" s="18" t="s">
        <v>55</v>
      </c>
      <c r="G392" s="18" t="s">
        <v>55</v>
      </c>
      <c r="H392" s="18" t="s">
        <v>55</v>
      </c>
      <c r="I392" s="18" t="s">
        <v>55</v>
      </c>
      <c r="J392" s="18" t="s">
        <v>55</v>
      </c>
      <c r="K392" s="18" t="s">
        <v>55</v>
      </c>
      <c r="L392" s="18" t="s">
        <v>55</v>
      </c>
      <c r="M392" s="18" t="s">
        <v>55</v>
      </c>
      <c r="N392" s="28">
        <v>46093</v>
      </c>
      <c r="O392" s="28">
        <v>46093</v>
      </c>
      <c r="P392" s="28">
        <v>46093</v>
      </c>
      <c r="Q392" s="28">
        <v>46101</v>
      </c>
      <c r="R392" s="140">
        <v>46106</v>
      </c>
      <c r="S392" s="33">
        <f t="shared" si="22"/>
        <v>3</v>
      </c>
    </row>
    <row r="393" spans="1:19" x14ac:dyDescent="0.25">
      <c r="A393" s="403" t="str">
        <f t="shared" si="21"/>
        <v>46064460760000-00-0046066460660000-00-000000-00-000000-00-000000-00-000000-00-000000-00-000000-00-0046076460764607946086460933</v>
      </c>
      <c r="B393" s="142">
        <v>46064</v>
      </c>
      <c r="C393" s="142">
        <v>46076</v>
      </c>
      <c r="D393" s="18" t="s">
        <v>55</v>
      </c>
      <c r="E393" s="30">
        <v>46066</v>
      </c>
      <c r="F393" s="30">
        <v>46066</v>
      </c>
      <c r="G393" s="18" t="s">
        <v>55</v>
      </c>
      <c r="H393" s="18" t="s">
        <v>55</v>
      </c>
      <c r="I393" s="18" t="s">
        <v>55</v>
      </c>
      <c r="J393" s="18" t="s">
        <v>55</v>
      </c>
      <c r="K393" s="18" t="s">
        <v>55</v>
      </c>
      <c r="L393" s="18" t="s">
        <v>55</v>
      </c>
      <c r="M393" s="18" t="s">
        <v>55</v>
      </c>
      <c r="N393" s="104">
        <v>46076</v>
      </c>
      <c r="O393" s="104">
        <v>46076</v>
      </c>
      <c r="P393" s="28">
        <v>46079</v>
      </c>
      <c r="Q393" s="28">
        <v>46086</v>
      </c>
      <c r="R393" s="37">
        <v>46093</v>
      </c>
      <c r="S393" s="33">
        <f t="shared" si="22"/>
        <v>3</v>
      </c>
    </row>
    <row r="394" spans="1:19" x14ac:dyDescent="0.25">
      <c r="A394" s="403" t="str">
        <f t="shared" si="21"/>
        <v>46076460760000-00-0046079460840000-00-000000-00-000000-00-000000-00-000000-00-000000-00-000000-00-0046091460874609146099461063</v>
      </c>
      <c r="B394" s="142">
        <v>46076</v>
      </c>
      <c r="C394" s="142">
        <v>46076</v>
      </c>
      <c r="D394" s="3" t="s">
        <v>55</v>
      </c>
      <c r="E394" s="104">
        <v>46079</v>
      </c>
      <c r="F394" s="147">
        <v>46084</v>
      </c>
      <c r="G394" s="3" t="s">
        <v>55</v>
      </c>
      <c r="H394" s="3" t="s">
        <v>55</v>
      </c>
      <c r="I394" s="3" t="s">
        <v>55</v>
      </c>
      <c r="J394" s="3" t="s">
        <v>55</v>
      </c>
      <c r="K394" s="3" t="s">
        <v>55</v>
      </c>
      <c r="L394" s="3" t="s">
        <v>55</v>
      </c>
      <c r="M394" s="3" t="s">
        <v>55</v>
      </c>
      <c r="N394" s="28">
        <v>46091</v>
      </c>
      <c r="O394" s="28">
        <v>46087</v>
      </c>
      <c r="P394" s="28">
        <v>46091</v>
      </c>
      <c r="Q394" s="28">
        <v>46099</v>
      </c>
      <c r="R394" s="140">
        <v>46106</v>
      </c>
      <c r="S394" s="33">
        <f t="shared" si="22"/>
        <v>3</v>
      </c>
    </row>
    <row r="395" spans="1:19" x14ac:dyDescent="0.25">
      <c r="A395" s="403" t="str">
        <f t="shared" si="21"/>
        <v>46076460760000-00-0046086460860000-00-000000-00-000000-00-000000-00-000000-00-000000-00-000000-00-0046093460944609446101461063</v>
      </c>
      <c r="B395" s="142">
        <v>46076</v>
      </c>
      <c r="C395" s="142">
        <v>46076</v>
      </c>
      <c r="D395" s="3" t="s">
        <v>55</v>
      </c>
      <c r="E395" s="155">
        <v>46086</v>
      </c>
      <c r="F395" s="155">
        <v>46086</v>
      </c>
      <c r="G395" s="3" t="s">
        <v>55</v>
      </c>
      <c r="H395" s="3" t="s">
        <v>55</v>
      </c>
      <c r="I395" s="3" t="s">
        <v>55</v>
      </c>
      <c r="J395" s="3" t="s">
        <v>55</v>
      </c>
      <c r="K395" s="3" t="s">
        <v>55</v>
      </c>
      <c r="L395" s="3" t="s">
        <v>55</v>
      </c>
      <c r="M395" s="3" t="s">
        <v>55</v>
      </c>
      <c r="N395" s="44">
        <v>46093</v>
      </c>
      <c r="O395" s="28">
        <v>46094</v>
      </c>
      <c r="P395" s="28">
        <v>46094</v>
      </c>
      <c r="Q395" s="28">
        <v>46101</v>
      </c>
      <c r="R395" s="140">
        <v>46106</v>
      </c>
      <c r="S395" s="33">
        <f t="shared" si="22"/>
        <v>3</v>
      </c>
    </row>
    <row r="396" spans="1:19" x14ac:dyDescent="0.25">
      <c r="A396" s="403" t="str">
        <f t="shared" si="21"/>
        <v>46076460760000-00-0046079460930000-00-000000-00-000000-00-000000-00-000000-00-000000-00-000000-00-0046094460934609446101461063</v>
      </c>
      <c r="B396" s="174">
        <v>46076</v>
      </c>
      <c r="C396" s="174">
        <v>46076</v>
      </c>
      <c r="D396" s="96" t="s">
        <v>55</v>
      </c>
      <c r="E396" s="231">
        <v>46079</v>
      </c>
      <c r="F396" s="406">
        <v>46093</v>
      </c>
      <c r="G396" s="96" t="s">
        <v>55</v>
      </c>
      <c r="H396" s="96" t="s">
        <v>55</v>
      </c>
      <c r="I396" s="96" t="s">
        <v>55</v>
      </c>
      <c r="J396" s="96" t="s">
        <v>55</v>
      </c>
      <c r="K396" s="96" t="s">
        <v>55</v>
      </c>
      <c r="L396" s="96" t="s">
        <v>55</v>
      </c>
      <c r="M396" s="96" t="s">
        <v>55</v>
      </c>
      <c r="N396" s="178">
        <v>46094</v>
      </c>
      <c r="O396" s="178">
        <v>46093</v>
      </c>
      <c r="P396" s="178">
        <v>46094</v>
      </c>
      <c r="Q396" s="178">
        <v>46101</v>
      </c>
      <c r="R396" s="139">
        <v>46106</v>
      </c>
      <c r="S396" s="99">
        <f t="shared" si="22"/>
        <v>3</v>
      </c>
    </row>
    <row r="397" spans="1:19" x14ac:dyDescent="0.25">
      <c r="A397" s="403" t="str">
        <f t="shared" si="21"/>
        <v>46076460760000-00-000000-00-000000-00-000000-00-000000-00-000000-00-000000-00-000000-00-000000-00-000000-00-0046094460944609446101461063</v>
      </c>
      <c r="B397" s="142">
        <v>46076</v>
      </c>
      <c r="C397" s="142">
        <v>46076</v>
      </c>
      <c r="D397" s="33" t="s">
        <v>55</v>
      </c>
      <c r="E397" s="142" t="s">
        <v>55</v>
      </c>
      <c r="F397" s="142" t="s">
        <v>55</v>
      </c>
      <c r="G397" s="33" t="s">
        <v>55</v>
      </c>
      <c r="H397" s="33" t="s">
        <v>55</v>
      </c>
      <c r="I397" s="33" t="s">
        <v>55</v>
      </c>
      <c r="J397" s="33" t="s">
        <v>55</v>
      </c>
      <c r="K397" s="33" t="s">
        <v>55</v>
      </c>
      <c r="L397" s="33" t="s">
        <v>55</v>
      </c>
      <c r="M397" s="33" t="s">
        <v>55</v>
      </c>
      <c r="N397" s="28">
        <v>46094</v>
      </c>
      <c r="O397" s="28">
        <v>46094</v>
      </c>
      <c r="P397" s="28">
        <v>46094</v>
      </c>
      <c r="Q397" s="28">
        <v>46101</v>
      </c>
      <c r="R397" s="140">
        <v>46106</v>
      </c>
      <c r="S397" s="33">
        <f t="shared" si="22"/>
        <v>3</v>
      </c>
    </row>
    <row r="398" spans="1:19" x14ac:dyDescent="0.25">
      <c r="A398" s="403" t="str">
        <f t="shared" si="21"/>
        <v>46076460760000-00-000000-00-000000-00-000000-00-000000-00-000000-00-000000-00-000000-00-000000-00-000000-00-0046084460844608546092460933</v>
      </c>
      <c r="B398" s="142">
        <v>46076</v>
      </c>
      <c r="C398" s="142">
        <v>46076</v>
      </c>
      <c r="D398" s="18" t="s">
        <v>55</v>
      </c>
      <c r="E398" s="2" t="s">
        <v>55</v>
      </c>
      <c r="F398" s="2" t="s">
        <v>55</v>
      </c>
      <c r="G398" s="18" t="s">
        <v>55</v>
      </c>
      <c r="H398" s="18" t="s">
        <v>55</v>
      </c>
      <c r="I398" s="18" t="s">
        <v>55</v>
      </c>
      <c r="J398" s="18" t="s">
        <v>55</v>
      </c>
      <c r="K398" s="18" t="s">
        <v>55</v>
      </c>
      <c r="L398" s="18" t="s">
        <v>55</v>
      </c>
      <c r="M398" s="18" t="s">
        <v>55</v>
      </c>
      <c r="N398" s="28">
        <v>46084</v>
      </c>
      <c r="O398" s="28">
        <v>46084</v>
      </c>
      <c r="P398" s="28">
        <v>46085</v>
      </c>
      <c r="Q398" s="28">
        <v>46092</v>
      </c>
      <c r="R398" s="28">
        <v>46093</v>
      </c>
      <c r="S398" s="33">
        <f t="shared" si="22"/>
        <v>3</v>
      </c>
    </row>
    <row r="399" spans="1:19" x14ac:dyDescent="0.25">
      <c r="A399" s="403" t="str">
        <f t="shared" si="21"/>
        <v>46077460770000-00-000000-00-000000-00-000000-00-000000-00-000000-00-000000-00-000000-00-000000-00-000000-00-0046092460924609246101461063</v>
      </c>
      <c r="B399" s="142">
        <v>46077</v>
      </c>
      <c r="C399" s="142">
        <v>46077</v>
      </c>
      <c r="D399" s="33" t="s">
        <v>55</v>
      </c>
      <c r="E399" s="142" t="s">
        <v>55</v>
      </c>
      <c r="F399" s="142" t="s">
        <v>55</v>
      </c>
      <c r="G399" s="33" t="s">
        <v>55</v>
      </c>
      <c r="H399" s="33" t="s">
        <v>55</v>
      </c>
      <c r="I399" s="33" t="s">
        <v>55</v>
      </c>
      <c r="J399" s="33" t="s">
        <v>55</v>
      </c>
      <c r="K399" s="33" t="s">
        <v>55</v>
      </c>
      <c r="L399" s="33" t="s">
        <v>55</v>
      </c>
      <c r="M399" s="33" t="s">
        <v>55</v>
      </c>
      <c r="N399" s="28">
        <v>46092</v>
      </c>
      <c r="O399" s="28">
        <v>46092</v>
      </c>
      <c r="P399" s="28">
        <v>46092</v>
      </c>
      <c r="Q399" s="28">
        <v>46101</v>
      </c>
      <c r="R399" s="140">
        <v>46106</v>
      </c>
      <c r="S399" s="33">
        <f t="shared" si="22"/>
        <v>3</v>
      </c>
    </row>
    <row r="400" spans="1:19" x14ac:dyDescent="0.25">
      <c r="A400" s="403" t="str">
        <f t="shared" si="21"/>
        <v>46077460770000-00-000000-00-000000-00-000000-00-000000-00-000000-00-000000-00-000000-00-000000-00-000000-00-000000-00-00460804608046091460933</v>
      </c>
      <c r="B400" s="142">
        <v>46077</v>
      </c>
      <c r="C400" s="142">
        <v>46077</v>
      </c>
      <c r="D400" s="3" t="s">
        <v>55</v>
      </c>
      <c r="E400" s="155" t="s">
        <v>55</v>
      </c>
      <c r="F400" s="155" t="s">
        <v>55</v>
      </c>
      <c r="G400" s="3" t="s">
        <v>55</v>
      </c>
      <c r="H400" s="3" t="s">
        <v>55</v>
      </c>
      <c r="I400" s="3" t="s">
        <v>55</v>
      </c>
      <c r="J400" s="3" t="s">
        <v>55</v>
      </c>
      <c r="K400" s="3" t="s">
        <v>55</v>
      </c>
      <c r="L400" s="3" t="s">
        <v>55</v>
      </c>
      <c r="M400" s="3" t="s">
        <v>55</v>
      </c>
      <c r="N400" s="33" t="s">
        <v>55</v>
      </c>
      <c r="O400" s="28">
        <v>46080</v>
      </c>
      <c r="P400" s="28">
        <v>46080</v>
      </c>
      <c r="Q400" s="28">
        <v>46091</v>
      </c>
      <c r="R400" s="16">
        <v>46093</v>
      </c>
      <c r="S400" s="3">
        <f t="shared" si="22"/>
        <v>3</v>
      </c>
    </row>
    <row r="401" spans="1:19" x14ac:dyDescent="0.25">
      <c r="A401" s="403" t="str">
        <f t="shared" si="21"/>
        <v>46071460770000-00-0046078460780000-00-000000-00-000000-00-000000-00-000000-00-000000-00-000000-00-0046079460794607946084460853</v>
      </c>
      <c r="B401" s="142">
        <v>46071</v>
      </c>
      <c r="C401" s="142">
        <v>46077</v>
      </c>
      <c r="D401" s="3" t="s">
        <v>55</v>
      </c>
      <c r="E401" s="73">
        <v>46078</v>
      </c>
      <c r="F401" s="73">
        <v>46078</v>
      </c>
      <c r="G401" s="3" t="s">
        <v>55</v>
      </c>
      <c r="H401" s="3" t="s">
        <v>55</v>
      </c>
      <c r="I401" s="3" t="s">
        <v>55</v>
      </c>
      <c r="J401" s="3" t="s">
        <v>55</v>
      </c>
      <c r="K401" s="3" t="s">
        <v>55</v>
      </c>
      <c r="L401" s="3" t="s">
        <v>55</v>
      </c>
      <c r="M401" s="3" t="s">
        <v>55</v>
      </c>
      <c r="N401" s="28">
        <v>46079</v>
      </c>
      <c r="O401" s="28">
        <v>46079</v>
      </c>
      <c r="P401" s="28">
        <v>46079</v>
      </c>
      <c r="Q401" s="28">
        <v>46084</v>
      </c>
      <c r="R401" s="140">
        <v>46085</v>
      </c>
      <c r="S401" s="33">
        <f t="shared" si="22"/>
        <v>3</v>
      </c>
    </row>
    <row r="402" spans="1:19" x14ac:dyDescent="0.25">
      <c r="A402" s="403" t="str">
        <f t="shared" si="21"/>
        <v>46071460770000-00-0046077460770000-00-000000-00-000000-00-000000-00-000000-00-000000-00-000000-00-0046079460794607946084460853</v>
      </c>
      <c r="B402" s="142">
        <v>46071</v>
      </c>
      <c r="C402" s="142">
        <v>46077</v>
      </c>
      <c r="D402" s="3" t="s">
        <v>55</v>
      </c>
      <c r="E402" s="73">
        <v>46077</v>
      </c>
      <c r="F402" s="73">
        <v>46077</v>
      </c>
      <c r="G402" s="3" t="s">
        <v>55</v>
      </c>
      <c r="H402" s="3" t="s">
        <v>55</v>
      </c>
      <c r="I402" s="3" t="s">
        <v>55</v>
      </c>
      <c r="J402" s="3" t="s">
        <v>55</v>
      </c>
      <c r="K402" s="3" t="s">
        <v>55</v>
      </c>
      <c r="L402" s="3" t="s">
        <v>55</v>
      </c>
      <c r="M402" s="3" t="s">
        <v>55</v>
      </c>
      <c r="N402" s="28">
        <v>46079</v>
      </c>
      <c r="O402" s="28">
        <v>46079</v>
      </c>
      <c r="P402" s="28">
        <v>46079</v>
      </c>
      <c r="Q402" s="28">
        <v>46084</v>
      </c>
      <c r="R402" s="140">
        <v>46085</v>
      </c>
      <c r="S402" s="33">
        <f t="shared" si="22"/>
        <v>3</v>
      </c>
    </row>
    <row r="403" spans="1:19" x14ac:dyDescent="0.25">
      <c r="A403" s="403" t="str">
        <f t="shared" si="21"/>
        <v>46078460780000-00-000000-00-000000-00-000000-00-000000-00-000000-00-000000-00-000000-00-000000-00-000000-00-0046087460904609446100461063</v>
      </c>
      <c r="B403" s="142">
        <v>46078</v>
      </c>
      <c r="C403" s="142">
        <v>46078</v>
      </c>
      <c r="D403" s="33" t="s">
        <v>55</v>
      </c>
      <c r="E403" s="142" t="s">
        <v>55</v>
      </c>
      <c r="F403" s="142" t="s">
        <v>55</v>
      </c>
      <c r="G403" s="33" t="s">
        <v>55</v>
      </c>
      <c r="H403" s="33" t="s">
        <v>55</v>
      </c>
      <c r="I403" s="33" t="s">
        <v>55</v>
      </c>
      <c r="J403" s="33" t="s">
        <v>55</v>
      </c>
      <c r="K403" s="33" t="s">
        <v>55</v>
      </c>
      <c r="L403" s="33" t="s">
        <v>55</v>
      </c>
      <c r="M403" s="33" t="s">
        <v>55</v>
      </c>
      <c r="N403" s="28">
        <v>46087</v>
      </c>
      <c r="O403" s="28">
        <v>46090</v>
      </c>
      <c r="P403" s="28">
        <v>46094</v>
      </c>
      <c r="Q403" s="28">
        <v>46100</v>
      </c>
      <c r="R403" s="140">
        <v>46106</v>
      </c>
      <c r="S403" s="33">
        <f t="shared" si="22"/>
        <v>3</v>
      </c>
    </row>
    <row r="404" spans="1:19" x14ac:dyDescent="0.25">
      <c r="A404" s="403" t="str">
        <f t="shared" si="21"/>
        <v>46066460800000-00-000000-00-000000-00-000000-00-000000-00-000000-00-000000-00-000000-00-000000-00-000000-00-0046076460804608046091460933</v>
      </c>
      <c r="B404" s="142">
        <v>46066</v>
      </c>
      <c r="C404" s="142">
        <v>46080</v>
      </c>
      <c r="D404" s="33" t="s">
        <v>55</v>
      </c>
      <c r="E404" s="142" t="s">
        <v>55</v>
      </c>
      <c r="F404" s="142" t="s">
        <v>55</v>
      </c>
      <c r="G404" s="33" t="s">
        <v>55</v>
      </c>
      <c r="H404" s="33" t="s">
        <v>55</v>
      </c>
      <c r="I404" s="33" t="s">
        <v>55</v>
      </c>
      <c r="J404" s="33" t="s">
        <v>55</v>
      </c>
      <c r="K404" s="33" t="s">
        <v>55</v>
      </c>
      <c r="L404" s="33" t="s">
        <v>55</v>
      </c>
      <c r="M404" s="33" t="s">
        <v>55</v>
      </c>
      <c r="N404" s="28">
        <v>46076</v>
      </c>
      <c r="O404" s="28">
        <v>46080</v>
      </c>
      <c r="P404" s="28">
        <v>46080</v>
      </c>
      <c r="Q404" s="28">
        <v>46091</v>
      </c>
      <c r="R404" s="140">
        <v>46093</v>
      </c>
      <c r="S404" s="33">
        <f t="shared" si="22"/>
        <v>3</v>
      </c>
    </row>
    <row r="405" spans="1:19" x14ac:dyDescent="0.25">
      <c r="A405" s="403" t="str">
        <f t="shared" si="21"/>
        <v>46078460780000-00-0046085460850000-00-000000-00-000000-00-000000-00-000000-00-000000-00-000000-00-0046092460924609246098461063</v>
      </c>
      <c r="B405" s="142">
        <v>46078</v>
      </c>
      <c r="C405" s="142">
        <v>46078</v>
      </c>
      <c r="D405" s="3" t="s">
        <v>55</v>
      </c>
      <c r="E405" s="73">
        <v>46085</v>
      </c>
      <c r="F405" s="73">
        <v>46085</v>
      </c>
      <c r="G405" s="3" t="s">
        <v>55</v>
      </c>
      <c r="H405" s="3" t="s">
        <v>55</v>
      </c>
      <c r="I405" s="3" t="s">
        <v>55</v>
      </c>
      <c r="J405" s="3" t="s">
        <v>55</v>
      </c>
      <c r="K405" s="3" t="s">
        <v>55</v>
      </c>
      <c r="L405" s="3" t="s">
        <v>55</v>
      </c>
      <c r="M405" s="3" t="s">
        <v>55</v>
      </c>
      <c r="N405" s="28">
        <v>46092</v>
      </c>
      <c r="O405" s="28">
        <v>46092</v>
      </c>
      <c r="P405" s="28">
        <v>46092</v>
      </c>
      <c r="Q405" s="28">
        <v>46098</v>
      </c>
      <c r="R405" s="140">
        <v>46106</v>
      </c>
      <c r="S405" s="33">
        <f t="shared" si="22"/>
        <v>3</v>
      </c>
    </row>
    <row r="406" spans="1:19" x14ac:dyDescent="0.25">
      <c r="A406" s="403" t="str">
        <f t="shared" si="21"/>
        <v>46069460780000-00-0046078460780000-00-000000-00-000000-00-000000-00-000000-00-000000-00-000000-00-0046086460864608646092460933</v>
      </c>
      <c r="B406" s="142">
        <v>46069</v>
      </c>
      <c r="C406" s="142">
        <v>46078</v>
      </c>
      <c r="D406" s="3" t="s">
        <v>55</v>
      </c>
      <c r="E406" s="73">
        <v>46078</v>
      </c>
      <c r="F406" s="73">
        <v>46078</v>
      </c>
      <c r="G406" s="3" t="s">
        <v>55</v>
      </c>
      <c r="H406" s="3" t="s">
        <v>55</v>
      </c>
      <c r="I406" s="3" t="s">
        <v>55</v>
      </c>
      <c r="J406" s="3" t="s">
        <v>55</v>
      </c>
      <c r="K406" s="3" t="s">
        <v>55</v>
      </c>
      <c r="L406" s="3" t="s">
        <v>55</v>
      </c>
      <c r="M406" s="3" t="s">
        <v>55</v>
      </c>
      <c r="N406" s="28">
        <v>46086</v>
      </c>
      <c r="O406" s="28">
        <v>46086</v>
      </c>
      <c r="P406" s="28">
        <v>46086</v>
      </c>
      <c r="Q406" s="28">
        <v>46092</v>
      </c>
      <c r="R406" s="140">
        <v>46093</v>
      </c>
      <c r="S406" s="33">
        <f t="shared" si="22"/>
        <v>3</v>
      </c>
    </row>
    <row r="407" spans="1:19" x14ac:dyDescent="0.25">
      <c r="A407" s="403" t="str">
        <f t="shared" si="21"/>
        <v>46079460790000-00-000000-00-000000-00-000000-00-000000-00-000000-00-000000-00-000000-00-000000-00-000000-00-0046091460924609246101461063</v>
      </c>
      <c r="B407" s="142">
        <v>46079</v>
      </c>
      <c r="C407" s="142">
        <v>46079</v>
      </c>
      <c r="D407" s="33" t="s">
        <v>55</v>
      </c>
      <c r="E407" s="142" t="s">
        <v>55</v>
      </c>
      <c r="F407" s="142" t="s">
        <v>55</v>
      </c>
      <c r="G407" s="33" t="s">
        <v>55</v>
      </c>
      <c r="H407" s="33" t="s">
        <v>55</v>
      </c>
      <c r="I407" s="33" t="s">
        <v>55</v>
      </c>
      <c r="J407" s="33" t="s">
        <v>55</v>
      </c>
      <c r="K407" s="33" t="s">
        <v>55</v>
      </c>
      <c r="L407" s="33" t="s">
        <v>55</v>
      </c>
      <c r="M407" s="33" t="s">
        <v>55</v>
      </c>
      <c r="N407" s="28">
        <v>46091</v>
      </c>
      <c r="O407" s="28">
        <v>46092</v>
      </c>
      <c r="P407" s="28">
        <v>46092</v>
      </c>
      <c r="Q407" s="28">
        <v>46101</v>
      </c>
      <c r="R407" s="140">
        <v>46106</v>
      </c>
      <c r="S407" s="33">
        <f t="shared" si="22"/>
        <v>3</v>
      </c>
    </row>
    <row r="408" spans="1:19" x14ac:dyDescent="0.25">
      <c r="A408" s="403" t="str">
        <f t="shared" si="21"/>
        <v>46085460790000-00-000000-00-000000-00-000000-00-000000-00-000000-00-000000-00-000000-00-000000-00-000000-00-0046093460930000-00-0046097460973</v>
      </c>
      <c r="B408" s="142">
        <v>46085</v>
      </c>
      <c r="C408" s="142">
        <v>46079</v>
      </c>
      <c r="D408" s="33" t="s">
        <v>55</v>
      </c>
      <c r="E408" s="142" t="s">
        <v>55</v>
      </c>
      <c r="F408" s="142" t="s">
        <v>55</v>
      </c>
      <c r="G408" s="33" t="s">
        <v>55</v>
      </c>
      <c r="H408" s="33" t="s">
        <v>55</v>
      </c>
      <c r="I408" s="33" t="s">
        <v>55</v>
      </c>
      <c r="J408" s="33" t="s">
        <v>55</v>
      </c>
      <c r="K408" s="33" t="s">
        <v>55</v>
      </c>
      <c r="L408" s="33" t="s">
        <v>55</v>
      </c>
      <c r="M408" s="33" t="s">
        <v>55</v>
      </c>
      <c r="N408" s="28">
        <v>46093</v>
      </c>
      <c r="O408" s="28">
        <v>46093</v>
      </c>
      <c r="P408" s="28" t="s">
        <v>55</v>
      </c>
      <c r="Q408" s="148">
        <v>46097</v>
      </c>
      <c r="R408" s="148">
        <v>46097</v>
      </c>
      <c r="S408" s="33">
        <v>3</v>
      </c>
    </row>
    <row r="409" spans="1:19" x14ac:dyDescent="0.25">
      <c r="A409" s="403" t="str">
        <f t="shared" si="21"/>
        <v>46055460800000-00-0046062460620000-00-000000-00-000000-00-000000-00-000000-00-000000-00-000000-00-0046078460784607846084460853</v>
      </c>
      <c r="B409" s="142">
        <v>46055</v>
      </c>
      <c r="C409" s="142">
        <v>46080</v>
      </c>
      <c r="D409" s="3" t="s">
        <v>55</v>
      </c>
      <c r="E409" s="73">
        <v>46062</v>
      </c>
      <c r="F409" s="73">
        <v>46062</v>
      </c>
      <c r="G409" s="3" t="s">
        <v>55</v>
      </c>
      <c r="H409" s="3" t="s">
        <v>55</v>
      </c>
      <c r="I409" s="3" t="s">
        <v>55</v>
      </c>
      <c r="J409" s="3" t="s">
        <v>55</v>
      </c>
      <c r="K409" s="3" t="s">
        <v>55</v>
      </c>
      <c r="L409" s="3" t="s">
        <v>55</v>
      </c>
      <c r="M409" s="3" t="s">
        <v>55</v>
      </c>
      <c r="N409" s="28">
        <v>46078</v>
      </c>
      <c r="O409" s="28">
        <v>46078</v>
      </c>
      <c r="P409" s="28">
        <v>46078</v>
      </c>
      <c r="Q409" s="28">
        <v>46084</v>
      </c>
      <c r="R409" s="140">
        <v>46085</v>
      </c>
      <c r="S409" s="33">
        <f t="shared" ref="S409:S415" si="23">MONTH(R409)</f>
        <v>3</v>
      </c>
    </row>
    <row r="410" spans="1:19" x14ac:dyDescent="0.25">
      <c r="A410" s="403" t="str">
        <f t="shared" si="21"/>
        <v>46080460800000-00-0046090460900000-00-000000-00-000000-00-000000-00-000000-00-000000-00-000000-00-0046097460974609746101461063</v>
      </c>
      <c r="B410" s="142">
        <v>46080</v>
      </c>
      <c r="C410" s="142">
        <v>46080</v>
      </c>
      <c r="D410" s="3" t="s">
        <v>55</v>
      </c>
      <c r="E410" s="73">
        <v>46090</v>
      </c>
      <c r="F410" s="73">
        <v>46090</v>
      </c>
      <c r="G410" s="3" t="s">
        <v>55</v>
      </c>
      <c r="H410" s="3" t="s">
        <v>55</v>
      </c>
      <c r="I410" s="3" t="s">
        <v>55</v>
      </c>
      <c r="J410" s="3" t="s">
        <v>55</v>
      </c>
      <c r="K410" s="3" t="s">
        <v>55</v>
      </c>
      <c r="L410" s="3" t="s">
        <v>55</v>
      </c>
      <c r="M410" s="3" t="s">
        <v>55</v>
      </c>
      <c r="N410" s="28">
        <v>46097</v>
      </c>
      <c r="O410" s="28">
        <v>46097</v>
      </c>
      <c r="P410" s="28">
        <v>46097</v>
      </c>
      <c r="Q410" s="28">
        <v>46101</v>
      </c>
      <c r="R410" s="140">
        <v>46106</v>
      </c>
      <c r="S410" s="33">
        <f t="shared" si="23"/>
        <v>3</v>
      </c>
    </row>
    <row r="411" spans="1:19" x14ac:dyDescent="0.25">
      <c r="A411" s="403" t="str">
        <f t="shared" si="21"/>
        <v>46080460800000-00-000000-00-000000-00-000000-00-000000-00-000000-00-000000-00-000000-00-000000-00-000000-00-0046086460864608646093460933</v>
      </c>
      <c r="B411" s="142">
        <v>46080</v>
      </c>
      <c r="C411" s="142">
        <v>46080</v>
      </c>
      <c r="D411" s="3" t="s">
        <v>55</v>
      </c>
      <c r="E411" s="155" t="s">
        <v>55</v>
      </c>
      <c r="F411" s="155" t="s">
        <v>55</v>
      </c>
      <c r="G411" s="3" t="s">
        <v>55</v>
      </c>
      <c r="H411" s="3" t="s">
        <v>55</v>
      </c>
      <c r="I411" s="3" t="s">
        <v>55</v>
      </c>
      <c r="J411" s="3" t="s">
        <v>55</v>
      </c>
      <c r="K411" s="3" t="s">
        <v>55</v>
      </c>
      <c r="L411" s="3" t="s">
        <v>55</v>
      </c>
      <c r="M411" s="3" t="s">
        <v>55</v>
      </c>
      <c r="N411" s="28">
        <v>46086</v>
      </c>
      <c r="O411" s="28">
        <v>46086</v>
      </c>
      <c r="P411" s="28">
        <v>46086</v>
      </c>
      <c r="Q411" s="28">
        <v>46093</v>
      </c>
      <c r="R411" s="16">
        <v>46093</v>
      </c>
      <c r="S411" s="33">
        <f t="shared" si="23"/>
        <v>3</v>
      </c>
    </row>
    <row r="412" spans="1:19" x14ac:dyDescent="0.25">
      <c r="A412" s="403" t="str">
        <f t="shared" si="21"/>
        <v>46079460800000-00-000000-00-000000-00-000000-00-000000-00-000000-00-000000-00-000000-00-000000-00-000000-00-0046085460854608546092460933</v>
      </c>
      <c r="B412" s="142">
        <v>46079</v>
      </c>
      <c r="C412" s="142">
        <v>46080</v>
      </c>
      <c r="D412" s="33" t="s">
        <v>55</v>
      </c>
      <c r="E412" s="142" t="s">
        <v>55</v>
      </c>
      <c r="F412" s="142" t="s">
        <v>55</v>
      </c>
      <c r="G412" s="33" t="s">
        <v>55</v>
      </c>
      <c r="H412" s="33" t="s">
        <v>55</v>
      </c>
      <c r="I412" s="33" t="s">
        <v>55</v>
      </c>
      <c r="J412" s="33" t="s">
        <v>55</v>
      </c>
      <c r="K412" s="33" t="s">
        <v>55</v>
      </c>
      <c r="L412" s="33" t="s">
        <v>55</v>
      </c>
      <c r="M412" s="33" t="s">
        <v>55</v>
      </c>
      <c r="N412" s="28">
        <v>46085</v>
      </c>
      <c r="O412" s="28">
        <v>46085</v>
      </c>
      <c r="P412" s="28">
        <v>46085</v>
      </c>
      <c r="Q412" s="28">
        <v>46092</v>
      </c>
      <c r="R412" s="16">
        <v>46093</v>
      </c>
      <c r="S412" s="33">
        <f t="shared" si="23"/>
        <v>3</v>
      </c>
    </row>
    <row r="413" spans="1:19" x14ac:dyDescent="0.25">
      <c r="A413" s="403" t="str">
        <f t="shared" si="21"/>
        <v>46079460800000-00-000000-00-000000-00-000000-00-000000-00-000000-00-000000-00-000000-00-000000-00-000000-00-0046085460854608546091460933</v>
      </c>
      <c r="B413" s="142">
        <v>46079</v>
      </c>
      <c r="C413" s="142">
        <v>46080</v>
      </c>
      <c r="D413" s="33" t="s">
        <v>55</v>
      </c>
      <c r="E413" s="142" t="s">
        <v>55</v>
      </c>
      <c r="F413" s="142" t="s">
        <v>55</v>
      </c>
      <c r="G413" s="33" t="s">
        <v>55</v>
      </c>
      <c r="H413" s="33" t="s">
        <v>55</v>
      </c>
      <c r="I413" s="33" t="s">
        <v>55</v>
      </c>
      <c r="J413" s="33" t="s">
        <v>55</v>
      </c>
      <c r="K413" s="33" t="s">
        <v>55</v>
      </c>
      <c r="L413" s="33" t="s">
        <v>55</v>
      </c>
      <c r="M413" s="33" t="s">
        <v>55</v>
      </c>
      <c r="N413" s="28">
        <v>46085</v>
      </c>
      <c r="O413" s="28">
        <v>46085</v>
      </c>
      <c r="P413" s="28">
        <v>46085</v>
      </c>
      <c r="Q413" s="28">
        <v>46091</v>
      </c>
      <c r="R413" s="140">
        <v>46093</v>
      </c>
      <c r="S413" s="33">
        <f t="shared" si="23"/>
        <v>3</v>
      </c>
    </row>
    <row r="414" spans="1:19" x14ac:dyDescent="0.25">
      <c r="A414" s="403" t="str">
        <f t="shared" si="21"/>
        <v>46063460830000-00-0046071460710000-00-000000-00-000000-00-000000-00-000000-00-000000-00-000000-00-0046079460794607946085460933</v>
      </c>
      <c r="B414" s="142">
        <v>46063</v>
      </c>
      <c r="C414" s="142">
        <v>46083</v>
      </c>
      <c r="D414" s="3" t="s">
        <v>55</v>
      </c>
      <c r="E414" s="73">
        <v>46071</v>
      </c>
      <c r="F414" s="73">
        <v>46071</v>
      </c>
      <c r="G414" s="3" t="s">
        <v>55</v>
      </c>
      <c r="H414" s="3" t="s">
        <v>55</v>
      </c>
      <c r="I414" s="3" t="s">
        <v>55</v>
      </c>
      <c r="J414" s="3" t="s">
        <v>55</v>
      </c>
      <c r="K414" s="3" t="s">
        <v>55</v>
      </c>
      <c r="L414" s="3" t="s">
        <v>55</v>
      </c>
      <c r="M414" s="3" t="s">
        <v>55</v>
      </c>
      <c r="N414" s="28">
        <v>46079</v>
      </c>
      <c r="O414" s="28">
        <v>46079</v>
      </c>
      <c r="P414" s="28">
        <v>46079</v>
      </c>
      <c r="Q414" s="28">
        <v>46085</v>
      </c>
      <c r="R414" s="140">
        <v>46093</v>
      </c>
      <c r="S414" s="33">
        <f t="shared" si="23"/>
        <v>3</v>
      </c>
    </row>
    <row r="415" spans="1:19" x14ac:dyDescent="0.25">
      <c r="A415" s="403" t="str">
        <f t="shared" si="21"/>
        <v>46083460830000-00-0046086460860000-00-000000-00-000000-00-000000-00-000000-00-000000-00-000000-00-0046094460944609446100461063</v>
      </c>
      <c r="B415" s="142">
        <v>46083</v>
      </c>
      <c r="C415" s="142">
        <v>46083</v>
      </c>
      <c r="D415" s="3" t="s">
        <v>55</v>
      </c>
      <c r="E415" s="28">
        <v>46086</v>
      </c>
      <c r="F415" s="28">
        <v>46086</v>
      </c>
      <c r="G415" s="3" t="s">
        <v>55</v>
      </c>
      <c r="H415" s="3" t="s">
        <v>55</v>
      </c>
      <c r="I415" s="3" t="s">
        <v>55</v>
      </c>
      <c r="J415" s="3" t="s">
        <v>55</v>
      </c>
      <c r="K415" s="3" t="s">
        <v>55</v>
      </c>
      <c r="L415" s="3" t="s">
        <v>55</v>
      </c>
      <c r="M415" s="3" t="s">
        <v>55</v>
      </c>
      <c r="N415" s="28">
        <v>46094</v>
      </c>
      <c r="O415" s="28">
        <v>46094</v>
      </c>
      <c r="P415" s="28">
        <v>46094</v>
      </c>
      <c r="Q415" s="28">
        <v>46100</v>
      </c>
      <c r="R415" s="140">
        <v>46106</v>
      </c>
      <c r="S415" s="33">
        <f t="shared" si="23"/>
        <v>3</v>
      </c>
    </row>
    <row r="416" spans="1:19" x14ac:dyDescent="0.25">
      <c r="A416" s="403" t="str">
        <f t="shared" si="21"/>
        <v>46084460840000-00-0046085460850000-00-000000-00-000000-00-000000-00-000000-00-000000-00-000000-00-0046092460924609746101461063</v>
      </c>
      <c r="B416" s="165">
        <v>46084</v>
      </c>
      <c r="C416" s="166">
        <v>46084</v>
      </c>
      <c r="D416" s="167" t="s">
        <v>55</v>
      </c>
      <c r="E416" s="116">
        <v>46085</v>
      </c>
      <c r="F416" s="116">
        <v>46085</v>
      </c>
      <c r="G416" s="167" t="s">
        <v>55</v>
      </c>
      <c r="H416" s="167" t="s">
        <v>55</v>
      </c>
      <c r="I416" s="167" t="s">
        <v>55</v>
      </c>
      <c r="J416" s="167" t="s">
        <v>55</v>
      </c>
      <c r="K416" s="167" t="s">
        <v>55</v>
      </c>
      <c r="L416" s="2" t="s">
        <v>55</v>
      </c>
      <c r="M416" s="167" t="s">
        <v>55</v>
      </c>
      <c r="N416" s="16">
        <v>46092</v>
      </c>
      <c r="O416" s="16">
        <v>46092</v>
      </c>
      <c r="P416" s="16">
        <v>46097</v>
      </c>
      <c r="Q416" s="246">
        <v>46101</v>
      </c>
      <c r="R416" s="246">
        <v>46106</v>
      </c>
      <c r="S416" s="168">
        <v>3</v>
      </c>
    </row>
    <row r="417" spans="1:19" x14ac:dyDescent="0.25">
      <c r="A417" s="403" t="str">
        <f t="shared" si="21"/>
        <v>46083460830000-00-000000-00-000000-00-000000-00-000000-00-000000-00-000000-00-000000-00-000000-00-000000-00-0046087460904609146098461063</v>
      </c>
      <c r="B417" s="142">
        <v>46083</v>
      </c>
      <c r="C417" s="142">
        <v>46083</v>
      </c>
      <c r="D417" s="33" t="s">
        <v>55</v>
      </c>
      <c r="E417" s="142" t="s">
        <v>55</v>
      </c>
      <c r="F417" s="142" t="s">
        <v>55</v>
      </c>
      <c r="G417" s="33" t="s">
        <v>55</v>
      </c>
      <c r="H417" s="33" t="s">
        <v>55</v>
      </c>
      <c r="I417" s="33" t="s">
        <v>55</v>
      </c>
      <c r="J417" s="33" t="s">
        <v>55</v>
      </c>
      <c r="K417" s="33" t="s">
        <v>55</v>
      </c>
      <c r="L417" s="33" t="s">
        <v>55</v>
      </c>
      <c r="M417" s="33" t="s">
        <v>55</v>
      </c>
      <c r="N417" s="28">
        <v>46087</v>
      </c>
      <c r="O417" s="28">
        <v>46090</v>
      </c>
      <c r="P417" s="28">
        <v>46091</v>
      </c>
      <c r="Q417" s="28">
        <v>46098</v>
      </c>
      <c r="R417" s="140">
        <v>46106</v>
      </c>
      <c r="S417" s="33">
        <f t="shared" ref="S417:S426" si="24">MONTH(R417)</f>
        <v>3</v>
      </c>
    </row>
    <row r="418" spans="1:19" x14ac:dyDescent="0.25">
      <c r="A418" s="403" t="str">
        <f t="shared" si="21"/>
        <v>46083460830000-00-000000-00-000000-00-000000-00-000000-00-000000-00-000000-00-000000-00-000000-00-000000-00-0046090460904609146101461063</v>
      </c>
      <c r="B418" s="142">
        <v>46083</v>
      </c>
      <c r="C418" s="142">
        <v>46083</v>
      </c>
      <c r="D418" s="33" t="s">
        <v>55</v>
      </c>
      <c r="E418" s="142" t="s">
        <v>55</v>
      </c>
      <c r="F418" s="142" t="s">
        <v>55</v>
      </c>
      <c r="G418" s="33" t="s">
        <v>55</v>
      </c>
      <c r="H418" s="33" t="s">
        <v>55</v>
      </c>
      <c r="I418" s="33" t="s">
        <v>55</v>
      </c>
      <c r="J418" s="33" t="s">
        <v>55</v>
      </c>
      <c r="K418" s="33" t="s">
        <v>55</v>
      </c>
      <c r="L418" s="33" t="s">
        <v>55</v>
      </c>
      <c r="M418" s="33" t="s">
        <v>55</v>
      </c>
      <c r="N418" s="28">
        <v>46090</v>
      </c>
      <c r="O418" s="28">
        <v>46090</v>
      </c>
      <c r="P418" s="28">
        <v>46091</v>
      </c>
      <c r="Q418" s="28">
        <v>46101</v>
      </c>
      <c r="R418" s="140">
        <v>46106</v>
      </c>
      <c r="S418" s="33">
        <f t="shared" si="24"/>
        <v>3</v>
      </c>
    </row>
    <row r="419" spans="1:19" x14ac:dyDescent="0.25">
      <c r="A419" s="403" t="str">
        <f t="shared" si="21"/>
        <v>46083460830000-00-000000-00-000000-00-000000-00-000000-00-000000-00-000000-00-000000-00-000000-00-000000-00-0046094460944609446101461063</v>
      </c>
      <c r="B419" s="142">
        <v>46083</v>
      </c>
      <c r="C419" s="142">
        <v>46083</v>
      </c>
      <c r="D419" s="33" t="s">
        <v>55</v>
      </c>
      <c r="E419" s="142" t="s">
        <v>55</v>
      </c>
      <c r="F419" s="142" t="s">
        <v>55</v>
      </c>
      <c r="G419" s="33" t="s">
        <v>55</v>
      </c>
      <c r="H419" s="33" t="s">
        <v>55</v>
      </c>
      <c r="I419" s="33" t="s">
        <v>55</v>
      </c>
      <c r="J419" s="33" t="s">
        <v>55</v>
      </c>
      <c r="K419" s="33" t="s">
        <v>55</v>
      </c>
      <c r="L419" s="33" t="s">
        <v>55</v>
      </c>
      <c r="M419" s="33" t="s">
        <v>55</v>
      </c>
      <c r="N419" s="28">
        <v>46094</v>
      </c>
      <c r="O419" s="28">
        <v>46094</v>
      </c>
      <c r="P419" s="28">
        <v>46094</v>
      </c>
      <c r="Q419" s="28">
        <v>46101</v>
      </c>
      <c r="R419" s="140">
        <v>46106</v>
      </c>
      <c r="S419" s="33">
        <f t="shared" si="24"/>
        <v>3</v>
      </c>
    </row>
    <row r="420" spans="1:19" x14ac:dyDescent="0.25">
      <c r="A420" s="403" t="str">
        <f t="shared" si="21"/>
        <v>46084460840000-00-0046086460860000-00-000000-00-000000-00-000000-00-000000-00-000000-00-000000-00-0046093460934609346100461063</v>
      </c>
      <c r="B420" s="142">
        <v>46084</v>
      </c>
      <c r="C420" s="142">
        <v>46084</v>
      </c>
      <c r="D420" s="18" t="s">
        <v>55</v>
      </c>
      <c r="E420" s="30">
        <v>46086</v>
      </c>
      <c r="F420" s="30">
        <v>46086</v>
      </c>
      <c r="G420" s="18" t="s">
        <v>55</v>
      </c>
      <c r="H420" s="18" t="s">
        <v>55</v>
      </c>
      <c r="I420" s="18" t="s">
        <v>55</v>
      </c>
      <c r="J420" s="18" t="s">
        <v>55</v>
      </c>
      <c r="K420" s="18" t="s">
        <v>55</v>
      </c>
      <c r="L420" s="18" t="s">
        <v>55</v>
      </c>
      <c r="M420" s="18" t="s">
        <v>55</v>
      </c>
      <c r="N420" s="30">
        <v>46093</v>
      </c>
      <c r="O420" s="28">
        <v>46093</v>
      </c>
      <c r="P420" s="28">
        <v>46093</v>
      </c>
      <c r="Q420" s="28">
        <v>46100</v>
      </c>
      <c r="R420" s="140">
        <v>46106</v>
      </c>
      <c r="S420" s="33">
        <f t="shared" si="24"/>
        <v>3</v>
      </c>
    </row>
    <row r="421" spans="1:19" x14ac:dyDescent="0.25">
      <c r="A421" s="403" t="str">
        <f t="shared" si="21"/>
        <v>46084460840000-00-0046090460900000-00-000000-00-000000-00-000000-00-000000-00-000000-00-000000-00-0046094460944609446100461063</v>
      </c>
      <c r="B421" s="142">
        <v>46084</v>
      </c>
      <c r="C421" s="142">
        <v>46084</v>
      </c>
      <c r="D421" s="3" t="s">
        <v>55</v>
      </c>
      <c r="E421" s="147">
        <v>46090</v>
      </c>
      <c r="F421" s="147">
        <v>46090</v>
      </c>
      <c r="G421" s="3" t="s">
        <v>55</v>
      </c>
      <c r="H421" s="3" t="s">
        <v>55</v>
      </c>
      <c r="I421" s="3" t="s">
        <v>55</v>
      </c>
      <c r="J421" s="3" t="s">
        <v>55</v>
      </c>
      <c r="K421" s="3" t="s">
        <v>55</v>
      </c>
      <c r="L421" s="3" t="s">
        <v>55</v>
      </c>
      <c r="M421" s="3" t="s">
        <v>55</v>
      </c>
      <c r="N421" s="28">
        <v>46094</v>
      </c>
      <c r="O421" s="28">
        <v>46094</v>
      </c>
      <c r="P421" s="28">
        <v>46094</v>
      </c>
      <c r="Q421" s="28">
        <v>46100</v>
      </c>
      <c r="R421" s="140">
        <v>46106</v>
      </c>
      <c r="S421" s="33">
        <f t="shared" si="24"/>
        <v>3</v>
      </c>
    </row>
    <row r="422" spans="1:19" x14ac:dyDescent="0.25">
      <c r="A422" s="403" t="str">
        <f t="shared" si="21"/>
        <v>46069460840000-00-0046071460710000-00-000000-00-000000-00-000000-00-000000-00-000000-00-000000-00-0046086460864608646090460933</v>
      </c>
      <c r="B422" s="142">
        <v>46069</v>
      </c>
      <c r="C422" s="142">
        <v>46084</v>
      </c>
      <c r="D422" s="3" t="s">
        <v>55</v>
      </c>
      <c r="E422" s="142">
        <v>46071</v>
      </c>
      <c r="F422" s="142">
        <v>46071</v>
      </c>
      <c r="G422" s="3" t="s">
        <v>55</v>
      </c>
      <c r="H422" s="3" t="s">
        <v>55</v>
      </c>
      <c r="I422" s="3" t="s">
        <v>55</v>
      </c>
      <c r="J422" s="3" t="s">
        <v>55</v>
      </c>
      <c r="K422" s="3" t="s">
        <v>55</v>
      </c>
      <c r="L422" s="3" t="s">
        <v>55</v>
      </c>
      <c r="M422" s="3" t="s">
        <v>55</v>
      </c>
      <c r="N422" s="28">
        <v>46086</v>
      </c>
      <c r="O422" s="28">
        <v>46086</v>
      </c>
      <c r="P422" s="28">
        <v>46086</v>
      </c>
      <c r="Q422" s="28">
        <v>46090</v>
      </c>
      <c r="R422" s="148">
        <v>46093</v>
      </c>
      <c r="S422" s="33">
        <f t="shared" si="24"/>
        <v>3</v>
      </c>
    </row>
    <row r="423" spans="1:19" x14ac:dyDescent="0.25">
      <c r="A423" s="403" t="str">
        <f t="shared" si="21"/>
        <v>46084460840000-00-0046085460850000-00-000000-00-000000-00-000000-00-000000-00-000000-00-000000-00-0046093460934609346098460993</v>
      </c>
      <c r="B423" s="142">
        <v>46084</v>
      </c>
      <c r="C423" s="142">
        <v>46084</v>
      </c>
      <c r="D423" s="3" t="s">
        <v>55</v>
      </c>
      <c r="E423" s="142">
        <v>46085</v>
      </c>
      <c r="F423" s="142">
        <v>46085</v>
      </c>
      <c r="G423" s="3" t="s">
        <v>55</v>
      </c>
      <c r="H423" s="3" t="s">
        <v>55</v>
      </c>
      <c r="I423" s="3" t="s">
        <v>55</v>
      </c>
      <c r="J423" s="3" t="s">
        <v>55</v>
      </c>
      <c r="K423" s="3" t="s">
        <v>55</v>
      </c>
      <c r="L423" s="3" t="s">
        <v>55</v>
      </c>
      <c r="M423" s="3" t="s">
        <v>55</v>
      </c>
      <c r="N423" s="53">
        <v>46093</v>
      </c>
      <c r="O423" s="28">
        <v>46093</v>
      </c>
      <c r="P423" s="28">
        <v>46093</v>
      </c>
      <c r="Q423" s="28">
        <v>46098</v>
      </c>
      <c r="R423" s="16">
        <v>46099</v>
      </c>
      <c r="S423" s="33">
        <f t="shared" si="24"/>
        <v>3</v>
      </c>
    </row>
    <row r="424" spans="1:19" x14ac:dyDescent="0.25">
      <c r="A424" s="403" t="str">
        <f t="shared" si="21"/>
        <v>46084460840000-00-000000-00-000000-00-000000-00-000000-00-000000-00-000000-00-000000-00-000000-00-000000-00-0046086460864608646092460933</v>
      </c>
      <c r="B424" s="142">
        <v>46084</v>
      </c>
      <c r="C424" s="142">
        <v>46084</v>
      </c>
      <c r="D424" s="3" t="s">
        <v>55</v>
      </c>
      <c r="E424" s="153" t="s">
        <v>55</v>
      </c>
      <c r="F424" s="153" t="s">
        <v>55</v>
      </c>
      <c r="G424" s="3" t="s">
        <v>55</v>
      </c>
      <c r="H424" s="3" t="s">
        <v>55</v>
      </c>
      <c r="I424" s="3" t="s">
        <v>55</v>
      </c>
      <c r="J424" s="3" t="s">
        <v>55</v>
      </c>
      <c r="K424" s="3" t="s">
        <v>55</v>
      </c>
      <c r="L424" s="3" t="s">
        <v>55</v>
      </c>
      <c r="M424" s="3" t="s">
        <v>55</v>
      </c>
      <c r="N424" s="16">
        <v>46086</v>
      </c>
      <c r="O424" s="28">
        <v>46086</v>
      </c>
      <c r="P424" s="28">
        <v>46086</v>
      </c>
      <c r="Q424" s="28">
        <v>46092</v>
      </c>
      <c r="R424" s="16">
        <v>46093</v>
      </c>
      <c r="S424" s="33">
        <f t="shared" si="24"/>
        <v>3</v>
      </c>
    </row>
    <row r="425" spans="1:19" x14ac:dyDescent="0.25">
      <c r="A425" s="403" t="str">
        <f t="shared" si="21"/>
        <v>46086460910000-00-0046091460910000-00-000000-00-000000-00-000000-00-000000-00-000000-00-000000-00-0046093460944609446100461063</v>
      </c>
      <c r="B425" s="142">
        <v>46086</v>
      </c>
      <c r="C425" s="142">
        <v>46091</v>
      </c>
      <c r="D425" s="2" t="s">
        <v>55</v>
      </c>
      <c r="E425" s="104">
        <v>46091</v>
      </c>
      <c r="F425" s="104">
        <v>46091</v>
      </c>
      <c r="G425" s="2" t="s">
        <v>55</v>
      </c>
      <c r="H425" s="2" t="s">
        <v>55</v>
      </c>
      <c r="I425" s="2" t="s">
        <v>55</v>
      </c>
      <c r="J425" s="2" t="s">
        <v>55</v>
      </c>
      <c r="K425" s="2" t="s">
        <v>55</v>
      </c>
      <c r="L425" s="2" t="s">
        <v>55</v>
      </c>
      <c r="M425" s="2" t="s">
        <v>55</v>
      </c>
      <c r="N425" s="104">
        <v>46093</v>
      </c>
      <c r="O425" s="104">
        <v>46094</v>
      </c>
      <c r="P425" s="28">
        <v>46094</v>
      </c>
      <c r="Q425" s="28">
        <v>46100</v>
      </c>
      <c r="R425" s="140">
        <v>46106</v>
      </c>
      <c r="S425" s="33">
        <f t="shared" si="24"/>
        <v>3</v>
      </c>
    </row>
    <row r="426" spans="1:19" x14ac:dyDescent="0.25">
      <c r="A426" s="403" t="str">
        <f t="shared" si="21"/>
        <v>46086460860000-00-000000-00-000000-00-000000-00-000000-00-000000-00-000000-00-000000-00-000000-00-000000-00-0046091460914609146100461063</v>
      </c>
      <c r="B426" s="142">
        <v>46086</v>
      </c>
      <c r="C426" s="142">
        <v>46086</v>
      </c>
      <c r="D426" s="33" t="s">
        <v>55</v>
      </c>
      <c r="E426" s="33" t="s">
        <v>55</v>
      </c>
      <c r="F426" s="33" t="s">
        <v>55</v>
      </c>
      <c r="G426" s="33" t="s">
        <v>55</v>
      </c>
      <c r="H426" s="33" t="s">
        <v>55</v>
      </c>
      <c r="I426" s="33" t="s">
        <v>55</v>
      </c>
      <c r="J426" s="33" t="s">
        <v>55</v>
      </c>
      <c r="K426" s="33" t="s">
        <v>55</v>
      </c>
      <c r="L426" s="33" t="s">
        <v>55</v>
      </c>
      <c r="M426" s="33" t="s">
        <v>55</v>
      </c>
      <c r="N426" s="28">
        <v>46091</v>
      </c>
      <c r="O426" s="28">
        <v>46091</v>
      </c>
      <c r="P426" s="28">
        <v>46091</v>
      </c>
      <c r="Q426" s="28">
        <v>46100</v>
      </c>
      <c r="R426" s="140">
        <v>46106</v>
      </c>
      <c r="S426" s="33">
        <f t="shared" si="24"/>
        <v>3</v>
      </c>
    </row>
    <row r="427" spans="1:19" x14ac:dyDescent="0.25">
      <c r="A427" s="403" t="str">
        <f t="shared" si="21"/>
        <v>46073460870000-00-0046076460760000-00-000000-00-000000-00-000000-00-000000-00-000000-00-000000-00-0046084460860000-00-00460860000-00-003</v>
      </c>
      <c r="B427" s="142">
        <v>46073</v>
      </c>
      <c r="C427" s="142">
        <v>46087</v>
      </c>
      <c r="D427" s="3" t="s">
        <v>55</v>
      </c>
      <c r="E427" s="30">
        <v>46076</v>
      </c>
      <c r="F427" s="30">
        <v>46076</v>
      </c>
      <c r="G427" s="3" t="s">
        <v>55</v>
      </c>
      <c r="H427" s="3" t="s">
        <v>55</v>
      </c>
      <c r="I427" s="3" t="s">
        <v>55</v>
      </c>
      <c r="J427" s="3" t="s">
        <v>55</v>
      </c>
      <c r="K427" s="3" t="s">
        <v>55</v>
      </c>
      <c r="L427" s="3" t="s">
        <v>55</v>
      </c>
      <c r="M427" s="18" t="s">
        <v>55</v>
      </c>
      <c r="N427" s="30">
        <v>46084</v>
      </c>
      <c r="O427" s="28">
        <v>46086</v>
      </c>
      <c r="P427" s="28" t="s">
        <v>55</v>
      </c>
      <c r="Q427" s="28">
        <v>46086</v>
      </c>
      <c r="R427" s="3" t="s">
        <v>55</v>
      </c>
      <c r="S427" s="33">
        <v>3</v>
      </c>
    </row>
    <row r="428" spans="1:19" x14ac:dyDescent="0.25">
      <c r="A428" s="403" t="str">
        <f t="shared" si="21"/>
        <v>46087460870000-00-0046090460900000-00-000000-00-000000-00-000000-00-000000-00-000000-00-000000-00-0046093460934609346100461063</v>
      </c>
      <c r="B428" s="142">
        <v>46087</v>
      </c>
      <c r="C428" s="142">
        <v>46087</v>
      </c>
      <c r="D428" s="18" t="s">
        <v>55</v>
      </c>
      <c r="E428" s="30">
        <v>46090</v>
      </c>
      <c r="F428" s="30">
        <v>46090</v>
      </c>
      <c r="G428" s="18" t="s">
        <v>55</v>
      </c>
      <c r="H428" s="18" t="s">
        <v>55</v>
      </c>
      <c r="I428" s="18" t="s">
        <v>55</v>
      </c>
      <c r="J428" s="18" t="s">
        <v>55</v>
      </c>
      <c r="K428" s="18" t="s">
        <v>55</v>
      </c>
      <c r="L428" s="18" t="s">
        <v>55</v>
      </c>
      <c r="M428" s="18" t="s">
        <v>55</v>
      </c>
      <c r="N428" s="30">
        <v>46093</v>
      </c>
      <c r="O428" s="28">
        <v>46093</v>
      </c>
      <c r="P428" s="28">
        <v>46093</v>
      </c>
      <c r="Q428" s="28">
        <v>46100</v>
      </c>
      <c r="R428" s="140">
        <v>46106</v>
      </c>
      <c r="S428" s="33">
        <f t="shared" ref="S428:S434" si="25">MONTH(R428)</f>
        <v>3</v>
      </c>
    </row>
    <row r="429" spans="1:19" x14ac:dyDescent="0.25">
      <c r="A429" s="403" t="str">
        <f t="shared" si="21"/>
        <v>46090460900000-00-000000-00-000000-00-000000-00-000000-00-000000-00-000000-00-000000-00-000000-00-000000-00-0046107461070000-00-0046107461073</v>
      </c>
      <c r="B429" s="142">
        <v>46090</v>
      </c>
      <c r="C429" s="142">
        <v>46090</v>
      </c>
      <c r="D429" s="3" t="s">
        <v>55</v>
      </c>
      <c r="E429" s="155" t="s">
        <v>55</v>
      </c>
      <c r="F429" s="155" t="s">
        <v>55</v>
      </c>
      <c r="G429" s="3" t="s">
        <v>55</v>
      </c>
      <c r="H429" s="3" t="s">
        <v>55</v>
      </c>
      <c r="I429" s="3" t="s">
        <v>55</v>
      </c>
      <c r="J429" s="3" t="s">
        <v>55</v>
      </c>
      <c r="K429" s="3" t="s">
        <v>55</v>
      </c>
      <c r="L429" s="3" t="s">
        <v>55</v>
      </c>
      <c r="M429" s="3" t="s">
        <v>55</v>
      </c>
      <c r="N429" s="53">
        <v>46107</v>
      </c>
      <c r="O429" s="28">
        <v>46107</v>
      </c>
      <c r="P429" s="28" t="s">
        <v>55</v>
      </c>
      <c r="Q429" s="53">
        <v>46107</v>
      </c>
      <c r="R429" s="53">
        <v>46107</v>
      </c>
      <c r="S429" s="3">
        <f t="shared" si="25"/>
        <v>3</v>
      </c>
    </row>
    <row r="430" spans="1:19" x14ac:dyDescent="0.25">
      <c r="A430" s="403" t="str">
        <f t="shared" si="21"/>
        <v>46092460920000-00-000000-00-000000-00-000000-00-000000-00-000000-00-000000-00-000000-00-000000-00-000000-00-000000-00-00460924609246094460973</v>
      </c>
      <c r="B430" s="142">
        <v>46092</v>
      </c>
      <c r="C430" s="142">
        <v>46092</v>
      </c>
      <c r="D430" s="3" t="s">
        <v>55</v>
      </c>
      <c r="E430" s="155" t="s">
        <v>55</v>
      </c>
      <c r="F430" s="155" t="s">
        <v>55</v>
      </c>
      <c r="G430" s="3" t="s">
        <v>55</v>
      </c>
      <c r="H430" s="3" t="s">
        <v>55</v>
      </c>
      <c r="I430" s="3" t="s">
        <v>55</v>
      </c>
      <c r="J430" s="3" t="s">
        <v>55</v>
      </c>
      <c r="K430" s="3" t="s">
        <v>55</v>
      </c>
      <c r="L430" s="3" t="s">
        <v>55</v>
      </c>
      <c r="M430" s="3" t="s">
        <v>55</v>
      </c>
      <c r="N430" s="33" t="s">
        <v>55</v>
      </c>
      <c r="O430" s="142">
        <v>46092</v>
      </c>
      <c r="P430" s="142">
        <v>46092</v>
      </c>
      <c r="Q430" s="28">
        <v>46094</v>
      </c>
      <c r="R430" s="16">
        <v>46097</v>
      </c>
      <c r="S430" s="3">
        <f t="shared" si="25"/>
        <v>3</v>
      </c>
    </row>
    <row r="431" spans="1:19" x14ac:dyDescent="0.25">
      <c r="A431" s="403" t="str">
        <f t="shared" si="21"/>
        <v>46093460930000-00-000000-00-000000-00-000000-00-000000-00-000000-00-000000-00-000000-00-000000-00-000000-00-000000-00-00460934609746100461063</v>
      </c>
      <c r="B431" s="142">
        <v>46093</v>
      </c>
      <c r="C431" s="142">
        <v>46093</v>
      </c>
      <c r="D431" s="3" t="s">
        <v>55</v>
      </c>
      <c r="E431" s="155" t="s">
        <v>55</v>
      </c>
      <c r="F431" s="155" t="s">
        <v>55</v>
      </c>
      <c r="G431" s="3" t="s">
        <v>55</v>
      </c>
      <c r="H431" s="3" t="s">
        <v>55</v>
      </c>
      <c r="I431" s="3" t="s">
        <v>55</v>
      </c>
      <c r="J431" s="3" t="s">
        <v>55</v>
      </c>
      <c r="K431" s="3" t="s">
        <v>55</v>
      </c>
      <c r="L431" s="3" t="s">
        <v>55</v>
      </c>
      <c r="M431" s="3" t="s">
        <v>55</v>
      </c>
      <c r="N431" s="33" t="s">
        <v>55</v>
      </c>
      <c r="O431" s="28">
        <v>46093</v>
      </c>
      <c r="P431" s="28">
        <v>46097</v>
      </c>
      <c r="Q431" s="28">
        <v>46100</v>
      </c>
      <c r="R431" s="16">
        <v>46106</v>
      </c>
      <c r="S431" s="3">
        <f t="shared" si="25"/>
        <v>3</v>
      </c>
    </row>
    <row r="432" spans="1:19" x14ac:dyDescent="0.25">
      <c r="A432" s="403" t="str">
        <f t="shared" si="21"/>
        <v>46097460950000-00-000000-00-000000-00-000000-00-000000-00-000000-00-000000-00-000000-00-000000-00-000000-00-0046101461110000-00-0046111461113</v>
      </c>
      <c r="B432" s="142">
        <v>46097</v>
      </c>
      <c r="C432" s="142">
        <v>46095</v>
      </c>
      <c r="D432" s="3" t="s">
        <v>55</v>
      </c>
      <c r="E432" s="3" t="s">
        <v>55</v>
      </c>
      <c r="F432" s="3" t="s">
        <v>55</v>
      </c>
      <c r="G432" s="3" t="s">
        <v>55</v>
      </c>
      <c r="H432" s="3" t="s">
        <v>55</v>
      </c>
      <c r="I432" s="3" t="s">
        <v>55</v>
      </c>
      <c r="J432" s="3" t="s">
        <v>55</v>
      </c>
      <c r="K432" s="3" t="s">
        <v>55</v>
      </c>
      <c r="L432" s="3" t="s">
        <v>55</v>
      </c>
      <c r="M432" s="3" t="s">
        <v>55</v>
      </c>
      <c r="N432" s="28">
        <v>46101</v>
      </c>
      <c r="O432" s="140">
        <v>46111</v>
      </c>
      <c r="P432" s="28" t="s">
        <v>55</v>
      </c>
      <c r="Q432" s="140">
        <v>46111</v>
      </c>
      <c r="R432" s="140">
        <v>46111</v>
      </c>
      <c r="S432" s="33">
        <f t="shared" si="25"/>
        <v>3</v>
      </c>
    </row>
    <row r="433" spans="1:19" x14ac:dyDescent="0.25">
      <c r="A433" s="403" t="str">
        <f t="shared" si="21"/>
        <v>46097460970000-00-000000-00-000000-00-000000-00-000000-00-000000-00-000000-00-000000-00-000000-00-000000-00-0046101461110000-00-0046111461113</v>
      </c>
      <c r="B433" s="142">
        <v>46097</v>
      </c>
      <c r="C433" s="142">
        <v>46097</v>
      </c>
      <c r="D433" s="3" t="s">
        <v>55</v>
      </c>
      <c r="E433" s="3" t="s">
        <v>55</v>
      </c>
      <c r="F433" s="3" t="s">
        <v>55</v>
      </c>
      <c r="G433" s="3" t="s">
        <v>55</v>
      </c>
      <c r="H433" s="3" t="s">
        <v>55</v>
      </c>
      <c r="I433" s="3" t="s">
        <v>55</v>
      </c>
      <c r="J433" s="3" t="s">
        <v>55</v>
      </c>
      <c r="K433" s="3" t="s">
        <v>55</v>
      </c>
      <c r="L433" s="3" t="s">
        <v>55</v>
      </c>
      <c r="M433" s="3" t="s">
        <v>55</v>
      </c>
      <c r="N433" s="28">
        <v>46101</v>
      </c>
      <c r="O433" s="140">
        <v>46111</v>
      </c>
      <c r="P433" s="28" t="s">
        <v>55</v>
      </c>
      <c r="Q433" s="140">
        <v>46111</v>
      </c>
      <c r="R433" s="140">
        <v>46111</v>
      </c>
      <c r="S433" s="33">
        <f t="shared" si="25"/>
        <v>3</v>
      </c>
    </row>
    <row r="434" spans="1:19" x14ac:dyDescent="0.25">
      <c r="A434" s="403" t="str">
        <f t="shared" si="21"/>
        <v>46082460970000-00-0046097460970000-00-000000-00-000000-00-000000-00-000000-00-000000-00-000000-00-0046107461080000-00-0046108461083</v>
      </c>
      <c r="B434" s="142">
        <v>46082</v>
      </c>
      <c r="C434" s="142">
        <v>46097</v>
      </c>
      <c r="D434" s="3" t="s">
        <v>55</v>
      </c>
      <c r="E434" s="30">
        <v>46097</v>
      </c>
      <c r="F434" s="30">
        <v>46097</v>
      </c>
      <c r="G434" s="3" t="s">
        <v>55</v>
      </c>
      <c r="H434" s="3" t="s">
        <v>55</v>
      </c>
      <c r="I434" s="3" t="s">
        <v>55</v>
      </c>
      <c r="J434" s="3" t="s">
        <v>55</v>
      </c>
      <c r="K434" s="3" t="s">
        <v>55</v>
      </c>
      <c r="L434" s="3" t="s">
        <v>55</v>
      </c>
      <c r="M434" s="18" t="s">
        <v>55</v>
      </c>
      <c r="N434" s="30">
        <v>46107</v>
      </c>
      <c r="O434" s="28">
        <v>46108</v>
      </c>
      <c r="P434" s="28" t="s">
        <v>55</v>
      </c>
      <c r="Q434" s="28">
        <v>46108</v>
      </c>
      <c r="R434" s="30">
        <v>46108</v>
      </c>
      <c r="S434" s="33">
        <f t="shared" si="25"/>
        <v>3</v>
      </c>
    </row>
    <row r="435" spans="1:19" x14ac:dyDescent="0.25">
      <c r="A435" s="403" t="str">
        <f t="shared" si="21"/>
        <v>46029458110000-00-0046097460970000-00-000000-00-000000-00-000000-00-000000-00-000000-00-000000-00-0046099461004610046111461184</v>
      </c>
      <c r="B435" s="53">
        <v>46029</v>
      </c>
      <c r="C435" s="53">
        <v>45811</v>
      </c>
      <c r="D435" s="21" t="s">
        <v>55</v>
      </c>
      <c r="E435" s="53">
        <v>46097</v>
      </c>
      <c r="F435" s="53">
        <v>46097</v>
      </c>
      <c r="G435" s="21" t="s">
        <v>55</v>
      </c>
      <c r="H435" s="21" t="s">
        <v>55</v>
      </c>
      <c r="I435" s="21" t="s">
        <v>55</v>
      </c>
      <c r="J435" s="21" t="s">
        <v>55</v>
      </c>
      <c r="K435" s="21" t="s">
        <v>55</v>
      </c>
      <c r="L435" s="21" t="s">
        <v>55</v>
      </c>
      <c r="M435" s="21" t="s">
        <v>55</v>
      </c>
      <c r="N435" s="53">
        <v>46099</v>
      </c>
      <c r="O435" s="28">
        <v>46100</v>
      </c>
      <c r="P435" s="28">
        <v>46100</v>
      </c>
      <c r="Q435" s="53">
        <v>46111</v>
      </c>
      <c r="R435" s="53">
        <v>46118</v>
      </c>
      <c r="S435" s="21">
        <v>4</v>
      </c>
    </row>
    <row r="436" spans="1:19" x14ac:dyDescent="0.25">
      <c r="A436" s="403" t="str">
        <f t="shared" si="21"/>
        <v>46087458480000-00-0046092460920000-00-000000-00-000000-00-000000-00-000000-00-000000-00-000000-00-0046100461084610846126461274</v>
      </c>
      <c r="B436" s="16">
        <v>46087</v>
      </c>
      <c r="C436" s="53">
        <v>45848</v>
      </c>
      <c r="D436" s="33" t="s">
        <v>55</v>
      </c>
      <c r="E436" s="16">
        <v>46092</v>
      </c>
      <c r="F436" s="16">
        <v>46092</v>
      </c>
      <c r="G436" s="33" t="s">
        <v>55</v>
      </c>
      <c r="H436" s="33" t="s">
        <v>55</v>
      </c>
      <c r="I436" s="33" t="s">
        <v>55</v>
      </c>
      <c r="J436" s="33" t="s">
        <v>55</v>
      </c>
      <c r="K436" s="33" t="s">
        <v>55</v>
      </c>
      <c r="L436" s="33" t="s">
        <v>55</v>
      </c>
      <c r="M436" s="21" t="s">
        <v>55</v>
      </c>
      <c r="N436" s="16">
        <v>46100</v>
      </c>
      <c r="O436" s="28">
        <v>46108</v>
      </c>
      <c r="P436" s="28">
        <v>46108</v>
      </c>
      <c r="Q436" s="180">
        <v>46126</v>
      </c>
      <c r="R436" s="180">
        <v>46127</v>
      </c>
      <c r="S436" s="33">
        <v>4</v>
      </c>
    </row>
    <row r="437" spans="1:19" x14ac:dyDescent="0.25">
      <c r="A437" s="403" t="str">
        <f t="shared" si="21"/>
        <v>46099459790000-00-0046108461080000-00-000000-00-000000-00-000000-00-000000-00-000000-00-000000-00-0046112461124612046127461274</v>
      </c>
      <c r="B437" s="178">
        <v>46099</v>
      </c>
      <c r="C437" s="178">
        <v>45979</v>
      </c>
      <c r="D437" s="99" t="s">
        <v>55</v>
      </c>
      <c r="E437" s="178">
        <v>46108</v>
      </c>
      <c r="F437" s="178">
        <v>46108</v>
      </c>
      <c r="G437" s="99" t="s">
        <v>55</v>
      </c>
      <c r="H437" s="99" t="s">
        <v>55</v>
      </c>
      <c r="I437" s="99" t="s">
        <v>55</v>
      </c>
      <c r="J437" s="99" t="s">
        <v>55</v>
      </c>
      <c r="K437" s="99" t="s">
        <v>55</v>
      </c>
      <c r="L437" s="99" t="s">
        <v>55</v>
      </c>
      <c r="M437" s="66" t="s">
        <v>55</v>
      </c>
      <c r="N437" s="178">
        <v>46112</v>
      </c>
      <c r="O437" s="178">
        <v>46112</v>
      </c>
      <c r="P437" s="178">
        <v>46120</v>
      </c>
      <c r="Q437" s="178">
        <v>46127</v>
      </c>
      <c r="R437" s="199">
        <v>46127</v>
      </c>
      <c r="S437" s="66">
        <v>4</v>
      </c>
    </row>
    <row r="438" spans="1:19" x14ac:dyDescent="0.25">
      <c r="A438" s="403" t="str">
        <f t="shared" si="21"/>
        <v>46094459410000-00-0046097460970000-00-000000-00-000000-00-000000-00-000000-00-000000-00-000000-00-0046106461074611246125461274</v>
      </c>
      <c r="B438" s="53">
        <v>46094</v>
      </c>
      <c r="C438" s="53">
        <v>45941</v>
      </c>
      <c r="D438" s="21" t="s">
        <v>55</v>
      </c>
      <c r="E438" s="53">
        <v>46097</v>
      </c>
      <c r="F438" s="53">
        <v>46097</v>
      </c>
      <c r="G438" s="21" t="s">
        <v>55</v>
      </c>
      <c r="H438" s="21" t="s">
        <v>55</v>
      </c>
      <c r="I438" s="21" t="s">
        <v>55</v>
      </c>
      <c r="J438" s="21" t="s">
        <v>55</v>
      </c>
      <c r="K438" s="21" t="s">
        <v>55</v>
      </c>
      <c r="L438" s="21" t="s">
        <v>55</v>
      </c>
      <c r="M438" s="21" t="s">
        <v>55</v>
      </c>
      <c r="N438" s="53">
        <v>46106</v>
      </c>
      <c r="O438" s="53">
        <v>46107</v>
      </c>
      <c r="P438" s="28">
        <v>46112</v>
      </c>
      <c r="Q438" s="53">
        <v>46125</v>
      </c>
      <c r="R438" s="180">
        <v>46127</v>
      </c>
      <c r="S438" s="21">
        <v>4</v>
      </c>
    </row>
    <row r="439" spans="1:19" x14ac:dyDescent="0.25">
      <c r="A439" s="403" t="str">
        <f t="shared" si="21"/>
        <v>46098459860000-00-0046099461010000-00-000000-00-000000-00-000000-00-000000-00-000000-00-000000-00-0046105461054610646126461274</v>
      </c>
      <c r="B439" s="116">
        <v>46098</v>
      </c>
      <c r="C439" s="116">
        <v>45986</v>
      </c>
      <c r="D439" s="33" t="s">
        <v>55</v>
      </c>
      <c r="E439" s="16">
        <v>46099</v>
      </c>
      <c r="F439" s="16">
        <v>46101</v>
      </c>
      <c r="G439" s="33" t="s">
        <v>55</v>
      </c>
      <c r="H439" s="33" t="s">
        <v>55</v>
      </c>
      <c r="I439" s="33" t="s">
        <v>55</v>
      </c>
      <c r="J439" s="33" t="s">
        <v>55</v>
      </c>
      <c r="K439" s="33" t="s">
        <v>55</v>
      </c>
      <c r="L439" s="33" t="s">
        <v>55</v>
      </c>
      <c r="M439" s="21" t="s">
        <v>55</v>
      </c>
      <c r="N439" s="16">
        <v>46105</v>
      </c>
      <c r="O439" s="16">
        <v>46105</v>
      </c>
      <c r="P439" s="16">
        <v>46106</v>
      </c>
      <c r="Q439" s="180">
        <v>46126</v>
      </c>
      <c r="R439" s="180">
        <v>46127</v>
      </c>
      <c r="S439" s="33">
        <v>4</v>
      </c>
    </row>
    <row r="440" spans="1:19" x14ac:dyDescent="0.25">
      <c r="A440" s="403" t="str">
        <f t="shared" si="21"/>
        <v>45992459920000-00-0046099460990000-00-000000-00-000000-00-000000-00-000000-00-000000-00-000000-00-0046107461114611146126461274</v>
      </c>
      <c r="B440" s="53">
        <v>45992</v>
      </c>
      <c r="C440" s="53">
        <v>45992</v>
      </c>
      <c r="D440" s="21" t="s">
        <v>55</v>
      </c>
      <c r="E440" s="16">
        <v>46099</v>
      </c>
      <c r="F440" s="16">
        <v>46099</v>
      </c>
      <c r="G440" s="21" t="s">
        <v>55</v>
      </c>
      <c r="H440" s="21" t="s">
        <v>55</v>
      </c>
      <c r="I440" s="21" t="s">
        <v>55</v>
      </c>
      <c r="J440" s="21" t="s">
        <v>55</v>
      </c>
      <c r="K440" s="21" t="s">
        <v>55</v>
      </c>
      <c r="L440" s="21" t="s">
        <v>55</v>
      </c>
      <c r="M440" s="21" t="s">
        <v>55</v>
      </c>
      <c r="N440" s="53">
        <v>46107</v>
      </c>
      <c r="O440" s="53">
        <v>46111</v>
      </c>
      <c r="P440" s="53">
        <v>46111</v>
      </c>
      <c r="Q440" s="180">
        <v>46126</v>
      </c>
      <c r="R440" s="180">
        <v>46127</v>
      </c>
      <c r="S440" s="21">
        <v>4</v>
      </c>
    </row>
    <row r="441" spans="1:19" x14ac:dyDescent="0.25">
      <c r="A441" s="403" t="str">
        <f t="shared" si="21"/>
        <v>46070459930000-00-0046092460920000-00-000000-00-000000-00-000000-00-000000-00-000000-00-000000-00-0046099460994609946108461184</v>
      </c>
      <c r="B441" s="53">
        <v>46070</v>
      </c>
      <c r="C441" s="53">
        <v>45993</v>
      </c>
      <c r="D441" s="21" t="s">
        <v>55</v>
      </c>
      <c r="E441" s="53">
        <v>46092</v>
      </c>
      <c r="F441" s="53">
        <v>46092</v>
      </c>
      <c r="G441" s="21" t="s">
        <v>55</v>
      </c>
      <c r="H441" s="21" t="s">
        <v>55</v>
      </c>
      <c r="I441" s="21" t="s">
        <v>55</v>
      </c>
      <c r="J441" s="21" t="s">
        <v>55</v>
      </c>
      <c r="K441" s="21" t="s">
        <v>55</v>
      </c>
      <c r="L441" s="21" t="s">
        <v>55</v>
      </c>
      <c r="M441" s="21" t="s">
        <v>55</v>
      </c>
      <c r="N441" s="53">
        <v>46099</v>
      </c>
      <c r="O441" s="53">
        <v>46099</v>
      </c>
      <c r="P441" s="53">
        <v>46099</v>
      </c>
      <c r="Q441" s="53">
        <v>46108</v>
      </c>
      <c r="R441" s="53">
        <v>46118</v>
      </c>
      <c r="S441" s="21">
        <v>4</v>
      </c>
    </row>
    <row r="442" spans="1:19" x14ac:dyDescent="0.25">
      <c r="A442" s="403" t="str">
        <f t="shared" si="21"/>
        <v>46099460030000-00-000000-00-000000-00-000000-00-000000-00-000000-00-000000-00-000000-00-000000-00-000000-00-0046105461064610646112461184</v>
      </c>
      <c r="B442" s="116">
        <v>46099</v>
      </c>
      <c r="C442" s="116">
        <v>46003</v>
      </c>
      <c r="D442" s="33" t="s">
        <v>55</v>
      </c>
      <c r="E442" s="33" t="s">
        <v>55</v>
      </c>
      <c r="F442" s="33" t="s">
        <v>55</v>
      </c>
      <c r="G442" s="33" t="s">
        <v>55</v>
      </c>
      <c r="H442" s="33" t="s">
        <v>55</v>
      </c>
      <c r="I442" s="33" t="s">
        <v>55</v>
      </c>
      <c r="J442" s="33" t="s">
        <v>55</v>
      </c>
      <c r="K442" s="33" t="s">
        <v>55</v>
      </c>
      <c r="L442" s="33" t="s">
        <v>55</v>
      </c>
      <c r="M442" s="33" t="s">
        <v>55</v>
      </c>
      <c r="N442" s="38">
        <v>46105</v>
      </c>
      <c r="O442" s="38">
        <v>46106</v>
      </c>
      <c r="P442" s="38">
        <v>46106</v>
      </c>
      <c r="Q442" s="28">
        <v>46112</v>
      </c>
      <c r="R442" s="53">
        <v>46118</v>
      </c>
      <c r="S442" s="33">
        <f>MONTH(R442)</f>
        <v>4</v>
      </c>
    </row>
    <row r="443" spans="1:19" x14ac:dyDescent="0.25">
      <c r="A443" s="403" t="str">
        <f t="shared" si="21"/>
        <v>46045460060000-00-0046113461130000-00-000000-00-000000-00-000000-00-000000-00-000000-00-000000-00-0046135461350000-00-00461350000-00-004</v>
      </c>
      <c r="B443" s="28">
        <v>46045</v>
      </c>
      <c r="C443" s="28">
        <v>46006</v>
      </c>
      <c r="D443" s="33" t="s">
        <v>55</v>
      </c>
      <c r="E443" s="28">
        <v>46113</v>
      </c>
      <c r="F443" s="28">
        <v>46113</v>
      </c>
      <c r="G443" s="33" t="s">
        <v>55</v>
      </c>
      <c r="H443" s="33" t="s">
        <v>55</v>
      </c>
      <c r="I443" s="33" t="s">
        <v>55</v>
      </c>
      <c r="J443" s="33" t="s">
        <v>55</v>
      </c>
      <c r="K443" s="33" t="s">
        <v>55</v>
      </c>
      <c r="L443" s="33" t="s">
        <v>55</v>
      </c>
      <c r="M443" s="21" t="s">
        <v>55</v>
      </c>
      <c r="N443" s="28">
        <v>46135</v>
      </c>
      <c r="O443" s="28">
        <v>46135</v>
      </c>
      <c r="P443" s="28" t="s">
        <v>55</v>
      </c>
      <c r="Q443" s="28">
        <v>46135</v>
      </c>
      <c r="R443" s="28" t="s">
        <v>55</v>
      </c>
      <c r="S443" s="21">
        <v>4</v>
      </c>
    </row>
    <row r="444" spans="1:19" x14ac:dyDescent="0.25">
      <c r="A444" s="403" t="str">
        <f t="shared" si="21"/>
        <v>46093460070000-00-000000-00-000000-00-000000-00-000000-00-000000-00-000000-00-000000-00-000000-00-000000-00-0046101461054610546112461184</v>
      </c>
      <c r="B444" s="38">
        <v>46093</v>
      </c>
      <c r="C444" s="16">
        <v>46007</v>
      </c>
      <c r="D444" s="33" t="s">
        <v>55</v>
      </c>
      <c r="E444" s="21" t="s">
        <v>55</v>
      </c>
      <c r="F444" s="21" t="s">
        <v>55</v>
      </c>
      <c r="G444" s="33" t="s">
        <v>55</v>
      </c>
      <c r="H444" s="33" t="s">
        <v>55</v>
      </c>
      <c r="I444" s="33" t="s">
        <v>55</v>
      </c>
      <c r="J444" s="33" t="s">
        <v>55</v>
      </c>
      <c r="K444" s="33" t="s">
        <v>55</v>
      </c>
      <c r="L444" s="33" t="s">
        <v>55</v>
      </c>
      <c r="M444" s="33" t="s">
        <v>55</v>
      </c>
      <c r="N444" s="38">
        <v>46101</v>
      </c>
      <c r="O444" s="180">
        <v>46105</v>
      </c>
      <c r="P444" s="180">
        <v>46105</v>
      </c>
      <c r="Q444" s="28">
        <v>46112</v>
      </c>
      <c r="R444" s="53">
        <v>46118</v>
      </c>
      <c r="S444" s="33">
        <v>4</v>
      </c>
    </row>
    <row r="445" spans="1:19" x14ac:dyDescent="0.25">
      <c r="A445" s="403" t="str">
        <f t="shared" si="21"/>
        <v>46105460140000-00-0046113461130000-00-000000-00-000000-00-000000-00-000000-00-000000-00-000000-00-0046125461254612646133461394</v>
      </c>
      <c r="B445" s="53">
        <v>46105</v>
      </c>
      <c r="C445" s="53">
        <v>46014</v>
      </c>
      <c r="D445" s="21" t="s">
        <v>55</v>
      </c>
      <c r="E445" s="53">
        <v>46113</v>
      </c>
      <c r="F445" s="53">
        <v>46113</v>
      </c>
      <c r="G445" s="21" t="s">
        <v>55</v>
      </c>
      <c r="H445" s="21" t="s">
        <v>55</v>
      </c>
      <c r="I445" s="21" t="s">
        <v>55</v>
      </c>
      <c r="J445" s="21" t="s">
        <v>55</v>
      </c>
      <c r="K445" s="21" t="s">
        <v>55</v>
      </c>
      <c r="L445" s="21" t="s">
        <v>55</v>
      </c>
      <c r="M445" s="21" t="s">
        <v>55</v>
      </c>
      <c r="N445" s="53">
        <v>46125</v>
      </c>
      <c r="O445" s="53">
        <v>46125</v>
      </c>
      <c r="P445" s="53">
        <v>46126</v>
      </c>
      <c r="Q445" s="53">
        <v>46133</v>
      </c>
      <c r="R445" s="53">
        <v>46139</v>
      </c>
      <c r="S445" s="21">
        <v>4</v>
      </c>
    </row>
    <row r="446" spans="1:19" x14ac:dyDescent="0.25">
      <c r="A446" s="403" t="str">
        <f t="shared" si="21"/>
        <v>46058460210000-00-0046090460900000-00-000000-00-000000-00-000000-00-000000-00-000000-00-000000-00-0046093460934609346106461184</v>
      </c>
      <c r="B446" s="28">
        <v>46058</v>
      </c>
      <c r="C446" s="28">
        <v>46021</v>
      </c>
      <c r="D446" s="33" t="s">
        <v>55</v>
      </c>
      <c r="E446" s="28">
        <v>46090</v>
      </c>
      <c r="F446" s="28">
        <v>46090</v>
      </c>
      <c r="G446" s="33" t="s">
        <v>55</v>
      </c>
      <c r="H446" s="33" t="s">
        <v>55</v>
      </c>
      <c r="I446" s="33" t="s">
        <v>55</v>
      </c>
      <c r="J446" s="33" t="s">
        <v>55</v>
      </c>
      <c r="K446" s="33" t="s">
        <v>55</v>
      </c>
      <c r="L446" s="33" t="s">
        <v>55</v>
      </c>
      <c r="M446" s="21" t="s">
        <v>55</v>
      </c>
      <c r="N446" s="28">
        <v>46093</v>
      </c>
      <c r="O446" s="28">
        <v>46093</v>
      </c>
      <c r="P446" s="28">
        <v>46093</v>
      </c>
      <c r="Q446" s="38">
        <v>46106</v>
      </c>
      <c r="R446" s="53">
        <v>46118</v>
      </c>
      <c r="S446" s="21">
        <v>4</v>
      </c>
    </row>
    <row r="447" spans="1:19" x14ac:dyDescent="0.25">
      <c r="A447" s="403" t="str">
        <f t="shared" si="21"/>
        <v>46027460240000-00-0046105461060000-00-000000-00-000000-00-000000-00-000000-00-000000-00-000000-00-0046126461264612646133461394</v>
      </c>
      <c r="B447" s="28">
        <v>46027</v>
      </c>
      <c r="C447" s="28">
        <v>46024</v>
      </c>
      <c r="D447" s="33" t="s">
        <v>55</v>
      </c>
      <c r="E447" s="16">
        <v>46105</v>
      </c>
      <c r="F447" s="28">
        <v>46106</v>
      </c>
      <c r="G447" s="33" t="s">
        <v>55</v>
      </c>
      <c r="H447" s="33" t="s">
        <v>55</v>
      </c>
      <c r="I447" s="33" t="s">
        <v>55</v>
      </c>
      <c r="J447" s="33" t="s">
        <v>55</v>
      </c>
      <c r="K447" s="33" t="s">
        <v>55</v>
      </c>
      <c r="L447" s="33" t="s">
        <v>55</v>
      </c>
      <c r="M447" s="21" t="s">
        <v>55</v>
      </c>
      <c r="N447" s="28">
        <v>46126</v>
      </c>
      <c r="O447" s="28">
        <v>46126</v>
      </c>
      <c r="P447" s="28">
        <v>46126</v>
      </c>
      <c r="Q447" s="53">
        <v>46133</v>
      </c>
      <c r="R447" s="53">
        <v>46139</v>
      </c>
      <c r="S447" s="33">
        <v>4</v>
      </c>
    </row>
    <row r="448" spans="1:19" x14ac:dyDescent="0.25">
      <c r="A448" s="403" t="str">
        <f t="shared" si="21"/>
        <v>46078460290000-00-0046120461200000-00-000000-00-000000-00-000000-00-000000-00-000000-00-000000-00-0046120461204612046126461274</v>
      </c>
      <c r="B448" s="53">
        <v>46078</v>
      </c>
      <c r="C448" s="53">
        <v>46029</v>
      </c>
      <c r="D448" s="21" t="s">
        <v>55</v>
      </c>
      <c r="E448" s="53">
        <v>46120</v>
      </c>
      <c r="F448" s="53">
        <v>46120</v>
      </c>
      <c r="G448" s="21" t="s">
        <v>55</v>
      </c>
      <c r="H448" s="21" t="s">
        <v>55</v>
      </c>
      <c r="I448" s="21" t="s">
        <v>55</v>
      </c>
      <c r="J448" s="21" t="s">
        <v>55</v>
      </c>
      <c r="K448" s="21" t="s">
        <v>55</v>
      </c>
      <c r="L448" s="21" t="s">
        <v>55</v>
      </c>
      <c r="M448" s="21" t="s">
        <v>55</v>
      </c>
      <c r="N448" s="53">
        <v>46120</v>
      </c>
      <c r="O448" s="53">
        <v>46120</v>
      </c>
      <c r="P448" s="53">
        <v>46120</v>
      </c>
      <c r="Q448" s="180">
        <v>46126</v>
      </c>
      <c r="R448" s="180">
        <v>46127</v>
      </c>
      <c r="S448" s="21">
        <v>4</v>
      </c>
    </row>
    <row r="449" spans="1:19" x14ac:dyDescent="0.25">
      <c r="A449" s="403" t="str">
        <f t="shared" si="21"/>
        <v>46083460310000-00-000000-00-000000-00-000000-00-000000-00-000000-00-000000-00-000000-00-000000-00-000000-00-0046087461064610846125461274</v>
      </c>
      <c r="B449" s="16">
        <v>46083</v>
      </c>
      <c r="C449" s="28">
        <v>46031</v>
      </c>
      <c r="D449" s="33" t="s">
        <v>55</v>
      </c>
      <c r="E449" s="168" t="s">
        <v>55</v>
      </c>
      <c r="F449" s="168" t="s">
        <v>55</v>
      </c>
      <c r="G449" s="33" t="s">
        <v>55</v>
      </c>
      <c r="H449" s="33" t="s">
        <v>55</v>
      </c>
      <c r="I449" s="33" t="s">
        <v>55</v>
      </c>
      <c r="J449" s="33" t="s">
        <v>55</v>
      </c>
      <c r="K449" s="33" t="s">
        <v>55</v>
      </c>
      <c r="L449" s="33" t="s">
        <v>55</v>
      </c>
      <c r="M449" s="21" t="s">
        <v>55</v>
      </c>
      <c r="N449" s="28">
        <v>46087</v>
      </c>
      <c r="O449" s="180">
        <v>46106</v>
      </c>
      <c r="P449" s="28">
        <v>46108</v>
      </c>
      <c r="Q449" s="53">
        <v>46125</v>
      </c>
      <c r="R449" s="180">
        <v>46127</v>
      </c>
      <c r="S449" s="33">
        <v>4</v>
      </c>
    </row>
    <row r="450" spans="1:19" x14ac:dyDescent="0.25">
      <c r="A450" s="403" t="str">
        <f t="shared" ref="A450:A513" si="26">+B450&amp;C450&amp;D450&amp;E450&amp;F450&amp;G450&amp;H450&amp;I450&amp;J450&amp;K450&amp;L450&amp;M450&amp;N450&amp;O450&amp;P450&amp;Q450&amp;R450&amp;S450</f>
        <v>46036460360000-00-0046086460860000-00-000000-00-000000-00-000000-00-000000-00-000000-00-000000-00-0046100461004610046113461184</v>
      </c>
      <c r="B450" s="28">
        <v>46036</v>
      </c>
      <c r="C450" s="28">
        <v>46036</v>
      </c>
      <c r="D450" s="33" t="s">
        <v>55</v>
      </c>
      <c r="E450" s="28">
        <v>46086</v>
      </c>
      <c r="F450" s="28">
        <v>46086</v>
      </c>
      <c r="G450" s="33" t="s">
        <v>55</v>
      </c>
      <c r="H450" s="33" t="s">
        <v>55</v>
      </c>
      <c r="I450" s="33" t="s">
        <v>55</v>
      </c>
      <c r="J450" s="33" t="s">
        <v>55</v>
      </c>
      <c r="K450" s="33" t="s">
        <v>55</v>
      </c>
      <c r="L450" s="33" t="s">
        <v>55</v>
      </c>
      <c r="M450" s="21" t="s">
        <v>55</v>
      </c>
      <c r="N450" s="28">
        <v>46100</v>
      </c>
      <c r="O450" s="28">
        <v>46100</v>
      </c>
      <c r="P450" s="28">
        <v>46100</v>
      </c>
      <c r="Q450" s="38">
        <v>46113</v>
      </c>
      <c r="R450" s="53">
        <v>46118</v>
      </c>
      <c r="S450" s="21">
        <v>4</v>
      </c>
    </row>
    <row r="451" spans="1:19" x14ac:dyDescent="0.25">
      <c r="A451" s="403" t="str">
        <f t="shared" si="26"/>
        <v>46100460430000-00-000000-00-000000-00-000000-00-000000-00-000000-00-000000-00-000000-00-000000-00-000000-00-0046111461250000-00-0046125461254</v>
      </c>
      <c r="B451" s="16">
        <v>46100</v>
      </c>
      <c r="C451" s="28">
        <v>46043</v>
      </c>
      <c r="D451" s="33" t="s">
        <v>55</v>
      </c>
      <c r="E451" s="28" t="s">
        <v>55</v>
      </c>
      <c r="F451" s="28" t="s">
        <v>55</v>
      </c>
      <c r="G451" s="33" t="s">
        <v>55</v>
      </c>
      <c r="H451" s="33" t="s">
        <v>55</v>
      </c>
      <c r="I451" s="33" t="s">
        <v>55</v>
      </c>
      <c r="J451" s="33" t="s">
        <v>55</v>
      </c>
      <c r="K451" s="33" t="s">
        <v>55</v>
      </c>
      <c r="L451" s="33" t="s">
        <v>55</v>
      </c>
      <c r="M451" s="33" t="s">
        <v>55</v>
      </c>
      <c r="N451" s="180">
        <v>46111</v>
      </c>
      <c r="O451" s="28">
        <v>46125</v>
      </c>
      <c r="P451" s="28" t="s">
        <v>55</v>
      </c>
      <c r="Q451" s="28">
        <v>46125</v>
      </c>
      <c r="R451" s="28">
        <v>46125</v>
      </c>
      <c r="S451" s="33">
        <v>4</v>
      </c>
    </row>
    <row r="452" spans="1:19" x14ac:dyDescent="0.25">
      <c r="A452" s="403" t="str">
        <f t="shared" si="26"/>
        <v>46044460440000-00-0046107461070000-00-000000-00-000000-00-000000-00-000000-00-000000-00-000000-00-0046122461224612246134461394</v>
      </c>
      <c r="B452" s="53">
        <v>46044</v>
      </c>
      <c r="C452" s="53">
        <v>46044</v>
      </c>
      <c r="D452" s="21" t="s">
        <v>55</v>
      </c>
      <c r="E452" s="53">
        <v>46107</v>
      </c>
      <c r="F452" s="53">
        <v>46107</v>
      </c>
      <c r="G452" s="21" t="s">
        <v>55</v>
      </c>
      <c r="H452" s="21" t="s">
        <v>55</v>
      </c>
      <c r="I452" s="21" t="s">
        <v>55</v>
      </c>
      <c r="J452" s="21" t="s">
        <v>55</v>
      </c>
      <c r="K452" s="21" t="s">
        <v>55</v>
      </c>
      <c r="L452" s="21" t="s">
        <v>55</v>
      </c>
      <c r="M452" s="21" t="s">
        <v>55</v>
      </c>
      <c r="N452" s="53">
        <v>46122</v>
      </c>
      <c r="O452" s="53">
        <v>46122</v>
      </c>
      <c r="P452" s="53">
        <v>46122</v>
      </c>
      <c r="Q452" s="53">
        <v>46134</v>
      </c>
      <c r="R452" s="53">
        <v>46139</v>
      </c>
      <c r="S452" s="21">
        <v>4</v>
      </c>
    </row>
    <row r="453" spans="1:19" x14ac:dyDescent="0.25">
      <c r="A453" s="403" t="str">
        <f t="shared" si="26"/>
        <v>46048460450000-00-0046090460930000-00-000000-00-000000-00-000000-00-000000-00-000000-00-000000-00-0046101461054610546119461274</v>
      </c>
      <c r="B453" s="116">
        <v>46048</v>
      </c>
      <c r="C453" s="116">
        <v>46045</v>
      </c>
      <c r="D453" s="33" t="s">
        <v>55</v>
      </c>
      <c r="E453" s="28">
        <v>46090</v>
      </c>
      <c r="F453" s="28">
        <v>46093</v>
      </c>
      <c r="G453" s="33" t="s">
        <v>55</v>
      </c>
      <c r="H453" s="33" t="s">
        <v>55</v>
      </c>
      <c r="I453" s="33" t="s">
        <v>55</v>
      </c>
      <c r="J453" s="33" t="s">
        <v>55</v>
      </c>
      <c r="K453" s="33" t="s">
        <v>55</v>
      </c>
      <c r="L453" s="33" t="s">
        <v>55</v>
      </c>
      <c r="M453" s="21" t="s">
        <v>55</v>
      </c>
      <c r="N453" s="28">
        <v>46101</v>
      </c>
      <c r="O453" s="180">
        <v>46105</v>
      </c>
      <c r="P453" s="180">
        <v>46105</v>
      </c>
      <c r="Q453" s="28">
        <v>46119</v>
      </c>
      <c r="R453" s="180">
        <v>46127</v>
      </c>
      <c r="S453" s="33">
        <f>MONTH(R453)</f>
        <v>4</v>
      </c>
    </row>
    <row r="454" spans="1:19" x14ac:dyDescent="0.25">
      <c r="A454" s="403" t="str">
        <f t="shared" si="26"/>
        <v>46051460510000-00-0046064460640000-00-000000-00-000000-00-000000-00-000000-00-000000-00-000000-00-0046094460944609446136461394</v>
      </c>
      <c r="B454" s="53">
        <v>46051</v>
      </c>
      <c r="C454" s="53">
        <v>46051</v>
      </c>
      <c r="D454" s="21" t="s">
        <v>55</v>
      </c>
      <c r="E454" s="53">
        <v>46064</v>
      </c>
      <c r="F454" s="53">
        <v>46064</v>
      </c>
      <c r="G454" s="21" t="s">
        <v>55</v>
      </c>
      <c r="H454" s="21" t="s">
        <v>55</v>
      </c>
      <c r="I454" s="21" t="s">
        <v>55</v>
      </c>
      <c r="J454" s="21" t="s">
        <v>55</v>
      </c>
      <c r="K454" s="21" t="s">
        <v>55</v>
      </c>
      <c r="L454" s="21" t="s">
        <v>55</v>
      </c>
      <c r="M454" s="21" t="s">
        <v>55</v>
      </c>
      <c r="N454" s="53">
        <v>46094</v>
      </c>
      <c r="O454" s="53">
        <v>46094</v>
      </c>
      <c r="P454" s="53">
        <v>46094</v>
      </c>
      <c r="Q454" s="53">
        <v>46136</v>
      </c>
      <c r="R454" s="53">
        <v>46139</v>
      </c>
      <c r="S454" s="21">
        <v>4</v>
      </c>
    </row>
    <row r="455" spans="1:19" x14ac:dyDescent="0.25">
      <c r="A455" s="403" t="str">
        <f t="shared" si="26"/>
        <v>46055460550000-00-0046086460910000-00-000000-00-000000-00-000000-00-000000-00-000000-00-000000-00-0046100461004610246112461184</v>
      </c>
      <c r="B455" s="53">
        <v>46055</v>
      </c>
      <c r="C455" s="53">
        <v>46055</v>
      </c>
      <c r="D455" s="21" t="s">
        <v>55</v>
      </c>
      <c r="E455" s="53">
        <v>46086</v>
      </c>
      <c r="F455" s="53">
        <v>46091</v>
      </c>
      <c r="G455" s="21" t="s">
        <v>55</v>
      </c>
      <c r="H455" s="21" t="s">
        <v>55</v>
      </c>
      <c r="I455" s="21" t="s">
        <v>55</v>
      </c>
      <c r="J455" s="21" t="s">
        <v>55</v>
      </c>
      <c r="K455" s="21" t="s">
        <v>55</v>
      </c>
      <c r="L455" s="21" t="s">
        <v>55</v>
      </c>
      <c r="M455" s="21" t="s">
        <v>55</v>
      </c>
      <c r="N455" s="53">
        <v>46100</v>
      </c>
      <c r="O455" s="28">
        <v>46100</v>
      </c>
      <c r="P455" s="53">
        <v>46102</v>
      </c>
      <c r="Q455" s="28">
        <v>46112</v>
      </c>
      <c r="R455" s="53">
        <v>46118</v>
      </c>
      <c r="S455" s="21">
        <v>4</v>
      </c>
    </row>
    <row r="456" spans="1:19" x14ac:dyDescent="0.25">
      <c r="A456" s="403" t="str">
        <f t="shared" si="26"/>
        <v>46055460550000-00-000000-00-000000-00-000000-00-000000-00-000000-00-000000-00-000000-00-000000-00-000000-00-0046063460974609746113461184</v>
      </c>
      <c r="B456" s="28">
        <v>46055</v>
      </c>
      <c r="C456" s="28">
        <v>46055</v>
      </c>
      <c r="D456" s="33" t="s">
        <v>55</v>
      </c>
      <c r="E456" s="33" t="s">
        <v>55</v>
      </c>
      <c r="F456" s="33" t="s">
        <v>55</v>
      </c>
      <c r="G456" s="33" t="s">
        <v>55</v>
      </c>
      <c r="H456" s="33" t="s">
        <v>55</v>
      </c>
      <c r="I456" s="33" t="s">
        <v>55</v>
      </c>
      <c r="J456" s="33" t="s">
        <v>55</v>
      </c>
      <c r="K456" s="33" t="s">
        <v>55</v>
      </c>
      <c r="L456" s="33" t="s">
        <v>55</v>
      </c>
      <c r="M456" s="33" t="s">
        <v>55</v>
      </c>
      <c r="N456" s="28">
        <v>46063</v>
      </c>
      <c r="O456" s="28">
        <v>46097</v>
      </c>
      <c r="P456" s="28">
        <v>46097</v>
      </c>
      <c r="Q456" s="16">
        <v>46113</v>
      </c>
      <c r="R456" s="53">
        <v>46118</v>
      </c>
      <c r="S456" s="33">
        <v>4</v>
      </c>
    </row>
    <row r="457" spans="1:19" x14ac:dyDescent="0.25">
      <c r="A457" s="403" t="str">
        <f t="shared" si="26"/>
        <v>46057460564606246066460664605846063460650000-00-000000-00-000000-00-004608746097461084611146126461274</v>
      </c>
      <c r="B457" s="116">
        <v>46057</v>
      </c>
      <c r="C457" s="116">
        <v>46056</v>
      </c>
      <c r="D457" s="28">
        <v>46062</v>
      </c>
      <c r="E457" s="28">
        <v>46066</v>
      </c>
      <c r="F457" s="28">
        <v>46066</v>
      </c>
      <c r="G457" s="28">
        <v>46058</v>
      </c>
      <c r="H457" s="28">
        <v>46063</v>
      </c>
      <c r="I457" s="28">
        <v>46065</v>
      </c>
      <c r="J457" s="33" t="s">
        <v>55</v>
      </c>
      <c r="K457" s="33" t="s">
        <v>55</v>
      </c>
      <c r="L457" s="33" t="s">
        <v>55</v>
      </c>
      <c r="M457" s="28">
        <v>46087</v>
      </c>
      <c r="N457" s="38">
        <v>46097</v>
      </c>
      <c r="O457" s="180">
        <v>46108</v>
      </c>
      <c r="P457" s="53">
        <v>46111</v>
      </c>
      <c r="Q457" s="180">
        <v>46126</v>
      </c>
      <c r="R457" s="180">
        <v>46127</v>
      </c>
      <c r="S457" s="33">
        <f t="shared" ref="S457:S462" si="27">MONTH(R457)</f>
        <v>4</v>
      </c>
    </row>
    <row r="458" spans="1:19" x14ac:dyDescent="0.25">
      <c r="A458" s="403" t="str">
        <f t="shared" si="26"/>
        <v>46086460560000-00-000000-00-000000-00-000000-00-000000-00-000000-00-000000-00-000000-00-000000-00-000000-00-0046094461084611146126461274</v>
      </c>
      <c r="B458" s="116">
        <v>46086</v>
      </c>
      <c r="C458" s="116">
        <v>46056</v>
      </c>
      <c r="D458" s="168" t="s">
        <v>55</v>
      </c>
      <c r="E458" s="168" t="s">
        <v>55</v>
      </c>
      <c r="F458" s="168" t="s">
        <v>55</v>
      </c>
      <c r="G458" s="168" t="s">
        <v>55</v>
      </c>
      <c r="H458" s="168" t="s">
        <v>55</v>
      </c>
      <c r="I458" s="168" t="s">
        <v>55</v>
      </c>
      <c r="J458" s="33" t="s">
        <v>55</v>
      </c>
      <c r="K458" s="33" t="s">
        <v>55</v>
      </c>
      <c r="L458" s="33" t="s">
        <v>55</v>
      </c>
      <c r="M458" s="168" t="s">
        <v>55</v>
      </c>
      <c r="N458" s="53">
        <v>46094</v>
      </c>
      <c r="O458" s="180">
        <v>46108</v>
      </c>
      <c r="P458" s="53">
        <v>46111</v>
      </c>
      <c r="Q458" s="180">
        <v>46126</v>
      </c>
      <c r="R458" s="180">
        <v>46127</v>
      </c>
      <c r="S458" s="33">
        <f t="shared" si="27"/>
        <v>4</v>
      </c>
    </row>
    <row r="459" spans="1:19" x14ac:dyDescent="0.25">
      <c r="A459" s="403" t="str">
        <f t="shared" si="26"/>
        <v>46056460560000-00-0046085460910000-00-000000-00-000000-00-000000-00-000000-00-000000-00-000000-00-0046093460944609446112461184</v>
      </c>
      <c r="B459" s="116">
        <v>46056</v>
      </c>
      <c r="C459" s="116">
        <v>46056</v>
      </c>
      <c r="D459" s="33" t="s">
        <v>55</v>
      </c>
      <c r="E459" s="28">
        <v>46085</v>
      </c>
      <c r="F459" s="28">
        <v>46091</v>
      </c>
      <c r="G459" s="33" t="s">
        <v>55</v>
      </c>
      <c r="H459" s="33" t="s">
        <v>55</v>
      </c>
      <c r="I459" s="33" t="s">
        <v>55</v>
      </c>
      <c r="J459" s="33" t="s">
        <v>55</v>
      </c>
      <c r="K459" s="33" t="s">
        <v>55</v>
      </c>
      <c r="L459" s="33" t="s">
        <v>55</v>
      </c>
      <c r="M459" s="21" t="s">
        <v>55</v>
      </c>
      <c r="N459" s="38">
        <v>46093</v>
      </c>
      <c r="O459" s="180">
        <v>46094</v>
      </c>
      <c r="P459" s="180">
        <v>46094</v>
      </c>
      <c r="Q459" s="28">
        <v>46112</v>
      </c>
      <c r="R459" s="53">
        <v>46118</v>
      </c>
      <c r="S459" s="33">
        <f t="shared" si="27"/>
        <v>4</v>
      </c>
    </row>
    <row r="460" spans="1:19" x14ac:dyDescent="0.25">
      <c r="A460" s="403" t="str">
        <f t="shared" si="26"/>
        <v>46093460570000-00-000000-00-000000-00-000000-00-000000-00-000000-00-000000-00-000000-00-000000-00-000000-00-0046099461014610546113461184</v>
      </c>
      <c r="B460" s="116">
        <v>46093</v>
      </c>
      <c r="C460" s="116">
        <v>46057</v>
      </c>
      <c r="D460" s="33" t="s">
        <v>55</v>
      </c>
      <c r="E460" s="33" t="s">
        <v>55</v>
      </c>
      <c r="F460" s="33" t="s">
        <v>55</v>
      </c>
      <c r="G460" s="33" t="s">
        <v>55</v>
      </c>
      <c r="H460" s="33" t="s">
        <v>55</v>
      </c>
      <c r="I460" s="33" t="s">
        <v>55</v>
      </c>
      <c r="J460" s="33" t="s">
        <v>55</v>
      </c>
      <c r="K460" s="33" t="s">
        <v>55</v>
      </c>
      <c r="L460" s="33" t="s">
        <v>55</v>
      </c>
      <c r="M460" s="33" t="s">
        <v>55</v>
      </c>
      <c r="N460" s="53">
        <v>46099</v>
      </c>
      <c r="O460" s="180">
        <v>46101</v>
      </c>
      <c r="P460" s="180">
        <v>46105</v>
      </c>
      <c r="Q460" s="28">
        <v>46113</v>
      </c>
      <c r="R460" s="53">
        <v>46118</v>
      </c>
      <c r="S460" s="33">
        <f t="shared" si="27"/>
        <v>4</v>
      </c>
    </row>
    <row r="461" spans="1:19" x14ac:dyDescent="0.25">
      <c r="A461" s="403" t="str">
        <f t="shared" si="26"/>
        <v>46058460580000-00-0046090460930000-00-000000-00-000000-00-000000-00-000000-00-000000-00-000000-00-0046100461014610546113461184</v>
      </c>
      <c r="B461" s="116">
        <v>46058</v>
      </c>
      <c r="C461" s="116">
        <v>46058</v>
      </c>
      <c r="D461" s="33" t="s">
        <v>55</v>
      </c>
      <c r="E461" s="28">
        <v>46090</v>
      </c>
      <c r="F461" s="28">
        <v>46093</v>
      </c>
      <c r="G461" s="33" t="s">
        <v>55</v>
      </c>
      <c r="H461" s="33" t="s">
        <v>55</v>
      </c>
      <c r="I461" s="33" t="s">
        <v>55</v>
      </c>
      <c r="J461" s="33" t="s">
        <v>55</v>
      </c>
      <c r="K461" s="33" t="s">
        <v>55</v>
      </c>
      <c r="L461" s="33" t="s">
        <v>55</v>
      </c>
      <c r="M461" s="21" t="s">
        <v>55</v>
      </c>
      <c r="N461" s="28">
        <v>46100</v>
      </c>
      <c r="O461" s="180">
        <v>46101</v>
      </c>
      <c r="P461" s="180">
        <v>46105</v>
      </c>
      <c r="Q461" s="28">
        <v>46113</v>
      </c>
      <c r="R461" s="53">
        <v>46118</v>
      </c>
      <c r="S461" s="33">
        <f t="shared" si="27"/>
        <v>4</v>
      </c>
    </row>
    <row r="462" spans="1:19" x14ac:dyDescent="0.25">
      <c r="A462" s="403" t="str">
        <f t="shared" si="26"/>
        <v>46079460580000-00-0046090460930000-00-000000-00-000000-00-000000-00-000000-00-000000-00-000000-00-0046100461014610546113461184</v>
      </c>
      <c r="B462" s="116">
        <v>46079</v>
      </c>
      <c r="C462" s="116">
        <v>46058</v>
      </c>
      <c r="D462" s="33" t="s">
        <v>55</v>
      </c>
      <c r="E462" s="28">
        <v>46090</v>
      </c>
      <c r="F462" s="28">
        <v>46093</v>
      </c>
      <c r="G462" s="33" t="s">
        <v>55</v>
      </c>
      <c r="H462" s="33" t="s">
        <v>55</v>
      </c>
      <c r="I462" s="33" t="s">
        <v>55</v>
      </c>
      <c r="J462" s="33" t="s">
        <v>55</v>
      </c>
      <c r="K462" s="33" t="s">
        <v>55</v>
      </c>
      <c r="L462" s="33" t="s">
        <v>55</v>
      </c>
      <c r="M462" s="21" t="s">
        <v>55</v>
      </c>
      <c r="N462" s="28">
        <v>46100</v>
      </c>
      <c r="O462" s="180">
        <v>46101</v>
      </c>
      <c r="P462" s="180">
        <v>46105</v>
      </c>
      <c r="Q462" s="28">
        <v>46113</v>
      </c>
      <c r="R462" s="53">
        <v>46118</v>
      </c>
      <c r="S462" s="33">
        <f t="shared" si="27"/>
        <v>4</v>
      </c>
    </row>
    <row r="463" spans="1:19" x14ac:dyDescent="0.25">
      <c r="A463" s="403" t="str">
        <f t="shared" si="26"/>
        <v>46112460580000-00-000000-00-000000-00-000000-00-000000-00-000000-00-000000-00-000000-00-000000-00-000000-00-0046120461204612046126461274</v>
      </c>
      <c r="B463" s="180">
        <v>46112</v>
      </c>
      <c r="C463" s="28">
        <v>46058</v>
      </c>
      <c r="D463" s="33" t="s">
        <v>55</v>
      </c>
      <c r="E463" s="21" t="s">
        <v>55</v>
      </c>
      <c r="F463" s="21" t="s">
        <v>55</v>
      </c>
      <c r="G463" s="33" t="s">
        <v>55</v>
      </c>
      <c r="H463" s="33" t="s">
        <v>55</v>
      </c>
      <c r="I463" s="33" t="s">
        <v>55</v>
      </c>
      <c r="J463" s="33" t="s">
        <v>55</v>
      </c>
      <c r="K463" s="33" t="s">
        <v>55</v>
      </c>
      <c r="L463" s="33" t="s">
        <v>55</v>
      </c>
      <c r="M463" s="33" t="s">
        <v>55</v>
      </c>
      <c r="N463" s="28">
        <v>46120</v>
      </c>
      <c r="O463" s="28">
        <v>46120</v>
      </c>
      <c r="P463" s="28">
        <v>46120</v>
      </c>
      <c r="Q463" s="180">
        <v>46126</v>
      </c>
      <c r="R463" s="180">
        <v>46127</v>
      </c>
      <c r="S463" s="33">
        <v>4</v>
      </c>
    </row>
    <row r="464" spans="1:19" x14ac:dyDescent="0.25">
      <c r="A464" s="403" t="str">
        <f t="shared" si="26"/>
        <v>46062460620000-00-0046073460730000-00-000000-00-000000-00-000000-00-000000-00-000000-00-000000-00-0046094460944609446107461184</v>
      </c>
      <c r="B464" s="53">
        <v>46062</v>
      </c>
      <c r="C464" s="53">
        <v>46062</v>
      </c>
      <c r="D464" s="21" t="s">
        <v>55</v>
      </c>
      <c r="E464" s="53">
        <v>46073</v>
      </c>
      <c r="F464" s="53">
        <v>46073</v>
      </c>
      <c r="G464" s="21" t="s">
        <v>55</v>
      </c>
      <c r="H464" s="21" t="s">
        <v>55</v>
      </c>
      <c r="I464" s="21" t="s">
        <v>55</v>
      </c>
      <c r="J464" s="21" t="s">
        <v>55</v>
      </c>
      <c r="K464" s="21" t="s">
        <v>55</v>
      </c>
      <c r="L464" s="21" t="s">
        <v>55</v>
      </c>
      <c r="M464" s="21" t="s">
        <v>55</v>
      </c>
      <c r="N464" s="53">
        <v>46094</v>
      </c>
      <c r="O464" s="53">
        <v>46094</v>
      </c>
      <c r="P464" s="53">
        <v>46094</v>
      </c>
      <c r="Q464" s="53">
        <v>46107</v>
      </c>
      <c r="R464" s="53">
        <v>46118</v>
      </c>
      <c r="S464" s="21">
        <v>4</v>
      </c>
    </row>
    <row r="465" spans="1:19" x14ac:dyDescent="0.25">
      <c r="A465" s="403" t="str">
        <f t="shared" si="26"/>
        <v>46063460630000-00-0046090460970000-00-000000-00-000000-00-000000-00-000000-00-000000-00-000000-00-0046097461014610646113461184</v>
      </c>
      <c r="B465" s="53">
        <v>46063</v>
      </c>
      <c r="C465" s="53">
        <v>46063</v>
      </c>
      <c r="D465" s="21" t="s">
        <v>55</v>
      </c>
      <c r="E465" s="53">
        <v>46090</v>
      </c>
      <c r="F465" s="53">
        <v>46097</v>
      </c>
      <c r="G465" s="21" t="s">
        <v>55</v>
      </c>
      <c r="H465" s="21" t="s">
        <v>55</v>
      </c>
      <c r="I465" s="21" t="s">
        <v>55</v>
      </c>
      <c r="J465" s="21" t="s">
        <v>55</v>
      </c>
      <c r="K465" s="21" t="s">
        <v>55</v>
      </c>
      <c r="L465" s="21" t="s">
        <v>55</v>
      </c>
      <c r="M465" s="21" t="s">
        <v>55</v>
      </c>
      <c r="N465" s="53">
        <v>46097</v>
      </c>
      <c r="O465" s="53">
        <v>46101</v>
      </c>
      <c r="P465" s="53">
        <v>46106</v>
      </c>
      <c r="Q465" s="53">
        <v>46113</v>
      </c>
      <c r="R465" s="53">
        <v>46118</v>
      </c>
      <c r="S465" s="21">
        <v>4</v>
      </c>
    </row>
    <row r="466" spans="1:19" x14ac:dyDescent="0.25">
      <c r="A466" s="403" t="str">
        <f t="shared" si="26"/>
        <v>46064460650000-00-0046083460850000-00-000000-00-000000-00-000000-00-000000-00-000000-00-000000-00-0046086460904609346113461184</v>
      </c>
      <c r="B466" s="53">
        <v>46064</v>
      </c>
      <c r="C466" s="53">
        <v>46065</v>
      </c>
      <c r="D466" s="21" t="s">
        <v>55</v>
      </c>
      <c r="E466" s="53">
        <v>46083</v>
      </c>
      <c r="F466" s="53">
        <v>46085</v>
      </c>
      <c r="G466" s="21" t="s">
        <v>55</v>
      </c>
      <c r="H466" s="21" t="s">
        <v>55</v>
      </c>
      <c r="I466" s="21" t="s">
        <v>55</v>
      </c>
      <c r="J466" s="21" t="s">
        <v>55</v>
      </c>
      <c r="K466" s="21" t="s">
        <v>55</v>
      </c>
      <c r="L466" s="21" t="s">
        <v>55</v>
      </c>
      <c r="M466" s="21" t="s">
        <v>55</v>
      </c>
      <c r="N466" s="53">
        <v>46086</v>
      </c>
      <c r="O466" s="53">
        <v>46090</v>
      </c>
      <c r="P466" s="53">
        <v>46093</v>
      </c>
      <c r="Q466" s="53">
        <v>46113</v>
      </c>
      <c r="R466" s="53">
        <v>46118</v>
      </c>
      <c r="S466" s="21">
        <v>4</v>
      </c>
    </row>
    <row r="467" spans="1:19" x14ac:dyDescent="0.25">
      <c r="A467" s="403" t="str">
        <f t="shared" si="26"/>
        <v>46080460640000-00-0046087460870000-00-000000-00-000000-00-000000-00-000000-00-000000-00-000000-00-0046111461184611846126461274</v>
      </c>
      <c r="B467" s="116">
        <v>46080</v>
      </c>
      <c r="C467" s="116">
        <v>46064</v>
      </c>
      <c r="D467" s="194" t="s">
        <v>55</v>
      </c>
      <c r="E467" s="28">
        <v>46087</v>
      </c>
      <c r="F467" s="28">
        <v>46087</v>
      </c>
      <c r="G467" s="194" t="s">
        <v>55</v>
      </c>
      <c r="H467" s="194" t="s">
        <v>55</v>
      </c>
      <c r="I467" s="194" t="s">
        <v>55</v>
      </c>
      <c r="J467" s="194" t="s">
        <v>55</v>
      </c>
      <c r="K467" s="194" t="s">
        <v>55</v>
      </c>
      <c r="L467" s="194" t="s">
        <v>55</v>
      </c>
      <c r="M467" s="21" t="s">
        <v>55</v>
      </c>
      <c r="N467" s="180">
        <v>46111</v>
      </c>
      <c r="O467" s="180">
        <v>46118</v>
      </c>
      <c r="P467" s="180">
        <v>46118</v>
      </c>
      <c r="Q467" s="180">
        <v>46126</v>
      </c>
      <c r="R467" s="180">
        <v>46127</v>
      </c>
      <c r="S467" s="194">
        <v>4</v>
      </c>
    </row>
    <row r="468" spans="1:19" x14ac:dyDescent="0.25">
      <c r="A468" s="403" t="str">
        <f t="shared" si="26"/>
        <v>46066460660000-00-0046113461130000-00-000000-00-000000-00-000000-00-000000-00-000000-00-000000-00-0046128461290000-00-00461320000-00-004</v>
      </c>
      <c r="B468" s="28">
        <v>46066</v>
      </c>
      <c r="C468" s="28">
        <v>46066</v>
      </c>
      <c r="D468" s="33" t="s">
        <v>55</v>
      </c>
      <c r="E468" s="28">
        <v>46113</v>
      </c>
      <c r="F468" s="28">
        <v>46113</v>
      </c>
      <c r="G468" s="33" t="s">
        <v>55</v>
      </c>
      <c r="H468" s="33" t="s">
        <v>55</v>
      </c>
      <c r="I468" s="33" t="s">
        <v>55</v>
      </c>
      <c r="J468" s="33" t="s">
        <v>55</v>
      </c>
      <c r="K468" s="33" t="s">
        <v>55</v>
      </c>
      <c r="L468" s="33" t="s">
        <v>55</v>
      </c>
      <c r="M468" s="21" t="s">
        <v>55</v>
      </c>
      <c r="N468" s="28">
        <v>46128</v>
      </c>
      <c r="O468" s="28">
        <v>46129</v>
      </c>
      <c r="P468" s="28" t="s">
        <v>55</v>
      </c>
      <c r="Q468" s="28">
        <v>46132</v>
      </c>
      <c r="R468" s="28" t="s">
        <v>55</v>
      </c>
      <c r="S468" s="21">
        <v>4</v>
      </c>
    </row>
    <row r="469" spans="1:19" x14ac:dyDescent="0.25">
      <c r="A469" s="403" t="str">
        <f t="shared" si="26"/>
        <v>46066460660000-00-0046091460920000-00-000000-00-000000-00-000000-00-000000-00-000000-00-000000-00-0046092460924609946112461184</v>
      </c>
      <c r="B469" s="53">
        <v>46066</v>
      </c>
      <c r="C469" s="53">
        <v>46066</v>
      </c>
      <c r="D469" s="21" t="s">
        <v>55</v>
      </c>
      <c r="E469" s="53">
        <v>46091</v>
      </c>
      <c r="F469" s="53">
        <v>46092</v>
      </c>
      <c r="G469" s="21" t="s">
        <v>55</v>
      </c>
      <c r="H469" s="21" t="s">
        <v>55</v>
      </c>
      <c r="I469" s="21" t="s">
        <v>55</v>
      </c>
      <c r="J469" s="21" t="s">
        <v>55</v>
      </c>
      <c r="K469" s="21" t="s">
        <v>55</v>
      </c>
      <c r="L469" s="21" t="s">
        <v>55</v>
      </c>
      <c r="M469" s="21" t="s">
        <v>55</v>
      </c>
      <c r="N469" s="53">
        <v>46092</v>
      </c>
      <c r="O469" s="53">
        <v>46092</v>
      </c>
      <c r="P469" s="53">
        <v>46099</v>
      </c>
      <c r="Q469" s="28">
        <v>46112</v>
      </c>
      <c r="R469" s="53">
        <v>46118</v>
      </c>
      <c r="S469" s="21">
        <v>4</v>
      </c>
    </row>
    <row r="470" spans="1:19" x14ac:dyDescent="0.25">
      <c r="A470" s="403" t="str">
        <f t="shared" si="26"/>
        <v>46090460690000-00-000000-00-000000-00-000000-00-000000-00-000000-00-000000-00-000000-00-000000-00-000000-00-0046106461184611846126461274</v>
      </c>
      <c r="B470" s="16">
        <v>46090</v>
      </c>
      <c r="C470" s="16">
        <v>46069</v>
      </c>
      <c r="D470" s="33" t="s">
        <v>55</v>
      </c>
      <c r="E470" s="28" t="s">
        <v>55</v>
      </c>
      <c r="F470" s="28" t="s">
        <v>55</v>
      </c>
      <c r="G470" s="33" t="s">
        <v>55</v>
      </c>
      <c r="H470" s="33" t="s">
        <v>55</v>
      </c>
      <c r="I470" s="33" t="s">
        <v>55</v>
      </c>
      <c r="J470" s="33" t="s">
        <v>55</v>
      </c>
      <c r="K470" s="33" t="s">
        <v>55</v>
      </c>
      <c r="L470" s="33" t="s">
        <v>55</v>
      </c>
      <c r="M470" s="33" t="s">
        <v>55</v>
      </c>
      <c r="N470" s="53">
        <v>46106</v>
      </c>
      <c r="O470" s="16">
        <v>46118</v>
      </c>
      <c r="P470" s="16">
        <v>46118</v>
      </c>
      <c r="Q470" s="180">
        <v>46126</v>
      </c>
      <c r="R470" s="180">
        <v>46127</v>
      </c>
      <c r="S470" s="33">
        <v>4</v>
      </c>
    </row>
    <row r="471" spans="1:19" x14ac:dyDescent="0.25">
      <c r="A471" s="403" t="str">
        <f t="shared" si="26"/>
        <v>46071460690000-00-0046086460864607146072460790000-00-000000-00-000000-00-004609346107461134611846126461274</v>
      </c>
      <c r="B471" s="116">
        <v>46071</v>
      </c>
      <c r="C471" s="116">
        <v>46069</v>
      </c>
      <c r="D471" s="33" t="s">
        <v>55</v>
      </c>
      <c r="E471" s="53">
        <v>46086</v>
      </c>
      <c r="F471" s="53">
        <v>46086</v>
      </c>
      <c r="G471" s="28">
        <v>46071</v>
      </c>
      <c r="H471" s="28">
        <v>46072</v>
      </c>
      <c r="I471" s="28">
        <v>46079</v>
      </c>
      <c r="J471" s="33" t="s">
        <v>55</v>
      </c>
      <c r="K471" s="33" t="s">
        <v>55</v>
      </c>
      <c r="L471" s="33" t="s">
        <v>55</v>
      </c>
      <c r="M471" s="28">
        <v>46093</v>
      </c>
      <c r="N471" s="53">
        <v>46107</v>
      </c>
      <c r="O471" s="28">
        <v>46113</v>
      </c>
      <c r="P471" s="28">
        <v>46118</v>
      </c>
      <c r="Q471" s="180">
        <v>46126</v>
      </c>
      <c r="R471" s="180">
        <v>46127</v>
      </c>
      <c r="S471" s="33">
        <v>4</v>
      </c>
    </row>
    <row r="472" spans="1:19" x14ac:dyDescent="0.25">
      <c r="A472" s="403" t="str">
        <f t="shared" si="26"/>
        <v>46107460690000-00-000000-00-000000-00-000000-00-000000-00-000000-00-000000-00-000000-00-000000-00-000000-00-0046113461184612046126461274</v>
      </c>
      <c r="B472" s="116">
        <v>46107</v>
      </c>
      <c r="C472" s="116">
        <v>46069</v>
      </c>
      <c r="D472" s="33" t="s">
        <v>55</v>
      </c>
      <c r="E472" s="33" t="s">
        <v>55</v>
      </c>
      <c r="F472" s="33" t="s">
        <v>55</v>
      </c>
      <c r="G472" s="33" t="s">
        <v>55</v>
      </c>
      <c r="H472" s="33" t="s">
        <v>55</v>
      </c>
      <c r="I472" s="33" t="s">
        <v>55</v>
      </c>
      <c r="J472" s="33" t="s">
        <v>55</v>
      </c>
      <c r="K472" s="33" t="s">
        <v>55</v>
      </c>
      <c r="L472" s="33" t="s">
        <v>55</v>
      </c>
      <c r="M472" s="33" t="s">
        <v>55</v>
      </c>
      <c r="N472" s="28">
        <v>46113</v>
      </c>
      <c r="O472" s="16">
        <v>46118</v>
      </c>
      <c r="P472" s="16">
        <v>46120</v>
      </c>
      <c r="Q472" s="180">
        <v>46126</v>
      </c>
      <c r="R472" s="180">
        <v>46127</v>
      </c>
      <c r="S472" s="33">
        <f t="shared" ref="S472:S479" si="28">MONTH(R472)</f>
        <v>4</v>
      </c>
    </row>
    <row r="473" spans="1:19" x14ac:dyDescent="0.25">
      <c r="A473" s="403" t="str">
        <f t="shared" si="26"/>
        <v>46071460690000-00-0046099461134607146072460780000-00-000000-00-000000-00-004611346120461200000-00-0046120461204</v>
      </c>
      <c r="B473" s="16">
        <v>46071</v>
      </c>
      <c r="C473" s="16">
        <v>46069</v>
      </c>
      <c r="D473" s="33" t="s">
        <v>55</v>
      </c>
      <c r="E473" s="16">
        <v>46099</v>
      </c>
      <c r="F473" s="28">
        <v>46113</v>
      </c>
      <c r="G473" s="116">
        <v>46071</v>
      </c>
      <c r="H473" s="116">
        <v>46072</v>
      </c>
      <c r="I473" s="116">
        <v>46078</v>
      </c>
      <c r="J473" s="33" t="s">
        <v>55</v>
      </c>
      <c r="K473" s="33" t="s">
        <v>55</v>
      </c>
      <c r="L473" s="33" t="s">
        <v>55</v>
      </c>
      <c r="M473" s="28">
        <v>46113</v>
      </c>
      <c r="N473" s="28">
        <v>46120</v>
      </c>
      <c r="O473" s="28">
        <v>46120</v>
      </c>
      <c r="P473" s="28" t="s">
        <v>55</v>
      </c>
      <c r="Q473" s="28">
        <v>46120</v>
      </c>
      <c r="R473" s="28">
        <v>46120</v>
      </c>
      <c r="S473" s="33">
        <f t="shared" si="28"/>
        <v>4</v>
      </c>
    </row>
    <row r="474" spans="1:19" x14ac:dyDescent="0.25">
      <c r="A474" s="403" t="str">
        <f t="shared" si="26"/>
        <v>46071460690000-00-0046099461114607146072460780000-00-000000-00-000000-00-004611146119461194611946126461274</v>
      </c>
      <c r="B474" s="16">
        <v>46071</v>
      </c>
      <c r="C474" s="16">
        <v>46069</v>
      </c>
      <c r="D474" s="33" t="s">
        <v>55</v>
      </c>
      <c r="E474" s="16">
        <v>46099</v>
      </c>
      <c r="F474" s="16">
        <v>46111</v>
      </c>
      <c r="G474" s="116">
        <v>46071</v>
      </c>
      <c r="H474" s="116">
        <v>46072</v>
      </c>
      <c r="I474" s="116">
        <v>46078</v>
      </c>
      <c r="J474" s="33" t="s">
        <v>55</v>
      </c>
      <c r="K474" s="33" t="s">
        <v>55</v>
      </c>
      <c r="L474" s="33" t="s">
        <v>55</v>
      </c>
      <c r="M474" s="28">
        <v>46111</v>
      </c>
      <c r="N474" s="28">
        <v>46119</v>
      </c>
      <c r="O474" s="28">
        <v>46119</v>
      </c>
      <c r="P474" s="28">
        <v>46119</v>
      </c>
      <c r="Q474" s="180">
        <v>46126</v>
      </c>
      <c r="R474" s="180">
        <v>46127</v>
      </c>
      <c r="S474" s="33">
        <f t="shared" si="28"/>
        <v>4</v>
      </c>
    </row>
    <row r="475" spans="1:19" x14ac:dyDescent="0.25">
      <c r="A475" s="403" t="str">
        <f t="shared" si="26"/>
        <v>46071460690000-00-0046101461114607146072460780000-00-000000-00-000000-00-004611146120461204612046126461274</v>
      </c>
      <c r="B475" s="16">
        <v>46071</v>
      </c>
      <c r="C475" s="16">
        <v>46069</v>
      </c>
      <c r="D475" s="33" t="s">
        <v>55</v>
      </c>
      <c r="E475" s="28">
        <v>46101</v>
      </c>
      <c r="F475" s="16">
        <v>46111</v>
      </c>
      <c r="G475" s="116">
        <v>46071</v>
      </c>
      <c r="H475" s="116">
        <v>46072</v>
      </c>
      <c r="I475" s="116">
        <v>46078</v>
      </c>
      <c r="J475" s="33" t="s">
        <v>55</v>
      </c>
      <c r="K475" s="33" t="s">
        <v>55</v>
      </c>
      <c r="L475" s="33" t="s">
        <v>55</v>
      </c>
      <c r="M475" s="28">
        <v>46111</v>
      </c>
      <c r="N475" s="28">
        <v>46120</v>
      </c>
      <c r="O475" s="28">
        <v>46120</v>
      </c>
      <c r="P475" s="28">
        <v>46120</v>
      </c>
      <c r="Q475" s="180">
        <v>46126</v>
      </c>
      <c r="R475" s="180">
        <v>46127</v>
      </c>
      <c r="S475" s="33">
        <f t="shared" si="28"/>
        <v>4</v>
      </c>
    </row>
    <row r="476" spans="1:19" x14ac:dyDescent="0.25">
      <c r="A476" s="403" t="str">
        <f t="shared" si="26"/>
        <v>46069460690000-00-0046090460930000-00-000000-00-000000-00-000000-00-000000-00-000000-00-000000-00-0046100461014610546113461184</v>
      </c>
      <c r="B476" s="16">
        <v>46069</v>
      </c>
      <c r="C476" s="16">
        <v>46069</v>
      </c>
      <c r="D476" s="33" t="s">
        <v>55</v>
      </c>
      <c r="E476" s="28">
        <v>46090</v>
      </c>
      <c r="F476" s="28">
        <v>46093</v>
      </c>
      <c r="G476" s="33" t="s">
        <v>55</v>
      </c>
      <c r="H476" s="33" t="s">
        <v>55</v>
      </c>
      <c r="I476" s="33" t="s">
        <v>55</v>
      </c>
      <c r="J476" s="33" t="s">
        <v>55</v>
      </c>
      <c r="K476" s="33" t="s">
        <v>55</v>
      </c>
      <c r="L476" s="33" t="s">
        <v>55</v>
      </c>
      <c r="M476" s="21" t="s">
        <v>55</v>
      </c>
      <c r="N476" s="28">
        <v>46100</v>
      </c>
      <c r="O476" s="180">
        <v>46101</v>
      </c>
      <c r="P476" s="180">
        <v>46105</v>
      </c>
      <c r="Q476" s="28">
        <v>46113</v>
      </c>
      <c r="R476" s="53">
        <v>46118</v>
      </c>
      <c r="S476" s="33">
        <f t="shared" si="28"/>
        <v>4</v>
      </c>
    </row>
    <row r="477" spans="1:19" x14ac:dyDescent="0.25">
      <c r="A477" s="403" t="str">
        <f t="shared" si="26"/>
        <v>46071460690000-00-0046083461054607146077460830000-00-000000-00-000000-00-004610846118461184611846128461344</v>
      </c>
      <c r="B477" s="16">
        <v>46071</v>
      </c>
      <c r="C477" s="16">
        <v>46069</v>
      </c>
      <c r="D477" s="33" t="s">
        <v>55</v>
      </c>
      <c r="E477" s="28">
        <v>46083</v>
      </c>
      <c r="F477" s="28">
        <v>46105</v>
      </c>
      <c r="G477" s="116">
        <v>46071</v>
      </c>
      <c r="H477" s="116">
        <v>46077</v>
      </c>
      <c r="I477" s="28">
        <v>46083</v>
      </c>
      <c r="J477" s="33" t="s">
        <v>55</v>
      </c>
      <c r="K477" s="33" t="s">
        <v>55</v>
      </c>
      <c r="L477" s="33" t="s">
        <v>55</v>
      </c>
      <c r="M477" s="28">
        <v>46108</v>
      </c>
      <c r="N477" s="28">
        <v>46118</v>
      </c>
      <c r="O477" s="28">
        <v>46118</v>
      </c>
      <c r="P477" s="28">
        <v>46118</v>
      </c>
      <c r="Q477" s="28">
        <v>46128</v>
      </c>
      <c r="R477" s="28">
        <v>46134</v>
      </c>
      <c r="S477" s="33">
        <f t="shared" si="28"/>
        <v>4</v>
      </c>
    </row>
    <row r="478" spans="1:19" x14ac:dyDescent="0.25">
      <c r="A478" s="403" t="str">
        <f t="shared" si="26"/>
        <v>46071460690000-00-0046086460864607146072460860000-00-000000-00-000000-00-004609346098461054610646112461184</v>
      </c>
      <c r="B478" s="116">
        <v>46071</v>
      </c>
      <c r="C478" s="116">
        <v>46069</v>
      </c>
      <c r="D478" s="33" t="s">
        <v>55</v>
      </c>
      <c r="E478" s="28">
        <v>46086</v>
      </c>
      <c r="F478" s="196">
        <v>46086</v>
      </c>
      <c r="G478" s="28">
        <v>46071</v>
      </c>
      <c r="H478" s="28">
        <v>46072</v>
      </c>
      <c r="I478" s="28">
        <v>46086</v>
      </c>
      <c r="J478" s="33" t="s">
        <v>55</v>
      </c>
      <c r="K478" s="33" t="s">
        <v>55</v>
      </c>
      <c r="L478" s="33" t="s">
        <v>55</v>
      </c>
      <c r="M478" s="28">
        <v>46093</v>
      </c>
      <c r="N478" s="38">
        <v>46098</v>
      </c>
      <c r="O478" s="180">
        <v>46105</v>
      </c>
      <c r="P478" s="38">
        <v>46106</v>
      </c>
      <c r="Q478" s="28">
        <v>46112</v>
      </c>
      <c r="R478" s="53">
        <v>46118</v>
      </c>
      <c r="S478" s="33">
        <f t="shared" si="28"/>
        <v>4</v>
      </c>
    </row>
    <row r="479" spans="1:19" x14ac:dyDescent="0.25">
      <c r="A479" s="403" t="str">
        <f t="shared" si="26"/>
        <v>46071460690000-00-000000-00-000000-00-004607146077460830000-00-000000-00-000000-00-004609746101461274612746139461394</v>
      </c>
      <c r="B479" s="116">
        <v>46071</v>
      </c>
      <c r="C479" s="116">
        <v>46069</v>
      </c>
      <c r="D479" s="33" t="s">
        <v>55</v>
      </c>
      <c r="E479" s="33" t="s">
        <v>55</v>
      </c>
      <c r="F479" s="33" t="s">
        <v>55</v>
      </c>
      <c r="G479" s="16">
        <v>46071</v>
      </c>
      <c r="H479" s="28">
        <v>46077</v>
      </c>
      <c r="I479" s="28">
        <v>46083</v>
      </c>
      <c r="J479" s="33" t="s">
        <v>55</v>
      </c>
      <c r="K479" s="33" t="s">
        <v>55</v>
      </c>
      <c r="L479" s="33" t="s">
        <v>55</v>
      </c>
      <c r="M479" s="28">
        <v>46097</v>
      </c>
      <c r="N479" s="38">
        <v>46101</v>
      </c>
      <c r="O479" s="28">
        <v>46127</v>
      </c>
      <c r="P479" s="28">
        <v>46127</v>
      </c>
      <c r="Q479" s="180">
        <v>46139</v>
      </c>
      <c r="R479" s="53">
        <v>46139</v>
      </c>
      <c r="S479" s="33">
        <f t="shared" si="28"/>
        <v>4</v>
      </c>
    </row>
    <row r="480" spans="1:19" x14ac:dyDescent="0.25">
      <c r="A480" s="403" t="str">
        <f t="shared" si="26"/>
        <v>46069460690000-00-0046098461110000-00-000000-00-000000-00-000000-00-000000-00-000000-00-000000-00-0046111461114611946125461274</v>
      </c>
      <c r="B480" s="53">
        <v>46069</v>
      </c>
      <c r="C480" s="53">
        <v>46069</v>
      </c>
      <c r="D480" s="21" t="s">
        <v>55</v>
      </c>
      <c r="E480" s="53">
        <v>46098</v>
      </c>
      <c r="F480" s="53">
        <v>46111</v>
      </c>
      <c r="G480" s="21" t="s">
        <v>55</v>
      </c>
      <c r="H480" s="21" t="s">
        <v>55</v>
      </c>
      <c r="I480" s="21" t="s">
        <v>55</v>
      </c>
      <c r="J480" s="21" t="s">
        <v>55</v>
      </c>
      <c r="K480" s="21" t="s">
        <v>55</v>
      </c>
      <c r="L480" s="21" t="s">
        <v>55</v>
      </c>
      <c r="M480" s="21" t="s">
        <v>55</v>
      </c>
      <c r="N480" s="53">
        <v>46111</v>
      </c>
      <c r="O480" s="53">
        <v>46111</v>
      </c>
      <c r="P480" s="53">
        <v>46119</v>
      </c>
      <c r="Q480" s="53">
        <v>46125</v>
      </c>
      <c r="R480" s="180">
        <v>46127</v>
      </c>
      <c r="S480" s="21">
        <v>4</v>
      </c>
    </row>
    <row r="481" spans="1:19" x14ac:dyDescent="0.25">
      <c r="A481" s="403" t="str">
        <f t="shared" si="26"/>
        <v>46070460700000-00-000000-00-000000-00-000000-00-000000-00-000000-00-000000-00-000000-00-000000-00-000000-00-0046085460874609046101461184</v>
      </c>
      <c r="B481" s="28">
        <v>46070</v>
      </c>
      <c r="C481" s="28">
        <v>46070</v>
      </c>
      <c r="D481" s="33" t="s">
        <v>55</v>
      </c>
      <c r="E481" s="33" t="s">
        <v>55</v>
      </c>
      <c r="F481" s="33" t="s">
        <v>55</v>
      </c>
      <c r="G481" s="33" t="s">
        <v>55</v>
      </c>
      <c r="H481" s="33" t="s">
        <v>55</v>
      </c>
      <c r="I481" s="33" t="s">
        <v>55</v>
      </c>
      <c r="J481" s="33" t="s">
        <v>55</v>
      </c>
      <c r="K481" s="33" t="s">
        <v>55</v>
      </c>
      <c r="L481" s="33" t="s">
        <v>55</v>
      </c>
      <c r="M481" s="33" t="s">
        <v>55</v>
      </c>
      <c r="N481" s="28">
        <v>46085</v>
      </c>
      <c r="O481" s="28">
        <v>46087</v>
      </c>
      <c r="P481" s="28">
        <v>46090</v>
      </c>
      <c r="Q481" s="16">
        <v>46101</v>
      </c>
      <c r="R481" s="53">
        <v>46118</v>
      </c>
      <c r="S481" s="33">
        <f>MONTH(R481)</f>
        <v>4</v>
      </c>
    </row>
    <row r="482" spans="1:19" x14ac:dyDescent="0.25">
      <c r="A482" s="403" t="str">
        <f t="shared" si="26"/>
        <v>46070460700000-00-0046087460870000-00-000000-00-004607746094460940000-00-004610546121461254612546133461394</v>
      </c>
      <c r="B482" s="28">
        <v>46070</v>
      </c>
      <c r="C482" s="16">
        <v>46070</v>
      </c>
      <c r="D482" s="33" t="s">
        <v>55</v>
      </c>
      <c r="E482" s="53">
        <v>46087</v>
      </c>
      <c r="F482" s="53">
        <v>46087</v>
      </c>
      <c r="G482" s="33" t="s">
        <v>55</v>
      </c>
      <c r="H482" s="33" t="s">
        <v>55</v>
      </c>
      <c r="I482" s="28">
        <v>46077</v>
      </c>
      <c r="J482" s="28">
        <v>46094</v>
      </c>
      <c r="K482" s="28">
        <v>46094</v>
      </c>
      <c r="L482" s="33" t="s">
        <v>55</v>
      </c>
      <c r="M482" s="28">
        <v>46105</v>
      </c>
      <c r="N482" s="28">
        <v>46121</v>
      </c>
      <c r="O482" s="28">
        <v>46125</v>
      </c>
      <c r="P482" s="28">
        <v>46125</v>
      </c>
      <c r="Q482" s="53">
        <v>46133</v>
      </c>
      <c r="R482" s="53">
        <v>46139</v>
      </c>
      <c r="S482" s="33">
        <v>4</v>
      </c>
    </row>
    <row r="483" spans="1:19" x14ac:dyDescent="0.25">
      <c r="A483" s="403" t="str">
        <f t="shared" si="26"/>
        <v>46070460700000-00-0046073460910000-00-000000-00-000000-00-000000-00-000000-00-000000-00-000000-00-0046113461134611346122461274</v>
      </c>
      <c r="B483" s="16">
        <v>46070</v>
      </c>
      <c r="C483" s="16">
        <v>46070</v>
      </c>
      <c r="D483" s="33" t="s">
        <v>55</v>
      </c>
      <c r="E483" s="53">
        <v>46073</v>
      </c>
      <c r="F483" s="28">
        <v>46091</v>
      </c>
      <c r="G483" s="33" t="s">
        <v>55</v>
      </c>
      <c r="H483" s="33" t="s">
        <v>55</v>
      </c>
      <c r="I483" s="33" t="s">
        <v>55</v>
      </c>
      <c r="J483" s="33" t="s">
        <v>55</v>
      </c>
      <c r="K483" s="33" t="s">
        <v>55</v>
      </c>
      <c r="L483" s="33" t="s">
        <v>55</v>
      </c>
      <c r="M483" s="21" t="s">
        <v>55</v>
      </c>
      <c r="N483" s="28">
        <v>46113</v>
      </c>
      <c r="O483" s="28">
        <v>46113</v>
      </c>
      <c r="P483" s="28">
        <v>46113</v>
      </c>
      <c r="Q483" s="28">
        <v>46122</v>
      </c>
      <c r="R483" s="180">
        <v>46127</v>
      </c>
      <c r="S483" s="33">
        <v>4</v>
      </c>
    </row>
    <row r="484" spans="1:19" x14ac:dyDescent="0.25">
      <c r="A484" s="403" t="str">
        <f t="shared" si="26"/>
        <v>46107460710000-00-000000-00-000000-00-000000-00-000000-00-000000-00-000000-00-000000-00-000000-00-000000-00-0046111461184611846126461274</v>
      </c>
      <c r="B484" s="116">
        <v>46107</v>
      </c>
      <c r="C484" s="116">
        <v>46071</v>
      </c>
      <c r="D484" s="33" t="s">
        <v>55</v>
      </c>
      <c r="E484" s="33" t="s">
        <v>55</v>
      </c>
      <c r="F484" s="33" t="s">
        <v>55</v>
      </c>
      <c r="G484" s="33" t="s">
        <v>55</v>
      </c>
      <c r="H484" s="33" t="s">
        <v>55</v>
      </c>
      <c r="I484" s="33" t="s">
        <v>55</v>
      </c>
      <c r="J484" s="33" t="s">
        <v>55</v>
      </c>
      <c r="K484" s="33" t="s">
        <v>55</v>
      </c>
      <c r="L484" s="33" t="s">
        <v>55</v>
      </c>
      <c r="M484" s="33" t="s">
        <v>55</v>
      </c>
      <c r="N484" s="180">
        <v>46111</v>
      </c>
      <c r="O484" s="180">
        <v>46118</v>
      </c>
      <c r="P484" s="180">
        <v>46118</v>
      </c>
      <c r="Q484" s="180">
        <v>46126</v>
      </c>
      <c r="R484" s="180">
        <v>46127</v>
      </c>
      <c r="S484" s="33">
        <f>MONTH(R484)</f>
        <v>4</v>
      </c>
    </row>
    <row r="485" spans="1:19" x14ac:dyDescent="0.25">
      <c r="A485" s="403" t="str">
        <f t="shared" si="26"/>
        <v>46105460710000-00-0046107461070000-00-000000-00-000000-00-000000-00-000000-00-000000-00-000000-00-0046111461184611846126461274</v>
      </c>
      <c r="B485" s="28">
        <v>46105</v>
      </c>
      <c r="C485" s="28">
        <v>46071</v>
      </c>
      <c r="D485" s="33" t="s">
        <v>55</v>
      </c>
      <c r="E485" s="53">
        <v>46107</v>
      </c>
      <c r="F485" s="53">
        <v>46107</v>
      </c>
      <c r="G485" s="33" t="s">
        <v>55</v>
      </c>
      <c r="H485" s="33" t="s">
        <v>55</v>
      </c>
      <c r="I485" s="33" t="s">
        <v>55</v>
      </c>
      <c r="J485" s="33" t="s">
        <v>55</v>
      </c>
      <c r="K485" s="33" t="s">
        <v>55</v>
      </c>
      <c r="L485" s="33" t="s">
        <v>55</v>
      </c>
      <c r="M485" s="21" t="s">
        <v>55</v>
      </c>
      <c r="N485" s="28">
        <v>46111</v>
      </c>
      <c r="O485" s="28">
        <v>46118</v>
      </c>
      <c r="P485" s="28">
        <v>46118</v>
      </c>
      <c r="Q485" s="180">
        <v>46126</v>
      </c>
      <c r="R485" s="180">
        <v>46127</v>
      </c>
      <c r="S485" s="21">
        <v>4</v>
      </c>
    </row>
    <row r="486" spans="1:19" x14ac:dyDescent="0.25">
      <c r="A486" s="403" t="str">
        <f t="shared" si="26"/>
        <v>46072460720000-00-0046093460970000-00-000000-00-000000-00-000000-00-000000-00-000000-00-000000-00-0046097461064611846126461274</v>
      </c>
      <c r="B486" s="53">
        <v>46072</v>
      </c>
      <c r="C486" s="53">
        <v>46072</v>
      </c>
      <c r="D486" s="21" t="s">
        <v>55</v>
      </c>
      <c r="E486" s="53">
        <v>46093</v>
      </c>
      <c r="F486" s="53">
        <v>46097</v>
      </c>
      <c r="G486" s="21" t="s">
        <v>55</v>
      </c>
      <c r="H486" s="21" t="s">
        <v>55</v>
      </c>
      <c r="I486" s="21" t="s">
        <v>55</v>
      </c>
      <c r="J486" s="21" t="s">
        <v>55</v>
      </c>
      <c r="K486" s="21" t="s">
        <v>55</v>
      </c>
      <c r="L486" s="21" t="s">
        <v>55</v>
      </c>
      <c r="M486" s="21" t="s">
        <v>55</v>
      </c>
      <c r="N486" s="53">
        <v>46097</v>
      </c>
      <c r="O486" s="53">
        <v>46106</v>
      </c>
      <c r="P486" s="53">
        <v>46118</v>
      </c>
      <c r="Q486" s="180">
        <v>46126</v>
      </c>
      <c r="R486" s="180">
        <v>46127</v>
      </c>
      <c r="S486" s="21">
        <v>4</v>
      </c>
    </row>
    <row r="487" spans="1:19" x14ac:dyDescent="0.25">
      <c r="A487" s="403" t="str">
        <f t="shared" si="26"/>
        <v>46076460760000-00-0046086460860000-00-000000-00-000000-00-000000-00-000000-00-000000-00-000000-00-0046100461004610146118461184</v>
      </c>
      <c r="B487" s="28">
        <v>46076</v>
      </c>
      <c r="C487" s="28">
        <v>46076</v>
      </c>
      <c r="D487" s="33" t="s">
        <v>55</v>
      </c>
      <c r="E487" s="28">
        <v>46086</v>
      </c>
      <c r="F487" s="28">
        <v>46086</v>
      </c>
      <c r="G487" s="33" t="s">
        <v>55</v>
      </c>
      <c r="H487" s="33" t="s">
        <v>55</v>
      </c>
      <c r="I487" s="33" t="s">
        <v>55</v>
      </c>
      <c r="J487" s="33" t="s">
        <v>55</v>
      </c>
      <c r="K487" s="33" t="s">
        <v>55</v>
      </c>
      <c r="L487" s="33" t="s">
        <v>55</v>
      </c>
      <c r="M487" s="21" t="s">
        <v>55</v>
      </c>
      <c r="N487" s="28">
        <v>46100</v>
      </c>
      <c r="O487" s="28">
        <v>46100</v>
      </c>
      <c r="P487" s="28">
        <v>46101</v>
      </c>
      <c r="Q487" s="28">
        <v>46118</v>
      </c>
      <c r="R487" s="53">
        <v>46118</v>
      </c>
      <c r="S487" s="21">
        <v>4</v>
      </c>
    </row>
    <row r="488" spans="1:19" x14ac:dyDescent="0.25">
      <c r="A488" s="403" t="str">
        <f t="shared" si="26"/>
        <v>46077460770000-00-0046084460840000-00-000000-00-000000-00-000000-00-000000-00-000000-00-000000-00-0046098460994609946121461274</v>
      </c>
      <c r="B488" s="28">
        <v>46077</v>
      </c>
      <c r="C488" s="28">
        <v>46077</v>
      </c>
      <c r="D488" s="33" t="s">
        <v>55</v>
      </c>
      <c r="E488" s="28">
        <v>46084</v>
      </c>
      <c r="F488" s="28">
        <v>46084</v>
      </c>
      <c r="G488" s="33" t="s">
        <v>55</v>
      </c>
      <c r="H488" s="33" t="s">
        <v>55</v>
      </c>
      <c r="I488" s="33" t="s">
        <v>55</v>
      </c>
      <c r="J488" s="33" t="s">
        <v>55</v>
      </c>
      <c r="K488" s="33" t="s">
        <v>55</v>
      </c>
      <c r="L488" s="33" t="s">
        <v>55</v>
      </c>
      <c r="M488" s="21" t="s">
        <v>55</v>
      </c>
      <c r="N488" s="38">
        <v>46098</v>
      </c>
      <c r="O488" s="53">
        <v>46099</v>
      </c>
      <c r="P488" s="53">
        <v>46099</v>
      </c>
      <c r="Q488" s="38">
        <v>46121</v>
      </c>
      <c r="R488" s="180">
        <v>46127</v>
      </c>
      <c r="S488" s="21">
        <v>4</v>
      </c>
    </row>
    <row r="489" spans="1:19" x14ac:dyDescent="0.25">
      <c r="A489" s="403" t="str">
        <f t="shared" si="26"/>
        <v>46091460780000-00-000000-00-000000-00-000000-00-000000-00-000000-00-000000-00-000000-00-000000-00-000000-00-0046097460984609946111461184</v>
      </c>
      <c r="B489" s="38">
        <v>46091</v>
      </c>
      <c r="C489" s="180">
        <v>46078</v>
      </c>
      <c r="D489" s="33" t="s">
        <v>55</v>
      </c>
      <c r="E489" s="33" t="s">
        <v>55</v>
      </c>
      <c r="F489" s="33" t="s">
        <v>55</v>
      </c>
      <c r="G489" s="33" t="s">
        <v>55</v>
      </c>
      <c r="H489" s="33" t="s">
        <v>55</v>
      </c>
      <c r="I489" s="33" t="s">
        <v>55</v>
      </c>
      <c r="J489" s="33" t="s">
        <v>55</v>
      </c>
      <c r="K489" s="33" t="s">
        <v>55</v>
      </c>
      <c r="L489" s="33" t="s">
        <v>55</v>
      </c>
      <c r="M489" s="33" t="s">
        <v>55</v>
      </c>
      <c r="N489" s="53">
        <v>46097</v>
      </c>
      <c r="O489" s="53">
        <v>46098</v>
      </c>
      <c r="P489" s="53">
        <v>46099</v>
      </c>
      <c r="Q489" s="53">
        <v>46111</v>
      </c>
      <c r="R489" s="53">
        <v>46118</v>
      </c>
      <c r="S489" s="33">
        <v>4</v>
      </c>
    </row>
    <row r="490" spans="1:19" x14ac:dyDescent="0.25">
      <c r="A490" s="403" t="str">
        <f t="shared" si="26"/>
        <v>46109460770000-00-0046120461260000-00-000000-00-000000-00-000000-00-000000-00-000000-00-000000-00-0046126461264612746133461394</v>
      </c>
      <c r="B490" s="53">
        <v>46109</v>
      </c>
      <c r="C490" s="53">
        <v>46077</v>
      </c>
      <c r="D490" s="21" t="s">
        <v>55</v>
      </c>
      <c r="E490" s="53">
        <v>46120</v>
      </c>
      <c r="F490" s="53">
        <v>46126</v>
      </c>
      <c r="G490" s="21" t="s">
        <v>55</v>
      </c>
      <c r="H490" s="21" t="s">
        <v>55</v>
      </c>
      <c r="I490" s="21" t="s">
        <v>55</v>
      </c>
      <c r="J490" s="21" t="s">
        <v>55</v>
      </c>
      <c r="K490" s="21" t="s">
        <v>55</v>
      </c>
      <c r="L490" s="21" t="s">
        <v>55</v>
      </c>
      <c r="M490" s="21" t="s">
        <v>55</v>
      </c>
      <c r="N490" s="53">
        <v>46126</v>
      </c>
      <c r="O490" s="53">
        <v>46126</v>
      </c>
      <c r="P490" s="53">
        <v>46127</v>
      </c>
      <c r="Q490" s="53">
        <v>46133</v>
      </c>
      <c r="R490" s="53">
        <v>46139</v>
      </c>
      <c r="S490" s="21">
        <v>4</v>
      </c>
    </row>
    <row r="491" spans="1:19" x14ac:dyDescent="0.25">
      <c r="A491" s="403" t="str">
        <f t="shared" si="26"/>
        <v>46077460770000-00-0046097461010000-00-000000-00-000000-00-000000-00-000000-00-000000-00-000000-00-0046101461014610646112461184</v>
      </c>
      <c r="B491" s="53">
        <v>46077</v>
      </c>
      <c r="C491" s="53">
        <v>46077</v>
      </c>
      <c r="D491" s="21" t="s">
        <v>55</v>
      </c>
      <c r="E491" s="53">
        <v>46097</v>
      </c>
      <c r="F491" s="53">
        <v>46101</v>
      </c>
      <c r="G491" s="21" t="s">
        <v>55</v>
      </c>
      <c r="H491" s="21" t="s">
        <v>55</v>
      </c>
      <c r="I491" s="21" t="s">
        <v>55</v>
      </c>
      <c r="J491" s="21" t="s">
        <v>55</v>
      </c>
      <c r="K491" s="21" t="s">
        <v>55</v>
      </c>
      <c r="L491" s="21" t="s">
        <v>55</v>
      </c>
      <c r="M491" s="21" t="s">
        <v>55</v>
      </c>
      <c r="N491" s="53">
        <v>46101</v>
      </c>
      <c r="O491" s="53">
        <v>46101</v>
      </c>
      <c r="P491" s="53">
        <v>46106</v>
      </c>
      <c r="Q491" s="28">
        <v>46112</v>
      </c>
      <c r="R491" s="53">
        <v>46118</v>
      </c>
      <c r="S491" s="21">
        <v>4</v>
      </c>
    </row>
    <row r="492" spans="1:19" x14ac:dyDescent="0.25">
      <c r="A492" s="403" t="str">
        <f t="shared" si="26"/>
        <v>46090460780000-00-0046105461050000-00-000000-00-000000-00-000000-00-000000-00-000000-00-000000-00-0046113461134611346126461274</v>
      </c>
      <c r="B492" s="53">
        <v>46090</v>
      </c>
      <c r="C492" s="180">
        <v>46078</v>
      </c>
      <c r="D492" s="21" t="s">
        <v>55</v>
      </c>
      <c r="E492" s="16">
        <v>46105</v>
      </c>
      <c r="F492" s="16">
        <v>46105</v>
      </c>
      <c r="G492" s="21" t="s">
        <v>55</v>
      </c>
      <c r="H492" s="21" t="s">
        <v>55</v>
      </c>
      <c r="I492" s="21" t="s">
        <v>55</v>
      </c>
      <c r="J492" s="21" t="s">
        <v>55</v>
      </c>
      <c r="K492" s="21" t="s">
        <v>55</v>
      </c>
      <c r="L492" s="21" t="s">
        <v>55</v>
      </c>
      <c r="M492" s="21" t="s">
        <v>55</v>
      </c>
      <c r="N492" s="53">
        <v>46113</v>
      </c>
      <c r="O492" s="53">
        <v>46113</v>
      </c>
      <c r="P492" s="53">
        <v>46113</v>
      </c>
      <c r="Q492" s="180">
        <v>46126</v>
      </c>
      <c r="R492" s="180">
        <v>46127</v>
      </c>
      <c r="S492" s="21">
        <v>4</v>
      </c>
    </row>
    <row r="493" spans="1:19" x14ac:dyDescent="0.25">
      <c r="A493" s="403" t="str">
        <f t="shared" si="26"/>
        <v>46107460780000-00-0046120461200000-00-000000-00-000000-00-000000-00-000000-00-000000-00-000000-00-0046127461274612746132461394</v>
      </c>
      <c r="B493" s="116">
        <v>46107</v>
      </c>
      <c r="C493" s="180">
        <v>46078</v>
      </c>
      <c r="D493" s="21" t="s">
        <v>55</v>
      </c>
      <c r="E493" s="53">
        <v>46120</v>
      </c>
      <c r="F493" s="53">
        <v>46120</v>
      </c>
      <c r="G493" s="21" t="s">
        <v>55</v>
      </c>
      <c r="H493" s="21" t="s">
        <v>55</v>
      </c>
      <c r="I493" s="21" t="s">
        <v>55</v>
      </c>
      <c r="J493" s="21" t="s">
        <v>55</v>
      </c>
      <c r="K493" s="21" t="s">
        <v>55</v>
      </c>
      <c r="L493" s="21" t="s">
        <v>55</v>
      </c>
      <c r="M493" s="21" t="s">
        <v>55</v>
      </c>
      <c r="N493" s="53">
        <v>46127</v>
      </c>
      <c r="O493" s="53">
        <v>46127</v>
      </c>
      <c r="P493" s="53">
        <v>46127</v>
      </c>
      <c r="Q493" s="53">
        <v>46132</v>
      </c>
      <c r="R493" s="53">
        <v>46139</v>
      </c>
      <c r="S493" s="21">
        <v>4</v>
      </c>
    </row>
    <row r="494" spans="1:19" x14ac:dyDescent="0.25">
      <c r="A494" s="403" t="str">
        <f t="shared" si="26"/>
        <v>46078460780000-00-0046086460860000-00-0046078460860000-00-000000-00-000000-00-004609346106461134611346122461274</v>
      </c>
      <c r="B494" s="180">
        <v>46078</v>
      </c>
      <c r="C494" s="180">
        <v>46078</v>
      </c>
      <c r="D494" s="33" t="s">
        <v>55</v>
      </c>
      <c r="E494" s="196">
        <v>46086</v>
      </c>
      <c r="F494" s="196">
        <v>46086</v>
      </c>
      <c r="G494" s="168" t="s">
        <v>55</v>
      </c>
      <c r="H494" s="196">
        <v>46078</v>
      </c>
      <c r="I494" s="196">
        <v>46086</v>
      </c>
      <c r="J494" s="33" t="s">
        <v>55</v>
      </c>
      <c r="K494" s="33" t="s">
        <v>55</v>
      </c>
      <c r="L494" s="33" t="s">
        <v>55</v>
      </c>
      <c r="M494" s="196">
        <v>46093</v>
      </c>
      <c r="N494" s="53">
        <v>46106</v>
      </c>
      <c r="O494" s="28">
        <v>46113</v>
      </c>
      <c r="P494" s="28">
        <v>46113</v>
      </c>
      <c r="Q494" s="28">
        <v>46122</v>
      </c>
      <c r="R494" s="180">
        <v>46127</v>
      </c>
      <c r="S494" s="33">
        <f>MONTH(R494)</f>
        <v>4</v>
      </c>
    </row>
    <row r="495" spans="1:19" x14ac:dyDescent="0.25">
      <c r="A495" s="403" t="str">
        <f t="shared" si="26"/>
        <v>46084460790000-00-000000-00-000000-00-000000-00-000000-00-000000-00-000000-00-000000-00-000000-00-000000-00-0046090461014610546111461184</v>
      </c>
      <c r="B495" s="116">
        <v>46084</v>
      </c>
      <c r="C495" s="116">
        <v>46079</v>
      </c>
      <c r="D495" s="33" t="s">
        <v>55</v>
      </c>
      <c r="E495" s="33" t="s">
        <v>55</v>
      </c>
      <c r="F495" s="33" t="s">
        <v>55</v>
      </c>
      <c r="G495" s="33" t="s">
        <v>55</v>
      </c>
      <c r="H495" s="33" t="s">
        <v>55</v>
      </c>
      <c r="I495" s="33" t="s">
        <v>55</v>
      </c>
      <c r="J495" s="33" t="s">
        <v>55</v>
      </c>
      <c r="K495" s="33" t="s">
        <v>55</v>
      </c>
      <c r="L495" s="33" t="s">
        <v>55</v>
      </c>
      <c r="M495" s="33" t="s">
        <v>55</v>
      </c>
      <c r="N495" s="38">
        <v>46090</v>
      </c>
      <c r="O495" s="180">
        <v>46101</v>
      </c>
      <c r="P495" s="180">
        <v>46105</v>
      </c>
      <c r="Q495" s="53">
        <v>46111</v>
      </c>
      <c r="R495" s="53">
        <v>46118</v>
      </c>
      <c r="S495" s="33">
        <f>MONTH(R495)</f>
        <v>4</v>
      </c>
    </row>
    <row r="496" spans="1:19" x14ac:dyDescent="0.25">
      <c r="A496" s="403" t="str">
        <f t="shared" si="26"/>
        <v>46100460790000-00-000000-00-000000-00-000000-00-000000-00-000000-00-000000-00-000000-00-000000-00-000000-00-0046106461064610646113461184</v>
      </c>
      <c r="B496" s="16">
        <v>46100</v>
      </c>
      <c r="C496" s="116">
        <v>46079</v>
      </c>
      <c r="D496" s="33" t="s">
        <v>55</v>
      </c>
      <c r="E496" s="33" t="s">
        <v>55</v>
      </c>
      <c r="F496" s="33" t="s">
        <v>55</v>
      </c>
      <c r="G496" s="33" t="s">
        <v>55</v>
      </c>
      <c r="H496" s="33" t="s">
        <v>55</v>
      </c>
      <c r="I496" s="33" t="s">
        <v>55</v>
      </c>
      <c r="J496" s="33" t="s">
        <v>55</v>
      </c>
      <c r="K496" s="33" t="s">
        <v>55</v>
      </c>
      <c r="L496" s="33" t="s">
        <v>55</v>
      </c>
      <c r="M496" s="33" t="s">
        <v>55</v>
      </c>
      <c r="N496" s="53">
        <v>46106</v>
      </c>
      <c r="O496" s="53">
        <v>46106</v>
      </c>
      <c r="P496" s="53">
        <v>46106</v>
      </c>
      <c r="Q496" s="28">
        <v>46113</v>
      </c>
      <c r="R496" s="53">
        <v>46118</v>
      </c>
      <c r="S496" s="33">
        <f>MONTH(R496)</f>
        <v>4</v>
      </c>
    </row>
    <row r="497" spans="1:19" x14ac:dyDescent="0.25">
      <c r="A497" s="403" t="str">
        <f t="shared" si="26"/>
        <v>46085460800000-00-000000-00-000000-00-000000-00-000000-00-000000-00-000000-00-000000-00-000000-00-000000-00-0046092460924609246111461184</v>
      </c>
      <c r="B497" s="38">
        <v>46085</v>
      </c>
      <c r="C497" s="38">
        <v>46080</v>
      </c>
      <c r="D497" s="33" t="s">
        <v>55</v>
      </c>
      <c r="E497" s="33" t="s">
        <v>55</v>
      </c>
      <c r="F497" s="33" t="s">
        <v>55</v>
      </c>
      <c r="G497" s="33" t="s">
        <v>55</v>
      </c>
      <c r="H497" s="33" t="s">
        <v>55</v>
      </c>
      <c r="I497" s="33" t="s">
        <v>55</v>
      </c>
      <c r="J497" s="33" t="s">
        <v>55</v>
      </c>
      <c r="K497" s="33" t="s">
        <v>55</v>
      </c>
      <c r="L497" s="33" t="s">
        <v>55</v>
      </c>
      <c r="M497" s="33" t="s">
        <v>55</v>
      </c>
      <c r="N497" s="16">
        <v>46092</v>
      </c>
      <c r="O497" s="28">
        <v>46092</v>
      </c>
      <c r="P497" s="28">
        <v>46092</v>
      </c>
      <c r="Q497" s="53">
        <v>46111</v>
      </c>
      <c r="R497" s="53">
        <v>46118</v>
      </c>
      <c r="S497" s="33">
        <v>4</v>
      </c>
    </row>
    <row r="498" spans="1:19" x14ac:dyDescent="0.25">
      <c r="A498" s="403" t="str">
        <f t="shared" si="26"/>
        <v>46080460800000-00-0046092460970000-00-000000-00-000000-00-000000-00-000000-00-000000-00-000000-00-0046097460974610246112461184</v>
      </c>
      <c r="B498" s="53">
        <v>46080</v>
      </c>
      <c r="C498" s="53">
        <v>46080</v>
      </c>
      <c r="D498" s="21" t="s">
        <v>55</v>
      </c>
      <c r="E498" s="53">
        <v>46092</v>
      </c>
      <c r="F498" s="53">
        <v>46097</v>
      </c>
      <c r="G498" s="21" t="s">
        <v>55</v>
      </c>
      <c r="H498" s="21" t="s">
        <v>55</v>
      </c>
      <c r="I498" s="21" t="s">
        <v>55</v>
      </c>
      <c r="J498" s="21" t="s">
        <v>55</v>
      </c>
      <c r="K498" s="21" t="s">
        <v>55</v>
      </c>
      <c r="L498" s="21" t="s">
        <v>55</v>
      </c>
      <c r="M498" s="21" t="s">
        <v>55</v>
      </c>
      <c r="N498" s="53">
        <v>46097</v>
      </c>
      <c r="O498" s="53">
        <v>46097</v>
      </c>
      <c r="P498" s="53">
        <v>46102</v>
      </c>
      <c r="Q498" s="28">
        <v>46112</v>
      </c>
      <c r="R498" s="53">
        <v>46118</v>
      </c>
      <c r="S498" s="21">
        <v>4</v>
      </c>
    </row>
    <row r="499" spans="1:19" x14ac:dyDescent="0.25">
      <c r="A499" s="403" t="str">
        <f t="shared" si="26"/>
        <v>46080460800000-00-0046092460920000-00-000000-00-000000-00-000000-00-000000-00-000000-00-000000-00-0046106461064610746127461274</v>
      </c>
      <c r="B499" s="28">
        <v>46080</v>
      </c>
      <c r="C499" s="28">
        <v>46080</v>
      </c>
      <c r="D499" s="33" t="s">
        <v>55</v>
      </c>
      <c r="E499" s="28">
        <v>46092</v>
      </c>
      <c r="F499" s="28">
        <v>46092</v>
      </c>
      <c r="G499" s="33" t="s">
        <v>55</v>
      </c>
      <c r="H499" s="33" t="s">
        <v>55</v>
      </c>
      <c r="I499" s="33" t="s">
        <v>55</v>
      </c>
      <c r="J499" s="33" t="s">
        <v>55</v>
      </c>
      <c r="K499" s="33" t="s">
        <v>55</v>
      </c>
      <c r="L499" s="33" t="s">
        <v>55</v>
      </c>
      <c r="M499" s="21" t="s">
        <v>55</v>
      </c>
      <c r="N499" s="53">
        <v>46106</v>
      </c>
      <c r="O499" s="53">
        <v>46106</v>
      </c>
      <c r="P499" s="28">
        <v>46107</v>
      </c>
      <c r="Q499" s="28">
        <v>46127</v>
      </c>
      <c r="R499" s="180">
        <v>46127</v>
      </c>
      <c r="S499" s="21">
        <v>4</v>
      </c>
    </row>
    <row r="500" spans="1:19" x14ac:dyDescent="0.25">
      <c r="A500" s="403" t="str">
        <f t="shared" si="26"/>
        <v>46083460830000-00-0046090460910000-00-000000-00-000000-00-000000-00-000000-00-000000-00-000000-00-0046097460974610046112461184</v>
      </c>
      <c r="B500" s="116">
        <v>46083</v>
      </c>
      <c r="C500" s="116">
        <v>46083</v>
      </c>
      <c r="D500" s="33" t="s">
        <v>55</v>
      </c>
      <c r="E500" s="16">
        <v>46090</v>
      </c>
      <c r="F500" s="53">
        <v>46091</v>
      </c>
      <c r="G500" s="33" t="s">
        <v>55</v>
      </c>
      <c r="H500" s="33" t="s">
        <v>55</v>
      </c>
      <c r="I500" s="33" t="s">
        <v>55</v>
      </c>
      <c r="J500" s="33" t="s">
        <v>55</v>
      </c>
      <c r="K500" s="33" t="s">
        <v>55</v>
      </c>
      <c r="L500" s="33" t="s">
        <v>55</v>
      </c>
      <c r="M500" s="21" t="s">
        <v>55</v>
      </c>
      <c r="N500" s="53">
        <v>46097</v>
      </c>
      <c r="O500" s="53">
        <v>46097</v>
      </c>
      <c r="P500" s="28">
        <v>46100</v>
      </c>
      <c r="Q500" s="28">
        <v>46112</v>
      </c>
      <c r="R500" s="53">
        <v>46118</v>
      </c>
      <c r="S500" s="33">
        <v>4</v>
      </c>
    </row>
    <row r="501" spans="1:19" x14ac:dyDescent="0.25">
      <c r="A501" s="403" t="str">
        <f t="shared" si="26"/>
        <v>46083460830000-00-0046090460980000-00-000000-00-000000-00-000000-00-000000-00-000000-00-000000-00-0046101461014610546113461184</v>
      </c>
      <c r="B501" s="116">
        <v>46083</v>
      </c>
      <c r="C501" s="116">
        <v>46083</v>
      </c>
      <c r="D501" s="33" t="s">
        <v>55</v>
      </c>
      <c r="E501" s="28">
        <v>46090</v>
      </c>
      <c r="F501" s="28">
        <v>46098</v>
      </c>
      <c r="G501" s="33" t="s">
        <v>55</v>
      </c>
      <c r="H501" s="33" t="s">
        <v>55</v>
      </c>
      <c r="I501" s="33" t="s">
        <v>55</v>
      </c>
      <c r="J501" s="33" t="s">
        <v>55</v>
      </c>
      <c r="K501" s="33" t="s">
        <v>55</v>
      </c>
      <c r="L501" s="33" t="s">
        <v>55</v>
      </c>
      <c r="M501" s="21" t="s">
        <v>55</v>
      </c>
      <c r="N501" s="38">
        <v>46101</v>
      </c>
      <c r="O501" s="38">
        <v>46101</v>
      </c>
      <c r="P501" s="180">
        <v>46105</v>
      </c>
      <c r="Q501" s="28">
        <v>46113</v>
      </c>
      <c r="R501" s="53">
        <v>46118</v>
      </c>
      <c r="S501" s="33">
        <f>MONTH(R501)</f>
        <v>4</v>
      </c>
    </row>
    <row r="502" spans="1:19" x14ac:dyDescent="0.25">
      <c r="A502" s="403" t="str">
        <f t="shared" si="26"/>
        <v>46107460830000-00-0046108461080000-00-000000-00-000000-00-000000-00-000000-00-000000-00-000000-00-0046112461274612746139461394</v>
      </c>
      <c r="B502" s="28">
        <v>46107</v>
      </c>
      <c r="C502" s="28">
        <v>46083</v>
      </c>
      <c r="D502" s="33" t="s">
        <v>55</v>
      </c>
      <c r="E502" s="16">
        <v>46108</v>
      </c>
      <c r="F502" s="16">
        <v>46108</v>
      </c>
      <c r="G502" s="33" t="s">
        <v>55</v>
      </c>
      <c r="H502" s="33" t="s">
        <v>55</v>
      </c>
      <c r="I502" s="33" t="s">
        <v>55</v>
      </c>
      <c r="J502" s="33" t="s">
        <v>55</v>
      </c>
      <c r="K502" s="33" t="s">
        <v>55</v>
      </c>
      <c r="L502" s="33" t="s">
        <v>55</v>
      </c>
      <c r="M502" s="21" t="s">
        <v>55</v>
      </c>
      <c r="N502" s="28">
        <v>46112</v>
      </c>
      <c r="O502" s="28">
        <v>46127</v>
      </c>
      <c r="P502" s="28">
        <v>46127</v>
      </c>
      <c r="Q502" s="28">
        <v>46139</v>
      </c>
      <c r="R502" s="53">
        <v>46139</v>
      </c>
      <c r="S502" s="21">
        <v>4</v>
      </c>
    </row>
    <row r="503" spans="1:19" x14ac:dyDescent="0.25">
      <c r="A503" s="403" t="str">
        <f t="shared" si="26"/>
        <v>46083460830000-00-0046085460860000-00-000000-00-000000-00-000000-00-000000-00-000000-00-000000-00-0046091460934609746113461184</v>
      </c>
      <c r="B503" s="53">
        <v>46083</v>
      </c>
      <c r="C503" s="53">
        <v>46083</v>
      </c>
      <c r="D503" s="21" t="s">
        <v>55</v>
      </c>
      <c r="E503" s="53">
        <v>46085</v>
      </c>
      <c r="F503" s="53">
        <v>46086</v>
      </c>
      <c r="G503" s="21" t="s">
        <v>55</v>
      </c>
      <c r="H503" s="21" t="s">
        <v>55</v>
      </c>
      <c r="I503" s="21" t="s">
        <v>55</v>
      </c>
      <c r="J503" s="21" t="s">
        <v>55</v>
      </c>
      <c r="K503" s="21" t="s">
        <v>55</v>
      </c>
      <c r="L503" s="21" t="s">
        <v>55</v>
      </c>
      <c r="M503" s="21" t="s">
        <v>55</v>
      </c>
      <c r="N503" s="53">
        <v>46091</v>
      </c>
      <c r="O503" s="53">
        <v>46093</v>
      </c>
      <c r="P503" s="53">
        <v>46097</v>
      </c>
      <c r="Q503" s="53">
        <v>46113</v>
      </c>
      <c r="R503" s="53">
        <v>46118</v>
      </c>
      <c r="S503" s="21">
        <v>4</v>
      </c>
    </row>
    <row r="504" spans="1:19" x14ac:dyDescent="0.25">
      <c r="A504" s="403" t="str">
        <f t="shared" si="26"/>
        <v>46084460830000-00-0046098460980000-00-0046091460970000-00-000000-00-000000-00-000000-00-0046120461204612046126461274</v>
      </c>
      <c r="B504" s="116">
        <v>46084</v>
      </c>
      <c r="C504" s="116">
        <v>46083</v>
      </c>
      <c r="D504" s="33" t="s">
        <v>55</v>
      </c>
      <c r="E504" s="53">
        <v>46098</v>
      </c>
      <c r="F504" s="53">
        <v>46098</v>
      </c>
      <c r="G504" s="33" t="s">
        <v>55</v>
      </c>
      <c r="H504" s="28">
        <v>46091</v>
      </c>
      <c r="I504" s="28">
        <v>46097</v>
      </c>
      <c r="J504" s="33" t="s">
        <v>55</v>
      </c>
      <c r="K504" s="33" t="s">
        <v>55</v>
      </c>
      <c r="L504" s="33" t="s">
        <v>55</v>
      </c>
      <c r="M504" s="33" t="s">
        <v>55</v>
      </c>
      <c r="N504" s="28">
        <v>46120</v>
      </c>
      <c r="O504" s="28">
        <v>46120</v>
      </c>
      <c r="P504" s="28">
        <v>46120</v>
      </c>
      <c r="Q504" s="180">
        <v>46126</v>
      </c>
      <c r="R504" s="180">
        <v>46127</v>
      </c>
      <c r="S504" s="33">
        <v>4</v>
      </c>
    </row>
    <row r="505" spans="1:19" x14ac:dyDescent="0.25">
      <c r="A505" s="403" t="str">
        <f t="shared" si="26"/>
        <v>46094460830000-00-000000-00-000000-00-000000-00-000000-00-000000-00-000000-00-000000-00-000000-00-000000-00-0046100461054610646113461184</v>
      </c>
      <c r="B505" s="116">
        <v>46094</v>
      </c>
      <c r="C505" s="116">
        <v>46083</v>
      </c>
      <c r="D505" s="33" t="s">
        <v>55</v>
      </c>
      <c r="E505" s="33" t="s">
        <v>55</v>
      </c>
      <c r="F505" s="33" t="s">
        <v>55</v>
      </c>
      <c r="G505" s="33" t="s">
        <v>55</v>
      </c>
      <c r="H505" s="33" t="s">
        <v>55</v>
      </c>
      <c r="I505" s="33" t="s">
        <v>55</v>
      </c>
      <c r="J505" s="33" t="s">
        <v>55</v>
      </c>
      <c r="K505" s="33" t="s">
        <v>55</v>
      </c>
      <c r="L505" s="33" t="s">
        <v>55</v>
      </c>
      <c r="M505" s="33" t="s">
        <v>55</v>
      </c>
      <c r="N505" s="38">
        <v>46100</v>
      </c>
      <c r="O505" s="180">
        <v>46105</v>
      </c>
      <c r="P505" s="28">
        <v>46106</v>
      </c>
      <c r="Q505" s="28">
        <v>46113</v>
      </c>
      <c r="R505" s="53">
        <v>46118</v>
      </c>
      <c r="S505" s="33">
        <f>MONTH(R505)</f>
        <v>4</v>
      </c>
    </row>
    <row r="506" spans="1:19" x14ac:dyDescent="0.25">
      <c r="A506" s="403" t="str">
        <f t="shared" si="26"/>
        <v>46098460830000-00-000000-00-000000-00-000000-00-000000-00-000000-00-000000-00-000000-00-000000-00-000000-00-0046104461054610646125461274</v>
      </c>
      <c r="B506" s="116">
        <v>46098</v>
      </c>
      <c r="C506" s="116">
        <v>46083</v>
      </c>
      <c r="D506" s="33" t="s">
        <v>55</v>
      </c>
      <c r="E506" s="33" t="s">
        <v>55</v>
      </c>
      <c r="F506" s="33" t="s">
        <v>55</v>
      </c>
      <c r="G506" s="33" t="s">
        <v>55</v>
      </c>
      <c r="H506" s="33" t="s">
        <v>55</v>
      </c>
      <c r="I506" s="33" t="s">
        <v>55</v>
      </c>
      <c r="J506" s="33" t="s">
        <v>55</v>
      </c>
      <c r="K506" s="33" t="s">
        <v>55</v>
      </c>
      <c r="L506" s="33" t="s">
        <v>55</v>
      </c>
      <c r="M506" s="33" t="s">
        <v>55</v>
      </c>
      <c r="N506" s="38">
        <v>46104</v>
      </c>
      <c r="O506" s="180">
        <v>46105</v>
      </c>
      <c r="P506" s="38">
        <v>46106</v>
      </c>
      <c r="Q506" s="53">
        <v>46125</v>
      </c>
      <c r="R506" s="180">
        <v>46127</v>
      </c>
      <c r="S506" s="33">
        <f>MONTH(R506)</f>
        <v>4</v>
      </c>
    </row>
    <row r="507" spans="1:19" x14ac:dyDescent="0.25">
      <c r="A507" s="403" t="str">
        <f t="shared" si="26"/>
        <v>46083460830000-00-0046091460910000-00-000000-00-000000-00-000000-00-000000-00-000000-00-000000-00-0046097460974609746106461184</v>
      </c>
      <c r="B507" s="53">
        <v>46083</v>
      </c>
      <c r="C507" s="53">
        <v>46083</v>
      </c>
      <c r="D507" s="21" t="s">
        <v>55</v>
      </c>
      <c r="E507" s="53">
        <v>46091</v>
      </c>
      <c r="F507" s="53">
        <v>46091</v>
      </c>
      <c r="G507" s="21" t="s">
        <v>55</v>
      </c>
      <c r="H507" s="21" t="s">
        <v>55</v>
      </c>
      <c r="I507" s="21" t="s">
        <v>55</v>
      </c>
      <c r="J507" s="21" t="s">
        <v>55</v>
      </c>
      <c r="K507" s="21" t="s">
        <v>55</v>
      </c>
      <c r="L507" s="21" t="s">
        <v>55</v>
      </c>
      <c r="M507" s="21" t="s">
        <v>55</v>
      </c>
      <c r="N507" s="53">
        <v>46097</v>
      </c>
      <c r="O507" s="53">
        <v>46097</v>
      </c>
      <c r="P507" s="53">
        <v>46097</v>
      </c>
      <c r="Q507" s="53">
        <v>46106</v>
      </c>
      <c r="R507" s="53">
        <v>46118</v>
      </c>
      <c r="S507" s="21">
        <v>4</v>
      </c>
    </row>
    <row r="508" spans="1:19" x14ac:dyDescent="0.25">
      <c r="A508" s="403" t="str">
        <f t="shared" si="26"/>
        <v>46083460830000-00-0046094460940000-00-000000-00-000000-00-000000-00-000000-00-000000-00-000000-00-0046099461054610546111461184</v>
      </c>
      <c r="B508" s="53">
        <v>46083</v>
      </c>
      <c r="C508" s="53">
        <v>46083</v>
      </c>
      <c r="D508" s="21" t="s">
        <v>55</v>
      </c>
      <c r="E508" s="53">
        <v>46094</v>
      </c>
      <c r="F508" s="53">
        <v>46094</v>
      </c>
      <c r="G508" s="21" t="s">
        <v>55</v>
      </c>
      <c r="H508" s="21" t="s">
        <v>55</v>
      </c>
      <c r="I508" s="21" t="s">
        <v>55</v>
      </c>
      <c r="J508" s="21" t="s">
        <v>55</v>
      </c>
      <c r="K508" s="21" t="s">
        <v>55</v>
      </c>
      <c r="L508" s="21" t="s">
        <v>55</v>
      </c>
      <c r="M508" s="21" t="s">
        <v>55</v>
      </c>
      <c r="N508" s="53">
        <v>46099</v>
      </c>
      <c r="O508" s="53">
        <v>46105</v>
      </c>
      <c r="P508" s="180">
        <v>46105</v>
      </c>
      <c r="Q508" s="53">
        <v>46111</v>
      </c>
      <c r="R508" s="53">
        <v>46118</v>
      </c>
      <c r="S508" s="21">
        <v>4</v>
      </c>
    </row>
    <row r="509" spans="1:19" x14ac:dyDescent="0.25">
      <c r="A509" s="403" t="str">
        <f t="shared" si="26"/>
        <v>46084460840000-00-0046112461120000-00-000000-00-000000-00-000000-00-000000-00-000000-00-000000-00-0046120461320000-00-00461320000-00-004</v>
      </c>
      <c r="B509" s="28">
        <v>46084</v>
      </c>
      <c r="C509" s="28">
        <v>46084</v>
      </c>
      <c r="D509" s="33" t="s">
        <v>55</v>
      </c>
      <c r="E509" s="28">
        <v>46112</v>
      </c>
      <c r="F509" s="28">
        <v>46112</v>
      </c>
      <c r="G509" s="33" t="s">
        <v>55</v>
      </c>
      <c r="H509" s="33" t="s">
        <v>55</v>
      </c>
      <c r="I509" s="33" t="s">
        <v>55</v>
      </c>
      <c r="J509" s="33" t="s">
        <v>55</v>
      </c>
      <c r="K509" s="33" t="s">
        <v>55</v>
      </c>
      <c r="L509" s="33" t="s">
        <v>55</v>
      </c>
      <c r="M509" s="21" t="s">
        <v>55</v>
      </c>
      <c r="N509" s="28">
        <v>46120</v>
      </c>
      <c r="O509" s="28">
        <v>46132</v>
      </c>
      <c r="P509" s="28" t="s">
        <v>55</v>
      </c>
      <c r="Q509" s="28">
        <v>46132</v>
      </c>
      <c r="R509" s="28" t="s">
        <v>55</v>
      </c>
      <c r="S509" s="21">
        <v>4</v>
      </c>
    </row>
    <row r="510" spans="1:19" x14ac:dyDescent="0.25">
      <c r="A510" s="403" t="str">
        <f t="shared" si="26"/>
        <v>46084460840000-00-0046106461060000-00-000000-00-000000-00-000000-00-000000-00-000000-00-000000-00-0046113461134611346126461274</v>
      </c>
      <c r="B510" s="116">
        <v>46084</v>
      </c>
      <c r="C510" s="116">
        <v>46084</v>
      </c>
      <c r="D510" s="33" t="s">
        <v>55</v>
      </c>
      <c r="E510" s="28">
        <v>46106</v>
      </c>
      <c r="F510" s="28">
        <v>46106</v>
      </c>
      <c r="G510" s="33" t="s">
        <v>55</v>
      </c>
      <c r="H510" s="33" t="s">
        <v>55</v>
      </c>
      <c r="I510" s="33" t="s">
        <v>55</v>
      </c>
      <c r="J510" s="33" t="s">
        <v>55</v>
      </c>
      <c r="K510" s="33" t="s">
        <v>55</v>
      </c>
      <c r="L510" s="33" t="s">
        <v>55</v>
      </c>
      <c r="M510" s="21" t="s">
        <v>55</v>
      </c>
      <c r="N510" s="28">
        <v>46113</v>
      </c>
      <c r="O510" s="28">
        <v>46113</v>
      </c>
      <c r="P510" s="28">
        <v>46113</v>
      </c>
      <c r="Q510" s="180">
        <v>46126</v>
      </c>
      <c r="R510" s="180">
        <v>46127</v>
      </c>
      <c r="S510" s="33">
        <f>MONTH(R510)</f>
        <v>4</v>
      </c>
    </row>
    <row r="511" spans="1:19" x14ac:dyDescent="0.25">
      <c r="A511" s="403" t="str">
        <f t="shared" si="26"/>
        <v>46084460840000-00-0046090460930000-00-000000-00-000000-00-000000-00-000000-00-000000-00-000000-00-0046101461054610546120461274</v>
      </c>
      <c r="B511" s="116">
        <v>46084</v>
      </c>
      <c r="C511" s="116">
        <v>46084</v>
      </c>
      <c r="D511" s="33" t="s">
        <v>55</v>
      </c>
      <c r="E511" s="28">
        <v>46090</v>
      </c>
      <c r="F511" s="196">
        <v>46093</v>
      </c>
      <c r="G511" s="33" t="s">
        <v>55</v>
      </c>
      <c r="H511" s="33" t="s">
        <v>55</v>
      </c>
      <c r="I511" s="33" t="s">
        <v>55</v>
      </c>
      <c r="J511" s="33" t="s">
        <v>55</v>
      </c>
      <c r="K511" s="33" t="s">
        <v>55</v>
      </c>
      <c r="L511" s="33" t="s">
        <v>55</v>
      </c>
      <c r="M511" s="21" t="s">
        <v>55</v>
      </c>
      <c r="N511" s="38">
        <v>46101</v>
      </c>
      <c r="O511" s="180">
        <v>46105</v>
      </c>
      <c r="P511" s="180">
        <v>46105</v>
      </c>
      <c r="Q511" s="28">
        <v>46120</v>
      </c>
      <c r="R511" s="180">
        <v>46127</v>
      </c>
      <c r="S511" s="33">
        <f>MONTH(R511)</f>
        <v>4</v>
      </c>
    </row>
    <row r="512" spans="1:19" x14ac:dyDescent="0.25">
      <c r="A512" s="403" t="str">
        <f t="shared" si="26"/>
        <v>46085460850000-00-0046098460980000-00-000000-00-000000-00-000000-00-000000-00-000000-00-000000-00-0046119461194611946127461274</v>
      </c>
      <c r="B512" s="28">
        <v>46085</v>
      </c>
      <c r="C512" s="28">
        <v>46085</v>
      </c>
      <c r="D512" s="33" t="s">
        <v>55</v>
      </c>
      <c r="E512" s="53">
        <v>46098</v>
      </c>
      <c r="F512" s="53">
        <v>46098</v>
      </c>
      <c r="G512" s="33" t="s">
        <v>55</v>
      </c>
      <c r="H512" s="33" t="s">
        <v>55</v>
      </c>
      <c r="I512" s="33" t="s">
        <v>55</v>
      </c>
      <c r="J512" s="33" t="s">
        <v>55</v>
      </c>
      <c r="K512" s="33" t="s">
        <v>55</v>
      </c>
      <c r="L512" s="33" t="s">
        <v>55</v>
      </c>
      <c r="M512" s="21" t="s">
        <v>55</v>
      </c>
      <c r="N512" s="28">
        <v>46119</v>
      </c>
      <c r="O512" s="28">
        <v>46119</v>
      </c>
      <c r="P512" s="28">
        <v>46119</v>
      </c>
      <c r="Q512" s="28">
        <v>46127</v>
      </c>
      <c r="R512" s="180">
        <v>46127</v>
      </c>
      <c r="S512" s="21">
        <v>4</v>
      </c>
    </row>
    <row r="513" spans="1:19" x14ac:dyDescent="0.25">
      <c r="A513" s="403" t="str">
        <f t="shared" si="26"/>
        <v>46085460850000-00-0046090460900000-00-000000-00-000000-00-000000-00-000000-00-000000-00-000000-00-0046105461054610546112461184</v>
      </c>
      <c r="B513" s="28">
        <v>46085</v>
      </c>
      <c r="C513" s="28">
        <v>46085</v>
      </c>
      <c r="D513" s="33" t="s">
        <v>55</v>
      </c>
      <c r="E513" s="28">
        <v>46090</v>
      </c>
      <c r="F513" s="28">
        <v>46090</v>
      </c>
      <c r="G513" s="33" t="s">
        <v>55</v>
      </c>
      <c r="H513" s="33" t="s">
        <v>55</v>
      </c>
      <c r="I513" s="33" t="s">
        <v>55</v>
      </c>
      <c r="J513" s="33" t="s">
        <v>55</v>
      </c>
      <c r="K513" s="33" t="s">
        <v>55</v>
      </c>
      <c r="L513" s="33" t="s">
        <v>55</v>
      </c>
      <c r="M513" s="21" t="s">
        <v>55</v>
      </c>
      <c r="N513" s="38">
        <v>46105</v>
      </c>
      <c r="O513" s="38">
        <v>46105</v>
      </c>
      <c r="P513" s="180">
        <v>46105</v>
      </c>
      <c r="Q513" s="28">
        <v>46112</v>
      </c>
      <c r="R513" s="53">
        <v>46118</v>
      </c>
      <c r="S513" s="21">
        <v>4</v>
      </c>
    </row>
    <row r="514" spans="1:19" x14ac:dyDescent="0.25">
      <c r="A514" s="403" t="str">
        <f t="shared" ref="A514:A577" si="29">+B514&amp;C514&amp;D514&amp;E514&amp;F514&amp;G514&amp;H514&amp;I514&amp;J514&amp;K514&amp;L514&amp;M514&amp;N514&amp;O514&amp;P514&amp;Q514&amp;R514&amp;S514</f>
        <v>46085460850000-00-0046121461210000-00-000000-00-000000-00-000000-00-000000-00-000000-00-000000-00-0046127461274612746133461394</v>
      </c>
      <c r="B514" s="53">
        <v>46085</v>
      </c>
      <c r="C514" s="53">
        <v>46085</v>
      </c>
      <c r="D514" s="21" t="s">
        <v>55</v>
      </c>
      <c r="E514" s="53">
        <v>46121</v>
      </c>
      <c r="F514" s="53">
        <v>46121</v>
      </c>
      <c r="G514" s="21" t="s">
        <v>55</v>
      </c>
      <c r="H514" s="21" t="s">
        <v>55</v>
      </c>
      <c r="I514" s="21" t="s">
        <v>55</v>
      </c>
      <c r="J514" s="21" t="s">
        <v>55</v>
      </c>
      <c r="K514" s="21" t="s">
        <v>55</v>
      </c>
      <c r="L514" s="21" t="s">
        <v>55</v>
      </c>
      <c r="M514" s="21" t="s">
        <v>55</v>
      </c>
      <c r="N514" s="53">
        <v>46127</v>
      </c>
      <c r="O514" s="53">
        <v>46127</v>
      </c>
      <c r="P514" s="53">
        <v>46127</v>
      </c>
      <c r="Q514" s="53">
        <v>46133</v>
      </c>
      <c r="R514" s="53">
        <v>46139</v>
      </c>
      <c r="S514" s="21">
        <v>4</v>
      </c>
    </row>
    <row r="515" spans="1:19" x14ac:dyDescent="0.25">
      <c r="A515" s="403" t="str">
        <f t="shared" si="29"/>
        <v>46085460850000-00-0046090461060000-00-000000-00-000000-00-000000-00-000000-00-000000-00-000000-00-0046112461124611246126461274</v>
      </c>
      <c r="B515" s="28">
        <v>46085</v>
      </c>
      <c r="C515" s="28">
        <v>46085</v>
      </c>
      <c r="D515" s="33" t="s">
        <v>55</v>
      </c>
      <c r="E515" s="28">
        <v>46090</v>
      </c>
      <c r="F515" s="28">
        <v>46106</v>
      </c>
      <c r="G515" s="33" t="s">
        <v>55</v>
      </c>
      <c r="H515" s="33" t="s">
        <v>55</v>
      </c>
      <c r="I515" s="33" t="s">
        <v>55</v>
      </c>
      <c r="J515" s="33" t="s">
        <v>55</v>
      </c>
      <c r="K515" s="33" t="s">
        <v>55</v>
      </c>
      <c r="L515" s="33" t="s">
        <v>55</v>
      </c>
      <c r="M515" s="21" t="s">
        <v>55</v>
      </c>
      <c r="N515" s="28">
        <v>46112</v>
      </c>
      <c r="O515" s="28">
        <v>46112</v>
      </c>
      <c r="P515" s="28">
        <v>46112</v>
      </c>
      <c r="Q515" s="180">
        <v>46126</v>
      </c>
      <c r="R515" s="180">
        <v>46127</v>
      </c>
      <c r="S515" s="33">
        <v>4</v>
      </c>
    </row>
    <row r="516" spans="1:19" x14ac:dyDescent="0.25">
      <c r="A516" s="403" t="str">
        <f t="shared" si="29"/>
        <v>46101460850000-00-0046105461050000-00-000000-00-000000-00-000000-00-000000-00-000000-00-000000-00-0046112461124611346127461274</v>
      </c>
      <c r="B516" s="28">
        <v>46101</v>
      </c>
      <c r="C516" s="28">
        <v>46085</v>
      </c>
      <c r="D516" s="33" t="s">
        <v>55</v>
      </c>
      <c r="E516" s="16">
        <v>46105</v>
      </c>
      <c r="F516" s="16">
        <v>46105</v>
      </c>
      <c r="G516" s="33" t="s">
        <v>55</v>
      </c>
      <c r="H516" s="33" t="s">
        <v>55</v>
      </c>
      <c r="I516" s="33" t="s">
        <v>55</v>
      </c>
      <c r="J516" s="33" t="s">
        <v>55</v>
      </c>
      <c r="K516" s="33" t="s">
        <v>55</v>
      </c>
      <c r="L516" s="33" t="s">
        <v>55</v>
      </c>
      <c r="M516" s="21" t="s">
        <v>55</v>
      </c>
      <c r="N516" s="28">
        <v>46112</v>
      </c>
      <c r="O516" s="28">
        <v>46112</v>
      </c>
      <c r="P516" s="28">
        <v>46113</v>
      </c>
      <c r="Q516" s="28">
        <v>46127</v>
      </c>
      <c r="R516" s="180">
        <v>46127</v>
      </c>
      <c r="S516" s="21">
        <v>4</v>
      </c>
    </row>
    <row r="517" spans="1:19" x14ac:dyDescent="0.25">
      <c r="A517" s="403" t="str">
        <f t="shared" si="29"/>
        <v>46092460920000-00-000000-00-000000-00-000000-00-000000-00-000000-00-000000-00-000000-00-000000-00-000000-00-0046105461054610546111461184</v>
      </c>
      <c r="B517" s="16">
        <v>46092</v>
      </c>
      <c r="C517" s="53">
        <v>46092</v>
      </c>
      <c r="D517" s="21" t="s">
        <v>55</v>
      </c>
      <c r="E517" s="21" t="s">
        <v>55</v>
      </c>
      <c r="F517" s="21" t="s">
        <v>55</v>
      </c>
      <c r="G517" s="21" t="s">
        <v>55</v>
      </c>
      <c r="H517" s="21" t="s">
        <v>55</v>
      </c>
      <c r="I517" s="21" t="s">
        <v>55</v>
      </c>
      <c r="J517" s="21" t="s">
        <v>55</v>
      </c>
      <c r="K517" s="21" t="s">
        <v>55</v>
      </c>
      <c r="L517" s="21" t="s">
        <v>55</v>
      </c>
      <c r="M517" s="21" t="s">
        <v>55</v>
      </c>
      <c r="N517" s="38">
        <v>46105</v>
      </c>
      <c r="O517" s="38">
        <v>46105</v>
      </c>
      <c r="P517" s="180">
        <v>46105</v>
      </c>
      <c r="Q517" s="53">
        <v>46111</v>
      </c>
      <c r="R517" s="53">
        <v>46118</v>
      </c>
      <c r="S517" s="21">
        <v>4</v>
      </c>
    </row>
    <row r="518" spans="1:19" x14ac:dyDescent="0.25">
      <c r="A518" s="403" t="str">
        <f t="shared" si="29"/>
        <v>46086460860000-00-0046093460970000-00-000000-00-000000-00-000000-00-000000-00-000000-00-000000-00-0046101461054610546113461184</v>
      </c>
      <c r="B518" s="16">
        <v>46086</v>
      </c>
      <c r="C518" s="16">
        <v>46086</v>
      </c>
      <c r="D518" s="33" t="s">
        <v>55</v>
      </c>
      <c r="E518" s="28">
        <v>46093</v>
      </c>
      <c r="F518" s="28">
        <v>46097</v>
      </c>
      <c r="G518" s="33" t="s">
        <v>55</v>
      </c>
      <c r="H518" s="33" t="s">
        <v>55</v>
      </c>
      <c r="I518" s="33" t="s">
        <v>55</v>
      </c>
      <c r="J518" s="33" t="s">
        <v>55</v>
      </c>
      <c r="K518" s="33" t="s">
        <v>55</v>
      </c>
      <c r="L518" s="33" t="s">
        <v>55</v>
      </c>
      <c r="M518" s="21" t="s">
        <v>55</v>
      </c>
      <c r="N518" s="38">
        <v>46101</v>
      </c>
      <c r="O518" s="38">
        <v>46105</v>
      </c>
      <c r="P518" s="180">
        <v>46105</v>
      </c>
      <c r="Q518" s="180">
        <v>46113</v>
      </c>
      <c r="R518" s="53">
        <v>46118</v>
      </c>
      <c r="S518" s="33">
        <v>4</v>
      </c>
    </row>
    <row r="519" spans="1:19" x14ac:dyDescent="0.25">
      <c r="A519" s="403" t="str">
        <f t="shared" si="29"/>
        <v>46099460860000-00-0046105461130000-00-000000-00-000000-00-000000-00-000000-00-000000-00-000000-00-0046120461204612046132461394</v>
      </c>
      <c r="B519" s="116">
        <v>46099</v>
      </c>
      <c r="C519" s="28">
        <v>46086</v>
      </c>
      <c r="D519" s="33" t="s">
        <v>55</v>
      </c>
      <c r="E519" s="16">
        <v>46105</v>
      </c>
      <c r="F519" s="28">
        <v>46113</v>
      </c>
      <c r="G519" s="33" t="s">
        <v>55</v>
      </c>
      <c r="H519" s="33" t="s">
        <v>55</v>
      </c>
      <c r="I519" s="33" t="s">
        <v>55</v>
      </c>
      <c r="J519" s="33" t="s">
        <v>55</v>
      </c>
      <c r="K519" s="33" t="s">
        <v>55</v>
      </c>
      <c r="L519" s="33" t="s">
        <v>55</v>
      </c>
      <c r="M519" s="21" t="s">
        <v>55</v>
      </c>
      <c r="N519" s="28">
        <v>46120</v>
      </c>
      <c r="O519" s="28">
        <v>46120</v>
      </c>
      <c r="P519" s="28">
        <v>46120</v>
      </c>
      <c r="Q519" s="180">
        <v>46132</v>
      </c>
      <c r="R519" s="53">
        <v>46139</v>
      </c>
      <c r="S519" s="33">
        <v>4</v>
      </c>
    </row>
    <row r="520" spans="1:19" x14ac:dyDescent="0.25">
      <c r="A520" s="403" t="str">
        <f t="shared" si="29"/>
        <v>46076460860000-00-0046080460860000-00-000000-00-000000-00-000000-00-000000-00-000000-00-000000-00-0046092461014610546113461184</v>
      </c>
      <c r="B520" s="16">
        <v>46076</v>
      </c>
      <c r="C520" s="28">
        <v>46086</v>
      </c>
      <c r="D520" s="33" t="s">
        <v>55</v>
      </c>
      <c r="E520" s="180">
        <v>46080</v>
      </c>
      <c r="F520" s="28">
        <v>46086</v>
      </c>
      <c r="G520" s="33" t="s">
        <v>55</v>
      </c>
      <c r="H520" s="33" t="s">
        <v>55</v>
      </c>
      <c r="I520" s="33" t="s">
        <v>55</v>
      </c>
      <c r="J520" s="33" t="s">
        <v>55</v>
      </c>
      <c r="K520" s="33" t="s">
        <v>55</v>
      </c>
      <c r="L520" s="33" t="s">
        <v>55</v>
      </c>
      <c r="M520" s="21" t="s">
        <v>55</v>
      </c>
      <c r="N520" s="28">
        <v>46092</v>
      </c>
      <c r="O520" s="180">
        <v>46101</v>
      </c>
      <c r="P520" s="180">
        <v>46105</v>
      </c>
      <c r="Q520" s="16">
        <v>46113</v>
      </c>
      <c r="R520" s="53">
        <v>46118</v>
      </c>
      <c r="S520" s="33">
        <v>4</v>
      </c>
    </row>
    <row r="521" spans="1:19" x14ac:dyDescent="0.25">
      <c r="A521" s="403" t="str">
        <f t="shared" si="29"/>
        <v>46070460860000-00-0046112461180000-00-000000-00-000000-00-000000-00-000000-00-000000-00-000000-00-0046126461264612746133461394</v>
      </c>
      <c r="B521" s="28">
        <v>46070</v>
      </c>
      <c r="C521" s="28">
        <v>46086</v>
      </c>
      <c r="D521" s="33" t="s">
        <v>55</v>
      </c>
      <c r="E521" s="28">
        <v>46112</v>
      </c>
      <c r="F521" s="28">
        <v>46118</v>
      </c>
      <c r="G521" s="33" t="s">
        <v>55</v>
      </c>
      <c r="H521" s="33" t="s">
        <v>55</v>
      </c>
      <c r="I521" s="33" t="s">
        <v>55</v>
      </c>
      <c r="J521" s="33" t="s">
        <v>55</v>
      </c>
      <c r="K521" s="33" t="s">
        <v>55</v>
      </c>
      <c r="L521" s="33" t="s">
        <v>55</v>
      </c>
      <c r="M521" s="21" t="s">
        <v>55</v>
      </c>
      <c r="N521" s="28">
        <v>46126</v>
      </c>
      <c r="O521" s="16">
        <v>46126</v>
      </c>
      <c r="P521" s="16">
        <v>46127</v>
      </c>
      <c r="Q521" s="53">
        <v>46133</v>
      </c>
      <c r="R521" s="53">
        <v>46139</v>
      </c>
      <c r="S521" s="33">
        <v>4</v>
      </c>
    </row>
    <row r="522" spans="1:19" x14ac:dyDescent="0.25">
      <c r="A522" s="403" t="str">
        <f t="shared" si="29"/>
        <v>46086460860000-00-000000-00-000000-00-000000-00-000000-00-000000-00-000000-00-000000-00-000000-00-000000-00-0046106461064610646112461184</v>
      </c>
      <c r="B522" s="53">
        <v>46086</v>
      </c>
      <c r="C522" s="53">
        <v>46086</v>
      </c>
      <c r="D522" s="21" t="s">
        <v>55</v>
      </c>
      <c r="E522" s="21" t="s">
        <v>55</v>
      </c>
      <c r="F522" s="21" t="s">
        <v>55</v>
      </c>
      <c r="G522" s="21" t="s">
        <v>55</v>
      </c>
      <c r="H522" s="21" t="s">
        <v>55</v>
      </c>
      <c r="I522" s="21" t="s">
        <v>55</v>
      </c>
      <c r="J522" s="21" t="s">
        <v>55</v>
      </c>
      <c r="K522" s="21" t="s">
        <v>55</v>
      </c>
      <c r="L522" s="21" t="s">
        <v>55</v>
      </c>
      <c r="M522" s="21" t="s">
        <v>55</v>
      </c>
      <c r="N522" s="53">
        <v>46106</v>
      </c>
      <c r="O522" s="53">
        <v>46106</v>
      </c>
      <c r="P522" s="53">
        <v>46106</v>
      </c>
      <c r="Q522" s="28">
        <v>46112</v>
      </c>
      <c r="R522" s="53">
        <v>46118</v>
      </c>
      <c r="S522" s="21">
        <v>4</v>
      </c>
    </row>
    <row r="523" spans="1:19" x14ac:dyDescent="0.25">
      <c r="A523" s="403" t="str">
        <f t="shared" si="29"/>
        <v>46087460870000-00-000000-00-000000-00-000000-00-000000-00-000000-00-000000-00-000000-00-000000-00-000000-00-0046098461004610846126461274</v>
      </c>
      <c r="B523" s="53">
        <v>46087</v>
      </c>
      <c r="C523" s="53">
        <v>46087</v>
      </c>
      <c r="D523" s="33" t="s">
        <v>55</v>
      </c>
      <c r="E523" s="33" t="s">
        <v>55</v>
      </c>
      <c r="F523" s="33" t="s">
        <v>55</v>
      </c>
      <c r="G523" s="33" t="s">
        <v>55</v>
      </c>
      <c r="H523" s="33" t="s">
        <v>55</v>
      </c>
      <c r="I523" s="33" t="s">
        <v>55</v>
      </c>
      <c r="J523" s="33" t="s">
        <v>55</v>
      </c>
      <c r="K523" s="33" t="s">
        <v>55</v>
      </c>
      <c r="L523" s="33" t="s">
        <v>55</v>
      </c>
      <c r="M523" s="33" t="s">
        <v>55</v>
      </c>
      <c r="N523" s="38">
        <v>46098</v>
      </c>
      <c r="O523" s="28">
        <v>46100</v>
      </c>
      <c r="P523" s="28">
        <v>46108</v>
      </c>
      <c r="Q523" s="180">
        <v>46126</v>
      </c>
      <c r="R523" s="180">
        <v>46127</v>
      </c>
      <c r="S523" s="33">
        <v>4</v>
      </c>
    </row>
    <row r="524" spans="1:19" x14ac:dyDescent="0.25">
      <c r="A524" s="403" t="str">
        <f t="shared" si="29"/>
        <v>46087460870000-00-0046100461000000-00-000000-00-000000-00-000000-00-000000-00-000000-00-000000-00-0046107461074610746127461274</v>
      </c>
      <c r="B524" s="28">
        <v>46087</v>
      </c>
      <c r="C524" s="28">
        <v>46087</v>
      </c>
      <c r="D524" s="33" t="s">
        <v>55</v>
      </c>
      <c r="E524" s="28">
        <v>46100</v>
      </c>
      <c r="F524" s="28">
        <v>46100</v>
      </c>
      <c r="G524" s="33" t="s">
        <v>55</v>
      </c>
      <c r="H524" s="33" t="s">
        <v>55</v>
      </c>
      <c r="I524" s="33" t="s">
        <v>55</v>
      </c>
      <c r="J524" s="33" t="s">
        <v>55</v>
      </c>
      <c r="K524" s="33" t="s">
        <v>55</v>
      </c>
      <c r="L524" s="33" t="s">
        <v>55</v>
      </c>
      <c r="M524" s="21" t="s">
        <v>55</v>
      </c>
      <c r="N524" s="53">
        <v>46107</v>
      </c>
      <c r="O524" s="53">
        <v>46107</v>
      </c>
      <c r="P524" s="53">
        <v>46107</v>
      </c>
      <c r="Q524" s="28">
        <v>46127</v>
      </c>
      <c r="R524" s="180">
        <v>46127</v>
      </c>
      <c r="S524" s="21">
        <v>4</v>
      </c>
    </row>
    <row r="525" spans="1:19" x14ac:dyDescent="0.25">
      <c r="A525" s="403" t="str">
        <f t="shared" si="29"/>
        <v>46087460870000-00-0046090460900000-00-000000-00-000000-00-000000-00-000000-00-000000-00-000000-00-0046094460974609746118461184</v>
      </c>
      <c r="B525" s="28">
        <v>46087</v>
      </c>
      <c r="C525" s="28">
        <v>46087</v>
      </c>
      <c r="D525" s="33" t="s">
        <v>55</v>
      </c>
      <c r="E525" s="28">
        <v>46090</v>
      </c>
      <c r="F525" s="28">
        <v>46090</v>
      </c>
      <c r="G525" s="33" t="s">
        <v>55</v>
      </c>
      <c r="H525" s="33" t="s">
        <v>55</v>
      </c>
      <c r="I525" s="33" t="s">
        <v>55</v>
      </c>
      <c r="J525" s="33" t="s">
        <v>55</v>
      </c>
      <c r="K525" s="33" t="s">
        <v>55</v>
      </c>
      <c r="L525" s="33" t="s">
        <v>55</v>
      </c>
      <c r="M525" s="21" t="s">
        <v>55</v>
      </c>
      <c r="N525" s="53">
        <v>46094</v>
      </c>
      <c r="O525" s="28">
        <v>46097</v>
      </c>
      <c r="P525" s="28">
        <v>46097</v>
      </c>
      <c r="Q525" s="28">
        <v>46118</v>
      </c>
      <c r="R525" s="53">
        <v>46118</v>
      </c>
      <c r="S525" s="21">
        <v>4</v>
      </c>
    </row>
    <row r="526" spans="1:19" x14ac:dyDescent="0.25">
      <c r="A526" s="403" t="str">
        <f t="shared" si="29"/>
        <v>46120460870000-00-000000-00-000000-00-000000-00-000000-00-000000-00-000000-00-000000-00-000000-00-000000-00-0046126461264612646133461394</v>
      </c>
      <c r="B526" s="116">
        <v>46120</v>
      </c>
      <c r="C526" s="116">
        <v>46087</v>
      </c>
      <c r="D526" s="33" t="s">
        <v>55</v>
      </c>
      <c r="E526" s="33" t="s">
        <v>55</v>
      </c>
      <c r="F526" s="33" t="s">
        <v>55</v>
      </c>
      <c r="G526" s="33" t="s">
        <v>55</v>
      </c>
      <c r="H526" s="33" t="s">
        <v>55</v>
      </c>
      <c r="I526" s="33" t="s">
        <v>55</v>
      </c>
      <c r="J526" s="33" t="s">
        <v>55</v>
      </c>
      <c r="K526" s="33" t="s">
        <v>55</v>
      </c>
      <c r="L526" s="33" t="s">
        <v>55</v>
      </c>
      <c r="M526" s="33" t="s">
        <v>55</v>
      </c>
      <c r="N526" s="28">
        <v>46126</v>
      </c>
      <c r="O526" s="28">
        <v>46126</v>
      </c>
      <c r="P526" s="28">
        <v>46126</v>
      </c>
      <c r="Q526" s="53">
        <v>46133</v>
      </c>
      <c r="R526" s="53">
        <v>46139</v>
      </c>
      <c r="S526" s="33">
        <f>MONTH(R526)</f>
        <v>4</v>
      </c>
    </row>
    <row r="527" spans="1:19" x14ac:dyDescent="0.25">
      <c r="A527" s="403" t="str">
        <f t="shared" si="29"/>
        <v>46088460880000-00-0046093460990000-00-000000-00-000000-00-000000-00-000000-00-000000-00-000000-00-0046099461054611346126461274</v>
      </c>
      <c r="B527" s="53">
        <v>46088</v>
      </c>
      <c r="C527" s="53">
        <v>46088</v>
      </c>
      <c r="D527" s="21" t="s">
        <v>55</v>
      </c>
      <c r="E527" s="53">
        <v>46093</v>
      </c>
      <c r="F527" s="53">
        <v>46099</v>
      </c>
      <c r="G527" s="21" t="s">
        <v>55</v>
      </c>
      <c r="H527" s="21" t="s">
        <v>55</v>
      </c>
      <c r="I527" s="21" t="s">
        <v>55</v>
      </c>
      <c r="J527" s="21" t="s">
        <v>55</v>
      </c>
      <c r="K527" s="21" t="s">
        <v>55</v>
      </c>
      <c r="L527" s="21" t="s">
        <v>55</v>
      </c>
      <c r="M527" s="21" t="s">
        <v>55</v>
      </c>
      <c r="N527" s="53">
        <v>46099</v>
      </c>
      <c r="O527" s="53">
        <v>46105</v>
      </c>
      <c r="P527" s="53">
        <v>46113</v>
      </c>
      <c r="Q527" s="180">
        <v>46126</v>
      </c>
      <c r="R527" s="180">
        <v>46127</v>
      </c>
      <c r="S527" s="21">
        <v>4</v>
      </c>
    </row>
    <row r="528" spans="1:19" x14ac:dyDescent="0.25">
      <c r="A528" s="403" t="str">
        <f t="shared" si="29"/>
        <v>46090460900000-00-0046112461120000-00-000000-00-000000-00-000000-00-000000-00-000000-00-000000-00-0046127461274612746134461394</v>
      </c>
      <c r="B528" s="16">
        <v>46090</v>
      </c>
      <c r="C528" s="16">
        <v>46090</v>
      </c>
      <c r="D528" s="33" t="s">
        <v>55</v>
      </c>
      <c r="E528" s="16">
        <v>46112</v>
      </c>
      <c r="F528" s="16">
        <v>46112</v>
      </c>
      <c r="G528" s="33" t="s">
        <v>55</v>
      </c>
      <c r="H528" s="33" t="s">
        <v>55</v>
      </c>
      <c r="I528" s="33" t="s">
        <v>55</v>
      </c>
      <c r="J528" s="33" t="s">
        <v>55</v>
      </c>
      <c r="K528" s="33" t="s">
        <v>55</v>
      </c>
      <c r="L528" s="33" t="s">
        <v>55</v>
      </c>
      <c r="M528" s="21" t="s">
        <v>55</v>
      </c>
      <c r="N528" s="53">
        <v>46127</v>
      </c>
      <c r="O528" s="53">
        <v>46127</v>
      </c>
      <c r="P528" s="53">
        <v>46127</v>
      </c>
      <c r="Q528" s="16">
        <v>46134</v>
      </c>
      <c r="R528" s="53">
        <v>46139</v>
      </c>
      <c r="S528" s="33">
        <f>MONTH(R528)</f>
        <v>4</v>
      </c>
    </row>
    <row r="529" spans="1:19" x14ac:dyDescent="0.25">
      <c r="A529" s="403" t="str">
        <f t="shared" si="29"/>
        <v>46090460900000-00-0046097460970000-00-000000-00-000000-00-000000-00-000000-00-000000-00-000000-00-0046106461064610646112461184</v>
      </c>
      <c r="B529" s="53">
        <v>46090</v>
      </c>
      <c r="C529" s="53">
        <v>46090</v>
      </c>
      <c r="D529" s="21" t="s">
        <v>55</v>
      </c>
      <c r="E529" s="53">
        <v>46097</v>
      </c>
      <c r="F529" s="53">
        <v>46097</v>
      </c>
      <c r="G529" s="21" t="s">
        <v>55</v>
      </c>
      <c r="H529" s="21" t="s">
        <v>55</v>
      </c>
      <c r="I529" s="21" t="s">
        <v>55</v>
      </c>
      <c r="J529" s="21" t="s">
        <v>55</v>
      </c>
      <c r="K529" s="21" t="s">
        <v>55</v>
      </c>
      <c r="L529" s="21" t="s">
        <v>55</v>
      </c>
      <c r="M529" s="21" t="s">
        <v>55</v>
      </c>
      <c r="N529" s="53">
        <v>46106</v>
      </c>
      <c r="O529" s="53">
        <v>46106</v>
      </c>
      <c r="P529" s="53">
        <v>46106</v>
      </c>
      <c r="Q529" s="28">
        <v>46112</v>
      </c>
      <c r="R529" s="53">
        <v>46118</v>
      </c>
      <c r="S529" s="21">
        <v>4</v>
      </c>
    </row>
    <row r="530" spans="1:19" x14ac:dyDescent="0.25">
      <c r="A530" s="403" t="str">
        <f t="shared" si="29"/>
        <v>46091460910000-00-0046098461004609146093460980000-00-000000-00-000000-00-000000-00-0046105461054610546112461184</v>
      </c>
      <c r="B530" s="28">
        <v>46091</v>
      </c>
      <c r="C530" s="28">
        <v>46091</v>
      </c>
      <c r="D530" s="33" t="s">
        <v>55</v>
      </c>
      <c r="E530" s="53">
        <v>46098</v>
      </c>
      <c r="F530" s="28">
        <v>46100</v>
      </c>
      <c r="G530" s="28">
        <v>46091</v>
      </c>
      <c r="H530" s="28">
        <v>46093</v>
      </c>
      <c r="I530" s="53">
        <v>46098</v>
      </c>
      <c r="J530" s="33" t="s">
        <v>55</v>
      </c>
      <c r="K530" s="33" t="s">
        <v>55</v>
      </c>
      <c r="L530" s="33" t="s">
        <v>55</v>
      </c>
      <c r="M530" s="33" t="s">
        <v>55</v>
      </c>
      <c r="N530" s="38">
        <v>46105</v>
      </c>
      <c r="O530" s="38">
        <v>46105</v>
      </c>
      <c r="P530" s="180">
        <v>46105</v>
      </c>
      <c r="Q530" s="28">
        <v>46112</v>
      </c>
      <c r="R530" s="53">
        <v>46118</v>
      </c>
      <c r="S530" s="33">
        <v>4</v>
      </c>
    </row>
    <row r="531" spans="1:19" x14ac:dyDescent="0.25">
      <c r="A531" s="403" t="str">
        <f t="shared" si="29"/>
        <v>46091460910000-00-0046098460980000-00-000000-00-000000-00-000000-00-000000-00-000000-00-000000-00-0046113461184611946127461274</v>
      </c>
      <c r="B531" s="28">
        <v>46091</v>
      </c>
      <c r="C531" s="28">
        <v>46091</v>
      </c>
      <c r="D531" s="33" t="s">
        <v>55</v>
      </c>
      <c r="E531" s="53">
        <v>46098</v>
      </c>
      <c r="F531" s="53">
        <v>46098</v>
      </c>
      <c r="G531" s="33" t="s">
        <v>55</v>
      </c>
      <c r="H531" s="33" t="s">
        <v>55</v>
      </c>
      <c r="I531" s="33" t="s">
        <v>55</v>
      </c>
      <c r="J531" s="33" t="s">
        <v>55</v>
      </c>
      <c r="K531" s="33" t="s">
        <v>55</v>
      </c>
      <c r="L531" s="33" t="s">
        <v>55</v>
      </c>
      <c r="M531" s="21" t="s">
        <v>55</v>
      </c>
      <c r="N531" s="28">
        <v>46113</v>
      </c>
      <c r="O531" s="28">
        <v>46118</v>
      </c>
      <c r="P531" s="28">
        <v>46119</v>
      </c>
      <c r="Q531" s="28">
        <v>46127</v>
      </c>
      <c r="R531" s="180">
        <v>46127</v>
      </c>
      <c r="S531" s="21">
        <v>4</v>
      </c>
    </row>
    <row r="532" spans="1:19" x14ac:dyDescent="0.25">
      <c r="A532" s="403" t="str">
        <f t="shared" si="29"/>
        <v>46092460920000-00-0046097460970000-00-000000-00-000000-00-000000-00-000000-00-000000-00-000000-00-0046120461204612046126461274</v>
      </c>
      <c r="B532" s="53">
        <v>46092</v>
      </c>
      <c r="C532" s="53">
        <v>46092</v>
      </c>
      <c r="D532" s="21" t="s">
        <v>55</v>
      </c>
      <c r="E532" s="53">
        <v>46097</v>
      </c>
      <c r="F532" s="53">
        <v>46097</v>
      </c>
      <c r="G532" s="21" t="s">
        <v>55</v>
      </c>
      <c r="H532" s="21" t="s">
        <v>55</v>
      </c>
      <c r="I532" s="21" t="s">
        <v>55</v>
      </c>
      <c r="J532" s="21" t="s">
        <v>55</v>
      </c>
      <c r="K532" s="21" t="s">
        <v>55</v>
      </c>
      <c r="L532" s="21" t="s">
        <v>55</v>
      </c>
      <c r="M532" s="21" t="s">
        <v>55</v>
      </c>
      <c r="N532" s="53">
        <v>46120</v>
      </c>
      <c r="O532" s="53">
        <v>46120</v>
      </c>
      <c r="P532" s="53">
        <v>46120</v>
      </c>
      <c r="Q532" s="180">
        <v>46126</v>
      </c>
      <c r="R532" s="180">
        <v>46127</v>
      </c>
      <c r="S532" s="21">
        <v>4</v>
      </c>
    </row>
    <row r="533" spans="1:19" x14ac:dyDescent="0.25">
      <c r="A533" s="403" t="str">
        <f t="shared" si="29"/>
        <v>46092460920000-00-0046100461064609246093461000000-00-000000-00-000000-00-000000-00-0046106461064610646112461184</v>
      </c>
      <c r="B533" s="16">
        <v>46092</v>
      </c>
      <c r="C533" s="16">
        <v>46092</v>
      </c>
      <c r="D533" s="33" t="s">
        <v>55</v>
      </c>
      <c r="E533" s="28">
        <v>46100</v>
      </c>
      <c r="F533" s="28">
        <v>46106</v>
      </c>
      <c r="G533" s="28">
        <v>46092</v>
      </c>
      <c r="H533" s="28">
        <v>46093</v>
      </c>
      <c r="I533" s="28">
        <v>46100</v>
      </c>
      <c r="J533" s="33" t="s">
        <v>55</v>
      </c>
      <c r="K533" s="33" t="s">
        <v>55</v>
      </c>
      <c r="L533" s="33" t="s">
        <v>55</v>
      </c>
      <c r="M533" s="33" t="s">
        <v>55</v>
      </c>
      <c r="N533" s="53">
        <v>46106</v>
      </c>
      <c r="O533" s="53">
        <v>46106</v>
      </c>
      <c r="P533" s="53">
        <v>46106</v>
      </c>
      <c r="Q533" s="28">
        <v>46112</v>
      </c>
      <c r="R533" s="53">
        <v>46118</v>
      </c>
      <c r="S533" s="33">
        <v>4</v>
      </c>
    </row>
    <row r="534" spans="1:19" x14ac:dyDescent="0.25">
      <c r="A534" s="403" t="str">
        <f t="shared" si="29"/>
        <v>46092460920000-00-0046118461180000-00-000000-00-000000-00-000000-00-000000-00-000000-00-000000-00-0046127461274612746133461394</v>
      </c>
      <c r="B534" s="53">
        <v>46092</v>
      </c>
      <c r="C534" s="53">
        <v>46092</v>
      </c>
      <c r="D534" s="21" t="s">
        <v>55</v>
      </c>
      <c r="E534" s="53">
        <v>46118</v>
      </c>
      <c r="F534" s="53">
        <v>46118</v>
      </c>
      <c r="G534" s="21" t="s">
        <v>55</v>
      </c>
      <c r="H534" s="21" t="s">
        <v>55</v>
      </c>
      <c r="I534" s="21" t="s">
        <v>55</v>
      </c>
      <c r="J534" s="21" t="s">
        <v>55</v>
      </c>
      <c r="K534" s="21" t="s">
        <v>55</v>
      </c>
      <c r="L534" s="21" t="s">
        <v>55</v>
      </c>
      <c r="M534" s="21" t="s">
        <v>55</v>
      </c>
      <c r="N534" s="53">
        <v>46127</v>
      </c>
      <c r="O534" s="53">
        <v>46127</v>
      </c>
      <c r="P534" s="53">
        <v>46127</v>
      </c>
      <c r="Q534" s="53">
        <v>46133</v>
      </c>
      <c r="R534" s="53">
        <v>46139</v>
      </c>
      <c r="S534" s="21">
        <v>4</v>
      </c>
    </row>
    <row r="535" spans="1:19" x14ac:dyDescent="0.25">
      <c r="A535" s="403" t="str">
        <f t="shared" si="29"/>
        <v>46092460920000-00-0046093461000000-00-000000-00-000000-00-000000-00-000000-00-000000-00-000000-00-0046105461054610646113461184</v>
      </c>
      <c r="B535" s="53">
        <v>46092</v>
      </c>
      <c r="C535" s="53">
        <v>46092</v>
      </c>
      <c r="D535" s="21" t="s">
        <v>55</v>
      </c>
      <c r="E535" s="53">
        <v>46093</v>
      </c>
      <c r="F535" s="28">
        <v>46100</v>
      </c>
      <c r="G535" s="21" t="s">
        <v>55</v>
      </c>
      <c r="H535" s="21" t="s">
        <v>55</v>
      </c>
      <c r="I535" s="21" t="s">
        <v>55</v>
      </c>
      <c r="J535" s="21" t="s">
        <v>55</v>
      </c>
      <c r="K535" s="21" t="s">
        <v>55</v>
      </c>
      <c r="L535" s="21" t="s">
        <v>55</v>
      </c>
      <c r="M535" s="21" t="s">
        <v>55</v>
      </c>
      <c r="N535" s="53">
        <v>46105</v>
      </c>
      <c r="O535" s="53">
        <v>46105</v>
      </c>
      <c r="P535" s="53">
        <v>46106</v>
      </c>
      <c r="Q535" s="53">
        <v>46113</v>
      </c>
      <c r="R535" s="53">
        <v>46118</v>
      </c>
      <c r="S535" s="21">
        <v>4</v>
      </c>
    </row>
    <row r="536" spans="1:19" x14ac:dyDescent="0.25">
      <c r="A536" s="403" t="str">
        <f t="shared" si="29"/>
        <v>46092460920000-00-0046098460980000-00-000000-00-000000-00-000000-00-000000-00-000000-00-000000-00-0046105461054610646113461184</v>
      </c>
      <c r="B536" s="53">
        <v>46092</v>
      </c>
      <c r="C536" s="53">
        <v>46092</v>
      </c>
      <c r="D536" s="21" t="s">
        <v>55</v>
      </c>
      <c r="E536" s="53">
        <v>46098</v>
      </c>
      <c r="F536" s="53">
        <v>46098</v>
      </c>
      <c r="G536" s="21" t="s">
        <v>55</v>
      </c>
      <c r="H536" s="21" t="s">
        <v>55</v>
      </c>
      <c r="I536" s="21" t="s">
        <v>55</v>
      </c>
      <c r="J536" s="21" t="s">
        <v>55</v>
      </c>
      <c r="K536" s="21" t="s">
        <v>55</v>
      </c>
      <c r="L536" s="21" t="s">
        <v>55</v>
      </c>
      <c r="M536" s="21" t="s">
        <v>55</v>
      </c>
      <c r="N536" s="38">
        <v>46105</v>
      </c>
      <c r="O536" s="38">
        <v>46105</v>
      </c>
      <c r="P536" s="53">
        <v>46106</v>
      </c>
      <c r="Q536" s="53">
        <v>46113</v>
      </c>
      <c r="R536" s="53">
        <v>46118</v>
      </c>
      <c r="S536" s="21">
        <v>4</v>
      </c>
    </row>
    <row r="537" spans="1:19" x14ac:dyDescent="0.25">
      <c r="A537" s="403" t="str">
        <f t="shared" si="29"/>
        <v>46093460930000-00-0046097461070000-00-000000-00-000000-00-000000-00-000000-00-000000-00-000000-00-0046118461184611846126461274</v>
      </c>
      <c r="B537" s="116">
        <v>46093</v>
      </c>
      <c r="C537" s="116">
        <v>46093</v>
      </c>
      <c r="D537" s="33" t="s">
        <v>55</v>
      </c>
      <c r="E537" s="53">
        <v>46097</v>
      </c>
      <c r="F537" s="28">
        <v>46107</v>
      </c>
      <c r="G537" s="33" t="s">
        <v>55</v>
      </c>
      <c r="H537" s="33" t="s">
        <v>55</v>
      </c>
      <c r="I537" s="33" t="s">
        <v>55</v>
      </c>
      <c r="J537" s="33" t="s">
        <v>55</v>
      </c>
      <c r="K537" s="33" t="s">
        <v>55</v>
      </c>
      <c r="L537" s="33" t="s">
        <v>55</v>
      </c>
      <c r="M537" s="21" t="s">
        <v>55</v>
      </c>
      <c r="N537" s="28">
        <v>46118</v>
      </c>
      <c r="O537" s="28">
        <v>46118</v>
      </c>
      <c r="P537" s="28">
        <v>46118</v>
      </c>
      <c r="Q537" s="180">
        <v>46126</v>
      </c>
      <c r="R537" s="180">
        <v>46127</v>
      </c>
      <c r="S537" s="33">
        <v>4</v>
      </c>
    </row>
    <row r="538" spans="1:19" x14ac:dyDescent="0.25">
      <c r="A538" s="403" t="str">
        <f t="shared" si="29"/>
        <v>46093460930000-00-000000-00-000000-00-000000-00-000000-00-000000-00-000000-00-000000-00-000000-00-000000-00-0046100461004610046111461184</v>
      </c>
      <c r="B538" s="16">
        <v>46093</v>
      </c>
      <c r="C538" s="16">
        <v>46093</v>
      </c>
      <c r="D538" s="33" t="s">
        <v>55</v>
      </c>
      <c r="E538" s="33" t="s">
        <v>55</v>
      </c>
      <c r="F538" s="33" t="s">
        <v>55</v>
      </c>
      <c r="G538" s="33" t="s">
        <v>55</v>
      </c>
      <c r="H538" s="33" t="s">
        <v>55</v>
      </c>
      <c r="I538" s="33" t="s">
        <v>55</v>
      </c>
      <c r="J538" s="33" t="s">
        <v>55</v>
      </c>
      <c r="K538" s="33" t="s">
        <v>55</v>
      </c>
      <c r="L538" s="33" t="s">
        <v>55</v>
      </c>
      <c r="M538" s="33" t="s">
        <v>55</v>
      </c>
      <c r="N538" s="28">
        <v>46100</v>
      </c>
      <c r="O538" s="28">
        <v>46100</v>
      </c>
      <c r="P538" s="28">
        <v>46100</v>
      </c>
      <c r="Q538" s="53">
        <v>46111</v>
      </c>
      <c r="R538" s="53">
        <v>46118</v>
      </c>
      <c r="S538" s="33">
        <f>MONTH(R538)</f>
        <v>4</v>
      </c>
    </row>
    <row r="539" spans="1:19" x14ac:dyDescent="0.25">
      <c r="A539" s="403" t="str">
        <f t="shared" si="29"/>
        <v>46093460930000-00-000000-00-000000-00-000000-00-000000-00-000000-00-000000-00-000000-00-000000-00-000000-00-0046099461054610546108461184</v>
      </c>
      <c r="B539" s="116">
        <v>46093</v>
      </c>
      <c r="C539" s="116">
        <v>46093</v>
      </c>
      <c r="D539" s="33" t="s">
        <v>55</v>
      </c>
      <c r="E539" s="33" t="s">
        <v>55</v>
      </c>
      <c r="F539" s="33" t="s">
        <v>55</v>
      </c>
      <c r="G539" s="33" t="s">
        <v>55</v>
      </c>
      <c r="H539" s="33" t="s">
        <v>55</v>
      </c>
      <c r="I539" s="33" t="s">
        <v>55</v>
      </c>
      <c r="J539" s="33" t="s">
        <v>55</v>
      </c>
      <c r="K539" s="33" t="s">
        <v>55</v>
      </c>
      <c r="L539" s="33" t="s">
        <v>55</v>
      </c>
      <c r="M539" s="33" t="s">
        <v>55</v>
      </c>
      <c r="N539" s="53">
        <v>46099</v>
      </c>
      <c r="O539" s="180">
        <v>46105</v>
      </c>
      <c r="P539" s="180">
        <v>46105</v>
      </c>
      <c r="Q539" s="28">
        <v>46108</v>
      </c>
      <c r="R539" s="53">
        <v>46118</v>
      </c>
      <c r="S539" s="33">
        <f>MONTH(R539)</f>
        <v>4</v>
      </c>
    </row>
    <row r="540" spans="1:19" x14ac:dyDescent="0.25">
      <c r="A540" s="403" t="str">
        <f t="shared" si="29"/>
        <v>46093460930000-00-0046094461000000-00-000000-00-000000-00-000000-00-000000-00-000000-00-000000-00-0046100461004610546112461184</v>
      </c>
      <c r="B540" s="53">
        <v>46093</v>
      </c>
      <c r="C540" s="53">
        <v>46093</v>
      </c>
      <c r="D540" s="21" t="s">
        <v>55</v>
      </c>
      <c r="E540" s="53">
        <v>46094</v>
      </c>
      <c r="F540" s="28">
        <v>46100</v>
      </c>
      <c r="G540" s="21" t="s">
        <v>55</v>
      </c>
      <c r="H540" s="21" t="s">
        <v>55</v>
      </c>
      <c r="I540" s="21" t="s">
        <v>55</v>
      </c>
      <c r="J540" s="21" t="s">
        <v>55</v>
      </c>
      <c r="K540" s="21" t="s">
        <v>55</v>
      </c>
      <c r="L540" s="21" t="s">
        <v>55</v>
      </c>
      <c r="M540" s="21" t="s">
        <v>55</v>
      </c>
      <c r="N540" s="53">
        <v>46100</v>
      </c>
      <c r="O540" s="28">
        <v>46100</v>
      </c>
      <c r="P540" s="180">
        <v>46105</v>
      </c>
      <c r="Q540" s="28">
        <v>46112</v>
      </c>
      <c r="R540" s="53">
        <v>46118</v>
      </c>
      <c r="S540" s="21">
        <v>4</v>
      </c>
    </row>
    <row r="541" spans="1:19" x14ac:dyDescent="0.25">
      <c r="A541" s="403" t="str">
        <f t="shared" si="29"/>
        <v>46093460930000-00-0046101461010000-00-000000-00-000000-00-000000-00-000000-00-000000-00-000000-00-0046106461064610646113461184</v>
      </c>
      <c r="B541" s="53">
        <v>46093</v>
      </c>
      <c r="C541" s="53">
        <v>46093</v>
      </c>
      <c r="D541" s="21" t="s">
        <v>55</v>
      </c>
      <c r="E541" s="53">
        <v>46101</v>
      </c>
      <c r="F541" s="53">
        <v>46101</v>
      </c>
      <c r="G541" s="21" t="s">
        <v>55</v>
      </c>
      <c r="H541" s="21" t="s">
        <v>55</v>
      </c>
      <c r="I541" s="21" t="s">
        <v>55</v>
      </c>
      <c r="J541" s="21" t="s">
        <v>55</v>
      </c>
      <c r="K541" s="21" t="s">
        <v>55</v>
      </c>
      <c r="L541" s="21" t="s">
        <v>55</v>
      </c>
      <c r="M541" s="21" t="s">
        <v>55</v>
      </c>
      <c r="N541" s="53">
        <v>46106</v>
      </c>
      <c r="O541" s="53">
        <v>46106</v>
      </c>
      <c r="P541" s="53">
        <v>46106</v>
      </c>
      <c r="Q541" s="53">
        <v>46113</v>
      </c>
      <c r="R541" s="53">
        <v>46118</v>
      </c>
      <c r="S541" s="21">
        <v>4</v>
      </c>
    </row>
    <row r="542" spans="1:19" x14ac:dyDescent="0.25">
      <c r="A542" s="403" t="str">
        <f t="shared" si="29"/>
        <v>46094460930000-00-0046105461110000-00-000000-00-000000-00-000000-00-000000-00-000000-00-000000-00-0046119461194611946126461274</v>
      </c>
      <c r="B542" s="16">
        <v>46094</v>
      </c>
      <c r="C542" s="16">
        <v>46093</v>
      </c>
      <c r="D542" s="33" t="s">
        <v>55</v>
      </c>
      <c r="E542" s="16">
        <v>46105</v>
      </c>
      <c r="F542" s="16">
        <v>46111</v>
      </c>
      <c r="G542" s="33" t="s">
        <v>55</v>
      </c>
      <c r="H542" s="33" t="s">
        <v>55</v>
      </c>
      <c r="I542" s="33" t="s">
        <v>55</v>
      </c>
      <c r="J542" s="33" t="s">
        <v>55</v>
      </c>
      <c r="K542" s="33" t="s">
        <v>55</v>
      </c>
      <c r="L542" s="33" t="s">
        <v>55</v>
      </c>
      <c r="M542" s="21" t="s">
        <v>55</v>
      </c>
      <c r="N542" s="28">
        <v>46119</v>
      </c>
      <c r="O542" s="28">
        <v>46119</v>
      </c>
      <c r="P542" s="28">
        <v>46119</v>
      </c>
      <c r="Q542" s="180">
        <v>46126</v>
      </c>
      <c r="R542" s="180">
        <v>46127</v>
      </c>
      <c r="S542" s="33">
        <v>4</v>
      </c>
    </row>
    <row r="543" spans="1:19" x14ac:dyDescent="0.25">
      <c r="A543" s="403" t="str">
        <f t="shared" si="29"/>
        <v>46093460930000-00-000000-00-000000-00-000000-00-000000-00-000000-00-000000-00-000000-00-000000-00-000000-00-0046105461054610846127461274</v>
      </c>
      <c r="B543" s="28">
        <v>46093</v>
      </c>
      <c r="C543" s="28">
        <v>46093</v>
      </c>
      <c r="D543" s="33" t="s">
        <v>55</v>
      </c>
      <c r="E543" s="33" t="s">
        <v>55</v>
      </c>
      <c r="F543" s="33" t="s">
        <v>55</v>
      </c>
      <c r="G543" s="33" t="s">
        <v>55</v>
      </c>
      <c r="H543" s="33" t="s">
        <v>55</v>
      </c>
      <c r="I543" s="33" t="s">
        <v>55</v>
      </c>
      <c r="J543" s="33" t="s">
        <v>55</v>
      </c>
      <c r="K543" s="33" t="s">
        <v>55</v>
      </c>
      <c r="L543" s="33" t="s">
        <v>55</v>
      </c>
      <c r="M543" s="33" t="s">
        <v>55</v>
      </c>
      <c r="N543" s="38">
        <v>46105</v>
      </c>
      <c r="O543" s="38">
        <v>46105</v>
      </c>
      <c r="P543" s="28">
        <v>46108</v>
      </c>
      <c r="Q543" s="28">
        <v>46127</v>
      </c>
      <c r="R543" s="180">
        <v>46127</v>
      </c>
      <c r="S543" s="21">
        <v>4</v>
      </c>
    </row>
    <row r="544" spans="1:19" x14ac:dyDescent="0.25">
      <c r="A544" s="403" t="str">
        <f t="shared" si="29"/>
        <v>46097460970000-00-0046099460990000-00-000000-00-000000-00-000000-00-000000-00-000000-00-000000-00-0046099461054611846126461274</v>
      </c>
      <c r="B544" s="53">
        <v>46097</v>
      </c>
      <c r="C544" s="53">
        <v>46097</v>
      </c>
      <c r="D544" s="21" t="s">
        <v>55</v>
      </c>
      <c r="E544" s="16">
        <v>46099</v>
      </c>
      <c r="F544" s="16">
        <v>46099</v>
      </c>
      <c r="G544" s="21" t="s">
        <v>55</v>
      </c>
      <c r="H544" s="21" t="s">
        <v>55</v>
      </c>
      <c r="I544" s="21" t="s">
        <v>55</v>
      </c>
      <c r="J544" s="21" t="s">
        <v>55</v>
      </c>
      <c r="K544" s="21" t="s">
        <v>55</v>
      </c>
      <c r="L544" s="21" t="s">
        <v>55</v>
      </c>
      <c r="M544" s="21" t="s">
        <v>55</v>
      </c>
      <c r="N544" s="53">
        <v>46099</v>
      </c>
      <c r="O544" s="53">
        <v>46105</v>
      </c>
      <c r="P544" s="53">
        <v>46118</v>
      </c>
      <c r="Q544" s="180">
        <v>46126</v>
      </c>
      <c r="R544" s="180">
        <v>46127</v>
      </c>
      <c r="S544" s="21">
        <v>4</v>
      </c>
    </row>
    <row r="545" spans="1:19" x14ac:dyDescent="0.25">
      <c r="A545" s="403" t="str">
        <f t="shared" si="29"/>
        <v>46098460970000-00-0046106461060000-00-000000-00-000000-00-000000-00-000000-00-000000-00-000000-00-0046116461184611946132461394</v>
      </c>
      <c r="B545" s="38">
        <v>46098</v>
      </c>
      <c r="C545" s="38">
        <v>46097</v>
      </c>
      <c r="D545" s="33" t="s">
        <v>55</v>
      </c>
      <c r="E545" s="28">
        <v>46106</v>
      </c>
      <c r="F545" s="28">
        <v>46106</v>
      </c>
      <c r="G545" s="33" t="s">
        <v>55</v>
      </c>
      <c r="H545" s="33" t="s">
        <v>55</v>
      </c>
      <c r="I545" s="33" t="s">
        <v>55</v>
      </c>
      <c r="J545" s="33" t="s">
        <v>55</v>
      </c>
      <c r="K545" s="33" t="s">
        <v>55</v>
      </c>
      <c r="L545" s="33" t="s">
        <v>55</v>
      </c>
      <c r="M545" s="21" t="s">
        <v>55</v>
      </c>
      <c r="N545" s="28">
        <v>46116</v>
      </c>
      <c r="O545" s="28">
        <v>46118</v>
      </c>
      <c r="P545" s="28">
        <v>46119</v>
      </c>
      <c r="Q545" s="180">
        <v>46132</v>
      </c>
      <c r="R545" s="53">
        <v>46139</v>
      </c>
      <c r="S545" s="33">
        <v>4</v>
      </c>
    </row>
    <row r="546" spans="1:19" x14ac:dyDescent="0.25">
      <c r="A546" s="403" t="str">
        <f t="shared" si="29"/>
        <v>46097460970000-00-000000-00-000000-00-000000-00-000000-00-000000-00-000000-00-000000-00-000000-00-000000-00-0046106461064610646112461184</v>
      </c>
      <c r="B546" s="38">
        <v>46097</v>
      </c>
      <c r="C546" s="38">
        <v>46097</v>
      </c>
      <c r="D546" s="33" t="s">
        <v>55</v>
      </c>
      <c r="E546" s="33" t="s">
        <v>55</v>
      </c>
      <c r="F546" s="33" t="s">
        <v>55</v>
      </c>
      <c r="G546" s="33" t="s">
        <v>55</v>
      </c>
      <c r="H546" s="33" t="s">
        <v>55</v>
      </c>
      <c r="I546" s="33" t="s">
        <v>55</v>
      </c>
      <c r="J546" s="33" t="s">
        <v>55</v>
      </c>
      <c r="K546" s="33" t="s">
        <v>55</v>
      </c>
      <c r="L546" s="33" t="s">
        <v>55</v>
      </c>
      <c r="M546" s="33" t="s">
        <v>55</v>
      </c>
      <c r="N546" s="53">
        <v>46106</v>
      </c>
      <c r="O546" s="53">
        <v>46106</v>
      </c>
      <c r="P546" s="53">
        <v>46106</v>
      </c>
      <c r="Q546" s="28">
        <v>46112</v>
      </c>
      <c r="R546" s="53">
        <v>46118</v>
      </c>
      <c r="S546" s="33">
        <v>4</v>
      </c>
    </row>
    <row r="547" spans="1:19" x14ac:dyDescent="0.25">
      <c r="A547" s="403" t="str">
        <f t="shared" si="29"/>
        <v>46120461290000-00-000000-00-000000-00-000000-00-000000-00-000000-00-000000-00-000000-00-000000-00-000000-00-0046127461274612746134461394</v>
      </c>
      <c r="B547" s="116">
        <v>46120</v>
      </c>
      <c r="C547" s="28">
        <v>46129</v>
      </c>
      <c r="D547" s="33" t="s">
        <v>55</v>
      </c>
      <c r="E547" s="33" t="s">
        <v>55</v>
      </c>
      <c r="F547" s="33" t="s">
        <v>55</v>
      </c>
      <c r="G547" s="33" t="s">
        <v>55</v>
      </c>
      <c r="H547" s="33" t="s">
        <v>55</v>
      </c>
      <c r="I547" s="33" t="s">
        <v>55</v>
      </c>
      <c r="J547" s="33" t="s">
        <v>55</v>
      </c>
      <c r="K547" s="33" t="s">
        <v>55</v>
      </c>
      <c r="L547" s="33" t="s">
        <v>55</v>
      </c>
      <c r="M547" s="33" t="s">
        <v>55</v>
      </c>
      <c r="N547" s="53">
        <v>46127</v>
      </c>
      <c r="O547" s="53">
        <v>46127</v>
      </c>
      <c r="P547" s="53">
        <v>46127</v>
      </c>
      <c r="Q547" s="16">
        <v>46134</v>
      </c>
      <c r="R547" s="53">
        <v>46139</v>
      </c>
      <c r="S547" s="33">
        <f>MONTH(R547)</f>
        <v>4</v>
      </c>
    </row>
    <row r="548" spans="1:19" x14ac:dyDescent="0.25">
      <c r="A548" s="403" t="str">
        <f t="shared" si="29"/>
        <v>46099460970000-00-000000-00-000000-00-000000-00-000000-00-000000-00-000000-00-000000-00-000000-00-000000-00-0046105461084611146126461274</v>
      </c>
      <c r="B548" s="116">
        <v>46099</v>
      </c>
      <c r="C548" s="116">
        <v>46097</v>
      </c>
      <c r="D548" s="33" t="s">
        <v>55</v>
      </c>
      <c r="E548" s="33" t="s">
        <v>55</v>
      </c>
      <c r="F548" s="33" t="s">
        <v>55</v>
      </c>
      <c r="G548" s="33" t="s">
        <v>55</v>
      </c>
      <c r="H548" s="33" t="s">
        <v>55</v>
      </c>
      <c r="I548" s="33" t="s">
        <v>55</v>
      </c>
      <c r="J548" s="33" t="s">
        <v>55</v>
      </c>
      <c r="K548" s="33" t="s">
        <v>55</v>
      </c>
      <c r="L548" s="33" t="s">
        <v>55</v>
      </c>
      <c r="M548" s="33" t="s">
        <v>55</v>
      </c>
      <c r="N548" s="38">
        <v>46105</v>
      </c>
      <c r="O548" s="180">
        <v>46108</v>
      </c>
      <c r="P548" s="53">
        <v>46111</v>
      </c>
      <c r="Q548" s="180">
        <v>46126</v>
      </c>
      <c r="R548" s="180">
        <v>46127</v>
      </c>
      <c r="S548" s="33">
        <f>MONTH(R548)</f>
        <v>4</v>
      </c>
    </row>
    <row r="549" spans="1:19" x14ac:dyDescent="0.25">
      <c r="A549" s="403" t="str">
        <f t="shared" si="29"/>
        <v>46098460970000-00-0046099461000000-00-000000-00-000000-00-000000-00-000000-00-000000-00-000000-00-0046116461204612046127461394</v>
      </c>
      <c r="B549" s="116">
        <v>46098</v>
      </c>
      <c r="C549" s="116">
        <v>46097</v>
      </c>
      <c r="D549" s="33" t="s">
        <v>55</v>
      </c>
      <c r="E549" s="16">
        <v>46099</v>
      </c>
      <c r="F549" s="28">
        <v>46100</v>
      </c>
      <c r="G549" s="33" t="s">
        <v>55</v>
      </c>
      <c r="H549" s="33" t="s">
        <v>55</v>
      </c>
      <c r="I549" s="33" t="s">
        <v>55</v>
      </c>
      <c r="J549" s="33" t="s">
        <v>55</v>
      </c>
      <c r="K549" s="33" t="s">
        <v>55</v>
      </c>
      <c r="L549" s="33" t="s">
        <v>55</v>
      </c>
      <c r="M549" s="21" t="s">
        <v>55</v>
      </c>
      <c r="N549" s="28">
        <v>46116</v>
      </c>
      <c r="O549" s="28">
        <v>46120</v>
      </c>
      <c r="P549" s="28">
        <v>46120</v>
      </c>
      <c r="Q549" s="180">
        <v>46127</v>
      </c>
      <c r="R549" s="53">
        <v>46139</v>
      </c>
      <c r="S549" s="33">
        <f>MONTH(R549)</f>
        <v>4</v>
      </c>
    </row>
    <row r="550" spans="1:19" x14ac:dyDescent="0.25">
      <c r="A550" s="403" t="str">
        <f t="shared" si="29"/>
        <v>46091460980000-00-0046094460940000-00-000000-00-000000-00-000000-00-000000-00-000000-00-000000-00-0046106461064610646118461184</v>
      </c>
      <c r="B550" s="28">
        <v>46091</v>
      </c>
      <c r="C550" s="28">
        <v>46098</v>
      </c>
      <c r="D550" s="33" t="s">
        <v>55</v>
      </c>
      <c r="E550" s="28">
        <v>46094</v>
      </c>
      <c r="F550" s="28">
        <v>46094</v>
      </c>
      <c r="G550" s="33" t="s">
        <v>55</v>
      </c>
      <c r="H550" s="33" t="s">
        <v>55</v>
      </c>
      <c r="I550" s="33" t="s">
        <v>55</v>
      </c>
      <c r="J550" s="33" t="s">
        <v>55</v>
      </c>
      <c r="K550" s="33" t="s">
        <v>55</v>
      </c>
      <c r="L550" s="33" t="s">
        <v>55</v>
      </c>
      <c r="M550" s="21" t="s">
        <v>55</v>
      </c>
      <c r="N550" s="53">
        <v>46106</v>
      </c>
      <c r="O550" s="53">
        <v>46106</v>
      </c>
      <c r="P550" s="53">
        <v>46106</v>
      </c>
      <c r="Q550" s="28">
        <v>46118</v>
      </c>
      <c r="R550" s="53">
        <v>46118</v>
      </c>
      <c r="S550" s="21">
        <v>4</v>
      </c>
    </row>
    <row r="551" spans="1:19" x14ac:dyDescent="0.25">
      <c r="A551" s="403" t="str">
        <f t="shared" si="29"/>
        <v>46098460980000-00-000000-00-000000-00-000000-00-000000-00-000000-00-000000-00-000000-00-000000-00-000000-00-0046106461064610646113461184</v>
      </c>
      <c r="B551" s="116">
        <v>46098</v>
      </c>
      <c r="C551" s="116">
        <v>46098</v>
      </c>
      <c r="D551" s="33" t="s">
        <v>55</v>
      </c>
      <c r="E551" s="33" t="s">
        <v>55</v>
      </c>
      <c r="F551" s="33" t="s">
        <v>55</v>
      </c>
      <c r="G551" s="33" t="s">
        <v>55</v>
      </c>
      <c r="H551" s="33" t="s">
        <v>55</v>
      </c>
      <c r="I551" s="33" t="s">
        <v>55</v>
      </c>
      <c r="J551" s="33" t="s">
        <v>55</v>
      </c>
      <c r="K551" s="33" t="s">
        <v>55</v>
      </c>
      <c r="L551" s="33" t="s">
        <v>55</v>
      </c>
      <c r="M551" s="33" t="s">
        <v>55</v>
      </c>
      <c r="N551" s="53">
        <v>46106</v>
      </c>
      <c r="O551" s="53">
        <v>46106</v>
      </c>
      <c r="P551" s="53">
        <v>46106</v>
      </c>
      <c r="Q551" s="28">
        <v>46113</v>
      </c>
      <c r="R551" s="53">
        <v>46118</v>
      </c>
      <c r="S551" s="33">
        <f>MONTH(R551)</f>
        <v>4</v>
      </c>
    </row>
    <row r="552" spans="1:19" x14ac:dyDescent="0.25">
      <c r="A552" s="403" t="str">
        <f t="shared" si="29"/>
        <v>46108460980000-00-000000-00-000000-00-000000-00-000000-00-000000-00-000000-00-000000-00-000000-00-000000-00-0046118461184611846126461274</v>
      </c>
      <c r="B552" s="116">
        <v>46108</v>
      </c>
      <c r="C552" s="116">
        <v>46098</v>
      </c>
      <c r="D552" s="194" t="s">
        <v>55</v>
      </c>
      <c r="E552" s="33" t="s">
        <v>55</v>
      </c>
      <c r="F552" s="33" t="s">
        <v>55</v>
      </c>
      <c r="G552" s="194" t="s">
        <v>55</v>
      </c>
      <c r="H552" s="194" t="s">
        <v>55</v>
      </c>
      <c r="I552" s="194" t="s">
        <v>55</v>
      </c>
      <c r="J552" s="194" t="s">
        <v>55</v>
      </c>
      <c r="K552" s="194" t="s">
        <v>55</v>
      </c>
      <c r="L552" s="194" t="s">
        <v>55</v>
      </c>
      <c r="M552" s="194" t="s">
        <v>55</v>
      </c>
      <c r="N552" s="180">
        <v>46118</v>
      </c>
      <c r="O552" s="180">
        <v>46118</v>
      </c>
      <c r="P552" s="180">
        <v>46118</v>
      </c>
      <c r="Q552" s="180">
        <v>46126</v>
      </c>
      <c r="R552" s="180">
        <v>46127</v>
      </c>
      <c r="S552" s="194">
        <v>4</v>
      </c>
    </row>
    <row r="553" spans="1:19" x14ac:dyDescent="0.25">
      <c r="A553" s="403" t="str">
        <f t="shared" si="29"/>
        <v>46100460980000-00-0046112461120000-00-000000-00-000000-00-000000-00-000000-00-000000-00-000000-00-0046125461254612646132461394</v>
      </c>
      <c r="B553" s="28">
        <v>46100</v>
      </c>
      <c r="C553" s="116">
        <v>46098</v>
      </c>
      <c r="D553" s="33" t="s">
        <v>55</v>
      </c>
      <c r="E553" s="28">
        <v>46112</v>
      </c>
      <c r="F553" s="28">
        <v>46112</v>
      </c>
      <c r="G553" s="33" t="s">
        <v>55</v>
      </c>
      <c r="H553" s="33" t="s">
        <v>55</v>
      </c>
      <c r="I553" s="33" t="s">
        <v>55</v>
      </c>
      <c r="J553" s="33" t="s">
        <v>55</v>
      </c>
      <c r="K553" s="33" t="s">
        <v>55</v>
      </c>
      <c r="L553" s="33" t="s">
        <v>55</v>
      </c>
      <c r="M553" s="21" t="s">
        <v>55</v>
      </c>
      <c r="N553" s="28">
        <v>46125</v>
      </c>
      <c r="O553" s="28">
        <v>46125</v>
      </c>
      <c r="P553" s="28">
        <v>46126</v>
      </c>
      <c r="Q553" s="180">
        <v>46132</v>
      </c>
      <c r="R553" s="53">
        <v>46139</v>
      </c>
      <c r="S553" s="33">
        <v>4</v>
      </c>
    </row>
    <row r="554" spans="1:19" x14ac:dyDescent="0.25">
      <c r="A554" s="403" t="str">
        <f t="shared" si="29"/>
        <v>46099460990000-00-0046107461190000-00-000000-00-000000-00-000000-00-000000-00-000000-00-000000-00-0046127461274612746133461394</v>
      </c>
      <c r="B554" s="116">
        <v>46099</v>
      </c>
      <c r="C554" s="116">
        <v>46099</v>
      </c>
      <c r="D554" s="33" t="s">
        <v>55</v>
      </c>
      <c r="E554" s="53">
        <v>46107</v>
      </c>
      <c r="F554" s="28">
        <v>46119</v>
      </c>
      <c r="G554" s="33" t="s">
        <v>55</v>
      </c>
      <c r="H554" s="33" t="s">
        <v>55</v>
      </c>
      <c r="I554" s="33" t="s">
        <v>55</v>
      </c>
      <c r="J554" s="33" t="s">
        <v>55</v>
      </c>
      <c r="K554" s="33" t="s">
        <v>55</v>
      </c>
      <c r="L554" s="33" t="s">
        <v>55</v>
      </c>
      <c r="M554" s="21" t="s">
        <v>55</v>
      </c>
      <c r="N554" s="53">
        <v>46127</v>
      </c>
      <c r="O554" s="53">
        <v>46127</v>
      </c>
      <c r="P554" s="53">
        <v>46127</v>
      </c>
      <c r="Q554" s="53">
        <v>46133</v>
      </c>
      <c r="R554" s="53">
        <v>46139</v>
      </c>
      <c r="S554" s="33">
        <v>4</v>
      </c>
    </row>
    <row r="555" spans="1:19" x14ac:dyDescent="0.25">
      <c r="A555" s="403" t="str">
        <f t="shared" si="29"/>
        <v>46108461000000-00-000000-00-000000-00-000000-00-000000-00-000000-00-000000-00-000000-00-000000-00-000000-00-0046118461204612646133461394</v>
      </c>
      <c r="B555" s="16">
        <v>46108</v>
      </c>
      <c r="C555" s="28">
        <v>46100</v>
      </c>
      <c r="D555" s="33" t="s">
        <v>55</v>
      </c>
      <c r="E555" s="33" t="s">
        <v>55</v>
      </c>
      <c r="F555" s="33" t="s">
        <v>55</v>
      </c>
      <c r="G555" s="33" t="s">
        <v>55</v>
      </c>
      <c r="H555" s="33" t="s">
        <v>55</v>
      </c>
      <c r="I555" s="33" t="s">
        <v>55</v>
      </c>
      <c r="J555" s="33" t="s">
        <v>55</v>
      </c>
      <c r="K555" s="33" t="s">
        <v>55</v>
      </c>
      <c r="L555" s="33" t="s">
        <v>55</v>
      </c>
      <c r="M555" s="33" t="s">
        <v>55</v>
      </c>
      <c r="N555" s="28">
        <v>46118</v>
      </c>
      <c r="O555" s="28">
        <v>46120</v>
      </c>
      <c r="P555" s="28">
        <v>46126</v>
      </c>
      <c r="Q555" s="53">
        <v>46133</v>
      </c>
      <c r="R555" s="53">
        <v>46139</v>
      </c>
      <c r="S555" s="33">
        <v>4</v>
      </c>
    </row>
    <row r="556" spans="1:19" x14ac:dyDescent="0.25">
      <c r="A556" s="403" t="str">
        <f t="shared" si="29"/>
        <v>46090461000000-00-0046101461010000-00-000000-00-000000-00-000000-00-000000-00-000000-00-000000-00-0046104461044610446113461184</v>
      </c>
      <c r="B556" s="16">
        <v>46090</v>
      </c>
      <c r="C556" s="16">
        <v>46100</v>
      </c>
      <c r="D556" s="33" t="s">
        <v>55</v>
      </c>
      <c r="E556" s="28">
        <v>46101</v>
      </c>
      <c r="F556" s="28">
        <v>46101</v>
      </c>
      <c r="G556" s="33" t="s">
        <v>55</v>
      </c>
      <c r="H556" s="33" t="s">
        <v>55</v>
      </c>
      <c r="I556" s="33" t="s">
        <v>55</v>
      </c>
      <c r="J556" s="33" t="s">
        <v>55</v>
      </c>
      <c r="K556" s="33" t="s">
        <v>55</v>
      </c>
      <c r="L556" s="33" t="s">
        <v>55</v>
      </c>
      <c r="M556" s="21" t="s">
        <v>55</v>
      </c>
      <c r="N556" s="28">
        <v>46104</v>
      </c>
      <c r="O556" s="28">
        <v>46104</v>
      </c>
      <c r="P556" s="28">
        <v>46104</v>
      </c>
      <c r="Q556" s="38">
        <v>46113</v>
      </c>
      <c r="R556" s="53">
        <v>46118</v>
      </c>
      <c r="S556" s="21">
        <v>4</v>
      </c>
    </row>
    <row r="557" spans="1:19" x14ac:dyDescent="0.25">
      <c r="A557" s="403" t="str">
        <f t="shared" si="29"/>
        <v>46100461000000-00-0046105461120000-00-000000-00-000000-00-000000-00-000000-00-000000-00-000000-00-0046112461124611846126461274</v>
      </c>
      <c r="B557" s="16">
        <v>46100</v>
      </c>
      <c r="C557" s="16">
        <v>46100</v>
      </c>
      <c r="D557" s="21" t="s">
        <v>55</v>
      </c>
      <c r="E557" s="16">
        <v>46105</v>
      </c>
      <c r="F557" s="53">
        <v>46112</v>
      </c>
      <c r="G557" s="21" t="s">
        <v>55</v>
      </c>
      <c r="H557" s="21" t="s">
        <v>55</v>
      </c>
      <c r="I557" s="21" t="s">
        <v>55</v>
      </c>
      <c r="J557" s="21" t="s">
        <v>55</v>
      </c>
      <c r="K557" s="21" t="s">
        <v>55</v>
      </c>
      <c r="L557" s="21" t="s">
        <v>55</v>
      </c>
      <c r="M557" s="21" t="s">
        <v>55</v>
      </c>
      <c r="N557" s="28">
        <v>46112</v>
      </c>
      <c r="O557" s="28">
        <v>46112</v>
      </c>
      <c r="P557" s="53">
        <v>46118</v>
      </c>
      <c r="Q557" s="180">
        <v>46126</v>
      </c>
      <c r="R557" s="180">
        <v>46127</v>
      </c>
      <c r="S557" s="21">
        <v>4</v>
      </c>
    </row>
    <row r="558" spans="1:19" x14ac:dyDescent="0.25">
      <c r="A558" s="403" t="str">
        <f t="shared" si="29"/>
        <v>46101461010000-00-000000-00-000000-00-000000-00-000000-00-000000-00-000000-00-000000-00-000000-00-000000-00-000000-00-00461014610646113461134</v>
      </c>
      <c r="B558" s="53">
        <v>46101</v>
      </c>
      <c r="C558" s="116">
        <v>46101</v>
      </c>
      <c r="D558" s="33" t="s">
        <v>55</v>
      </c>
      <c r="E558" s="33" t="s">
        <v>55</v>
      </c>
      <c r="F558" s="33" t="s">
        <v>55</v>
      </c>
      <c r="G558" s="33" t="s">
        <v>55</v>
      </c>
      <c r="H558" s="33" t="s">
        <v>55</v>
      </c>
      <c r="I558" s="33" t="s">
        <v>55</v>
      </c>
      <c r="J558" s="33" t="s">
        <v>55</v>
      </c>
      <c r="K558" s="33" t="s">
        <v>55</v>
      </c>
      <c r="L558" s="33" t="s">
        <v>55</v>
      </c>
      <c r="M558" s="33" t="s">
        <v>55</v>
      </c>
      <c r="N558" s="33" t="s">
        <v>55</v>
      </c>
      <c r="O558" s="180">
        <v>46101</v>
      </c>
      <c r="P558" s="28">
        <v>46106</v>
      </c>
      <c r="Q558" s="28">
        <v>46113</v>
      </c>
      <c r="R558" s="28">
        <v>46113</v>
      </c>
      <c r="S558" s="33">
        <f>MONTH(R558)</f>
        <v>4</v>
      </c>
    </row>
    <row r="559" spans="1:19" x14ac:dyDescent="0.25">
      <c r="A559" s="403" t="str">
        <f t="shared" si="29"/>
        <v>46100461050000-00-0046105461050000-00-000000-00-000000-00-000000-00-000000-00-000000-00-000000-00-0046108461084610846135461394</v>
      </c>
      <c r="B559" s="53">
        <v>46100</v>
      </c>
      <c r="C559" s="28">
        <v>46105</v>
      </c>
      <c r="D559" s="33" t="s">
        <v>55</v>
      </c>
      <c r="E559" s="16">
        <v>46105</v>
      </c>
      <c r="F559" s="16">
        <v>46105</v>
      </c>
      <c r="G559" s="33" t="s">
        <v>55</v>
      </c>
      <c r="H559" s="33" t="s">
        <v>55</v>
      </c>
      <c r="I559" s="33" t="s">
        <v>55</v>
      </c>
      <c r="J559" s="33" t="s">
        <v>55</v>
      </c>
      <c r="K559" s="33" t="s">
        <v>55</v>
      </c>
      <c r="L559" s="33" t="s">
        <v>55</v>
      </c>
      <c r="M559" s="21" t="s">
        <v>55</v>
      </c>
      <c r="N559" s="28">
        <v>46108</v>
      </c>
      <c r="O559" s="28">
        <v>46108</v>
      </c>
      <c r="P559" s="28">
        <v>46108</v>
      </c>
      <c r="Q559" s="38">
        <v>46135</v>
      </c>
      <c r="R559" s="53">
        <v>46139</v>
      </c>
      <c r="S559" s="21">
        <v>4</v>
      </c>
    </row>
    <row r="560" spans="1:19" x14ac:dyDescent="0.25">
      <c r="A560" s="403" t="str">
        <f t="shared" si="29"/>
        <v>46105461050000-00-000000-00-000000-00-000000-00-000000-00-000000-00-000000-00-000000-00-000000-00-000000-00-0046111461114611246127461274</v>
      </c>
      <c r="B560" s="28">
        <v>46105</v>
      </c>
      <c r="C560" s="28">
        <v>46105</v>
      </c>
      <c r="D560" s="33" t="s">
        <v>55</v>
      </c>
      <c r="E560" s="33" t="s">
        <v>55</v>
      </c>
      <c r="F560" s="33" t="s">
        <v>55</v>
      </c>
      <c r="G560" s="33" t="s">
        <v>55</v>
      </c>
      <c r="H560" s="33" t="s">
        <v>55</v>
      </c>
      <c r="I560" s="33" t="s">
        <v>55</v>
      </c>
      <c r="J560" s="33" t="s">
        <v>55</v>
      </c>
      <c r="K560" s="33" t="s">
        <v>55</v>
      </c>
      <c r="L560" s="33" t="s">
        <v>55</v>
      </c>
      <c r="M560" s="33" t="s">
        <v>55</v>
      </c>
      <c r="N560" s="28">
        <v>46111</v>
      </c>
      <c r="O560" s="53">
        <v>46111</v>
      </c>
      <c r="P560" s="28">
        <v>46112</v>
      </c>
      <c r="Q560" s="28">
        <v>46127</v>
      </c>
      <c r="R560" s="180">
        <v>46127</v>
      </c>
      <c r="S560" s="21">
        <v>4</v>
      </c>
    </row>
    <row r="561" spans="1:19" x14ac:dyDescent="0.25">
      <c r="A561" s="403" t="str">
        <f t="shared" si="29"/>
        <v>46106461050000-00-0046121461220000-00-000000-00-000000-00-000000-00-000000-00-000000-00-000000-00-0046127461274612746134461394</v>
      </c>
      <c r="B561" s="116">
        <v>46106</v>
      </c>
      <c r="C561" s="116">
        <v>46105</v>
      </c>
      <c r="D561" s="33" t="s">
        <v>55</v>
      </c>
      <c r="E561" s="28">
        <v>46121</v>
      </c>
      <c r="F561" s="28">
        <v>46122</v>
      </c>
      <c r="G561" s="33" t="s">
        <v>55</v>
      </c>
      <c r="H561" s="33" t="s">
        <v>55</v>
      </c>
      <c r="I561" s="33" t="s">
        <v>55</v>
      </c>
      <c r="J561" s="33" t="s">
        <v>55</v>
      </c>
      <c r="K561" s="33" t="s">
        <v>55</v>
      </c>
      <c r="L561" s="33" t="s">
        <v>55</v>
      </c>
      <c r="M561" s="21" t="s">
        <v>55</v>
      </c>
      <c r="N561" s="53">
        <v>46127</v>
      </c>
      <c r="O561" s="53">
        <v>46127</v>
      </c>
      <c r="P561" s="53">
        <v>46127</v>
      </c>
      <c r="Q561" s="28">
        <v>46134</v>
      </c>
      <c r="R561" s="53">
        <v>46139</v>
      </c>
      <c r="S561" s="33">
        <f>MONTH(R561)</f>
        <v>4</v>
      </c>
    </row>
    <row r="562" spans="1:19" x14ac:dyDescent="0.25">
      <c r="A562" s="403" t="str">
        <f t="shared" si="29"/>
        <v>46111461060000-00-000000-00-000000-00-000000-00-000000-00-000000-00-000000-00-000000-00-000000-00-000000-00-0046119461194612046126461274</v>
      </c>
      <c r="B562" s="180">
        <v>46111</v>
      </c>
      <c r="C562" s="180">
        <v>46106</v>
      </c>
      <c r="D562" s="33" t="s">
        <v>55</v>
      </c>
      <c r="E562" s="33" t="s">
        <v>55</v>
      </c>
      <c r="F562" s="33" t="s">
        <v>55</v>
      </c>
      <c r="G562" s="33" t="s">
        <v>55</v>
      </c>
      <c r="H562" s="33" t="s">
        <v>55</v>
      </c>
      <c r="I562" s="33" t="s">
        <v>55</v>
      </c>
      <c r="J562" s="33" t="s">
        <v>55</v>
      </c>
      <c r="K562" s="33" t="s">
        <v>55</v>
      </c>
      <c r="L562" s="33" t="s">
        <v>55</v>
      </c>
      <c r="M562" s="33" t="s">
        <v>55</v>
      </c>
      <c r="N562" s="28">
        <v>46119</v>
      </c>
      <c r="O562" s="28">
        <v>46119</v>
      </c>
      <c r="P562" s="28">
        <v>46120</v>
      </c>
      <c r="Q562" s="180">
        <v>46126</v>
      </c>
      <c r="R562" s="180">
        <v>46127</v>
      </c>
      <c r="S562" s="33">
        <v>4</v>
      </c>
    </row>
    <row r="563" spans="1:19" x14ac:dyDescent="0.25">
      <c r="A563" s="403" t="str">
        <f t="shared" si="29"/>
        <v>46106461060000-00-0046120461220000-00-000000-00-000000-00-000000-00-000000-00-000000-00-000000-00-0046122461224612746133461394</v>
      </c>
      <c r="B563" s="53">
        <v>46106</v>
      </c>
      <c r="C563" s="53">
        <v>46106</v>
      </c>
      <c r="D563" s="21" t="s">
        <v>55</v>
      </c>
      <c r="E563" s="53">
        <v>46120</v>
      </c>
      <c r="F563" s="53">
        <v>46122</v>
      </c>
      <c r="G563" s="21" t="s">
        <v>55</v>
      </c>
      <c r="H563" s="21" t="s">
        <v>55</v>
      </c>
      <c r="I563" s="21" t="s">
        <v>55</v>
      </c>
      <c r="J563" s="21" t="s">
        <v>55</v>
      </c>
      <c r="K563" s="21" t="s">
        <v>55</v>
      </c>
      <c r="L563" s="21" t="s">
        <v>55</v>
      </c>
      <c r="M563" s="21" t="s">
        <v>55</v>
      </c>
      <c r="N563" s="53">
        <v>46122</v>
      </c>
      <c r="O563" s="53">
        <v>46122</v>
      </c>
      <c r="P563" s="53">
        <v>46127</v>
      </c>
      <c r="Q563" s="53">
        <v>46133</v>
      </c>
      <c r="R563" s="53">
        <v>46139</v>
      </c>
      <c r="S563" s="21">
        <v>4</v>
      </c>
    </row>
    <row r="564" spans="1:19" x14ac:dyDescent="0.25">
      <c r="A564" s="403" t="str">
        <f t="shared" si="29"/>
        <v>46106461060000-00-0046112461120000-00-000000-00-000000-00-000000-00-000000-00-000000-00-000000-00-0046119461204612046127461274</v>
      </c>
      <c r="B564" s="28">
        <v>46106</v>
      </c>
      <c r="C564" s="28">
        <v>46106</v>
      </c>
      <c r="D564" s="33" t="s">
        <v>55</v>
      </c>
      <c r="E564" s="28">
        <v>46112</v>
      </c>
      <c r="F564" s="28">
        <v>46112</v>
      </c>
      <c r="G564" s="33" t="s">
        <v>55</v>
      </c>
      <c r="H564" s="33" t="s">
        <v>55</v>
      </c>
      <c r="I564" s="33" t="s">
        <v>55</v>
      </c>
      <c r="J564" s="33" t="s">
        <v>55</v>
      </c>
      <c r="K564" s="33" t="s">
        <v>55</v>
      </c>
      <c r="L564" s="33" t="s">
        <v>55</v>
      </c>
      <c r="M564" s="21" t="s">
        <v>55</v>
      </c>
      <c r="N564" s="28">
        <v>46119</v>
      </c>
      <c r="O564" s="28">
        <v>46120</v>
      </c>
      <c r="P564" s="28">
        <v>46120</v>
      </c>
      <c r="Q564" s="28">
        <v>46127</v>
      </c>
      <c r="R564" s="180">
        <v>46127</v>
      </c>
      <c r="S564" s="21">
        <v>4</v>
      </c>
    </row>
    <row r="565" spans="1:19" x14ac:dyDescent="0.25">
      <c r="A565" s="403" t="str">
        <f t="shared" si="29"/>
        <v>46106461060000-00-000000-00-000000-00-000000-00-000000-00-000000-00-000000-00-000000-00-000000-00-000000-00-0046112461124611846126461274</v>
      </c>
      <c r="B565" s="180">
        <v>46106</v>
      </c>
      <c r="C565" s="180">
        <v>46106</v>
      </c>
      <c r="D565" s="33" t="s">
        <v>55</v>
      </c>
      <c r="E565" s="28" t="s">
        <v>55</v>
      </c>
      <c r="F565" s="28" t="s">
        <v>55</v>
      </c>
      <c r="G565" s="33" t="s">
        <v>55</v>
      </c>
      <c r="H565" s="33" t="s">
        <v>55</v>
      </c>
      <c r="I565" s="33" t="s">
        <v>55</v>
      </c>
      <c r="J565" s="33" t="s">
        <v>55</v>
      </c>
      <c r="K565" s="33" t="s">
        <v>55</v>
      </c>
      <c r="L565" s="33" t="s">
        <v>55</v>
      </c>
      <c r="M565" s="33" t="s">
        <v>55</v>
      </c>
      <c r="N565" s="28">
        <v>46112</v>
      </c>
      <c r="O565" s="28">
        <v>46112</v>
      </c>
      <c r="P565" s="28">
        <v>46118</v>
      </c>
      <c r="Q565" s="180">
        <v>46126</v>
      </c>
      <c r="R565" s="180">
        <v>46127</v>
      </c>
      <c r="S565" s="33">
        <v>4</v>
      </c>
    </row>
    <row r="566" spans="1:19" x14ac:dyDescent="0.25">
      <c r="A566" s="403" t="str">
        <f t="shared" si="29"/>
        <v>46106461060000-00-0046111461110000-00-000000-00-000000-00-000000-00-000000-00-000000-00-000000-00-0046120461204612046126461274</v>
      </c>
      <c r="B566" s="53">
        <v>46106</v>
      </c>
      <c r="C566" s="53">
        <v>46106</v>
      </c>
      <c r="D566" s="21" t="s">
        <v>55</v>
      </c>
      <c r="E566" s="53">
        <v>46111</v>
      </c>
      <c r="F566" s="53">
        <v>46111</v>
      </c>
      <c r="G566" s="21" t="s">
        <v>55</v>
      </c>
      <c r="H566" s="21" t="s">
        <v>55</v>
      </c>
      <c r="I566" s="21" t="s">
        <v>55</v>
      </c>
      <c r="J566" s="21" t="s">
        <v>55</v>
      </c>
      <c r="K566" s="21" t="s">
        <v>55</v>
      </c>
      <c r="L566" s="21" t="s">
        <v>55</v>
      </c>
      <c r="M566" s="21" t="s">
        <v>55</v>
      </c>
      <c r="N566" s="53">
        <v>46120</v>
      </c>
      <c r="O566" s="53">
        <v>46120</v>
      </c>
      <c r="P566" s="53">
        <v>46120</v>
      </c>
      <c r="Q566" s="180">
        <v>46126</v>
      </c>
      <c r="R566" s="180">
        <v>46127</v>
      </c>
      <c r="S566" s="21">
        <v>4</v>
      </c>
    </row>
    <row r="567" spans="1:19" x14ac:dyDescent="0.25">
      <c r="A567" s="403" t="str">
        <f t="shared" si="29"/>
        <v>46106461060000-00-0046118461200000-00-000000-00-000000-00-000000-00-000000-00-000000-00-000000-00-0046126461264612746133461394</v>
      </c>
      <c r="B567" s="53">
        <v>46106</v>
      </c>
      <c r="C567" s="53">
        <v>46106</v>
      </c>
      <c r="D567" s="21" t="s">
        <v>55</v>
      </c>
      <c r="E567" s="53">
        <v>46118</v>
      </c>
      <c r="F567" s="53">
        <v>46120</v>
      </c>
      <c r="G567" s="21" t="s">
        <v>55</v>
      </c>
      <c r="H567" s="21" t="s">
        <v>55</v>
      </c>
      <c r="I567" s="21" t="s">
        <v>55</v>
      </c>
      <c r="J567" s="21" t="s">
        <v>55</v>
      </c>
      <c r="K567" s="21" t="s">
        <v>55</v>
      </c>
      <c r="L567" s="21" t="s">
        <v>55</v>
      </c>
      <c r="M567" s="21" t="s">
        <v>55</v>
      </c>
      <c r="N567" s="53">
        <v>46126</v>
      </c>
      <c r="O567" s="53">
        <v>46126</v>
      </c>
      <c r="P567" s="53">
        <v>46127</v>
      </c>
      <c r="Q567" s="53">
        <v>46133</v>
      </c>
      <c r="R567" s="53">
        <v>46139</v>
      </c>
      <c r="S567" s="21">
        <v>4</v>
      </c>
    </row>
    <row r="568" spans="1:19" x14ac:dyDescent="0.25">
      <c r="A568" s="403" t="str">
        <f t="shared" si="29"/>
        <v>46101461080000-00-0046105461050000-00-000000-00-000000-00-000000-00-000000-00-000000-00-000000-00-0046108461204612046133461394</v>
      </c>
      <c r="B568" s="53">
        <v>46101</v>
      </c>
      <c r="C568" s="28">
        <v>46108</v>
      </c>
      <c r="D568" s="33" t="s">
        <v>55</v>
      </c>
      <c r="E568" s="16">
        <v>46105</v>
      </c>
      <c r="F568" s="16">
        <v>46105</v>
      </c>
      <c r="G568" s="33" t="s">
        <v>55</v>
      </c>
      <c r="H568" s="33" t="s">
        <v>55</v>
      </c>
      <c r="I568" s="33" t="s">
        <v>55</v>
      </c>
      <c r="J568" s="33" t="s">
        <v>55</v>
      </c>
      <c r="K568" s="33" t="s">
        <v>55</v>
      </c>
      <c r="L568" s="33" t="s">
        <v>55</v>
      </c>
      <c r="M568" s="21" t="s">
        <v>55</v>
      </c>
      <c r="N568" s="28">
        <v>46108</v>
      </c>
      <c r="O568" s="28">
        <v>46120</v>
      </c>
      <c r="P568" s="28">
        <v>46120</v>
      </c>
      <c r="Q568" s="53">
        <v>46133</v>
      </c>
      <c r="R568" s="53">
        <v>46139</v>
      </c>
      <c r="S568" s="21">
        <v>4</v>
      </c>
    </row>
    <row r="569" spans="1:19" x14ac:dyDescent="0.25">
      <c r="A569" s="403" t="str">
        <f t="shared" si="29"/>
        <v>46108461080000-00-000000-00-000000-00-000000-00-000000-00-000000-00-000000-00-000000-00-000000-00-000000-00-0046120461204612046126461274</v>
      </c>
      <c r="B569" s="180">
        <v>46108</v>
      </c>
      <c r="C569" s="180">
        <v>46108</v>
      </c>
      <c r="D569" s="33" t="s">
        <v>55</v>
      </c>
      <c r="E569" s="33" t="s">
        <v>55</v>
      </c>
      <c r="F569" s="33" t="s">
        <v>55</v>
      </c>
      <c r="G569" s="33" t="s">
        <v>55</v>
      </c>
      <c r="H569" s="33" t="s">
        <v>55</v>
      </c>
      <c r="I569" s="33" t="s">
        <v>55</v>
      </c>
      <c r="J569" s="33" t="s">
        <v>55</v>
      </c>
      <c r="K569" s="33" t="s">
        <v>55</v>
      </c>
      <c r="L569" s="33" t="s">
        <v>55</v>
      </c>
      <c r="M569" s="33" t="s">
        <v>55</v>
      </c>
      <c r="N569" s="16">
        <v>46120</v>
      </c>
      <c r="O569" s="16">
        <v>46120</v>
      </c>
      <c r="P569" s="16">
        <v>46120</v>
      </c>
      <c r="Q569" s="180">
        <v>46126</v>
      </c>
      <c r="R569" s="180">
        <v>46127</v>
      </c>
      <c r="S569" s="33">
        <v>4</v>
      </c>
    </row>
    <row r="570" spans="1:19" x14ac:dyDescent="0.25">
      <c r="A570" s="403" t="str">
        <f t="shared" si="29"/>
        <v>46083461080000-00-0046094460940000-00-000000-00-000000-00-000000-00-000000-00-000000-00-000000-00-0046106461064610646112461184</v>
      </c>
      <c r="B570" s="53">
        <v>46083</v>
      </c>
      <c r="C570" s="53">
        <v>46108</v>
      </c>
      <c r="D570" s="21" t="s">
        <v>55</v>
      </c>
      <c r="E570" s="53">
        <v>46094</v>
      </c>
      <c r="F570" s="53">
        <v>46094</v>
      </c>
      <c r="G570" s="21" t="s">
        <v>55</v>
      </c>
      <c r="H570" s="21" t="s">
        <v>55</v>
      </c>
      <c r="I570" s="21" t="s">
        <v>55</v>
      </c>
      <c r="J570" s="21" t="s">
        <v>55</v>
      </c>
      <c r="K570" s="21" t="s">
        <v>55</v>
      </c>
      <c r="L570" s="21" t="s">
        <v>55</v>
      </c>
      <c r="M570" s="21" t="s">
        <v>55</v>
      </c>
      <c r="N570" s="53">
        <v>46106</v>
      </c>
      <c r="O570" s="53">
        <v>46106</v>
      </c>
      <c r="P570" s="53">
        <v>46106</v>
      </c>
      <c r="Q570" s="28">
        <v>46112</v>
      </c>
      <c r="R570" s="53">
        <v>46118</v>
      </c>
      <c r="S570" s="21">
        <v>4</v>
      </c>
    </row>
    <row r="571" spans="1:19" x14ac:dyDescent="0.25">
      <c r="A571" s="403" t="str">
        <f t="shared" si="29"/>
        <v>46108461080000-00-000000-00-000000-00-000000-00-000000-00-000000-00-000000-00-000000-00-000000-00-000000-00-0046118461184611846126461274</v>
      </c>
      <c r="B571" s="180">
        <v>46108</v>
      </c>
      <c r="C571" s="180">
        <v>46108</v>
      </c>
      <c r="D571" s="33" t="s">
        <v>55</v>
      </c>
      <c r="E571" s="16" t="s">
        <v>55</v>
      </c>
      <c r="F571" s="16" t="s">
        <v>55</v>
      </c>
      <c r="G571" s="33" t="s">
        <v>55</v>
      </c>
      <c r="H571" s="33" t="s">
        <v>55</v>
      </c>
      <c r="I571" s="33" t="s">
        <v>55</v>
      </c>
      <c r="J571" s="33" t="s">
        <v>55</v>
      </c>
      <c r="K571" s="33" t="s">
        <v>55</v>
      </c>
      <c r="L571" s="33" t="s">
        <v>55</v>
      </c>
      <c r="M571" s="33" t="s">
        <v>55</v>
      </c>
      <c r="N571" s="16">
        <v>46118</v>
      </c>
      <c r="O571" s="16">
        <v>46118</v>
      </c>
      <c r="P571" s="16">
        <v>46118</v>
      </c>
      <c r="Q571" s="180">
        <v>46126</v>
      </c>
      <c r="R571" s="180">
        <v>46127</v>
      </c>
      <c r="S571" s="33">
        <v>4</v>
      </c>
    </row>
    <row r="572" spans="1:19" x14ac:dyDescent="0.25">
      <c r="A572" s="403" t="str">
        <f t="shared" si="29"/>
        <v>46106461080000-00-000000-00-000000-00-000000-00-000000-00-000000-00-000000-00-000000-00-000000-00-000000-00-0046112461184611846126461274</v>
      </c>
      <c r="B572" s="180">
        <v>46106</v>
      </c>
      <c r="C572" s="180">
        <v>46108</v>
      </c>
      <c r="D572" s="33" t="s">
        <v>55</v>
      </c>
      <c r="E572" s="21" t="s">
        <v>55</v>
      </c>
      <c r="F572" s="21" t="s">
        <v>55</v>
      </c>
      <c r="G572" s="33" t="s">
        <v>55</v>
      </c>
      <c r="H572" s="33" t="s">
        <v>55</v>
      </c>
      <c r="I572" s="33" t="s">
        <v>55</v>
      </c>
      <c r="J572" s="33" t="s">
        <v>55</v>
      </c>
      <c r="K572" s="33" t="s">
        <v>55</v>
      </c>
      <c r="L572" s="33" t="s">
        <v>55</v>
      </c>
      <c r="M572" s="33" t="s">
        <v>55</v>
      </c>
      <c r="N572" s="28">
        <v>46112</v>
      </c>
      <c r="O572" s="16">
        <v>46118</v>
      </c>
      <c r="P572" s="16">
        <v>46118</v>
      </c>
      <c r="Q572" s="180">
        <v>46126</v>
      </c>
      <c r="R572" s="180">
        <v>46127</v>
      </c>
      <c r="S572" s="33">
        <v>4</v>
      </c>
    </row>
    <row r="573" spans="1:19" x14ac:dyDescent="0.25">
      <c r="A573" s="403" t="str">
        <f t="shared" si="29"/>
        <v>46105461080000-00-000000-00-000000-00-000000-00-000000-00-000000-00-000000-00-000000-00-000000-00-000000-00-0046111461114611246127461274</v>
      </c>
      <c r="B573" s="180">
        <v>46105</v>
      </c>
      <c r="C573" s="180">
        <v>46108</v>
      </c>
      <c r="D573" s="33" t="s">
        <v>55</v>
      </c>
      <c r="E573" s="16" t="s">
        <v>55</v>
      </c>
      <c r="F573" s="16" t="s">
        <v>55</v>
      </c>
      <c r="G573" s="33" t="s">
        <v>55</v>
      </c>
      <c r="H573" s="33" t="s">
        <v>55</v>
      </c>
      <c r="I573" s="33" t="s">
        <v>55</v>
      </c>
      <c r="J573" s="33" t="s">
        <v>55</v>
      </c>
      <c r="K573" s="33" t="s">
        <v>55</v>
      </c>
      <c r="L573" s="33" t="s">
        <v>55</v>
      </c>
      <c r="M573" s="33" t="s">
        <v>55</v>
      </c>
      <c r="N573" s="180">
        <v>46111</v>
      </c>
      <c r="O573" s="53">
        <v>46111</v>
      </c>
      <c r="P573" s="28">
        <v>46112</v>
      </c>
      <c r="Q573" s="180">
        <v>46127</v>
      </c>
      <c r="R573" s="180">
        <v>46127</v>
      </c>
      <c r="S573" s="33">
        <v>4</v>
      </c>
    </row>
    <row r="574" spans="1:19" x14ac:dyDescent="0.25">
      <c r="A574" s="403" t="str">
        <f t="shared" si="29"/>
        <v>46108461080000-00-000000-00-000000-00-000000-00-000000-00-000000-00-000000-00-000000-00-000000-00-000000-00-0046118461194612046126461274</v>
      </c>
      <c r="B574" s="180">
        <v>46108</v>
      </c>
      <c r="C574" s="180">
        <v>46108</v>
      </c>
      <c r="D574" s="33" t="s">
        <v>55</v>
      </c>
      <c r="E574" s="16" t="s">
        <v>55</v>
      </c>
      <c r="F574" s="16" t="s">
        <v>55</v>
      </c>
      <c r="G574" s="33" t="s">
        <v>55</v>
      </c>
      <c r="H574" s="33" t="s">
        <v>55</v>
      </c>
      <c r="I574" s="33" t="s">
        <v>55</v>
      </c>
      <c r="J574" s="33" t="s">
        <v>55</v>
      </c>
      <c r="K574" s="33" t="s">
        <v>55</v>
      </c>
      <c r="L574" s="33" t="s">
        <v>55</v>
      </c>
      <c r="M574" s="33" t="s">
        <v>55</v>
      </c>
      <c r="N574" s="16">
        <v>46118</v>
      </c>
      <c r="O574" s="28">
        <v>46119</v>
      </c>
      <c r="P574" s="28">
        <v>46120</v>
      </c>
      <c r="Q574" s="180">
        <v>46126</v>
      </c>
      <c r="R574" s="180">
        <v>46127</v>
      </c>
      <c r="S574" s="33">
        <v>4</v>
      </c>
    </row>
    <row r="575" spans="1:19" x14ac:dyDescent="0.25">
      <c r="A575" s="403" t="str">
        <f t="shared" si="29"/>
        <v>46111461080000-00-000000-00-000000-00-000000-00-000000-00-000000-00-000000-00-000000-00-000000-00-000000-00-0046119461254612646133461394</v>
      </c>
      <c r="B575" s="16">
        <v>46111</v>
      </c>
      <c r="C575" s="180">
        <v>46108</v>
      </c>
      <c r="D575" s="33" t="s">
        <v>55</v>
      </c>
      <c r="E575" s="53" t="s">
        <v>55</v>
      </c>
      <c r="F575" s="53" t="s">
        <v>55</v>
      </c>
      <c r="G575" s="33" t="s">
        <v>55</v>
      </c>
      <c r="H575" s="33" t="s">
        <v>55</v>
      </c>
      <c r="I575" s="33" t="s">
        <v>55</v>
      </c>
      <c r="J575" s="33" t="s">
        <v>55</v>
      </c>
      <c r="K575" s="33" t="s">
        <v>55</v>
      </c>
      <c r="L575" s="33" t="s">
        <v>55</v>
      </c>
      <c r="M575" s="33" t="s">
        <v>55</v>
      </c>
      <c r="N575" s="28">
        <v>46119</v>
      </c>
      <c r="O575" s="28">
        <v>46125</v>
      </c>
      <c r="P575" s="28">
        <v>46126</v>
      </c>
      <c r="Q575" s="53">
        <v>46133</v>
      </c>
      <c r="R575" s="53">
        <v>46139</v>
      </c>
      <c r="S575" s="33">
        <v>4</v>
      </c>
    </row>
    <row r="576" spans="1:19" x14ac:dyDescent="0.25">
      <c r="A576" s="403" t="str">
        <f t="shared" si="29"/>
        <v>46111461120000-00-0046118461180000-00-000000-00-000000-00-000000-00-000000-00-000000-00-000000-00-0046118461184611846126461274</v>
      </c>
      <c r="B576" s="53">
        <v>46111</v>
      </c>
      <c r="C576" s="53">
        <v>46112</v>
      </c>
      <c r="D576" s="21" t="s">
        <v>55</v>
      </c>
      <c r="E576" s="53">
        <v>46118</v>
      </c>
      <c r="F576" s="53">
        <v>46118</v>
      </c>
      <c r="G576" s="21" t="s">
        <v>55</v>
      </c>
      <c r="H576" s="21" t="s">
        <v>55</v>
      </c>
      <c r="I576" s="21" t="s">
        <v>55</v>
      </c>
      <c r="J576" s="21" t="s">
        <v>55</v>
      </c>
      <c r="K576" s="21" t="s">
        <v>55</v>
      </c>
      <c r="L576" s="21" t="s">
        <v>55</v>
      </c>
      <c r="M576" s="21" t="s">
        <v>55</v>
      </c>
      <c r="N576" s="53">
        <v>46118</v>
      </c>
      <c r="O576" s="53">
        <v>46118</v>
      </c>
      <c r="P576" s="53">
        <v>46118</v>
      </c>
      <c r="Q576" s="180">
        <v>46126</v>
      </c>
      <c r="R576" s="180">
        <v>46127</v>
      </c>
      <c r="S576" s="21">
        <v>4</v>
      </c>
    </row>
    <row r="577" spans="1:19" x14ac:dyDescent="0.25">
      <c r="A577" s="403" t="str">
        <f t="shared" si="29"/>
        <v>46111461110000-00-000000-00-000000-00-000000-00-000000-00-000000-00-000000-00-000000-00-000000-00-000000-00-0046119461194612046126461274</v>
      </c>
      <c r="B577" s="116">
        <v>46111</v>
      </c>
      <c r="C577" s="116">
        <v>46111</v>
      </c>
      <c r="D577" s="33" t="s">
        <v>55</v>
      </c>
      <c r="E577" s="33" t="s">
        <v>55</v>
      </c>
      <c r="F577" s="33" t="s">
        <v>55</v>
      </c>
      <c r="G577" s="33" t="s">
        <v>55</v>
      </c>
      <c r="H577" s="33" t="s">
        <v>55</v>
      </c>
      <c r="I577" s="33" t="s">
        <v>55</v>
      </c>
      <c r="J577" s="33" t="s">
        <v>55</v>
      </c>
      <c r="K577" s="33" t="s">
        <v>55</v>
      </c>
      <c r="L577" s="33" t="s">
        <v>55</v>
      </c>
      <c r="M577" s="33" t="s">
        <v>55</v>
      </c>
      <c r="N577" s="38">
        <v>46119</v>
      </c>
      <c r="O577" s="38">
        <v>46119</v>
      </c>
      <c r="P577" s="28">
        <v>46120</v>
      </c>
      <c r="Q577" s="180">
        <v>46126</v>
      </c>
      <c r="R577" s="180">
        <v>46127</v>
      </c>
      <c r="S577" s="33">
        <f>MONTH(R577)</f>
        <v>4</v>
      </c>
    </row>
    <row r="578" spans="1:19" x14ac:dyDescent="0.25">
      <c r="A578" s="403" t="str">
        <f t="shared" ref="A578:A598" si="30">+B578&amp;C578&amp;D578&amp;E578&amp;F578&amp;G578&amp;H578&amp;I578&amp;J578&amp;K578&amp;L578&amp;M578&amp;N578&amp;O578&amp;P578&amp;Q578&amp;R578&amp;S578</f>
        <v>46106461110000-00-0046108461080000-00-000000-00-000000-00-000000-00-000000-00-000000-00-000000-00-0046119461194611946126461274</v>
      </c>
      <c r="B578" s="116">
        <v>46106</v>
      </c>
      <c r="C578" s="116">
        <v>46111</v>
      </c>
      <c r="D578" s="33" t="s">
        <v>55</v>
      </c>
      <c r="E578" s="28">
        <v>46108</v>
      </c>
      <c r="F578" s="28">
        <v>46108</v>
      </c>
      <c r="G578" s="33" t="s">
        <v>55</v>
      </c>
      <c r="H578" s="33" t="s">
        <v>55</v>
      </c>
      <c r="I578" s="33" t="s">
        <v>55</v>
      </c>
      <c r="J578" s="33" t="s">
        <v>55</v>
      </c>
      <c r="K578" s="33" t="s">
        <v>55</v>
      </c>
      <c r="L578" s="33" t="s">
        <v>55</v>
      </c>
      <c r="M578" s="21" t="s">
        <v>55</v>
      </c>
      <c r="N578" s="28">
        <v>46119</v>
      </c>
      <c r="O578" s="28">
        <v>46119</v>
      </c>
      <c r="P578" s="28">
        <v>46119</v>
      </c>
      <c r="Q578" s="180">
        <v>46126</v>
      </c>
      <c r="R578" s="180">
        <v>46127</v>
      </c>
      <c r="S578" s="33">
        <f>MONTH(R578)</f>
        <v>4</v>
      </c>
    </row>
    <row r="579" spans="1:19" x14ac:dyDescent="0.25">
      <c r="A579" s="403" t="str">
        <f t="shared" si="30"/>
        <v>46111461110000-00-0046119461190000-00-000000-00-000000-00-000000-00-000000-00-000000-00-000000-00-0046119461194611946125461274</v>
      </c>
      <c r="B579" s="210">
        <v>46111</v>
      </c>
      <c r="C579" s="53">
        <v>46111</v>
      </c>
      <c r="D579" s="21" t="s">
        <v>55</v>
      </c>
      <c r="E579" s="53">
        <v>46119</v>
      </c>
      <c r="F579" s="53">
        <v>46119</v>
      </c>
      <c r="G579" s="21" t="s">
        <v>55</v>
      </c>
      <c r="H579" s="21" t="s">
        <v>55</v>
      </c>
      <c r="I579" s="21" t="s">
        <v>55</v>
      </c>
      <c r="J579" s="21" t="s">
        <v>55</v>
      </c>
      <c r="K579" s="21" t="s">
        <v>55</v>
      </c>
      <c r="L579" s="21" t="s">
        <v>55</v>
      </c>
      <c r="M579" s="21" t="s">
        <v>55</v>
      </c>
      <c r="N579" s="53">
        <v>46119</v>
      </c>
      <c r="O579" s="53">
        <v>46119</v>
      </c>
      <c r="P579" s="53">
        <v>46119</v>
      </c>
      <c r="Q579" s="53">
        <v>46125</v>
      </c>
      <c r="R579" s="180">
        <v>46127</v>
      </c>
      <c r="S579" s="21">
        <v>4</v>
      </c>
    </row>
    <row r="580" spans="1:19" x14ac:dyDescent="0.25">
      <c r="A580" s="403" t="str">
        <f t="shared" si="30"/>
        <v>46120461190000-00-000000-00-000000-00-000000-00-000000-00-000000-00-000000-00-000000-00-000000-00-000000-00-0046139461420000-00-0046142461424</v>
      </c>
      <c r="B580" s="116">
        <v>46120</v>
      </c>
      <c r="C580" s="116">
        <v>46119</v>
      </c>
      <c r="D580" s="33" t="s">
        <v>55</v>
      </c>
      <c r="E580" s="33" t="s">
        <v>55</v>
      </c>
      <c r="F580" s="33" t="s">
        <v>55</v>
      </c>
      <c r="G580" s="33" t="s">
        <v>55</v>
      </c>
      <c r="H580" s="33" t="s">
        <v>55</v>
      </c>
      <c r="I580" s="33" t="s">
        <v>55</v>
      </c>
      <c r="J580" s="33" t="s">
        <v>55</v>
      </c>
      <c r="K580" s="33" t="s">
        <v>55</v>
      </c>
      <c r="L580" s="33" t="s">
        <v>55</v>
      </c>
      <c r="M580" s="33" t="s">
        <v>55</v>
      </c>
      <c r="N580" s="28">
        <v>46139</v>
      </c>
      <c r="O580" s="180">
        <v>46142</v>
      </c>
      <c r="P580" s="28" t="s">
        <v>55</v>
      </c>
      <c r="Q580" s="180">
        <v>46142</v>
      </c>
      <c r="R580" s="180">
        <v>46142</v>
      </c>
      <c r="S580" s="33">
        <f>MONTH(R580)</f>
        <v>4</v>
      </c>
    </row>
    <row r="581" spans="1:19" x14ac:dyDescent="0.25">
      <c r="A581" s="403" t="str">
        <f t="shared" si="30"/>
        <v>46112461120000-00-0046118461180000-00-000000-00-000000-00-000000-00-000000-00-000000-00-000000-00-0046120461204612046127461274</v>
      </c>
      <c r="B581" s="28">
        <v>46112</v>
      </c>
      <c r="C581" s="28">
        <v>46112</v>
      </c>
      <c r="D581" s="33" t="s">
        <v>55</v>
      </c>
      <c r="E581" s="28">
        <v>46118</v>
      </c>
      <c r="F581" s="28">
        <v>46118</v>
      </c>
      <c r="G581" s="33" t="s">
        <v>55</v>
      </c>
      <c r="H581" s="33" t="s">
        <v>55</v>
      </c>
      <c r="I581" s="33" t="s">
        <v>55</v>
      </c>
      <c r="J581" s="33" t="s">
        <v>55</v>
      </c>
      <c r="K581" s="33" t="s">
        <v>55</v>
      </c>
      <c r="L581" s="33" t="s">
        <v>55</v>
      </c>
      <c r="M581" s="21" t="s">
        <v>55</v>
      </c>
      <c r="N581" s="28">
        <v>46120</v>
      </c>
      <c r="O581" s="28">
        <v>46120</v>
      </c>
      <c r="P581" s="28">
        <v>46120</v>
      </c>
      <c r="Q581" s="28">
        <v>46127</v>
      </c>
      <c r="R581" s="180">
        <v>46127</v>
      </c>
      <c r="S581" s="21">
        <v>4</v>
      </c>
    </row>
    <row r="582" spans="1:19" x14ac:dyDescent="0.25">
      <c r="A582" s="403" t="str">
        <f t="shared" si="30"/>
        <v>46101461130000-00-0046106461060000-00-000000-00-000000-00-000000-00-000000-00-000000-00-000000-00-0046112461134611946127461274</v>
      </c>
      <c r="B582" s="28">
        <v>46101</v>
      </c>
      <c r="C582" s="28">
        <v>46113</v>
      </c>
      <c r="D582" s="33" t="s">
        <v>55</v>
      </c>
      <c r="E582" s="28">
        <v>46106</v>
      </c>
      <c r="F582" s="28">
        <v>46106</v>
      </c>
      <c r="G582" s="33" t="s">
        <v>55</v>
      </c>
      <c r="H582" s="33" t="s">
        <v>55</v>
      </c>
      <c r="I582" s="33" t="s">
        <v>55</v>
      </c>
      <c r="J582" s="33" t="s">
        <v>55</v>
      </c>
      <c r="K582" s="33" t="s">
        <v>55</v>
      </c>
      <c r="L582" s="33" t="s">
        <v>55</v>
      </c>
      <c r="M582" s="21" t="s">
        <v>55</v>
      </c>
      <c r="N582" s="28">
        <v>46112</v>
      </c>
      <c r="O582" s="28">
        <v>46113</v>
      </c>
      <c r="P582" s="28">
        <v>46119</v>
      </c>
      <c r="Q582" s="28">
        <v>46127</v>
      </c>
      <c r="R582" s="180">
        <v>46127</v>
      </c>
      <c r="S582" s="21">
        <v>4</v>
      </c>
    </row>
    <row r="583" spans="1:19" x14ac:dyDescent="0.25">
      <c r="A583" s="403" t="str">
        <f t="shared" si="30"/>
        <v>46108461180000-00-0046122461220000-00-000000-00-000000-00-000000-00-000000-00-000000-00-000000-00-0046127461274612746133461394</v>
      </c>
      <c r="B583" s="53">
        <v>46108</v>
      </c>
      <c r="C583" s="53">
        <v>46118</v>
      </c>
      <c r="D583" s="21" t="s">
        <v>55</v>
      </c>
      <c r="E583" s="53">
        <v>46122</v>
      </c>
      <c r="F583" s="53">
        <v>46122</v>
      </c>
      <c r="G583" s="21" t="s">
        <v>55</v>
      </c>
      <c r="H583" s="21" t="s">
        <v>55</v>
      </c>
      <c r="I583" s="21" t="s">
        <v>55</v>
      </c>
      <c r="J583" s="21" t="s">
        <v>55</v>
      </c>
      <c r="K583" s="21" t="s">
        <v>55</v>
      </c>
      <c r="L583" s="21" t="s">
        <v>55</v>
      </c>
      <c r="M583" s="21" t="s">
        <v>55</v>
      </c>
      <c r="N583" s="53">
        <v>46127</v>
      </c>
      <c r="O583" s="53">
        <v>46127</v>
      </c>
      <c r="P583" s="53">
        <v>46127</v>
      </c>
      <c r="Q583" s="53">
        <v>46133</v>
      </c>
      <c r="R583" s="53">
        <v>46139</v>
      </c>
      <c r="S583" s="21">
        <v>4</v>
      </c>
    </row>
    <row r="584" spans="1:19" x14ac:dyDescent="0.25">
      <c r="A584" s="403" t="str">
        <f t="shared" si="30"/>
        <v>46090461180000-00-0046094460940000-00-000000-00-000000-00-000000-00-000000-00-000000-00-000000-00-0046119461194611946139461394</v>
      </c>
      <c r="B584" s="28">
        <v>46090</v>
      </c>
      <c r="C584" s="28">
        <v>46118</v>
      </c>
      <c r="D584" s="33" t="s">
        <v>55</v>
      </c>
      <c r="E584" s="28">
        <v>46094</v>
      </c>
      <c r="F584" s="28">
        <v>46094</v>
      </c>
      <c r="G584" s="33" t="s">
        <v>55</v>
      </c>
      <c r="H584" s="33" t="s">
        <v>55</v>
      </c>
      <c r="I584" s="33" t="s">
        <v>55</v>
      </c>
      <c r="J584" s="33" t="s">
        <v>55</v>
      </c>
      <c r="K584" s="33" t="s">
        <v>55</v>
      </c>
      <c r="L584" s="33" t="s">
        <v>55</v>
      </c>
      <c r="M584" s="21" t="s">
        <v>55</v>
      </c>
      <c r="N584" s="28">
        <v>46119</v>
      </c>
      <c r="O584" s="28">
        <v>46119</v>
      </c>
      <c r="P584" s="28">
        <v>46119</v>
      </c>
      <c r="Q584" s="28">
        <v>46139</v>
      </c>
      <c r="R584" s="53">
        <v>46139</v>
      </c>
      <c r="S584" s="21">
        <v>4</v>
      </c>
    </row>
    <row r="585" spans="1:19" x14ac:dyDescent="0.25">
      <c r="A585" s="403" t="str">
        <f t="shared" si="30"/>
        <v>46104461180000-00-0046107461070000-00-000000-00-000000-00-000000-00-000000-00-000000-00-000000-00-0046119461194611946127461274</v>
      </c>
      <c r="B585" s="28">
        <v>46104</v>
      </c>
      <c r="C585" s="28">
        <v>46118</v>
      </c>
      <c r="D585" s="33" t="s">
        <v>55</v>
      </c>
      <c r="E585" s="53">
        <v>46107</v>
      </c>
      <c r="F585" s="53">
        <v>46107</v>
      </c>
      <c r="G585" s="33" t="s">
        <v>55</v>
      </c>
      <c r="H585" s="33" t="s">
        <v>55</v>
      </c>
      <c r="I585" s="33" t="s">
        <v>55</v>
      </c>
      <c r="J585" s="33" t="s">
        <v>55</v>
      </c>
      <c r="K585" s="33" t="s">
        <v>55</v>
      </c>
      <c r="L585" s="33" t="s">
        <v>55</v>
      </c>
      <c r="M585" s="21" t="s">
        <v>55</v>
      </c>
      <c r="N585" s="28">
        <v>46119</v>
      </c>
      <c r="O585" s="28">
        <v>46119</v>
      </c>
      <c r="P585" s="28">
        <v>46119</v>
      </c>
      <c r="Q585" s="28">
        <v>46127</v>
      </c>
      <c r="R585" s="180">
        <v>46127</v>
      </c>
      <c r="S585" s="21">
        <v>4</v>
      </c>
    </row>
    <row r="586" spans="1:19" x14ac:dyDescent="0.25">
      <c r="A586" s="403" t="str">
        <f t="shared" si="30"/>
        <v>46118461180000-00-000000-00-000000-00-000000-00-000000-00-000000-00-000000-00-000000-00-000000-00-000000-00-0046119461194612046126461274</v>
      </c>
      <c r="B586" s="116">
        <v>46118</v>
      </c>
      <c r="C586" s="116">
        <v>46118</v>
      </c>
      <c r="D586" s="33" t="s">
        <v>55</v>
      </c>
      <c r="E586" s="33" t="s">
        <v>55</v>
      </c>
      <c r="F586" s="33" t="s">
        <v>55</v>
      </c>
      <c r="G586" s="33" t="s">
        <v>55</v>
      </c>
      <c r="H586" s="33" t="s">
        <v>55</v>
      </c>
      <c r="I586" s="33" t="s">
        <v>55</v>
      </c>
      <c r="J586" s="33" t="s">
        <v>55</v>
      </c>
      <c r="K586" s="33" t="s">
        <v>55</v>
      </c>
      <c r="L586" s="33" t="s">
        <v>55</v>
      </c>
      <c r="M586" s="33" t="s">
        <v>55</v>
      </c>
      <c r="N586" s="16">
        <v>46119</v>
      </c>
      <c r="O586" s="16">
        <v>46119</v>
      </c>
      <c r="P586" s="16">
        <v>46120</v>
      </c>
      <c r="Q586" s="180">
        <v>46126</v>
      </c>
      <c r="R586" s="180">
        <v>46127</v>
      </c>
      <c r="S586" s="33">
        <v>4</v>
      </c>
    </row>
    <row r="587" spans="1:19" x14ac:dyDescent="0.25">
      <c r="A587" s="403" t="str">
        <f t="shared" si="30"/>
        <v>46099461200000-00-0046106461060000-00-000000-00-000000-00-000000-00-000000-00-000000-00-000000-00-0046126461264612646134461394</v>
      </c>
      <c r="B587" s="53">
        <v>46099</v>
      </c>
      <c r="C587" s="53">
        <v>46120</v>
      </c>
      <c r="D587" s="21" t="s">
        <v>55</v>
      </c>
      <c r="E587" s="16">
        <v>46106</v>
      </c>
      <c r="F587" s="16">
        <v>46106</v>
      </c>
      <c r="G587" s="21" t="s">
        <v>55</v>
      </c>
      <c r="H587" s="21" t="s">
        <v>55</v>
      </c>
      <c r="I587" s="21" t="s">
        <v>55</v>
      </c>
      <c r="J587" s="21" t="s">
        <v>55</v>
      </c>
      <c r="K587" s="21" t="s">
        <v>55</v>
      </c>
      <c r="L587" s="21" t="s">
        <v>55</v>
      </c>
      <c r="M587" s="21" t="s">
        <v>55</v>
      </c>
      <c r="N587" s="53">
        <v>46126</v>
      </c>
      <c r="O587" s="53">
        <v>46126</v>
      </c>
      <c r="P587" s="53">
        <v>46126</v>
      </c>
      <c r="Q587" s="53">
        <v>46134</v>
      </c>
      <c r="R587" s="53">
        <v>46139</v>
      </c>
      <c r="S587" s="21">
        <v>4</v>
      </c>
    </row>
    <row r="588" spans="1:19" x14ac:dyDescent="0.25">
      <c r="A588" s="403" t="str">
        <f t="shared" si="30"/>
        <v>46099461200000-00-0046106461060000-00-000000-00-000000-00-000000-00-000000-00-000000-00-000000-00-0046126461264612646133461394</v>
      </c>
      <c r="B588" s="53">
        <v>46099</v>
      </c>
      <c r="C588" s="53">
        <v>46120</v>
      </c>
      <c r="D588" s="21" t="s">
        <v>55</v>
      </c>
      <c r="E588" s="16">
        <v>46106</v>
      </c>
      <c r="F588" s="16">
        <v>46106</v>
      </c>
      <c r="G588" s="21" t="s">
        <v>55</v>
      </c>
      <c r="H588" s="21" t="s">
        <v>55</v>
      </c>
      <c r="I588" s="21" t="s">
        <v>55</v>
      </c>
      <c r="J588" s="21" t="s">
        <v>55</v>
      </c>
      <c r="K588" s="21" t="s">
        <v>55</v>
      </c>
      <c r="L588" s="21" t="s">
        <v>55</v>
      </c>
      <c r="M588" s="21" t="s">
        <v>55</v>
      </c>
      <c r="N588" s="53">
        <v>46126</v>
      </c>
      <c r="O588" s="53">
        <v>46126</v>
      </c>
      <c r="P588" s="53">
        <v>46126</v>
      </c>
      <c r="Q588" s="53">
        <v>46133</v>
      </c>
      <c r="R588" s="53">
        <v>46139</v>
      </c>
      <c r="S588" s="21">
        <v>4</v>
      </c>
    </row>
    <row r="589" spans="1:19" x14ac:dyDescent="0.25">
      <c r="A589" s="403" t="str">
        <f t="shared" si="30"/>
        <v>46127461200000-00-000000-00-000000-00-000000-00-000000-00-000000-00-000000-00-000000-00-000000-00-000000-00-000000-00-00461274612846135461394</v>
      </c>
      <c r="B589" s="28">
        <v>46127</v>
      </c>
      <c r="C589" s="116">
        <v>46120</v>
      </c>
      <c r="D589" s="33" t="s">
        <v>55</v>
      </c>
      <c r="E589" s="33" t="s">
        <v>55</v>
      </c>
      <c r="F589" s="33" t="s">
        <v>55</v>
      </c>
      <c r="G589" s="33" t="s">
        <v>55</v>
      </c>
      <c r="H589" s="33" t="s">
        <v>55</v>
      </c>
      <c r="I589" s="33" t="s">
        <v>55</v>
      </c>
      <c r="J589" s="33" t="s">
        <v>55</v>
      </c>
      <c r="K589" s="33" t="s">
        <v>55</v>
      </c>
      <c r="L589" s="33" t="s">
        <v>55</v>
      </c>
      <c r="M589" s="33" t="s">
        <v>55</v>
      </c>
      <c r="N589" s="33" t="s">
        <v>55</v>
      </c>
      <c r="O589" s="28">
        <v>46127</v>
      </c>
      <c r="P589" s="28">
        <v>46128</v>
      </c>
      <c r="Q589" s="28">
        <v>46135</v>
      </c>
      <c r="R589" s="53">
        <v>46139</v>
      </c>
      <c r="S589" s="33">
        <f>MONTH(R589)</f>
        <v>4</v>
      </c>
    </row>
    <row r="590" spans="1:19" x14ac:dyDescent="0.25">
      <c r="A590" s="403" t="str">
        <f t="shared" si="30"/>
        <v>46125461210000-00-000000-00-000000-00-000000-00-000000-00-000000-00-000000-00-000000-00-000000-00-000000-00-0046128461324613246133461394</v>
      </c>
      <c r="B590" s="116">
        <v>46125</v>
      </c>
      <c r="C590" s="116">
        <v>46121</v>
      </c>
      <c r="D590" s="33" t="s">
        <v>55</v>
      </c>
      <c r="E590" s="33" t="s">
        <v>55</v>
      </c>
      <c r="F590" s="33" t="s">
        <v>55</v>
      </c>
      <c r="G590" s="33" t="s">
        <v>55</v>
      </c>
      <c r="H590" s="33" t="s">
        <v>55</v>
      </c>
      <c r="I590" s="33" t="s">
        <v>55</v>
      </c>
      <c r="J590" s="33" t="s">
        <v>55</v>
      </c>
      <c r="K590" s="33" t="s">
        <v>55</v>
      </c>
      <c r="L590" s="33" t="s">
        <v>55</v>
      </c>
      <c r="M590" s="33" t="s">
        <v>55</v>
      </c>
      <c r="N590" s="16">
        <v>46128</v>
      </c>
      <c r="O590" s="16">
        <v>46132</v>
      </c>
      <c r="P590" s="16">
        <v>46132</v>
      </c>
      <c r="Q590" s="53">
        <v>46133</v>
      </c>
      <c r="R590" s="53">
        <v>46139</v>
      </c>
      <c r="S590" s="33">
        <f>MONTH(R590)</f>
        <v>4</v>
      </c>
    </row>
    <row r="591" spans="1:19" x14ac:dyDescent="0.25">
      <c r="A591" s="403" t="str">
        <f t="shared" si="30"/>
        <v>46118461230000-00-0046123461230000-00-000000-00-000000-00-000000-00-000000-00-000000-00-000000-00-0046127461274612746133461394</v>
      </c>
      <c r="B591" s="53">
        <v>46118</v>
      </c>
      <c r="C591" s="53">
        <v>46123</v>
      </c>
      <c r="D591" s="21" t="s">
        <v>55</v>
      </c>
      <c r="E591" s="53">
        <v>46123</v>
      </c>
      <c r="F591" s="53">
        <v>46123</v>
      </c>
      <c r="G591" s="21" t="s">
        <v>55</v>
      </c>
      <c r="H591" s="21" t="s">
        <v>55</v>
      </c>
      <c r="I591" s="21" t="s">
        <v>55</v>
      </c>
      <c r="J591" s="21" t="s">
        <v>55</v>
      </c>
      <c r="K591" s="21" t="s">
        <v>55</v>
      </c>
      <c r="L591" s="21" t="s">
        <v>55</v>
      </c>
      <c r="M591" s="21" t="s">
        <v>55</v>
      </c>
      <c r="N591" s="53">
        <v>46127</v>
      </c>
      <c r="O591" s="53">
        <v>46127</v>
      </c>
      <c r="P591" s="53">
        <v>46127</v>
      </c>
      <c r="Q591" s="53">
        <v>46133</v>
      </c>
      <c r="R591" s="53">
        <v>46139</v>
      </c>
      <c r="S591" s="21">
        <v>4</v>
      </c>
    </row>
    <row r="592" spans="1:19" x14ac:dyDescent="0.25">
      <c r="A592" s="403" t="str">
        <f t="shared" si="30"/>
        <v>46107461250000-00-0046112461120000-00-000000-00-000000-00-000000-00-000000-00-000000-00-000000-00-0046127461274612746134461394</v>
      </c>
      <c r="B592" s="116">
        <v>46107</v>
      </c>
      <c r="C592" s="116">
        <v>46125</v>
      </c>
      <c r="D592" s="33" t="s">
        <v>55</v>
      </c>
      <c r="E592" s="16">
        <v>46112</v>
      </c>
      <c r="F592" s="16">
        <v>46112</v>
      </c>
      <c r="G592" s="33" t="s">
        <v>55</v>
      </c>
      <c r="H592" s="33" t="s">
        <v>55</v>
      </c>
      <c r="I592" s="33" t="s">
        <v>55</v>
      </c>
      <c r="J592" s="33" t="s">
        <v>55</v>
      </c>
      <c r="K592" s="33" t="s">
        <v>55</v>
      </c>
      <c r="L592" s="33" t="s">
        <v>55</v>
      </c>
      <c r="M592" s="21" t="s">
        <v>55</v>
      </c>
      <c r="N592" s="53">
        <v>46127</v>
      </c>
      <c r="O592" s="53">
        <v>46127</v>
      </c>
      <c r="P592" s="53">
        <v>46127</v>
      </c>
      <c r="Q592" s="16">
        <v>46134</v>
      </c>
      <c r="R592" s="53">
        <v>46139</v>
      </c>
      <c r="S592" s="33">
        <v>4</v>
      </c>
    </row>
    <row r="593" spans="1:19" x14ac:dyDescent="0.25">
      <c r="A593" s="403" t="str">
        <f t="shared" si="30"/>
        <v>46088461260000-00-0046099460990000-00-000000-00-000000-00-000000-00-000000-00-000000-00-000000-00-0046119461194612046127461274</v>
      </c>
      <c r="B593" s="404">
        <v>46088</v>
      </c>
      <c r="C593" s="404">
        <v>46126</v>
      </c>
      <c r="D593" s="66" t="s">
        <v>55</v>
      </c>
      <c r="E593" s="136">
        <v>46099</v>
      </c>
      <c r="F593" s="136">
        <v>46099</v>
      </c>
      <c r="G593" s="66" t="s">
        <v>55</v>
      </c>
      <c r="H593" s="66" t="s">
        <v>55</v>
      </c>
      <c r="I593" s="66" t="s">
        <v>55</v>
      </c>
      <c r="J593" s="66" t="s">
        <v>55</v>
      </c>
      <c r="K593" s="66" t="s">
        <v>55</v>
      </c>
      <c r="L593" s="66" t="s">
        <v>55</v>
      </c>
      <c r="M593" s="66" t="s">
        <v>55</v>
      </c>
      <c r="N593" s="404">
        <v>46119</v>
      </c>
      <c r="O593" s="404">
        <v>46119</v>
      </c>
      <c r="P593" s="404">
        <v>46120</v>
      </c>
      <c r="Q593" s="404">
        <v>46127</v>
      </c>
      <c r="R593" s="199">
        <v>46127</v>
      </c>
      <c r="S593" s="66">
        <v>4</v>
      </c>
    </row>
    <row r="594" spans="1:19" x14ac:dyDescent="0.25">
      <c r="A594" s="403" t="str">
        <f t="shared" si="30"/>
        <v>46126461260000-00-000000-00-000000-00-000000-00-000000-00-000000-00-000000-00-000000-00-000000-00-000000-00-0046132461324612846136461394</v>
      </c>
      <c r="B594" s="53">
        <v>46126</v>
      </c>
      <c r="C594" s="53">
        <v>46126</v>
      </c>
      <c r="D594" s="21" t="s">
        <v>55</v>
      </c>
      <c r="E594" s="21" t="s">
        <v>55</v>
      </c>
      <c r="F594" s="21" t="s">
        <v>55</v>
      </c>
      <c r="G594" s="21" t="s">
        <v>55</v>
      </c>
      <c r="H594" s="21" t="s">
        <v>55</v>
      </c>
      <c r="I594" s="21" t="s">
        <v>55</v>
      </c>
      <c r="J594" s="21" t="s">
        <v>55</v>
      </c>
      <c r="K594" s="21" t="s">
        <v>55</v>
      </c>
      <c r="L594" s="21" t="s">
        <v>55</v>
      </c>
      <c r="M594" s="21" t="s">
        <v>55</v>
      </c>
      <c r="N594" s="16">
        <v>46132</v>
      </c>
      <c r="O594" s="16">
        <v>46132</v>
      </c>
      <c r="P594" s="16">
        <v>46128</v>
      </c>
      <c r="Q594" s="53">
        <v>46136</v>
      </c>
      <c r="R594" s="53">
        <v>46139</v>
      </c>
      <c r="S594" s="21">
        <v>4</v>
      </c>
    </row>
    <row r="595" spans="1:19" x14ac:dyDescent="0.25">
      <c r="A595" s="403" t="str">
        <f t="shared" si="30"/>
        <v>46128461320000-00-000000-00-000000-00-000000-00-000000-00-000000-00-000000-00-000000-00-000000-00-000000-00-0046133461330000-00-0046133461434</v>
      </c>
      <c r="B595" s="28">
        <v>46128</v>
      </c>
      <c r="C595" s="28">
        <v>46132</v>
      </c>
      <c r="D595" s="33" t="s">
        <v>55</v>
      </c>
      <c r="E595" s="21" t="s">
        <v>55</v>
      </c>
      <c r="F595" s="21" t="s">
        <v>55</v>
      </c>
      <c r="G595" s="33" t="s">
        <v>55</v>
      </c>
      <c r="H595" s="33" t="s">
        <v>55</v>
      </c>
      <c r="I595" s="33" t="s">
        <v>55</v>
      </c>
      <c r="J595" s="33" t="s">
        <v>55</v>
      </c>
      <c r="K595" s="33" t="s">
        <v>55</v>
      </c>
      <c r="L595" s="33" t="s">
        <v>55</v>
      </c>
      <c r="M595" s="33" t="s">
        <v>55</v>
      </c>
      <c r="N595" s="28">
        <v>46133</v>
      </c>
      <c r="O595" s="28">
        <v>46133</v>
      </c>
      <c r="P595" s="28" t="s">
        <v>55</v>
      </c>
      <c r="Q595" s="53">
        <v>46133</v>
      </c>
      <c r="R595" s="140">
        <v>46143</v>
      </c>
      <c r="S595" s="33">
        <v>4</v>
      </c>
    </row>
    <row r="596" spans="1:19" x14ac:dyDescent="0.25">
      <c r="A596" s="403" t="str">
        <f t="shared" si="30"/>
        <v>46125461250000-00-000000-00-000000-00-000000-00-000000-00-000000-00-000000-00-000000-00-000000-00-000000-00-0046134461340000-00-0046134461344</v>
      </c>
      <c r="B596" s="196">
        <v>46125</v>
      </c>
      <c r="C596" s="196">
        <v>46125</v>
      </c>
      <c r="D596" s="168" t="s">
        <v>55</v>
      </c>
      <c r="E596" s="168" t="s">
        <v>55</v>
      </c>
      <c r="F596" s="168" t="s">
        <v>55</v>
      </c>
      <c r="G596" s="168" t="s">
        <v>55</v>
      </c>
      <c r="H596" s="168" t="s">
        <v>55</v>
      </c>
      <c r="I596" s="168" t="s">
        <v>55</v>
      </c>
      <c r="J596" s="168" t="s">
        <v>55</v>
      </c>
      <c r="K596" s="168" t="s">
        <v>55</v>
      </c>
      <c r="L596" s="168" t="s">
        <v>55</v>
      </c>
      <c r="M596" s="168" t="s">
        <v>55</v>
      </c>
      <c r="N596" s="196">
        <v>46134</v>
      </c>
      <c r="O596" s="196">
        <v>46134</v>
      </c>
      <c r="P596" s="28" t="s">
        <v>55</v>
      </c>
      <c r="Q596" s="196">
        <v>46134</v>
      </c>
      <c r="R596" s="196">
        <v>46134</v>
      </c>
      <c r="S596" s="168">
        <f>MONTH(R596)</f>
        <v>4</v>
      </c>
    </row>
    <row r="597" spans="1:19" x14ac:dyDescent="0.25">
      <c r="A597" s="403" t="str">
        <f t="shared" si="30"/>
        <v>46122461220000-00-000000-00-000000-00-000000-00-000000-00-000000-00-000000-00-000000-00-000000-00-000000-00-0046132461320000-00-0046132461324</v>
      </c>
      <c r="B597" s="196">
        <v>46122</v>
      </c>
      <c r="C597" s="196">
        <v>46122</v>
      </c>
      <c r="D597" s="168" t="s">
        <v>55</v>
      </c>
      <c r="E597" s="168" t="s">
        <v>55</v>
      </c>
      <c r="F597" s="168" t="s">
        <v>55</v>
      </c>
      <c r="G597" s="168" t="s">
        <v>55</v>
      </c>
      <c r="H597" s="168" t="s">
        <v>55</v>
      </c>
      <c r="I597" s="168" t="s">
        <v>55</v>
      </c>
      <c r="J597" s="168" t="s">
        <v>55</v>
      </c>
      <c r="K597" s="168" t="s">
        <v>55</v>
      </c>
      <c r="L597" s="168" t="s">
        <v>55</v>
      </c>
      <c r="M597" s="168" t="s">
        <v>55</v>
      </c>
      <c r="N597" s="196">
        <v>46132</v>
      </c>
      <c r="O597" s="196">
        <v>46132</v>
      </c>
      <c r="P597" s="28" t="s">
        <v>55</v>
      </c>
      <c r="Q597" s="196">
        <v>46132</v>
      </c>
      <c r="R597" s="196">
        <v>46132</v>
      </c>
      <c r="S597" s="168">
        <v>4</v>
      </c>
    </row>
    <row r="598" spans="1:19" x14ac:dyDescent="0.25">
      <c r="A598" s="403" t="str">
        <f t="shared" si="30"/>
        <v>46125461250000-00-000000-00-000000-00-000000-00-000000-00-000000-00-000000-00-000000-00-000000-00-000000-00-0046139461390000-00-0046139461394</v>
      </c>
      <c r="B598" s="38">
        <v>46125</v>
      </c>
      <c r="C598" s="38">
        <v>46125</v>
      </c>
      <c r="D598" s="168" t="s">
        <v>55</v>
      </c>
      <c r="E598" s="257" t="s">
        <v>55</v>
      </c>
      <c r="F598" s="257" t="s">
        <v>55</v>
      </c>
      <c r="G598" s="257" t="s">
        <v>55</v>
      </c>
      <c r="H598" s="257" t="s">
        <v>55</v>
      </c>
      <c r="I598" s="257" t="s">
        <v>55</v>
      </c>
      <c r="J598" s="257" t="s">
        <v>55</v>
      </c>
      <c r="K598" s="257" t="s">
        <v>55</v>
      </c>
      <c r="L598" s="257" t="s">
        <v>55</v>
      </c>
      <c r="M598" s="257" t="s">
        <v>55</v>
      </c>
      <c r="N598" s="258">
        <v>46139</v>
      </c>
      <c r="O598" s="258">
        <v>46139</v>
      </c>
      <c r="P598" s="196" t="s">
        <v>55</v>
      </c>
      <c r="Q598" s="258">
        <v>46139</v>
      </c>
      <c r="R598" s="258">
        <v>46139</v>
      </c>
      <c r="S598" s="168">
        <v>4</v>
      </c>
    </row>
    <row r="599" spans="1:19" x14ac:dyDescent="0.25">
      <c r="A599"/>
      <c r="B599"/>
      <c r="C599"/>
      <c r="D599"/>
      <c r="E599"/>
      <c r="F599"/>
      <c r="G599"/>
      <c r="H599"/>
      <c r="I599"/>
      <c r="J599"/>
      <c r="K599"/>
      <c r="L599"/>
      <c r="M599"/>
      <c r="N599"/>
      <c r="O599"/>
      <c r="P599"/>
      <c r="Q599"/>
      <c r="R599"/>
      <c r="S599"/>
    </row>
    <row r="600" spans="1:19" x14ac:dyDescent="0.25">
      <c r="A600"/>
      <c r="B600"/>
      <c r="C600"/>
      <c r="D600"/>
      <c r="E600"/>
      <c r="F600"/>
      <c r="G600"/>
      <c r="H600"/>
      <c r="I600"/>
      <c r="J600"/>
      <c r="K600"/>
      <c r="L600"/>
      <c r="M600"/>
      <c r="N600"/>
      <c r="O600"/>
      <c r="P600"/>
      <c r="Q600"/>
      <c r="R600"/>
      <c r="S600"/>
    </row>
    <row r="601" spans="1:19" x14ac:dyDescent="0.25">
      <c r="A601"/>
      <c r="B601"/>
      <c r="C601"/>
      <c r="D601"/>
      <c r="E601"/>
      <c r="F601"/>
      <c r="G601"/>
      <c r="H601"/>
      <c r="I601"/>
      <c r="J601"/>
      <c r="K601"/>
      <c r="L601"/>
      <c r="M601"/>
      <c r="N601"/>
      <c r="O601"/>
      <c r="P601"/>
      <c r="Q601"/>
      <c r="R601"/>
      <c r="S601"/>
    </row>
    <row r="602" spans="1:19" x14ac:dyDescent="0.25">
      <c r="A602"/>
      <c r="B602"/>
      <c r="C602"/>
      <c r="D602"/>
      <c r="E602"/>
      <c r="F602"/>
      <c r="G602"/>
      <c r="H602"/>
      <c r="I602"/>
      <c r="J602"/>
      <c r="K602"/>
      <c r="L602"/>
      <c r="M602"/>
      <c r="N602"/>
      <c r="O602"/>
      <c r="P602"/>
      <c r="Q602"/>
      <c r="R602"/>
      <c r="S602"/>
    </row>
    <row r="603" spans="1:19" x14ac:dyDescent="0.25">
      <c r="A603"/>
      <c r="B603"/>
      <c r="C603"/>
      <c r="D603"/>
      <c r="E603"/>
      <c r="F603"/>
      <c r="G603"/>
      <c r="H603"/>
      <c r="I603"/>
      <c r="J603"/>
      <c r="K603"/>
      <c r="L603"/>
      <c r="M603"/>
      <c r="N603"/>
      <c r="O603"/>
      <c r="P603"/>
      <c r="Q603"/>
      <c r="R603"/>
      <c r="S603"/>
    </row>
    <row r="604" spans="1:19" x14ac:dyDescent="0.25">
      <c r="A604"/>
      <c r="B604"/>
      <c r="C604"/>
      <c r="D604"/>
      <c r="E604"/>
      <c r="F604"/>
      <c r="G604"/>
      <c r="H604"/>
      <c r="I604"/>
      <c r="J604"/>
      <c r="K604"/>
      <c r="L604"/>
      <c r="M604"/>
      <c r="N604"/>
      <c r="O604"/>
      <c r="P604"/>
      <c r="Q604"/>
      <c r="R604"/>
      <c r="S604"/>
    </row>
    <row r="605" spans="1:19" x14ac:dyDescent="0.25">
      <c r="A605"/>
      <c r="B605"/>
      <c r="C605"/>
      <c r="D605"/>
      <c r="E605"/>
      <c r="F605"/>
      <c r="G605"/>
      <c r="H605"/>
      <c r="I605"/>
      <c r="J605"/>
      <c r="K605"/>
      <c r="L605"/>
      <c r="M605"/>
      <c r="N605"/>
      <c r="O605"/>
      <c r="P605"/>
      <c r="Q605"/>
      <c r="R605"/>
      <c r="S605"/>
    </row>
    <row r="606" spans="1:19" x14ac:dyDescent="0.25">
      <c r="A606"/>
      <c r="B606"/>
      <c r="C606"/>
      <c r="D606"/>
      <c r="E606"/>
      <c r="F606"/>
      <c r="G606"/>
      <c r="H606"/>
      <c r="I606"/>
      <c r="J606"/>
      <c r="K606"/>
      <c r="L606"/>
      <c r="M606"/>
      <c r="N606"/>
      <c r="O606"/>
      <c r="P606"/>
      <c r="Q606"/>
      <c r="R606"/>
      <c r="S606"/>
    </row>
    <row r="607" spans="1:19" x14ac:dyDescent="0.25">
      <c r="A607"/>
      <c r="B607"/>
      <c r="C607"/>
      <c r="D607"/>
      <c r="E607"/>
      <c r="F607"/>
      <c r="G607"/>
      <c r="H607"/>
      <c r="I607"/>
      <c r="J607"/>
      <c r="K607"/>
      <c r="L607"/>
      <c r="M607"/>
      <c r="N607"/>
      <c r="O607"/>
      <c r="P607"/>
      <c r="Q607"/>
      <c r="R607"/>
      <c r="S607"/>
    </row>
    <row r="608" spans="1:19" x14ac:dyDescent="0.25">
      <c r="A608"/>
      <c r="B608"/>
      <c r="C608"/>
      <c r="D608"/>
      <c r="E608"/>
      <c r="F608"/>
      <c r="G608"/>
      <c r="H608"/>
      <c r="I608"/>
      <c r="J608"/>
      <c r="K608"/>
      <c r="L608"/>
      <c r="M608"/>
      <c r="N608"/>
      <c r="O608"/>
      <c r="P608"/>
      <c r="Q608"/>
      <c r="R608"/>
      <c r="S608"/>
    </row>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054E-D5B7-44E3-9E02-AB619CE5C4C5}">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bda78048-cfe6-40e8-a779-0015d01fef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A82E8B21C388344891F6502D641A618" ma:contentTypeVersion="11" ma:contentTypeDescription="Create a new document." ma:contentTypeScope="" ma:versionID="da34dfca223c90c9cecd1a192efbbc8e">
  <xsd:schema xmlns:xsd="http://www.w3.org/2001/XMLSchema" xmlns:xs="http://www.w3.org/2001/XMLSchema" xmlns:p="http://schemas.microsoft.com/office/2006/metadata/properties" xmlns:ns2="bda78048-cfe6-40e8-a779-0015d01fef76" xmlns:ns3="0a80fbdd-33c8-44cd-a8c0-ee9725496992" targetNamespace="http://schemas.microsoft.com/office/2006/metadata/properties" ma:root="true" ma:fieldsID="c1ef8ccd43bbf4edca8fa57dea878296" ns2:_="" ns3:_="">
    <xsd:import namespace="bda78048-cfe6-40e8-a779-0015d01fef76"/>
    <xsd:import namespace="0a80fbdd-33c8-44cd-a8c0-ee97254969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a78048-cfe6-40e8-a779-0015d01fef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80fbdd-33c8-44cd-a8c0-ee97254969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60C8D7-04B1-4342-BCAA-70AC34914A52}">
  <ds:schemaRefs>
    <ds:schemaRef ds:uri="http://schemas.microsoft.com/sharepoint/v3/contenttype/forms"/>
  </ds:schemaRefs>
</ds:datastoreItem>
</file>

<file path=customXml/itemProps2.xml><?xml version="1.0" encoding="utf-8"?>
<ds:datastoreItem xmlns:ds="http://schemas.openxmlformats.org/officeDocument/2006/customXml" ds:itemID="{1277A059-A7A1-4477-A4C2-767C3072287E}">
  <ds:schemaRefs>
    <ds:schemaRef ds:uri="http://purl.org/dc/terms/"/>
    <ds:schemaRef ds:uri="http://schemas.microsoft.com/office/2006/metadata/properties"/>
    <ds:schemaRef ds:uri="http://schemas.microsoft.com/office/infopath/2007/PartnerControls"/>
    <ds:schemaRef ds:uri="http://www.w3.org/XML/1998/namespace"/>
    <ds:schemaRef ds:uri="bda78048-cfe6-40e8-a779-0015d01fef76"/>
    <ds:schemaRef ds:uri="http://schemas.microsoft.com/office/2006/documentManagement/types"/>
    <ds:schemaRef ds:uri="http://purl.org/dc/elements/1.1/"/>
    <ds:schemaRef ds:uri="http://schemas.openxmlformats.org/package/2006/metadata/core-properties"/>
    <ds:schemaRef ds:uri="0a80fbdd-33c8-44cd-a8c0-ee9725496992"/>
    <ds:schemaRef ds:uri="http://purl.org/dc/dcmitype/"/>
  </ds:schemaRefs>
</ds:datastoreItem>
</file>

<file path=customXml/itemProps3.xml><?xml version="1.0" encoding="utf-8"?>
<ds:datastoreItem xmlns:ds="http://schemas.openxmlformats.org/officeDocument/2006/customXml" ds:itemID="{18DC3A4B-C932-4C51-B02C-75D359567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a78048-cfe6-40e8-a779-0015d01fef76"/>
    <ds:schemaRef ds:uri="0a80fbdd-33c8-44cd-a8c0-ee97254969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9dd2e65-d6de-461b-b71e-a7b9bfcbafe8}" enabled="0" method="" siteId="{09dd2e65-d6de-461b-b71e-a7b9bfcbafe8}"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9</vt:i4>
      </vt:variant>
    </vt:vector>
  </HeadingPairs>
  <TitlesOfParts>
    <vt:vector size="9" baseType="lpstr">
      <vt:lpstr>Requisiciones</vt:lpstr>
      <vt:lpstr>Hoja1</vt:lpstr>
      <vt:lpstr>Requis</vt:lpstr>
      <vt:lpstr>Dim_Empresa</vt:lpstr>
      <vt:lpstr>Dim_Cargo</vt:lpstr>
      <vt:lpstr>Dim_Psicologo</vt:lpstr>
      <vt:lpstr>Dim_Fuente</vt:lpstr>
      <vt:lpstr>Dim_Calendario</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Isabel Martinez Vaca</dc:creator>
  <cp:keywords/>
  <dc:description/>
  <cp:lastModifiedBy>Elian Hernandez Morales</cp:lastModifiedBy>
  <cp:revision/>
  <dcterms:created xsi:type="dcterms:W3CDTF">2024-06-24T20:37:12Z</dcterms:created>
  <dcterms:modified xsi:type="dcterms:W3CDTF">2026-05-28T01:52:16Z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0x0101003A82E8B21C388344891F6502D641A618</vt:lpwstr>
  </property>
</Properties>
</file>